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tiherkin\Desktop\"/>
    </mc:Choice>
  </mc:AlternateContent>
  <xr:revisionPtr revIDLastSave="0" documentId="8_{63728945-F8F0-4C43-ABC4-39841E2AFF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BR NCR" sheetId="5" r:id="rId1"/>
    <sheet name="Sayfa2" sheetId="4" state="hidden" r:id="rId2"/>
  </sheets>
  <externalReferences>
    <externalReference r:id="rId3"/>
    <externalReference r:id="rId4"/>
  </externalReferences>
  <definedNames>
    <definedName name="_xlnm._FilterDatabase" localSheetId="0" hidden="1">'HBR NCR'!$B$26:$K$26</definedName>
    <definedName name="Araç_Şase_Numaraları">[1]Atamalar!$A$96:$A$116</definedName>
    <definedName name="Araç_Tipi">[1]Atamalar!$A$3:$A$8</definedName>
    <definedName name="Bölüm" localSheetId="0">Sayfa2!$B$2:$B$15</definedName>
    <definedName name="Chassis_Design">Sayfa2!$B$58:$B$61</definedName>
    <definedName name="Chassis_Quality">Sayfa2!$B$69:$B$72</definedName>
    <definedName name="Department">[1]Atamalar!$A$11:$A$23</definedName>
    <definedName name="Electrical_Design">Sayfa2!$B$40:$B$44</definedName>
    <definedName name="Electromechanic_Tasarım">Sayfa2!$B$47:$B$55</definedName>
    <definedName name="Giriş_Kalite_Kontrol">[1]Atamalar!#REF!</definedName>
    <definedName name="GKK">Sayfa2!$B$64:$B$66</definedName>
    <definedName name="HataDurumu">'[2]Hata Durumu'!$B$2:$B$4</definedName>
    <definedName name="HataGidermeYöntemi1">'[2]Hata Giderme Yöntemi'!$B$2:$B$5</definedName>
    <definedName name="HataKaynağı">'[2]Hata Kaynağı'!$B$2:$B$5</definedName>
    <definedName name="Logistics">Sayfa2!$B$108:$B$110</definedName>
    <definedName name="Mechanical_Design">Sayfa2!$B$30:$B$37</definedName>
    <definedName name="Other_Department">[1]Atamalar!#REF!</definedName>
    <definedName name="Process_And_Final_Quality">Sayfa2!$B$84:$B$88</definedName>
    <definedName name="Process_Quality_Controls">[1]Atamalar!#REF!</definedName>
    <definedName name="Production_And_Test">Sayfa2!$B$75:$B$81</definedName>
    <definedName name="Purchasing">Sayfa2!$B$91:$B$105</definedName>
    <definedName name="Reported_By">[1]Atamalar!$A$88:$A$93</definedName>
    <definedName name="SQA">Sayfa2!$B$124:$B$125</definedName>
    <definedName name="SSH">Sayfa2!$B$113:$B$121</definedName>
    <definedName name="Supplier">Sayfa2!$B$64:$B$66</definedName>
    <definedName name="Trim_Design">Sayfa2!$B$17:$B$27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5" l="1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27" i="5" l="1"/>
  <c r="J28" i="5" l="1"/>
  <c r="J32" i="5"/>
  <c r="J36" i="5"/>
  <c r="J40" i="5"/>
  <c r="J44" i="5"/>
  <c r="J48" i="5"/>
  <c r="J52" i="5"/>
  <c r="J56" i="5"/>
  <c r="J35" i="5"/>
  <c r="J43" i="5"/>
  <c r="J29" i="5"/>
  <c r="J33" i="5"/>
  <c r="J37" i="5"/>
  <c r="J41" i="5"/>
  <c r="J45" i="5"/>
  <c r="J49" i="5"/>
  <c r="J53" i="5"/>
  <c r="J51" i="5"/>
  <c r="J30" i="5"/>
  <c r="J34" i="5"/>
  <c r="J38" i="5"/>
  <c r="J42" i="5"/>
  <c r="J46" i="5"/>
  <c r="J50" i="5"/>
  <c r="J54" i="5"/>
  <c r="J31" i="5"/>
  <c r="J39" i="5"/>
  <c r="J47" i="5"/>
  <c r="J55" i="5"/>
  <c r="J27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<sst xmlns="http://schemas.openxmlformats.org/spreadsheetml/2006/main" count="162" uniqueCount="148">
  <si>
    <t>No:</t>
  </si>
  <si>
    <t>Issue Date</t>
  </si>
  <si>
    <t>Activities / Remarks</t>
  </si>
  <si>
    <t>Department</t>
  </si>
  <si>
    <t>Responsible</t>
  </si>
  <si>
    <t>Planned Deadline</t>
  </si>
  <si>
    <t>New Deadline</t>
  </si>
  <si>
    <t>Act. Complete Time</t>
  </si>
  <si>
    <t>Act. Open Time</t>
  </si>
  <si>
    <t>Status</t>
  </si>
  <si>
    <t>Halit Akpınar</t>
  </si>
  <si>
    <t>Emre Kocaoğlu</t>
  </si>
  <si>
    <t>Cenk Pala</t>
  </si>
  <si>
    <t>Orhan Karakaya</t>
  </si>
  <si>
    <t>SSH</t>
  </si>
  <si>
    <t>Elif Uzun Saatci</t>
  </si>
  <si>
    <t>Begüm Nur Erkalan</t>
  </si>
  <si>
    <t>Logistics</t>
  </si>
  <si>
    <t>Purchasing</t>
  </si>
  <si>
    <t>Hakan Böcekli</t>
  </si>
  <si>
    <t>Aykut Turhanlar</t>
  </si>
  <si>
    <t>Saltuk Buğra Güneş</t>
  </si>
  <si>
    <t>Process_And_Final_Quality</t>
  </si>
  <si>
    <t>Alper Dağıstanlı</t>
  </si>
  <si>
    <t>Ömer Faruk Emecen</t>
  </si>
  <si>
    <t>Yunus Emre Özden</t>
  </si>
  <si>
    <t>Yüksel Etlioğlu</t>
  </si>
  <si>
    <t>Emre Öz</t>
  </si>
  <si>
    <t>Production_And_Test</t>
  </si>
  <si>
    <t>Elif Topalkara</t>
  </si>
  <si>
    <t>Berna Yiğit Cavlı</t>
  </si>
  <si>
    <t>Görkem Otuz</t>
  </si>
  <si>
    <t>Chassis_Quality</t>
  </si>
  <si>
    <t>İlhan Selbes</t>
  </si>
  <si>
    <t>Emre Aka</t>
  </si>
  <si>
    <t>Timuçin Kolbay</t>
  </si>
  <si>
    <t>Mert Cem Arslan</t>
  </si>
  <si>
    <t>Chassis_Design</t>
  </si>
  <si>
    <t>Oğuzhan Konkan</t>
  </si>
  <si>
    <t>Erdinç Yılmaz</t>
  </si>
  <si>
    <t>Erdi Gökgöz</t>
  </si>
  <si>
    <t>Ferhat Tanrıseven</t>
  </si>
  <si>
    <t>İsmail Umut Bayrak</t>
  </si>
  <si>
    <t>Furkan Güneş</t>
  </si>
  <si>
    <t>Abdullah Toklu</t>
  </si>
  <si>
    <t>Alaaddin Demirtaş</t>
  </si>
  <si>
    <t>Electromechanic_Tasarım</t>
  </si>
  <si>
    <t>Anıl Çelik</t>
  </si>
  <si>
    <t>Electrical_Design</t>
  </si>
  <si>
    <t>Murat Gültekin</t>
  </si>
  <si>
    <t>Yiğit Yedidağ</t>
  </si>
  <si>
    <t>Mehmet Eren</t>
  </si>
  <si>
    <t>Nidai Demir</t>
  </si>
  <si>
    <t>Mustafa Ataalp</t>
  </si>
  <si>
    <t>Durmuş Sağır</t>
  </si>
  <si>
    <t>Mechanical_Design</t>
  </si>
  <si>
    <t>Burak Yılmaz</t>
  </si>
  <si>
    <t>Erhan Çetin</t>
  </si>
  <si>
    <t>Koray Başbuğa</t>
  </si>
  <si>
    <t>Soner Çetin</t>
  </si>
  <si>
    <t>Trim_Design</t>
  </si>
  <si>
    <t>Other</t>
  </si>
  <si>
    <t>Customer</t>
  </si>
  <si>
    <r>
      <rPr>
        <b/>
        <sz val="10"/>
        <color theme="1"/>
        <rFont val="Calibri"/>
        <family val="2"/>
        <scheme val="minor"/>
      </rPr>
      <t>Malzeme No</t>
    </r>
    <r>
      <rPr>
        <sz val="10"/>
        <color theme="1"/>
        <rFont val="Calibri"/>
        <family val="2"/>
        <scheme val="minor"/>
      </rPr>
      <t xml:space="preserve"> / Part Number</t>
    </r>
  </si>
  <si>
    <r>
      <rPr>
        <b/>
        <sz val="10"/>
        <color theme="1"/>
        <rFont val="Calibri"/>
        <family val="2"/>
        <scheme val="minor"/>
      </rPr>
      <t>Kısa Şase No</t>
    </r>
    <r>
      <rPr>
        <sz val="10"/>
        <color theme="1"/>
        <rFont val="Calibri"/>
        <family val="2"/>
        <scheme val="minor"/>
      </rPr>
      <t>/ Short Chasis Nu.</t>
    </r>
  </si>
  <si>
    <r>
      <rPr>
        <b/>
        <sz val="10"/>
        <color theme="1"/>
        <rFont val="Calibri"/>
        <family val="2"/>
        <scheme val="minor"/>
      </rPr>
      <t>Malzeme Adı</t>
    </r>
    <r>
      <rPr>
        <sz val="10"/>
        <color theme="1"/>
        <rFont val="Calibri"/>
        <family val="2"/>
        <scheme val="minor"/>
      </rPr>
      <t xml:space="preserve"> / Part Name</t>
    </r>
  </si>
  <si>
    <r>
      <rPr>
        <b/>
        <sz val="10"/>
        <color theme="1"/>
        <rFont val="Calibri"/>
        <family val="2"/>
        <scheme val="minor"/>
      </rPr>
      <t>Uzun Şase No</t>
    </r>
    <r>
      <rPr>
        <sz val="10"/>
        <color theme="1"/>
        <rFont val="Calibri"/>
        <family val="2"/>
        <scheme val="minor"/>
      </rPr>
      <t>/L.Chasis Nu.</t>
    </r>
  </si>
  <si>
    <r>
      <rPr>
        <b/>
        <sz val="10"/>
        <color theme="1"/>
        <rFont val="Calibri"/>
        <family val="2"/>
        <charset val="162"/>
        <scheme val="minor"/>
      </rPr>
      <t xml:space="preserve">Rapor Tarihi </t>
    </r>
    <r>
      <rPr>
        <sz val="10"/>
        <color theme="1"/>
        <rFont val="Calibri"/>
        <family val="2"/>
        <scheme val="minor"/>
      </rPr>
      <t>/ Report Date</t>
    </r>
  </si>
  <si>
    <r>
      <rPr>
        <b/>
        <sz val="10"/>
        <color theme="1"/>
        <rFont val="Calibri"/>
        <family val="2"/>
        <scheme val="minor"/>
      </rPr>
      <t>Arıza Tarihi</t>
    </r>
    <r>
      <rPr>
        <sz val="10"/>
        <color theme="1"/>
        <rFont val="Calibri"/>
        <family val="2"/>
        <scheme val="minor"/>
      </rPr>
      <t>/ Fault Date</t>
    </r>
  </si>
  <si>
    <r>
      <rPr>
        <b/>
        <sz val="10"/>
        <color theme="1"/>
        <rFont val="Calibri"/>
        <family val="2"/>
        <charset val="162"/>
        <scheme val="minor"/>
      </rPr>
      <t>Müşteri</t>
    </r>
    <r>
      <rPr>
        <sz val="10"/>
        <color theme="1"/>
        <rFont val="Calibri"/>
        <family val="2"/>
        <charset val="162"/>
        <scheme val="minor"/>
      </rPr>
      <t xml:space="preserve"> /Customer</t>
    </r>
  </si>
  <si>
    <r>
      <rPr>
        <b/>
        <sz val="10"/>
        <color theme="1"/>
        <rFont val="Calibri"/>
        <family val="2"/>
        <charset val="162"/>
        <scheme val="minor"/>
      </rPr>
      <t xml:space="preserve">Arıza km </t>
    </r>
    <r>
      <rPr>
        <sz val="10"/>
        <color theme="1"/>
        <rFont val="Calibri"/>
        <family val="2"/>
        <charset val="162"/>
        <scheme val="minor"/>
      </rPr>
      <t>/ Vehicle's Fault km</t>
    </r>
  </si>
  <si>
    <r>
      <rPr>
        <b/>
        <sz val="8"/>
        <color theme="1"/>
        <rFont val="Calibri"/>
        <family val="2"/>
        <charset val="162"/>
        <scheme val="minor"/>
      </rPr>
      <t>Müsteri Bildirimi</t>
    </r>
    <r>
      <rPr>
        <sz val="8"/>
        <color theme="1"/>
        <rFont val="Calibri"/>
        <family val="2"/>
        <charset val="162"/>
        <scheme val="minor"/>
      </rPr>
      <t xml:space="preserve"> / Customer Notification</t>
    </r>
  </si>
  <si>
    <r>
      <rPr>
        <b/>
        <sz val="8"/>
        <color theme="1"/>
        <rFont val="Calibri"/>
        <family val="2"/>
        <charset val="162"/>
        <scheme val="minor"/>
      </rPr>
      <t>SSH Bildirimi</t>
    </r>
    <r>
      <rPr>
        <sz val="8"/>
        <color theme="1"/>
        <rFont val="Calibri"/>
        <family val="2"/>
        <charset val="162"/>
        <scheme val="minor"/>
      </rPr>
      <t xml:space="preserve"> / Service Notification</t>
    </r>
  </si>
  <si>
    <r>
      <rPr>
        <b/>
        <sz val="10"/>
        <color theme="1"/>
        <rFont val="Calibri"/>
        <family val="2"/>
        <scheme val="minor"/>
      </rPr>
      <t xml:space="preserve">Problemin Kategorisi </t>
    </r>
    <r>
      <rPr>
        <sz val="10"/>
        <color theme="1"/>
        <rFont val="Calibri"/>
        <family val="2"/>
        <scheme val="minor"/>
      </rPr>
      <t>/
 Category of Problem</t>
    </r>
  </si>
  <si>
    <t>A</t>
  </si>
  <si>
    <t>B</t>
  </si>
  <si>
    <t>C</t>
  </si>
  <si>
    <t>Araç servis dışı kalmıştır ve/ veya güvenlik kaynaklı hatadır (Maks 5 gün)</t>
  </si>
  <si>
    <t>Araç servis dışı değildir, fonksiyonel bir hatadır.(Maks 10 gün)</t>
  </si>
  <si>
    <t>Araç servis dışı değildir, fonksiyon kaybı yoktur, görsel bir hatadır.(Maks 15 gün)</t>
  </si>
  <si>
    <r>
      <rPr>
        <b/>
        <sz val="10"/>
        <color theme="1"/>
        <rFont val="Calibri"/>
        <family val="2"/>
        <scheme val="minor"/>
      </rPr>
      <t xml:space="preserve">İlk Defa Karşılaşılan Arıza / </t>
    </r>
    <r>
      <rPr>
        <sz val="10"/>
        <color theme="1"/>
        <rFont val="Calibri"/>
        <family val="2"/>
        <scheme val="minor"/>
      </rPr>
      <t>First Time Failure</t>
    </r>
  </si>
  <si>
    <r>
      <rPr>
        <b/>
        <sz val="10"/>
        <color theme="1"/>
        <rFont val="Calibri"/>
        <family val="2"/>
        <charset val="162"/>
        <scheme val="minor"/>
      </rPr>
      <t>Aynı Araçta Tekrarlayan Arıza / R</t>
    </r>
    <r>
      <rPr>
        <sz val="10"/>
        <color theme="1"/>
        <rFont val="Calibri"/>
        <family val="2"/>
        <scheme val="minor"/>
      </rPr>
      <t>ecurrent Failure in Same Vehicle</t>
    </r>
  </si>
  <si>
    <r>
      <rPr>
        <b/>
        <sz val="11"/>
        <color theme="1"/>
        <rFont val="Calibri"/>
        <family val="2"/>
        <charset val="162"/>
        <scheme val="minor"/>
      </rPr>
      <t xml:space="preserve">İlgili Diğer HBR'ler </t>
    </r>
    <r>
      <rPr>
        <sz val="11"/>
        <color theme="1"/>
        <rFont val="Calibri"/>
        <family val="2"/>
        <scheme val="minor"/>
      </rPr>
      <t>/ Relavent Other NCRs</t>
    </r>
  </si>
  <si>
    <r>
      <rPr>
        <b/>
        <sz val="10"/>
        <color theme="1"/>
        <rFont val="Calibri"/>
        <family val="2"/>
        <scheme val="minor"/>
      </rPr>
      <t>Farklı Araçlarda Tekrarlayan Arıza</t>
    </r>
    <r>
      <rPr>
        <sz val="10"/>
        <color theme="1"/>
        <rFont val="Calibri"/>
        <family val="2"/>
        <scheme val="minor"/>
      </rPr>
      <t xml:space="preserve">
Recurrent Failure in Different Vehicles</t>
    </r>
  </si>
  <si>
    <r>
      <rPr>
        <b/>
        <sz val="10"/>
        <color theme="1"/>
        <rFont val="Calibri"/>
        <family val="2"/>
        <charset val="162"/>
        <scheme val="minor"/>
      </rPr>
      <t xml:space="preserve">İlgili Diğer HBR'ler </t>
    </r>
    <r>
      <rPr>
        <sz val="10"/>
        <color theme="1"/>
        <rFont val="Calibri"/>
        <family val="2"/>
        <scheme val="minor"/>
      </rPr>
      <t>/ Relavent Other NCRs</t>
    </r>
  </si>
  <si>
    <r>
      <rPr>
        <b/>
        <sz val="10"/>
        <color theme="1"/>
        <rFont val="Calibri"/>
        <family val="2"/>
        <charset val="162"/>
        <scheme val="minor"/>
      </rPr>
      <t xml:space="preserve">Problemin Kısaca Tarifi </t>
    </r>
    <r>
      <rPr>
        <sz val="10"/>
        <color theme="1"/>
        <rFont val="Calibri"/>
        <family val="2"/>
        <scheme val="minor"/>
      </rPr>
      <t>Short Explanation of Problem</t>
    </r>
  </si>
  <si>
    <r>
      <rPr>
        <b/>
        <sz val="10"/>
        <color theme="1"/>
        <rFont val="Calibri"/>
        <family val="2"/>
        <charset val="162"/>
        <scheme val="minor"/>
      </rPr>
      <t>Problemin Detay Tarifi</t>
    </r>
    <r>
      <rPr>
        <sz val="10"/>
        <color theme="1"/>
        <rFont val="Calibri"/>
        <family val="2"/>
        <scheme val="minor"/>
      </rPr>
      <t xml:space="preserve"> Detail Explanation of Problem</t>
    </r>
  </si>
  <si>
    <r>
      <t xml:space="preserve">Çözüm Önerisi </t>
    </r>
    <r>
      <rPr>
        <sz val="10"/>
        <color theme="1"/>
        <rFont val="Calibri"/>
        <family val="2"/>
        <charset val="162"/>
        <scheme val="minor"/>
      </rPr>
      <t>Suggestion of quickly solution</t>
    </r>
  </si>
  <si>
    <r>
      <rPr>
        <b/>
        <sz val="11"/>
        <color theme="1"/>
        <rFont val="Calibri"/>
        <family val="2"/>
        <charset val="162"/>
        <scheme val="minor"/>
      </rPr>
      <t>Bu alan hatanın sahibi olan birim tarafından doldurulmalıdır</t>
    </r>
    <r>
      <rPr>
        <sz val="11"/>
        <color theme="1"/>
        <rFont val="Calibri"/>
        <family val="2"/>
        <scheme val="minor"/>
      </rPr>
      <t>. 
This area should be filled by the caused department</t>
    </r>
  </si>
  <si>
    <r>
      <rPr>
        <b/>
        <sz val="11"/>
        <color theme="1"/>
        <rFont val="Calibri"/>
        <family val="2"/>
        <charset val="162"/>
        <scheme val="minor"/>
      </rPr>
      <t xml:space="preserve">Bu alan SSH departmanı tarafından doldurulmalıdır. </t>
    </r>
    <r>
      <rPr>
        <sz val="11"/>
        <color theme="1"/>
        <rFont val="Calibri"/>
        <family val="2"/>
        <charset val="162"/>
        <scheme val="minor"/>
      </rPr>
      <t xml:space="preserve">
This areas should be filled by ASS department</t>
    </r>
  </si>
  <si>
    <r>
      <rPr>
        <b/>
        <sz val="10"/>
        <color theme="1"/>
        <rFont val="Calibri"/>
        <family val="2"/>
        <charset val="162"/>
        <scheme val="minor"/>
      </rPr>
      <t>Hatayı Bildiren</t>
    </r>
    <r>
      <rPr>
        <sz val="10"/>
        <color theme="1"/>
        <rFont val="Calibri"/>
        <family val="2"/>
        <scheme val="minor"/>
      </rPr>
      <t xml:space="preserve">
Reported By</t>
    </r>
  </si>
  <si>
    <r>
      <rPr>
        <b/>
        <sz val="10"/>
        <color theme="1"/>
        <rFont val="Calibri"/>
        <family val="2"/>
        <charset val="162"/>
        <scheme val="minor"/>
      </rPr>
      <t>SSH Sorumlusu</t>
    </r>
    <r>
      <rPr>
        <sz val="10"/>
        <color theme="1"/>
        <rFont val="Calibri"/>
        <family val="2"/>
        <scheme val="minor"/>
      </rPr>
      <t xml:space="preserve">
 On-site Service Responsible</t>
    </r>
  </si>
  <si>
    <r>
      <rPr>
        <b/>
        <sz val="10"/>
        <color theme="1"/>
        <rFont val="Calibri"/>
        <family val="2"/>
        <charset val="162"/>
        <scheme val="minor"/>
      </rPr>
      <t>SSH Kalite Sorumlusu</t>
    </r>
    <r>
      <rPr>
        <sz val="10"/>
        <color theme="1"/>
        <rFont val="Calibri"/>
        <family val="2"/>
        <scheme val="minor"/>
      </rPr>
      <t xml:space="preserve">
Quality Respobsible</t>
    </r>
  </si>
  <si>
    <r>
      <rPr>
        <b/>
        <sz val="10"/>
        <color theme="1"/>
        <rFont val="Calibri"/>
        <family val="2"/>
        <charset val="162"/>
        <scheme val="minor"/>
      </rPr>
      <t>İlgili Montaj Tasarım Sorumlusu</t>
    </r>
    <r>
      <rPr>
        <sz val="10"/>
        <color theme="1"/>
        <rFont val="Calibri"/>
        <family val="2"/>
        <scheme val="minor"/>
      </rPr>
      <t xml:space="preserve">
Design Resposible Of the Relavent Assembly</t>
    </r>
  </si>
  <si>
    <t>FR_010</t>
  </si>
  <si>
    <r>
      <rPr>
        <b/>
        <sz val="14"/>
        <color theme="1"/>
        <rFont val="Calibri"/>
        <family val="2"/>
        <scheme val="minor"/>
      </rPr>
      <t>SSH Hata Bildirim Raporu</t>
    </r>
    <r>
      <rPr>
        <sz val="14"/>
        <color theme="1"/>
        <rFont val="Calibri"/>
        <family val="2"/>
        <scheme val="minor"/>
      </rPr>
      <t xml:space="preserve">
After Sales Nonconformity Report</t>
    </r>
  </si>
  <si>
    <t>Doküman No:</t>
  </si>
  <si>
    <t>Revizyon Tarihi:</t>
  </si>
  <si>
    <t>Revizyon No:</t>
  </si>
  <si>
    <t>SQA</t>
  </si>
  <si>
    <t>Erdoğan KOÇ</t>
  </si>
  <si>
    <t>Hakan BÖCEKLİ</t>
  </si>
  <si>
    <r>
      <t xml:space="preserve"> </t>
    </r>
    <r>
      <rPr>
        <b/>
        <sz val="10"/>
        <color theme="1"/>
        <rFont val="Calibri"/>
        <family val="2"/>
        <charset val="162"/>
        <scheme val="minor"/>
      </rPr>
      <t>SSH NCR No/</t>
    </r>
    <r>
      <rPr>
        <sz val="10"/>
        <color theme="1"/>
        <rFont val="Calibri"/>
        <family val="2"/>
        <charset val="162"/>
        <scheme val="minor"/>
      </rPr>
      <t xml:space="preserve"> NCR No</t>
    </r>
  </si>
  <si>
    <r>
      <rPr>
        <b/>
        <sz val="10"/>
        <color theme="1"/>
        <rFont val="Calibri"/>
        <family val="2"/>
        <charset val="162"/>
        <scheme val="minor"/>
      </rPr>
      <t>Tedarikçi Firma</t>
    </r>
    <r>
      <rPr>
        <sz val="10"/>
        <color theme="1"/>
        <rFont val="Calibri"/>
        <family val="2"/>
        <charset val="162"/>
        <scheme val="minor"/>
      </rPr>
      <t xml:space="preserve"> / Supplier</t>
    </r>
  </si>
  <si>
    <r>
      <rPr>
        <b/>
        <sz val="10"/>
        <color theme="1"/>
        <rFont val="Calibri"/>
        <family val="2"/>
        <charset val="162"/>
        <scheme val="minor"/>
      </rPr>
      <t xml:space="preserve">Modül / </t>
    </r>
    <r>
      <rPr>
        <sz val="10"/>
        <color theme="1"/>
        <rFont val="Calibri"/>
        <family val="2"/>
        <charset val="162"/>
        <scheme val="minor"/>
      </rPr>
      <t>Module</t>
    </r>
  </si>
  <si>
    <r>
      <rPr>
        <b/>
        <sz val="10"/>
        <color theme="1"/>
        <rFont val="Calibri"/>
        <family val="2"/>
        <charset val="162"/>
        <scheme val="minor"/>
      </rPr>
      <t xml:space="preserve">Parça Seri Numarası / </t>
    </r>
    <r>
      <rPr>
        <sz val="10"/>
        <color theme="1"/>
        <rFont val="Calibri"/>
        <family val="2"/>
        <charset val="162"/>
        <scheme val="minor"/>
      </rPr>
      <t>Part Serial Number</t>
    </r>
  </si>
  <si>
    <t>Belen Yalçın</t>
  </si>
  <si>
    <t>Mustafa Çiftçi</t>
  </si>
  <si>
    <t>İbrahim Aykut Akyol</t>
  </si>
  <si>
    <t>Büşra Payas</t>
  </si>
  <si>
    <t>Ahmet Bali</t>
  </si>
  <si>
    <t>Ünal Şahin</t>
  </si>
  <si>
    <t>Gupse İman Balkar</t>
  </si>
  <si>
    <t>Özlem Akkaya</t>
  </si>
  <si>
    <t>Berat Doğan</t>
  </si>
  <si>
    <t>Mahmut Yeniçeri</t>
  </si>
  <si>
    <t>Süleyman Merih Bozdemir</t>
  </si>
  <si>
    <t>İbrahim Atun</t>
  </si>
  <si>
    <t>Mehmet Akif Cumhurlu</t>
  </si>
  <si>
    <t>Abdulkadir Ciba</t>
  </si>
  <si>
    <t>Ergül Töman</t>
  </si>
  <si>
    <t>Görkem Anıl Öcal</t>
  </si>
  <si>
    <t>Yasin Parlak</t>
  </si>
  <si>
    <t>Sezer Sainkaplan</t>
  </si>
  <si>
    <t>Ali Konkan</t>
  </si>
  <si>
    <t>Nihal Zor</t>
  </si>
  <si>
    <t>Umut Yurtoğlu</t>
  </si>
  <si>
    <t>Nilüfer Güneş</t>
  </si>
  <si>
    <t>Erdoğan Koç</t>
  </si>
  <si>
    <t>Kerem Turgut</t>
  </si>
  <si>
    <t>Cem Koçer</t>
  </si>
  <si>
    <t>Cihat Gündüz</t>
  </si>
  <si>
    <t>İsmail Erdem</t>
  </si>
  <si>
    <t>Fatma Akpınar</t>
  </si>
  <si>
    <t>İdil Ceren Fidan</t>
  </si>
  <si>
    <t>Pelin Dündar</t>
  </si>
  <si>
    <t>Ebru Uçar</t>
  </si>
  <si>
    <t>Burcu Kurtoğlu</t>
  </si>
  <si>
    <t>Kemal Demirdilek</t>
  </si>
  <si>
    <t>Adaet Sude Doğan</t>
  </si>
  <si>
    <t>Emre Erkan</t>
  </si>
  <si>
    <t>Soner Kocuklu</t>
  </si>
  <si>
    <t>Esra Aydugan</t>
  </si>
  <si>
    <t>Ceren Naz Özgür</t>
  </si>
  <si>
    <t>GKK</t>
  </si>
  <si>
    <t>Nezir Sürücü</t>
  </si>
  <si>
    <t>Samet Abacı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</si>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</sst>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09">
    <xf numFmtId="0" fontId="0" fillId="0" borderId="0" xfId="0"/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1"/>
    <xf numFmtId="0" fontId="7" fillId="0" borderId="1" xfId="1" applyFont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 wrapText="1"/>
    </xf>
    <xf numFmtId="14" fontId="8" fillId="0" borderId="1" xfId="1" applyNumberFormat="1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5" fillId="0" borderId="1" xfId="1" applyBorder="1" applyAlignment="1">
      <alignment vertical="center"/>
    </xf>
    <xf numFmtId="0" fontId="5" fillId="0" borderId="0" xfId="1" applyAlignment="1">
      <alignment horizontal="center" vertical="center"/>
    </xf>
    <xf numFmtId="0" fontId="10" fillId="0" borderId="0" xfId="1" applyFont="1" applyAlignment="1">
      <alignment horizontal="center" vertical="top"/>
    </xf>
    <xf numFmtId="0" fontId="10" fillId="0" borderId="0" xfId="1" applyFont="1" applyAlignment="1">
      <alignment horizontal="left" vertical="top" wrapText="1"/>
    </xf>
    <xf numFmtId="0" fontId="10" fillId="0" borderId="1" xfId="1" applyFont="1" applyBorder="1" applyAlignment="1">
      <alignment horizontal="center" vertical="top" wrapText="1"/>
    </xf>
    <xf numFmtId="0" fontId="5" fillId="2" borderId="1" xfId="1" applyFill="1" applyBorder="1"/>
    <xf numFmtId="0" fontId="0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horizontal="center" vertical="center" textRotation="90" wrapText="1"/>
    </xf>
    <xf numFmtId="0" fontId="6" fillId="0" borderId="12" xfId="1" applyFont="1" applyBorder="1" applyAlignment="1">
      <alignment horizontal="right"/>
    </xf>
    <xf numFmtId="0" fontId="6" fillId="0" borderId="9" xfId="1" applyFont="1" applyBorder="1" applyAlignment="1">
      <alignment horizontal="right"/>
    </xf>
    <xf numFmtId="0" fontId="6" fillId="0" borderId="8" xfId="1" applyFont="1" applyBorder="1" applyAlignment="1">
      <alignment horizontal="right" wrapText="1"/>
    </xf>
    <xf numFmtId="0" fontId="10" fillId="0" borderId="16" xfId="1" applyFont="1" applyBorder="1" applyAlignment="1">
      <alignment horizontal="left" vertical="center" wrapText="1"/>
    </xf>
    <xf numFmtId="0" fontId="10" fillId="2" borderId="14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/>
    </xf>
    <xf numFmtId="0" fontId="1" fillId="2" borderId="15" xfId="1" applyFont="1" applyFill="1" applyBorder="1"/>
    <xf numFmtId="0" fontId="1" fillId="2" borderId="9" xfId="1" applyFont="1" applyFill="1" applyBorder="1" applyAlignment="1">
      <alignment wrapText="1"/>
    </xf>
    <xf numFmtId="0" fontId="1" fillId="2" borderId="2" xfId="1" applyFont="1" applyFill="1" applyBorder="1" applyAlignment="1">
      <alignment wrapText="1"/>
    </xf>
    <xf numFmtId="0" fontId="5" fillId="0" borderId="16" xfId="1" applyBorder="1"/>
    <xf numFmtId="0" fontId="1" fillId="0" borderId="16" xfId="1" applyFont="1" applyBorder="1"/>
    <xf numFmtId="14" fontId="5" fillId="0" borderId="0" xfId="1" applyNumberFormat="1" applyAlignment="1">
      <alignment horizontal="center" textRotation="90"/>
    </xf>
    <xf numFmtId="0" fontId="5" fillId="0" borderId="0" xfId="1" applyAlignment="1">
      <alignment horizontal="center" textRotation="90"/>
    </xf>
    <xf numFmtId="0" fontId="12" fillId="0" borderId="7" xfId="1" applyFont="1" applyBorder="1" applyAlignment="1">
      <alignment horizontal="left" wrapText="1"/>
    </xf>
    <xf numFmtId="0" fontId="12" fillId="0" borderId="14" xfId="1" applyFont="1" applyBorder="1" applyAlignment="1">
      <alignment horizontal="left" wrapText="1"/>
    </xf>
    <xf numFmtId="14" fontId="12" fillId="0" borderId="11" xfId="1" applyNumberFormat="1" applyFont="1" applyBorder="1" applyAlignment="1">
      <alignment horizontal="left" wrapText="1"/>
    </xf>
    <xf numFmtId="14" fontId="12" fillId="0" borderId="15" xfId="1" applyNumberFormat="1" applyFont="1" applyBorder="1" applyAlignment="1">
      <alignment horizontal="left" wrapText="1"/>
    </xf>
    <xf numFmtId="49" fontId="14" fillId="0" borderId="10" xfId="1" applyNumberFormat="1" applyFont="1" applyBorder="1" applyAlignment="1">
      <alignment horizontal="left" wrapText="1"/>
    </xf>
    <xf numFmtId="49" fontId="14" fillId="0" borderId="13" xfId="1" applyNumberFormat="1" applyFont="1" applyBorder="1" applyAlignment="1">
      <alignment horizontal="left" wrapText="1"/>
    </xf>
    <xf numFmtId="0" fontId="10" fillId="0" borderId="2" xfId="1" applyFont="1" applyBorder="1" applyAlignment="1">
      <alignment horizontal="center" vertical="top" wrapText="1"/>
    </xf>
    <xf numFmtId="0" fontId="5" fillId="0" borderId="1" xfId="1" applyBorder="1" applyAlignment="1">
      <alignment horizontal="center"/>
    </xf>
    <xf numFmtId="0" fontId="5" fillId="0" borderId="3" xfId="1" applyBorder="1" applyAlignment="1">
      <alignment horizontal="center"/>
    </xf>
    <xf numFmtId="0" fontId="15" fillId="0" borderId="6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 textRotation="90" wrapText="1"/>
    </xf>
    <xf numFmtId="0" fontId="5" fillId="2" borderId="1" xfId="1" applyFill="1" applyBorder="1" applyAlignment="1">
      <alignment horizontal="center" vertical="center" textRotation="90"/>
    </xf>
    <xf numFmtId="0" fontId="1" fillId="2" borderId="1" xfId="1" applyFont="1" applyFill="1" applyBorder="1" applyAlignment="1">
      <alignment horizontal="center" vertical="top" wrapText="1"/>
    </xf>
    <xf numFmtId="0" fontId="10" fillId="2" borderId="1" xfId="1" applyFont="1" applyFill="1" applyBorder="1" applyAlignment="1">
      <alignment horizontal="center" vertical="top" wrapText="1"/>
    </xf>
    <xf numFmtId="0" fontId="1" fillId="0" borderId="1" xfId="1" applyFont="1" applyBorder="1" applyAlignment="1">
      <alignment horizontal="center" vertical="top" wrapText="1"/>
    </xf>
    <xf numFmtId="0" fontId="10" fillId="0" borderId="1" xfId="1" applyFont="1" applyBorder="1" applyAlignment="1">
      <alignment horizontal="center" vertical="top" wrapText="1"/>
    </xf>
    <xf numFmtId="0" fontId="10" fillId="0" borderId="3" xfId="1" applyFont="1" applyBorder="1" applyAlignment="1">
      <alignment horizontal="center" vertical="top" wrapText="1"/>
    </xf>
    <xf numFmtId="0" fontId="10" fillId="0" borderId="4" xfId="1" applyFont="1" applyBorder="1" applyAlignment="1">
      <alignment horizontal="center" vertical="top" wrapText="1"/>
    </xf>
    <xf numFmtId="0" fontId="10" fillId="0" borderId="6" xfId="1" applyFont="1" applyBorder="1" applyAlignment="1">
      <alignment horizontal="center" vertical="top" wrapText="1"/>
    </xf>
    <xf numFmtId="0" fontId="12" fillId="2" borderId="1" xfId="1" applyFont="1" applyFill="1" applyBorder="1" applyAlignment="1">
      <alignment horizontal="center" vertical="center" textRotation="90" wrapText="1"/>
    </xf>
    <xf numFmtId="0" fontId="1" fillId="2" borderId="1" xfId="1" applyFont="1" applyFill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top" wrapText="1"/>
    </xf>
    <xf numFmtId="0" fontId="10" fillId="2" borderId="1" xfId="1" applyFont="1" applyFill="1" applyBorder="1" applyAlignment="1">
      <alignment horizontal="left" vertical="center" wrapText="1"/>
    </xf>
    <xf numFmtId="0" fontId="10" fillId="2" borderId="14" xfId="1" applyFont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 wrapText="1"/>
    </xf>
    <xf numFmtId="0" fontId="10" fillId="0" borderId="13" xfId="1" applyFont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top"/>
    </xf>
    <xf numFmtId="0" fontId="10" fillId="2" borderId="1" xfId="1" applyFont="1" applyFill="1" applyBorder="1" applyAlignment="1">
      <alignment horizontal="center" vertical="top"/>
    </xf>
    <xf numFmtId="0" fontId="5" fillId="0" borderId="14" xfId="1" applyBorder="1" applyAlignment="1">
      <alignment horizontal="center" vertical="center"/>
    </xf>
    <xf numFmtId="0" fontId="5" fillId="0" borderId="13" xfId="1" applyBorder="1" applyAlignment="1">
      <alignment horizontal="center" vertical="center"/>
    </xf>
    <xf numFmtId="0" fontId="10" fillId="2" borderId="13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5" fillId="2" borderId="13" xfId="1" applyFill="1" applyBorder="1" applyAlignment="1">
      <alignment horizontal="right" vertical="center"/>
    </xf>
    <xf numFmtId="0" fontId="5" fillId="2" borderId="1" xfId="1" applyFill="1" applyBorder="1" applyAlignment="1">
      <alignment horizontal="right" vertical="center"/>
    </xf>
    <xf numFmtId="0" fontId="10" fillId="2" borderId="8" xfId="1" applyFont="1" applyFill="1" applyBorder="1" applyAlignment="1">
      <alignment horizontal="left" vertical="center" wrapText="1"/>
    </xf>
    <xf numFmtId="0" fontId="10" fillId="2" borderId="5" xfId="1" applyFont="1" applyFill="1" applyBorder="1" applyAlignment="1">
      <alignment horizontal="left" vertical="center" wrapText="1"/>
    </xf>
    <xf numFmtId="0" fontId="10" fillId="2" borderId="7" xfId="1" applyFont="1" applyFill="1" applyBorder="1" applyAlignment="1">
      <alignment horizontal="left" vertical="center" wrapText="1"/>
    </xf>
    <xf numFmtId="0" fontId="10" fillId="2" borderId="12" xfId="1" applyFont="1" applyFill="1" applyBorder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10" fillId="2" borderId="11" xfId="1" applyFont="1" applyFill="1" applyBorder="1" applyAlignment="1">
      <alignment horizontal="left" vertical="center" wrapText="1"/>
    </xf>
    <xf numFmtId="0" fontId="10" fillId="2" borderId="9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10" xfId="1" applyFont="1" applyFill="1" applyBorder="1" applyAlignment="1">
      <alignment horizontal="left" vertical="center" wrapText="1"/>
    </xf>
    <xf numFmtId="0" fontId="10" fillId="0" borderId="20" xfId="1" applyFont="1" applyBorder="1" applyAlignment="1">
      <alignment horizontal="center" vertical="center" wrapText="1"/>
    </xf>
    <xf numFmtId="0" fontId="10" fillId="0" borderId="21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2" borderId="14" xfId="1" applyFont="1" applyFill="1" applyBorder="1" applyAlignment="1">
      <alignment horizontal="center" vertical="center"/>
    </xf>
    <xf numFmtId="0" fontId="1" fillId="2" borderId="14" xfId="1" applyFont="1" applyFill="1" applyBorder="1" applyAlignment="1">
      <alignment horizontal="center"/>
    </xf>
    <xf numFmtId="0" fontId="10" fillId="2" borderId="14" xfId="1" applyFont="1" applyFill="1" applyBorder="1" applyAlignment="1">
      <alignment horizontal="center"/>
    </xf>
    <xf numFmtId="0" fontId="9" fillId="2" borderId="14" xfId="1" applyFont="1" applyFill="1" applyBorder="1" applyAlignment="1">
      <alignment horizontal="center" vertical="center" wrapText="1"/>
    </xf>
    <xf numFmtId="0" fontId="5" fillId="0" borderId="17" xfId="1" applyBorder="1" applyAlignment="1">
      <alignment horizontal="center" vertical="center"/>
    </xf>
    <xf numFmtId="0" fontId="5" fillId="0" borderId="18" xfId="1" applyBorder="1" applyAlignment="1">
      <alignment horizontal="center" vertical="center"/>
    </xf>
    <xf numFmtId="0" fontId="5" fillId="0" borderId="19" xfId="1" applyBorder="1" applyAlignment="1">
      <alignment horizontal="center" vertical="center"/>
    </xf>
    <xf numFmtId="14" fontId="1" fillId="0" borderId="17" xfId="1" applyNumberFormat="1" applyFont="1" applyBorder="1" applyAlignment="1">
      <alignment horizontal="center"/>
    </xf>
    <xf numFmtId="0" fontId="10" fillId="0" borderId="19" xfId="1" applyFont="1" applyBorder="1" applyAlignment="1">
      <alignment horizontal="center"/>
    </xf>
    <xf numFmtId="14" fontId="10" fillId="0" borderId="17" xfId="1" applyNumberFormat="1" applyFont="1" applyBorder="1" applyAlignment="1">
      <alignment horizontal="center"/>
    </xf>
    <xf numFmtId="0" fontId="9" fillId="0" borderId="17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10" fillId="2" borderId="15" xfId="1" applyFont="1" applyFill="1" applyBorder="1" applyAlignment="1">
      <alignment horizontal="center" vertical="center"/>
    </xf>
    <xf numFmtId="0" fontId="5" fillId="0" borderId="17" xfId="1" applyBorder="1" applyAlignment="1">
      <alignment horizontal="center"/>
    </xf>
    <xf numFmtId="0" fontId="5" fillId="0" borderId="18" xfId="1" applyBorder="1" applyAlignment="1">
      <alignment horizontal="center"/>
    </xf>
    <xf numFmtId="0" fontId="5" fillId="0" borderId="19" xfId="1" applyBorder="1" applyAlignment="1">
      <alignment horizontal="center"/>
    </xf>
    <xf numFmtId="0" fontId="2" fillId="2" borderId="6" xfId="1" applyFont="1" applyFill="1" applyBorder="1" applyAlignment="1">
      <alignment horizontal="left" vertical="center"/>
    </xf>
    <xf numFmtId="0" fontId="2" fillId="2" borderId="13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1" fillId="0" borderId="20" xfId="1" applyFont="1" applyBorder="1" applyAlignment="1">
      <alignment horizontal="center"/>
    </xf>
    <xf numFmtId="0" fontId="1" fillId="0" borderId="21" xfId="1" applyFont="1" applyBorder="1" applyAlignment="1">
      <alignment horizontal="center"/>
    </xf>
    <xf numFmtId="0" fontId="1" fillId="0" borderId="22" xfId="1" applyFont="1" applyBorder="1" applyAlignment="1">
      <alignment horizontal="center"/>
    </xf>
    <xf numFmtId="0" fontId="1" fillId="2" borderId="1" xfId="1" applyFont="1" applyFill="1" applyBorder="1" applyAlignment="1">
      <alignment horizontal="left" vertical="top" wrapText="1"/>
    </xf>
    <xf numFmtId="0" fontId="10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B83F9C1C-2DBB-442A-9EDC-57653A118B7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2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693420</xdr:colOff>
          <xdr:row>7</xdr:row>
          <xdr:rowOff>60960</xdr:rowOff>
        </xdr:from>
        <xdr:to>
          <xdr:col>6</xdr:col>
          <xdr:colOff>906780</xdr:colOff>
          <xdr:row>7</xdr:row>
          <xdr:rowOff>220980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7</xdr:row>
          <xdr:rowOff>68580</xdr:rowOff>
        </xdr:from>
        <xdr:to>
          <xdr:col>10</xdr:col>
          <xdr:colOff>502920</xdr:colOff>
          <xdr:row>7</xdr:row>
          <xdr:rowOff>228600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</xdr:colOff>
          <xdr:row>8</xdr:row>
          <xdr:rowOff>7620</xdr:rowOff>
        </xdr:from>
        <xdr:to>
          <xdr:col>6</xdr:col>
          <xdr:colOff>647700</xdr:colOff>
          <xdr:row>9</xdr:row>
          <xdr:rowOff>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</xdr:colOff>
          <xdr:row>9</xdr:row>
          <xdr:rowOff>7620</xdr:rowOff>
        </xdr:from>
        <xdr:to>
          <xdr:col>6</xdr:col>
          <xdr:colOff>594360</xdr:colOff>
          <xdr:row>9</xdr:row>
          <xdr:rowOff>175260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</xdr:colOff>
          <xdr:row>10</xdr:row>
          <xdr:rowOff>22860</xdr:rowOff>
        </xdr:from>
        <xdr:to>
          <xdr:col>6</xdr:col>
          <xdr:colOff>693420</xdr:colOff>
          <xdr:row>10</xdr:row>
          <xdr:rowOff>175260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9</xdr:row>
          <xdr:rowOff>160020</xdr:rowOff>
        </xdr:from>
        <xdr:to>
          <xdr:col>11</xdr:col>
          <xdr:colOff>0</xdr:colOff>
          <xdr:row>10</xdr:row>
          <xdr:rowOff>144780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640080</xdr:colOff>
          <xdr:row>12</xdr:row>
          <xdr:rowOff>106680</xdr:rowOff>
        </xdr:from>
        <xdr:to>
          <xdr:col>2</xdr:col>
          <xdr:colOff>906780</xdr:colOff>
          <xdr:row>13</xdr:row>
          <xdr:rowOff>76200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800100</xdr:colOff>
          <xdr:row>12</xdr:row>
          <xdr:rowOff>152400</xdr:rowOff>
        </xdr:from>
        <xdr:to>
          <xdr:col>5</xdr:col>
          <xdr:colOff>990600</xdr:colOff>
          <xdr:row>13</xdr:row>
          <xdr:rowOff>106680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kanbocekli\Desktop\IASI%20SSH%20NCR%20Takip%20Listesi-osbsrv.xlsx" TargetMode="External"/><Relationship Id="rId1" Type="http://schemas.openxmlformats.org/officeDocument/2006/relationships/externalLinkPath" Target="file:///\\10.40.4.1\ortak\Users\hakanbocekli\Desktop\IASI%20SSH%20NCR%20Takip%20Listesi-osbsr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0.4.1\ortak\ortak\ortak_tcv\Users\genceratalay\AppData\Local\Microsoft\Windows\Temporary%20Internet%20Files\Content.Outlook\RXUWHSVV\Hakan%20B&#246;cekli\1.%20Ara&#231;%20Kalite%20Kontrol%20Dol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sayfa"/>
      <sheetName val="NCR List"/>
      <sheetName val="Atamalar"/>
      <sheetName val="Grafik "/>
      <sheetName val="Status Of NCR"/>
      <sheetName val="Status Of NCR by Tram-Set"/>
      <sheetName val="Status Of NCR by Departments"/>
      <sheetName val="The NCRs On Departments by Faut"/>
      <sheetName val="Times of The NCR Stay in Open"/>
    </sheetNames>
    <sheetDataSet>
      <sheetData sheetId="0"/>
      <sheetData sheetId="1"/>
      <sheetData sheetId="2">
        <row r="3">
          <cell r="A3" t="str">
            <v>MC Car</v>
          </cell>
        </row>
        <row r="4">
          <cell r="A4" t="str">
            <v>SA Car</v>
          </cell>
        </row>
        <row r="5">
          <cell r="A5" t="str">
            <v>T Car</v>
          </cell>
        </row>
        <row r="6">
          <cell r="A6" t="str">
            <v>SB Car</v>
          </cell>
        </row>
        <row r="7">
          <cell r="A7" t="str">
            <v>M Car</v>
          </cell>
        </row>
        <row r="8">
          <cell r="A8" t="str">
            <v>All Cars</v>
          </cell>
        </row>
        <row r="11">
          <cell r="A11" t="str">
            <v>Trim_Design</v>
          </cell>
        </row>
        <row r="12">
          <cell r="A12" t="str">
            <v>Mechanical_Design</v>
          </cell>
        </row>
        <row r="13">
          <cell r="A13" t="str">
            <v>Electrical_Design</v>
          </cell>
        </row>
        <row r="14">
          <cell r="A14" t="str">
            <v>Electromechanic_Tasarım</v>
          </cell>
        </row>
        <row r="15">
          <cell r="A15" t="str">
            <v>Chassis_Quality</v>
          </cell>
        </row>
        <row r="16">
          <cell r="A16" t="str">
            <v>Production_And_Test</v>
          </cell>
        </row>
        <row r="17">
          <cell r="A17" t="str">
            <v>Process_And_Final_Quality</v>
          </cell>
        </row>
        <row r="18">
          <cell r="A18" t="str">
            <v>Supplier</v>
          </cell>
        </row>
        <row r="19">
          <cell r="A19" t="str">
            <v>SSH</v>
          </cell>
        </row>
        <row r="20">
          <cell r="A20" t="str">
            <v>Purchasing</v>
          </cell>
        </row>
        <row r="21">
          <cell r="A21" t="str">
            <v>Logistics</v>
          </cell>
        </row>
        <row r="22">
          <cell r="A22" t="str">
            <v>Customer</v>
          </cell>
        </row>
        <row r="23">
          <cell r="A23" t="str">
            <v>Other</v>
          </cell>
        </row>
        <row r="88">
          <cell r="A88" t="str">
            <v>Saltuk Buğra Güneş</v>
          </cell>
        </row>
        <row r="89">
          <cell r="A89" t="str">
            <v>Aykut Turhanlar</v>
          </cell>
        </row>
        <row r="90">
          <cell r="A90" t="str">
            <v>Nilüfer Şener</v>
          </cell>
        </row>
        <row r="91">
          <cell r="A91" t="str">
            <v>Hakan Böcekli</v>
          </cell>
        </row>
        <row r="92">
          <cell r="A92" t="str">
            <v>Customer</v>
          </cell>
        </row>
        <row r="93">
          <cell r="A93" t="str">
            <v>SSH</v>
          </cell>
        </row>
        <row r="96">
          <cell r="A96" t="str">
            <v>TIM-Mockup</v>
          </cell>
        </row>
        <row r="97">
          <cell r="A97" t="str">
            <v>IASI-001</v>
          </cell>
        </row>
        <row r="98">
          <cell r="A98" t="str">
            <v>IASI-002</v>
          </cell>
        </row>
        <row r="99">
          <cell r="A99" t="str">
            <v>IASI-003</v>
          </cell>
        </row>
        <row r="100">
          <cell r="A100" t="str">
            <v>IASI-004</v>
          </cell>
        </row>
        <row r="101">
          <cell r="A101" t="str">
            <v>IASI-005</v>
          </cell>
        </row>
        <row r="102">
          <cell r="A102" t="str">
            <v>IASI-006</v>
          </cell>
        </row>
        <row r="103">
          <cell r="A103" t="str">
            <v>IASI-007</v>
          </cell>
        </row>
        <row r="104">
          <cell r="A104" t="str">
            <v>IASI-008</v>
          </cell>
        </row>
        <row r="105">
          <cell r="A105" t="str">
            <v>IASI-009</v>
          </cell>
        </row>
        <row r="106">
          <cell r="A106" t="str">
            <v>IASI-010</v>
          </cell>
        </row>
        <row r="107">
          <cell r="A107" t="str">
            <v>IASI-011</v>
          </cell>
        </row>
        <row r="108">
          <cell r="A108" t="str">
            <v>IASI-012</v>
          </cell>
        </row>
        <row r="109">
          <cell r="A109" t="str">
            <v>IASI-013</v>
          </cell>
        </row>
        <row r="110">
          <cell r="A110" t="str">
            <v>IASI-014</v>
          </cell>
        </row>
        <row r="111">
          <cell r="A111" t="str">
            <v>IASI-015</v>
          </cell>
        </row>
        <row r="112">
          <cell r="A112" t="str">
            <v>IASI-016</v>
          </cell>
        </row>
        <row r="113">
          <cell r="A113" t="str">
            <v>IASI-017</v>
          </cell>
        </row>
        <row r="114">
          <cell r="A114" t="str">
            <v>IASI-018</v>
          </cell>
        </row>
        <row r="115">
          <cell r="A115" t="str">
            <v>IASI-019</v>
          </cell>
        </row>
        <row r="116">
          <cell r="A116" t="str">
            <v>IASI-020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sayfa"/>
      <sheetName val="1. Araç Kalite Kontrol Verileri"/>
      <sheetName val="Hata Sınıfları"/>
      <sheetName val="Hata Durumu"/>
      <sheetName val="Hata Kaynağı"/>
      <sheetName val="Hata Giderme Yöntemi"/>
      <sheetName val="Araç Bazı KM"/>
      <sheetName val="Hata Çeşidi&amp;Adet"/>
      <sheetName val="Hata Kaynağı&amp;Adet"/>
      <sheetName val="Kalitesizlik Maliytlerine Et."/>
      <sheetName val="123"/>
      <sheetName val="Maliyet Bazlı Hata Parato"/>
      <sheetName val="Sayfa2"/>
      <sheetName val="KG-F27 Toplantı Tutanağı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Açık</v>
          </cell>
        </row>
        <row r="3">
          <cell r="B3" t="str">
            <v>Kapalı</v>
          </cell>
        </row>
        <row r="4">
          <cell r="B4" t="str">
            <v>Karar</v>
          </cell>
        </row>
      </sheetData>
      <sheetData sheetId="4">
        <row r="2">
          <cell r="B2" t="str">
            <v>Üretim</v>
          </cell>
        </row>
        <row r="3">
          <cell r="B3" t="str">
            <v>Tasarım</v>
          </cell>
        </row>
        <row r="4">
          <cell r="B4" t="str">
            <v>Şasi Üretim</v>
          </cell>
        </row>
        <row r="5">
          <cell r="B5" t="str">
            <v>Tedarikçi</v>
          </cell>
        </row>
      </sheetData>
      <sheetData sheetId="5">
        <row r="2">
          <cell r="B2" t="str">
            <v>Parça Değişim</v>
          </cell>
        </row>
        <row r="3">
          <cell r="B3" t="str">
            <v>Tamirat</v>
          </cell>
        </row>
        <row r="4">
          <cell r="B4" t="str">
            <v>Toleranslar Dahilinde</v>
          </cell>
        </row>
        <row r="5">
          <cell r="B5" t="str">
            <v>Açık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B19C-9382-4BB1-8717-B4ACCF246FAC}">
  <dimension ref="A1:L56"/>
  <sheetViews>
    <sheetView showGridLines="0" tabSelected="1" workbookViewId="0">
      <selection activeCell="I3" sqref="I3:K3"/>
    </sheetView>
  </sheetViews>
  <sheetFormatPr defaultRowHeight="14.4" x14ac:dyDescent="0.3"/>
  <cols>
    <col min="1" max="1" width="7" style="4" customWidth="1"/>
    <col min="2" max="2" width="5.6640625" style="4" customWidth="1"/>
    <col min="3" max="3" width="14" style="4" customWidth="1"/>
    <col min="4" max="4" width="45.44140625" style="4" customWidth="1"/>
    <col min="5" max="5" width="16.109375" style="4" customWidth="1"/>
    <col min="6" max="6" width="16.88671875" style="4" customWidth="1"/>
    <col min="7" max="7" width="13.88671875" style="4" customWidth="1"/>
    <col min="8" max="8" width="14" style="4" customWidth="1"/>
    <col min="9" max="9" width="4.6640625" style="4" customWidth="1"/>
    <col min="10" max="10" width="6.6640625" style="4" customWidth="1"/>
    <col min="11" max="11" width="8" style="4" customWidth="1"/>
    <col min="12" max="12" width="3.33203125" style="4" customWidth="1"/>
  </cols>
  <sheetData>
    <row r="1" spans="1:12" ht="20.100000000000001" customHeight="1" x14ac:dyDescent="0.3">
      <c r="A1" s="38" t="e" vm="1">
        <v>#VALUE!</v>
      </c>
      <c r="B1" s="38"/>
      <c r="C1" s="39"/>
      <c r="D1" s="40" t="s">
        <v>95</v>
      </c>
      <c r="E1" s="41"/>
      <c r="F1" s="41"/>
      <c r="G1" s="41"/>
      <c r="H1" s="20" t="s">
        <v>96</v>
      </c>
      <c r="I1" s="31" t="s">
        <v>94</v>
      </c>
      <c r="J1" s="32"/>
      <c r="K1" s="32"/>
      <c r="L1" s="29"/>
    </row>
    <row r="2" spans="1:12" ht="20.100000000000001" customHeight="1" x14ac:dyDescent="0.3">
      <c r="A2" s="38"/>
      <c r="B2" s="38"/>
      <c r="C2" s="39"/>
      <c r="D2" s="42"/>
      <c r="E2" s="41"/>
      <c r="F2" s="41"/>
      <c r="G2" s="41"/>
      <c r="H2" s="18" t="s">
        <v>97</v>
      </c>
      <c r="I2" s="33">
        <v>45849</v>
      </c>
      <c r="J2" s="34"/>
      <c r="K2" s="34"/>
      <c r="L2" s="30"/>
    </row>
    <row r="3" spans="1:12" ht="20.100000000000001" customHeight="1" x14ac:dyDescent="0.3">
      <c r="A3" s="38"/>
      <c r="B3" s="38"/>
      <c r="C3" s="39"/>
      <c r="D3" s="42"/>
      <c r="E3" s="41"/>
      <c r="F3" s="41"/>
      <c r="G3" s="41"/>
      <c r="H3" s="19" t="s">
        <v>98</v>
      </c>
      <c r="I3" s="35" t="s">
        <v>147</v>
      </c>
      <c r="J3" s="36"/>
      <c r="K3" s="36"/>
      <c r="L3" s="30"/>
    </row>
    <row r="4" spans="1:12" ht="8.25" customHeight="1" x14ac:dyDescent="0.3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2" ht="16.2" thickBot="1" x14ac:dyDescent="0.35">
      <c r="A5" s="84" t="s">
        <v>63</v>
      </c>
      <c r="B5" s="84"/>
      <c r="C5" s="84"/>
      <c r="D5" s="22" t="s">
        <v>65</v>
      </c>
      <c r="E5" s="85" t="s">
        <v>67</v>
      </c>
      <c r="F5" s="86"/>
      <c r="G5" s="86" t="s">
        <v>68</v>
      </c>
      <c r="H5" s="86"/>
      <c r="I5" s="87" t="s">
        <v>102</v>
      </c>
      <c r="J5" s="87"/>
      <c r="K5" s="87"/>
    </row>
    <row r="6" spans="1:12" ht="24" customHeight="1" thickBot="1" x14ac:dyDescent="0.35">
      <c r="A6" s="88"/>
      <c r="B6" s="89"/>
      <c r="C6" s="90"/>
      <c r="D6" s="27"/>
      <c r="E6" s="91"/>
      <c r="F6" s="92"/>
      <c r="G6" s="93"/>
      <c r="H6" s="92"/>
      <c r="I6" s="94"/>
      <c r="J6" s="95"/>
      <c r="K6" s="96"/>
    </row>
    <row r="7" spans="1:12" ht="28.2" thickBot="1" x14ac:dyDescent="0.35">
      <c r="A7" s="97" t="s">
        <v>64</v>
      </c>
      <c r="B7" s="97"/>
      <c r="C7" s="97"/>
      <c r="D7" s="23" t="s">
        <v>66</v>
      </c>
      <c r="E7" s="24" t="s">
        <v>69</v>
      </c>
      <c r="F7" s="25" t="s">
        <v>70</v>
      </c>
      <c r="G7" s="28"/>
      <c r="H7" s="26" t="s">
        <v>103</v>
      </c>
      <c r="I7" s="104"/>
      <c r="J7" s="105"/>
      <c r="K7" s="106"/>
    </row>
    <row r="8" spans="1:12" ht="24" customHeight="1" thickBot="1" x14ac:dyDescent="0.35">
      <c r="A8" s="98"/>
      <c r="B8" s="99"/>
      <c r="C8" s="100"/>
      <c r="D8" s="27"/>
      <c r="E8" s="28"/>
      <c r="F8" s="101" t="s">
        <v>72</v>
      </c>
      <c r="G8" s="102"/>
      <c r="H8" s="103" t="s">
        <v>71</v>
      </c>
      <c r="I8" s="102"/>
      <c r="J8" s="102"/>
      <c r="K8" s="102"/>
    </row>
    <row r="9" spans="1:12" x14ac:dyDescent="0.3">
      <c r="A9" s="68" t="s">
        <v>73</v>
      </c>
      <c r="B9" s="68"/>
      <c r="C9" s="68"/>
      <c r="D9" s="70" t="s">
        <v>77</v>
      </c>
      <c r="E9" s="70"/>
      <c r="F9" s="71"/>
      <c r="G9" s="14" t="s">
        <v>74</v>
      </c>
      <c r="H9" s="72" t="s">
        <v>80</v>
      </c>
      <c r="I9" s="73"/>
      <c r="J9" s="73"/>
      <c r="K9" s="74"/>
    </row>
    <row r="10" spans="1:12" x14ac:dyDescent="0.3">
      <c r="A10" s="69"/>
      <c r="B10" s="69"/>
      <c r="C10" s="69"/>
      <c r="D10" s="71" t="s">
        <v>78</v>
      </c>
      <c r="E10" s="71"/>
      <c r="F10" s="71"/>
      <c r="G10" s="14" t="s">
        <v>75</v>
      </c>
      <c r="H10" s="75"/>
      <c r="I10" s="76"/>
      <c r="J10" s="76"/>
      <c r="K10" s="77"/>
    </row>
    <row r="11" spans="1:12" x14ac:dyDescent="0.3">
      <c r="A11" s="69"/>
      <c r="B11" s="69"/>
      <c r="C11" s="69"/>
      <c r="D11" s="71" t="s">
        <v>79</v>
      </c>
      <c r="E11" s="71"/>
      <c r="F11" s="71"/>
      <c r="G11" s="14" t="s">
        <v>76</v>
      </c>
      <c r="H11" s="78"/>
      <c r="I11" s="79"/>
      <c r="J11" s="79"/>
      <c r="K11" s="80"/>
    </row>
    <row r="12" spans="1:12" x14ac:dyDescent="0.3">
      <c r="A12" s="107" t="s">
        <v>81</v>
      </c>
      <c r="B12" s="108"/>
      <c r="C12" s="108"/>
      <c r="D12" s="15" t="s">
        <v>82</v>
      </c>
      <c r="E12" s="108" t="s">
        <v>83</v>
      </c>
      <c r="F12" s="108"/>
      <c r="G12" s="64" t="s">
        <v>84</v>
      </c>
      <c r="H12" s="65"/>
      <c r="I12" s="65"/>
      <c r="J12" s="65"/>
      <c r="K12" s="65"/>
    </row>
    <row r="13" spans="1:12" x14ac:dyDescent="0.3">
      <c r="A13" s="108"/>
      <c r="B13" s="108"/>
      <c r="C13" s="108"/>
      <c r="D13" s="66"/>
      <c r="E13" s="108"/>
      <c r="F13" s="108"/>
      <c r="G13" s="48"/>
      <c r="H13" s="48"/>
      <c r="I13" s="48"/>
      <c r="J13" s="48"/>
      <c r="K13" s="48"/>
    </row>
    <row r="14" spans="1:12" x14ac:dyDescent="0.3">
      <c r="A14" s="108"/>
      <c r="B14" s="108"/>
      <c r="C14" s="108"/>
      <c r="D14" s="67"/>
      <c r="E14" s="108"/>
      <c r="F14" s="108"/>
      <c r="G14" s="48"/>
      <c r="H14" s="48"/>
      <c r="I14" s="48"/>
      <c r="J14" s="48"/>
      <c r="K14" s="48"/>
    </row>
    <row r="15" spans="1:12" ht="8.25" customHeight="1" x14ac:dyDescent="0.3">
      <c r="A15" s="12"/>
      <c r="B15" s="12"/>
      <c r="C15" s="12"/>
      <c r="D15" s="10"/>
      <c r="E15" s="12"/>
      <c r="F15" s="12"/>
      <c r="G15" s="11"/>
      <c r="H15" s="11"/>
      <c r="I15" s="11"/>
      <c r="J15" s="11"/>
      <c r="K15" s="11"/>
    </row>
    <row r="16" spans="1:12" ht="15" customHeight="1" x14ac:dyDescent="0.3">
      <c r="A16" s="52" t="s">
        <v>89</v>
      </c>
      <c r="B16" s="53" t="s">
        <v>85</v>
      </c>
      <c r="C16" s="53"/>
      <c r="D16" s="53"/>
      <c r="E16" s="53"/>
      <c r="F16" s="53"/>
      <c r="G16" s="53"/>
      <c r="H16" s="53"/>
      <c r="I16" s="53"/>
      <c r="J16" s="53"/>
      <c r="K16" s="53"/>
    </row>
    <row r="17" spans="1:11" ht="45" customHeight="1" x14ac:dyDescent="0.3">
      <c r="A17" s="52"/>
      <c r="B17" s="54"/>
      <c r="C17" s="54"/>
      <c r="D17" s="54"/>
      <c r="E17" s="54"/>
      <c r="F17" s="54"/>
      <c r="G17" s="54"/>
      <c r="H17" s="54"/>
      <c r="I17" s="54"/>
      <c r="J17" s="54"/>
      <c r="K17" s="54"/>
    </row>
    <row r="18" spans="1:11" ht="15" thickBot="1" x14ac:dyDescent="0.35">
      <c r="A18" s="52"/>
      <c r="B18" s="53" t="s">
        <v>86</v>
      </c>
      <c r="C18" s="55"/>
      <c r="D18" s="56"/>
      <c r="E18" s="55"/>
      <c r="F18" s="55"/>
      <c r="G18" s="56"/>
      <c r="H18" s="56"/>
      <c r="I18" s="56"/>
      <c r="J18" s="56"/>
      <c r="K18" s="56"/>
    </row>
    <row r="19" spans="1:11" ht="15" thickBot="1" x14ac:dyDescent="0.35">
      <c r="A19" s="52"/>
      <c r="B19" s="61" t="s">
        <v>104</v>
      </c>
      <c r="C19" s="62"/>
      <c r="D19" s="21"/>
      <c r="E19" s="62" t="s">
        <v>105</v>
      </c>
      <c r="F19" s="63"/>
      <c r="G19" s="81"/>
      <c r="H19" s="82"/>
      <c r="I19" s="82"/>
      <c r="J19" s="82"/>
      <c r="K19" s="83"/>
    </row>
    <row r="20" spans="1:11" ht="164.25" customHeight="1" x14ac:dyDescent="0.3">
      <c r="A20" s="52"/>
      <c r="B20" s="57"/>
      <c r="C20" s="58"/>
      <c r="D20" s="59"/>
      <c r="E20" s="58"/>
      <c r="F20" s="58"/>
      <c r="G20" s="59"/>
      <c r="H20" s="59"/>
      <c r="I20" s="59"/>
      <c r="J20" s="59"/>
      <c r="K20" s="59"/>
    </row>
    <row r="21" spans="1:11" x14ac:dyDescent="0.3">
      <c r="A21" s="52"/>
      <c r="B21" s="60" t="s">
        <v>87</v>
      </c>
      <c r="C21" s="55"/>
      <c r="D21" s="55"/>
      <c r="E21" s="55"/>
      <c r="F21" s="55"/>
      <c r="G21" s="55"/>
      <c r="H21" s="55"/>
      <c r="I21" s="55"/>
      <c r="J21" s="55"/>
      <c r="K21" s="55"/>
    </row>
    <row r="22" spans="1:11" ht="71.25" customHeight="1" x14ac:dyDescent="0.3">
      <c r="A22" s="52"/>
      <c r="B22" s="49"/>
      <c r="C22" s="50"/>
      <c r="D22" s="50"/>
      <c r="E22" s="50"/>
      <c r="F22" s="50"/>
      <c r="G22" s="50"/>
      <c r="H22" s="50"/>
      <c r="I22" s="50"/>
      <c r="J22" s="50"/>
      <c r="K22" s="51"/>
    </row>
    <row r="23" spans="1:11" ht="24.9" customHeight="1" x14ac:dyDescent="0.3">
      <c r="A23" s="52"/>
      <c r="B23" s="45" t="s">
        <v>90</v>
      </c>
      <c r="C23" s="46"/>
      <c r="D23" s="16" t="s">
        <v>91</v>
      </c>
      <c r="E23" s="45" t="s">
        <v>92</v>
      </c>
      <c r="F23" s="46"/>
      <c r="G23" s="45" t="s">
        <v>93</v>
      </c>
      <c r="H23" s="46"/>
      <c r="I23" s="46"/>
      <c r="J23" s="46"/>
      <c r="K23" s="46"/>
    </row>
    <row r="24" spans="1:11" ht="24.9" customHeight="1" x14ac:dyDescent="0.3">
      <c r="A24" s="52"/>
      <c r="B24" s="47"/>
      <c r="C24" s="48"/>
      <c r="D24" s="13"/>
      <c r="E24" s="49"/>
      <c r="F24" s="51"/>
      <c r="G24" s="49"/>
      <c r="H24" s="50"/>
      <c r="I24" s="50"/>
      <c r="J24" s="50"/>
      <c r="K24" s="51"/>
    </row>
    <row r="25" spans="1:11" ht="9" customHeight="1" x14ac:dyDescent="0.3">
      <c r="A25" s="12"/>
      <c r="B25" s="12"/>
      <c r="C25" s="12"/>
      <c r="D25" s="10"/>
      <c r="E25" s="12"/>
      <c r="F25" s="12"/>
      <c r="G25" s="11"/>
      <c r="H25" s="11"/>
      <c r="I25" s="11"/>
      <c r="J25" s="11"/>
      <c r="K25" s="11"/>
    </row>
    <row r="26" spans="1:11" ht="59.25" customHeight="1" x14ac:dyDescent="0.3">
      <c r="A26" s="43" t="s">
        <v>88</v>
      </c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  <c r="G26" s="2" t="s">
        <v>5</v>
      </c>
      <c r="H26" s="2" t="s">
        <v>6</v>
      </c>
      <c r="I26" s="17" t="s">
        <v>7</v>
      </c>
      <c r="J26" s="17" t="s">
        <v>8</v>
      </c>
      <c r="K26" s="1" t="s">
        <v>9</v>
      </c>
    </row>
    <row r="27" spans="1:11" x14ac:dyDescent="0.3">
      <c r="A27" s="44"/>
      <c r="B27" s="9"/>
      <c r="C27" s="7"/>
      <c r="D27" s="8"/>
      <c r="E27" s="8"/>
      <c r="F27" s="8"/>
      <c r="G27" s="7"/>
      <c r="H27" s="6"/>
      <c r="I27" s="14" t="str">
        <f>IFERROR(IF(AND(K27=3,B27&lt;&gt;"",H27&lt;&gt;""),H27-C27,IF(AND(K27=3,B27&lt;&gt;"",H27=""),G27-C27,"")),"")</f>
        <v/>
      </c>
      <c r="J27" s="14" t="str">
        <f>IFERROR(IF(AND(K27&lt;3,B27&lt;&gt;"",G27&lt;L$1,H27=0,K27&lt;&gt;""),L$1-G27,IF(AND(K27&lt;3,B27&lt;&gt;"",H27&lt;L$1,K27&lt;&gt;""),L$1-H27,"")),"")</f>
        <v/>
      </c>
      <c r="K27" s="5"/>
    </row>
    <row r="28" spans="1:11" x14ac:dyDescent="0.3">
      <c r="A28" s="44"/>
      <c r="B28" s="9"/>
      <c r="C28" s="7"/>
      <c r="D28" s="8"/>
      <c r="E28" s="8"/>
      <c r="F28" s="8"/>
      <c r="G28" s="7"/>
      <c r="H28" s="6"/>
      <c r="I28" s="14" t="str">
        <f t="shared" ref="I28:I56" si="0">IFERROR(IF(AND(K28=3,B28&lt;&gt;"",H28&lt;&gt;""),H28-C28,IF(AND(K28=3,B28&lt;&gt;"",H28=""),G28-C28,"")),"")</f>
        <v/>
      </c>
      <c r="J28" s="14" t="str">
        <f t="shared" ref="J28:J56" si="1">IFERROR(IF(AND(K28&lt;3,B28&lt;&gt;"",G28&lt;L$1,H28=0,K28&lt;&gt;""),L$1-G28,IF(AND(K28&lt;3,B28&lt;&gt;"",H28&lt;L$1,K28&lt;&gt;""),L$1-H28,"")),"")</f>
        <v/>
      </c>
      <c r="K28" s="5"/>
    </row>
    <row r="29" spans="1:11" x14ac:dyDescent="0.3">
      <c r="A29" s="44"/>
      <c r="B29" s="9"/>
      <c r="C29" s="7"/>
      <c r="D29" s="8"/>
      <c r="E29" s="8"/>
      <c r="F29" s="8"/>
      <c r="G29" s="7"/>
      <c r="H29" s="6"/>
      <c r="I29" s="14" t="str">
        <f t="shared" si="0"/>
        <v/>
      </c>
      <c r="J29" s="14" t="str">
        <f t="shared" si="1"/>
        <v/>
      </c>
      <c r="K29" s="5"/>
    </row>
    <row r="30" spans="1:11" x14ac:dyDescent="0.3">
      <c r="A30" s="44"/>
      <c r="B30" s="9"/>
      <c r="C30" s="7"/>
      <c r="D30" s="8"/>
      <c r="E30" s="8"/>
      <c r="F30" s="8"/>
      <c r="G30" s="7"/>
      <c r="H30" s="6"/>
      <c r="I30" s="14" t="str">
        <f t="shared" si="0"/>
        <v/>
      </c>
      <c r="J30" s="14" t="str">
        <f t="shared" si="1"/>
        <v/>
      </c>
      <c r="K30" s="5"/>
    </row>
    <row r="31" spans="1:11" x14ac:dyDescent="0.3">
      <c r="A31" s="44"/>
      <c r="B31" s="9"/>
      <c r="C31" s="7"/>
      <c r="D31" s="8"/>
      <c r="E31" s="8"/>
      <c r="F31" s="8"/>
      <c r="G31" s="7"/>
      <c r="H31" s="6"/>
      <c r="I31" s="14" t="str">
        <f t="shared" si="0"/>
        <v/>
      </c>
      <c r="J31" s="14" t="str">
        <f t="shared" si="1"/>
        <v/>
      </c>
      <c r="K31" s="5"/>
    </row>
    <row r="32" spans="1:11" x14ac:dyDescent="0.3">
      <c r="A32" s="44"/>
      <c r="B32" s="9"/>
      <c r="C32" s="7"/>
      <c r="D32" s="8"/>
      <c r="E32" s="8"/>
      <c r="F32" s="8"/>
      <c r="G32" s="7"/>
      <c r="H32" s="6"/>
      <c r="I32" s="14" t="str">
        <f t="shared" si="0"/>
        <v/>
      </c>
      <c r="J32" s="14" t="str">
        <f t="shared" si="1"/>
        <v/>
      </c>
      <c r="K32" s="5"/>
    </row>
    <row r="33" spans="1:11" x14ac:dyDescent="0.3">
      <c r="A33" s="44"/>
      <c r="B33" s="9"/>
      <c r="C33" s="7"/>
      <c r="D33" s="8"/>
      <c r="E33" s="8"/>
      <c r="F33" s="8"/>
      <c r="G33" s="7"/>
      <c r="H33" s="6"/>
      <c r="I33" s="14" t="str">
        <f t="shared" si="0"/>
        <v/>
      </c>
      <c r="J33" s="14" t="str">
        <f t="shared" si="1"/>
        <v/>
      </c>
      <c r="K33" s="5"/>
    </row>
    <row r="34" spans="1:11" x14ac:dyDescent="0.3">
      <c r="A34" s="44"/>
      <c r="B34" s="9"/>
      <c r="C34" s="7"/>
      <c r="D34" s="8"/>
      <c r="E34" s="8"/>
      <c r="F34" s="8"/>
      <c r="G34" s="7"/>
      <c r="H34" s="6"/>
      <c r="I34" s="14" t="str">
        <f t="shared" si="0"/>
        <v/>
      </c>
      <c r="J34" s="14" t="str">
        <f t="shared" si="1"/>
        <v/>
      </c>
      <c r="K34" s="5"/>
    </row>
    <row r="35" spans="1:11" x14ac:dyDescent="0.3">
      <c r="A35" s="44"/>
      <c r="B35" s="9"/>
      <c r="C35" s="7"/>
      <c r="D35" s="8"/>
      <c r="E35" s="8"/>
      <c r="F35" s="8"/>
      <c r="G35" s="7"/>
      <c r="H35" s="6"/>
      <c r="I35" s="14" t="str">
        <f t="shared" si="0"/>
        <v/>
      </c>
      <c r="J35" s="14" t="str">
        <f t="shared" si="1"/>
        <v/>
      </c>
      <c r="K35" s="5"/>
    </row>
    <row r="36" spans="1:11" x14ac:dyDescent="0.3">
      <c r="A36" s="44"/>
      <c r="B36" s="9"/>
      <c r="C36" s="7"/>
      <c r="D36" s="8"/>
      <c r="E36" s="8"/>
      <c r="F36" s="8"/>
      <c r="G36" s="7"/>
      <c r="H36" s="6"/>
      <c r="I36" s="14" t="str">
        <f t="shared" si="0"/>
        <v/>
      </c>
      <c r="J36" s="14" t="str">
        <f t="shared" si="1"/>
        <v/>
      </c>
      <c r="K36" s="5"/>
    </row>
    <row r="37" spans="1:11" x14ac:dyDescent="0.3">
      <c r="A37" s="44"/>
      <c r="B37" s="9"/>
      <c r="C37" s="7"/>
      <c r="D37" s="8"/>
      <c r="E37" s="8"/>
      <c r="F37" s="8"/>
      <c r="G37" s="7"/>
      <c r="H37" s="6"/>
      <c r="I37" s="14" t="str">
        <f t="shared" si="0"/>
        <v/>
      </c>
      <c r="J37" s="14" t="str">
        <f t="shared" si="1"/>
        <v/>
      </c>
      <c r="K37" s="5"/>
    </row>
    <row r="38" spans="1:11" x14ac:dyDescent="0.3">
      <c r="A38" s="44"/>
      <c r="B38" s="9"/>
      <c r="C38" s="7"/>
      <c r="D38" s="8"/>
      <c r="E38" s="8"/>
      <c r="F38" s="8"/>
      <c r="G38" s="7"/>
      <c r="H38" s="6"/>
      <c r="I38" s="14" t="str">
        <f t="shared" si="0"/>
        <v/>
      </c>
      <c r="J38" s="14" t="str">
        <f t="shared" si="1"/>
        <v/>
      </c>
      <c r="K38" s="5"/>
    </row>
    <row r="39" spans="1:11" x14ac:dyDescent="0.3">
      <c r="A39" s="44"/>
      <c r="B39" s="9"/>
      <c r="C39" s="7"/>
      <c r="D39" s="8"/>
      <c r="E39" s="8"/>
      <c r="F39" s="8"/>
      <c r="G39" s="7"/>
      <c r="H39" s="6"/>
      <c r="I39" s="14" t="str">
        <f t="shared" si="0"/>
        <v/>
      </c>
      <c r="J39" s="14" t="str">
        <f t="shared" si="1"/>
        <v/>
      </c>
      <c r="K39" s="5"/>
    </row>
    <row r="40" spans="1:11" x14ac:dyDescent="0.3">
      <c r="A40" s="44"/>
      <c r="B40" s="9"/>
      <c r="C40" s="7"/>
      <c r="D40" s="8"/>
      <c r="E40" s="8"/>
      <c r="F40" s="8"/>
      <c r="G40" s="7"/>
      <c r="H40" s="6"/>
      <c r="I40" s="14" t="str">
        <f t="shared" si="0"/>
        <v/>
      </c>
      <c r="J40" s="14" t="str">
        <f t="shared" si="1"/>
        <v/>
      </c>
      <c r="K40" s="5"/>
    </row>
    <row r="41" spans="1:11" x14ac:dyDescent="0.3">
      <c r="A41" s="44"/>
      <c r="B41" s="9"/>
      <c r="C41" s="7"/>
      <c r="D41" s="8"/>
      <c r="E41" s="8"/>
      <c r="F41" s="8"/>
      <c r="G41" s="7"/>
      <c r="H41" s="6"/>
      <c r="I41" s="14" t="str">
        <f t="shared" si="0"/>
        <v/>
      </c>
      <c r="J41" s="14" t="str">
        <f t="shared" si="1"/>
        <v/>
      </c>
      <c r="K41" s="5"/>
    </row>
    <row r="42" spans="1:11" x14ac:dyDescent="0.3">
      <c r="A42" s="44"/>
      <c r="B42" s="9"/>
      <c r="C42" s="7"/>
      <c r="D42" s="8"/>
      <c r="E42" s="8"/>
      <c r="F42" s="8"/>
      <c r="G42" s="7"/>
      <c r="H42" s="6"/>
      <c r="I42" s="14" t="str">
        <f t="shared" si="0"/>
        <v/>
      </c>
      <c r="J42" s="14" t="str">
        <f t="shared" si="1"/>
        <v/>
      </c>
      <c r="K42" s="5"/>
    </row>
    <row r="43" spans="1:11" x14ac:dyDescent="0.3">
      <c r="A43" s="44"/>
      <c r="B43" s="9"/>
      <c r="C43" s="7"/>
      <c r="D43" s="8"/>
      <c r="E43" s="8"/>
      <c r="F43" s="8"/>
      <c r="G43" s="7"/>
      <c r="H43" s="6"/>
      <c r="I43" s="14" t="str">
        <f t="shared" si="0"/>
        <v/>
      </c>
      <c r="J43" s="14" t="str">
        <f t="shared" si="1"/>
        <v/>
      </c>
      <c r="K43" s="5"/>
    </row>
    <row r="44" spans="1:11" x14ac:dyDescent="0.3">
      <c r="A44" s="44"/>
      <c r="B44" s="9"/>
      <c r="C44" s="7"/>
      <c r="D44" s="8"/>
      <c r="E44" s="8"/>
      <c r="F44" s="8"/>
      <c r="G44" s="7"/>
      <c r="H44" s="6"/>
      <c r="I44" s="14" t="str">
        <f t="shared" si="0"/>
        <v/>
      </c>
      <c r="J44" s="14" t="str">
        <f t="shared" si="1"/>
        <v/>
      </c>
      <c r="K44" s="5"/>
    </row>
    <row r="45" spans="1:11" x14ac:dyDescent="0.3">
      <c r="A45" s="44"/>
      <c r="B45" s="9"/>
      <c r="C45" s="7"/>
      <c r="D45" s="8"/>
      <c r="E45" s="8"/>
      <c r="F45" s="8"/>
      <c r="G45" s="7"/>
      <c r="H45" s="6"/>
      <c r="I45" s="14" t="str">
        <f t="shared" si="0"/>
        <v/>
      </c>
      <c r="J45" s="14" t="str">
        <f t="shared" si="1"/>
        <v/>
      </c>
      <c r="K45" s="5"/>
    </row>
    <row r="46" spans="1:11" x14ac:dyDescent="0.3">
      <c r="A46" s="44"/>
      <c r="B46" s="9"/>
      <c r="C46" s="7"/>
      <c r="D46" s="8"/>
      <c r="E46" s="8"/>
      <c r="F46" s="8"/>
      <c r="G46" s="7"/>
      <c r="H46" s="6"/>
      <c r="I46" s="14" t="str">
        <f t="shared" si="0"/>
        <v/>
      </c>
      <c r="J46" s="14" t="str">
        <f t="shared" si="1"/>
        <v/>
      </c>
      <c r="K46" s="5"/>
    </row>
    <row r="47" spans="1:11" x14ac:dyDescent="0.3">
      <c r="A47" s="44"/>
      <c r="B47" s="9"/>
      <c r="C47" s="7"/>
      <c r="D47" s="8"/>
      <c r="E47" s="8"/>
      <c r="F47" s="8"/>
      <c r="G47" s="7"/>
      <c r="H47" s="6"/>
      <c r="I47" s="14" t="str">
        <f t="shared" si="0"/>
        <v/>
      </c>
      <c r="J47" s="14" t="str">
        <f t="shared" si="1"/>
        <v/>
      </c>
      <c r="K47" s="5"/>
    </row>
    <row r="48" spans="1:11" x14ac:dyDescent="0.3">
      <c r="A48" s="44"/>
      <c r="B48" s="9"/>
      <c r="C48" s="7"/>
      <c r="D48" s="8"/>
      <c r="E48" s="8"/>
      <c r="F48" s="8"/>
      <c r="G48" s="7"/>
      <c r="H48" s="6"/>
      <c r="I48" s="14" t="str">
        <f t="shared" si="0"/>
        <v/>
      </c>
      <c r="J48" s="14" t="str">
        <f t="shared" si="1"/>
        <v/>
      </c>
      <c r="K48" s="5"/>
    </row>
    <row r="49" spans="1:11" x14ac:dyDescent="0.3">
      <c r="A49" s="44"/>
      <c r="B49" s="9"/>
      <c r="C49" s="7"/>
      <c r="D49" s="8"/>
      <c r="E49" s="8"/>
      <c r="F49" s="8"/>
      <c r="G49" s="7"/>
      <c r="H49" s="6"/>
      <c r="I49" s="14" t="str">
        <f t="shared" si="0"/>
        <v/>
      </c>
      <c r="J49" s="14" t="str">
        <f t="shared" si="1"/>
        <v/>
      </c>
      <c r="K49" s="5"/>
    </row>
    <row r="50" spans="1:11" x14ac:dyDescent="0.3">
      <c r="A50" s="44"/>
      <c r="B50" s="9"/>
      <c r="C50" s="7"/>
      <c r="D50" s="8"/>
      <c r="E50" s="8"/>
      <c r="F50" s="8"/>
      <c r="G50" s="7"/>
      <c r="H50" s="6"/>
      <c r="I50" s="14" t="str">
        <f t="shared" si="0"/>
        <v/>
      </c>
      <c r="J50" s="14" t="str">
        <f t="shared" si="1"/>
        <v/>
      </c>
      <c r="K50" s="5"/>
    </row>
    <row r="51" spans="1:11" x14ac:dyDescent="0.3">
      <c r="A51" s="44"/>
      <c r="B51" s="9"/>
      <c r="C51" s="7"/>
      <c r="D51" s="8"/>
      <c r="E51" s="8"/>
      <c r="F51" s="8"/>
      <c r="G51" s="7"/>
      <c r="H51" s="6"/>
      <c r="I51" s="14" t="str">
        <f t="shared" si="0"/>
        <v/>
      </c>
      <c r="J51" s="14" t="str">
        <f t="shared" si="1"/>
        <v/>
      </c>
      <c r="K51" s="5"/>
    </row>
    <row r="52" spans="1:11" x14ac:dyDescent="0.3">
      <c r="A52" s="44"/>
      <c r="B52" s="9"/>
      <c r="C52" s="7"/>
      <c r="D52" s="8"/>
      <c r="E52" s="8"/>
      <c r="F52" s="8"/>
      <c r="G52" s="7"/>
      <c r="H52" s="6"/>
      <c r="I52" s="14" t="str">
        <f t="shared" si="0"/>
        <v/>
      </c>
      <c r="J52" s="14" t="str">
        <f t="shared" si="1"/>
        <v/>
      </c>
      <c r="K52" s="5"/>
    </row>
    <row r="53" spans="1:11" x14ac:dyDescent="0.3">
      <c r="A53" s="44"/>
      <c r="B53" s="9"/>
      <c r="C53" s="7"/>
      <c r="D53" s="8"/>
      <c r="E53" s="8"/>
      <c r="F53" s="8"/>
      <c r="G53" s="7"/>
      <c r="H53" s="6"/>
      <c r="I53" s="14" t="str">
        <f t="shared" si="0"/>
        <v/>
      </c>
      <c r="J53" s="14" t="str">
        <f t="shared" si="1"/>
        <v/>
      </c>
      <c r="K53" s="5"/>
    </row>
    <row r="54" spans="1:11" x14ac:dyDescent="0.3">
      <c r="A54" s="44"/>
      <c r="B54" s="9"/>
      <c r="C54" s="7"/>
      <c r="D54" s="8"/>
      <c r="E54" s="8"/>
      <c r="F54" s="8"/>
      <c r="G54" s="7"/>
      <c r="H54" s="6"/>
      <c r="I54" s="14" t="str">
        <f t="shared" si="0"/>
        <v/>
      </c>
      <c r="J54" s="14" t="str">
        <f t="shared" si="1"/>
        <v/>
      </c>
      <c r="K54" s="5"/>
    </row>
    <row r="55" spans="1:11" x14ac:dyDescent="0.3">
      <c r="A55" s="44"/>
      <c r="B55" s="9"/>
      <c r="C55" s="7"/>
      <c r="D55" s="8"/>
      <c r="E55" s="8"/>
      <c r="F55" s="8"/>
      <c r="G55" s="7"/>
      <c r="H55" s="6"/>
      <c r="I55" s="14" t="str">
        <f t="shared" si="0"/>
        <v/>
      </c>
      <c r="J55" s="14" t="str">
        <f t="shared" si="1"/>
        <v/>
      </c>
      <c r="K55" s="5"/>
    </row>
    <row r="56" spans="1:11" x14ac:dyDescent="0.3">
      <c r="A56" s="44"/>
      <c r="B56" s="9"/>
      <c r="C56" s="7"/>
      <c r="D56" s="8"/>
      <c r="E56" s="8"/>
      <c r="F56" s="8"/>
      <c r="G56" s="7"/>
      <c r="H56" s="6"/>
      <c r="I56" s="14" t="str">
        <f t="shared" si="0"/>
        <v/>
      </c>
      <c r="J56" s="14" t="str">
        <f t="shared" si="1"/>
        <v/>
      </c>
      <c r="K56" s="5"/>
    </row>
  </sheetData>
  <autoFilter ref="B26:K26" xr:uid="{B148B19C-9382-4BB1-8717-B4ACCF246FAC}"/>
  <mergeCells count="47">
    <mergeCell ref="G19:K19"/>
    <mergeCell ref="A5:C5"/>
    <mergeCell ref="E5:F5"/>
    <mergeCell ref="G5:H5"/>
    <mergeCell ref="I5:K5"/>
    <mergeCell ref="A6:C6"/>
    <mergeCell ref="E6:F6"/>
    <mergeCell ref="G6:H6"/>
    <mergeCell ref="I6:K6"/>
    <mergeCell ref="A7:C7"/>
    <mergeCell ref="A8:C8"/>
    <mergeCell ref="F8:G8"/>
    <mergeCell ref="H8:K8"/>
    <mergeCell ref="I7:K7"/>
    <mergeCell ref="A12:C14"/>
    <mergeCell ref="E12:F14"/>
    <mergeCell ref="G12:K12"/>
    <mergeCell ref="D13:D14"/>
    <mergeCell ref="G13:K14"/>
    <mergeCell ref="A9:C11"/>
    <mergeCell ref="D9:F9"/>
    <mergeCell ref="H9:K11"/>
    <mergeCell ref="D10:F10"/>
    <mergeCell ref="D11:F11"/>
    <mergeCell ref="A26:A56"/>
    <mergeCell ref="B23:C23"/>
    <mergeCell ref="B24:C24"/>
    <mergeCell ref="E23:F23"/>
    <mergeCell ref="G23:K23"/>
    <mergeCell ref="G24:K24"/>
    <mergeCell ref="E24:F24"/>
    <mergeCell ref="A16:A24"/>
    <mergeCell ref="B16:K16"/>
    <mergeCell ref="B17:K17"/>
    <mergeCell ref="B18:K18"/>
    <mergeCell ref="B20:K20"/>
    <mergeCell ref="B21:K21"/>
    <mergeCell ref="B22:K22"/>
    <mergeCell ref="B19:C19"/>
    <mergeCell ref="E19:F19"/>
    <mergeCell ref="L1:L3"/>
    <mergeCell ref="I1:K1"/>
    <mergeCell ref="I2:K2"/>
    <mergeCell ref="I3:K3"/>
    <mergeCell ref="A4:K4"/>
    <mergeCell ref="A1:C3"/>
    <mergeCell ref="D1:G3"/>
  </mergeCells>
  <conditionalFormatting sqref="K27:K56">
    <cfRule type="iconSet" priority="1">
      <iconSet iconSet="3Symbols">
        <cfvo type="percent" val="0"/>
        <cfvo type="num" val="2"/>
        <cfvo type="num" val="3"/>
      </iconSet>
    </cfRule>
  </conditionalFormatting>
  <dataValidations count="2">
    <dataValidation type="list" errorStyle="information" allowBlank="1" showInputMessage="1" showErrorMessage="1" sqref="E27:E56" xr:uid="{50D42AE8-AC9F-49E2-A575-94653067A64E}">
      <formula1>Bölüm</formula1>
    </dataValidation>
    <dataValidation type="list" errorStyle="information" allowBlank="1" showInputMessage="1" showErrorMessage="1" sqref="F27:F56" xr:uid="{71301DEF-750F-454E-AA6F-1C9A653D5A02}">
      <formula1>INDIRECT(E27)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Check Box 1">
              <controlPr defaultSize="0" autoFill="0" autoLine="0" autoPict="0">
                <anchor moveWithCells="1">
                  <from>
                    <xdr:col>6</xdr:col>
                    <xdr:colOff>693420</xdr:colOff>
                    <xdr:row>7</xdr:row>
                    <xdr:rowOff>60960</xdr:rowOff>
                  </from>
                  <to>
                    <xdr:col>6</xdr:col>
                    <xdr:colOff>906780</xdr:colOff>
                    <xdr:row>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Check Box 2">
              <controlPr defaultSize="0" autoFill="0" autoLine="0" autoPict="0">
                <anchor moveWithCells="1">
                  <from>
                    <xdr:col>10</xdr:col>
                    <xdr:colOff>304800</xdr:colOff>
                    <xdr:row>7</xdr:row>
                    <xdr:rowOff>68580</xdr:rowOff>
                  </from>
                  <to>
                    <xdr:col>10</xdr:col>
                    <xdr:colOff>502920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Check Box 3">
              <controlPr defaultSize="0" autoFill="0" autoLine="0" autoPict="0">
                <anchor moveWithCells="1">
                  <from>
                    <xdr:col>6</xdr:col>
                    <xdr:colOff>182880</xdr:colOff>
                    <xdr:row>8</xdr:row>
                    <xdr:rowOff>7620</xdr:rowOff>
                  </from>
                  <to>
                    <xdr:col>6</xdr:col>
                    <xdr:colOff>647700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Check Box 4">
              <controlPr defaultSize="0" autoFill="0" autoLine="0" autoPict="0">
                <anchor moveWithCells="1">
                  <from>
                    <xdr:col>6</xdr:col>
                    <xdr:colOff>182880</xdr:colOff>
                    <xdr:row>9</xdr:row>
                    <xdr:rowOff>7620</xdr:rowOff>
                  </from>
                  <to>
                    <xdr:col>6</xdr:col>
                    <xdr:colOff>594360</xdr:colOff>
                    <xdr:row>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Check Box 5">
              <controlPr defaultSize="0" autoFill="0" autoLine="0" autoPict="0">
                <anchor moveWithCells="1">
                  <from>
                    <xdr:col>6</xdr:col>
                    <xdr:colOff>182880</xdr:colOff>
                    <xdr:row>10</xdr:row>
                    <xdr:rowOff>22860</xdr:rowOff>
                  </from>
                  <to>
                    <xdr:col>6</xdr:col>
                    <xdr:colOff>693420</xdr:colOff>
                    <xdr:row>10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Check Box 6">
              <controlPr defaultSize="0" autoFill="0" autoLine="0" autoPict="0">
                <anchor moveWithCells="1">
                  <from>
                    <xdr:col>10</xdr:col>
                    <xdr:colOff>304800</xdr:colOff>
                    <xdr:row>9</xdr:row>
                    <xdr:rowOff>160020</xdr:rowOff>
                  </from>
                  <to>
                    <xdr:col>11</xdr:col>
                    <xdr:colOff>0</xdr:colOff>
                    <xdr:row>10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Check Box 7">
              <controlPr defaultSize="0" autoFill="0" autoLine="0" autoPict="0">
                <anchor moveWithCells="1">
                  <from>
                    <xdr:col>2</xdr:col>
                    <xdr:colOff>640080</xdr:colOff>
                    <xdr:row>12</xdr:row>
                    <xdr:rowOff>106680</xdr:rowOff>
                  </from>
                  <to>
                    <xdr:col>2</xdr:col>
                    <xdr:colOff>906780</xdr:colOff>
                    <xdr:row>13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0" name="Check Box 8">
              <controlPr defaultSize="0" autoFill="0" autoLine="0" autoPict="0">
                <anchor moveWithCells="1">
                  <from>
                    <xdr:col>5</xdr:col>
                    <xdr:colOff>800100</xdr:colOff>
                    <xdr:row>12</xdr:row>
                    <xdr:rowOff>152400</xdr:rowOff>
                  </from>
                  <to>
                    <xdr:col>5</xdr:col>
                    <xdr:colOff>990600</xdr:colOff>
                    <xdr:row>13</xdr:row>
                    <xdr:rowOff>106680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5A65-9D71-4A8B-A178-F6B82F1D7D59}">
  <dimension ref="B1:B125"/>
  <sheetViews>
    <sheetView workbookViewId="0">
      <selection activeCell="B105" sqref="B105"/>
    </sheetView>
  </sheetViews>
  <sheetFormatPr defaultRowHeight="14.4" x14ac:dyDescent="0.3"/>
  <cols>
    <col min="2" max="2" width="26.109375" customWidth="1"/>
  </cols>
  <sheetData>
    <row r="1" spans="2:2" x14ac:dyDescent="0.3">
      <c r="B1" s="3"/>
    </row>
    <row r="2" spans="2:2" x14ac:dyDescent="0.3">
      <c r="B2" t="s">
        <v>60</v>
      </c>
    </row>
    <row r="3" spans="2:2" x14ac:dyDescent="0.3">
      <c r="B3" t="s">
        <v>55</v>
      </c>
    </row>
    <row r="4" spans="2:2" x14ac:dyDescent="0.3">
      <c r="B4" t="s">
        <v>48</v>
      </c>
    </row>
    <row r="5" spans="2:2" x14ac:dyDescent="0.3">
      <c r="B5" t="s">
        <v>46</v>
      </c>
    </row>
    <row r="6" spans="2:2" x14ac:dyDescent="0.3">
      <c r="B6" t="s">
        <v>32</v>
      </c>
    </row>
    <row r="7" spans="2:2" x14ac:dyDescent="0.3">
      <c r="B7" t="s">
        <v>28</v>
      </c>
    </row>
    <row r="8" spans="2:2" x14ac:dyDescent="0.3">
      <c r="B8" t="s">
        <v>22</v>
      </c>
    </row>
    <row r="9" spans="2:2" x14ac:dyDescent="0.3">
      <c r="B9" t="s">
        <v>144</v>
      </c>
    </row>
    <row r="10" spans="2:2" x14ac:dyDescent="0.3">
      <c r="B10" t="s">
        <v>14</v>
      </c>
    </row>
    <row r="11" spans="2:2" x14ac:dyDescent="0.3">
      <c r="B11" t="s">
        <v>99</v>
      </c>
    </row>
    <row r="12" spans="2:2" x14ac:dyDescent="0.3">
      <c r="B12" t="s">
        <v>18</v>
      </c>
    </row>
    <row r="13" spans="2:2" x14ac:dyDescent="0.3">
      <c r="B13" t="s">
        <v>17</v>
      </c>
    </row>
    <row r="14" spans="2:2" x14ac:dyDescent="0.3">
      <c r="B14" t="s">
        <v>62</v>
      </c>
    </row>
    <row r="15" spans="2:2" x14ac:dyDescent="0.3">
      <c r="B15" t="s">
        <v>61</v>
      </c>
    </row>
    <row r="17" spans="2:2" x14ac:dyDescent="0.3">
      <c r="B17" t="s">
        <v>60</v>
      </c>
    </row>
    <row r="18" spans="2:2" x14ac:dyDescent="0.3">
      <c r="B18" t="s">
        <v>59</v>
      </c>
    </row>
    <row r="19" spans="2:2" x14ac:dyDescent="0.3">
      <c r="B19" t="s">
        <v>58</v>
      </c>
    </row>
    <row r="20" spans="2:2" x14ac:dyDescent="0.3">
      <c r="B20" t="s">
        <v>115</v>
      </c>
    </row>
    <row r="21" spans="2:2" x14ac:dyDescent="0.3">
      <c r="B21" t="s">
        <v>116</v>
      </c>
    </row>
    <row r="22" spans="2:2" x14ac:dyDescent="0.3">
      <c r="B22" t="s">
        <v>119</v>
      </c>
    </row>
    <row r="23" spans="2:2" x14ac:dyDescent="0.3">
      <c r="B23" t="s">
        <v>117</v>
      </c>
    </row>
    <row r="24" spans="2:2" x14ac:dyDescent="0.3">
      <c r="B24" t="s">
        <v>114</v>
      </c>
    </row>
    <row r="25" spans="2:2" x14ac:dyDescent="0.3">
      <c r="B25" t="s">
        <v>118</v>
      </c>
    </row>
    <row r="26" spans="2:2" x14ac:dyDescent="0.3">
      <c r="B26" t="s">
        <v>57</v>
      </c>
    </row>
    <row r="27" spans="2:2" x14ac:dyDescent="0.3">
      <c r="B27" t="s">
        <v>56</v>
      </c>
    </row>
    <row r="29" spans="2:2" x14ac:dyDescent="0.3">
      <c r="B29" t="s">
        <v>55</v>
      </c>
    </row>
    <row r="30" spans="2:2" x14ac:dyDescent="0.3">
      <c r="B30" t="s">
        <v>54</v>
      </c>
    </row>
    <row r="31" spans="2:2" x14ac:dyDescent="0.3">
      <c r="B31" t="s">
        <v>53</v>
      </c>
    </row>
    <row r="32" spans="2:2" x14ac:dyDescent="0.3">
      <c r="B32" t="s">
        <v>52</v>
      </c>
    </row>
    <row r="33" spans="2:2" x14ac:dyDescent="0.3">
      <c r="B33" t="s">
        <v>51</v>
      </c>
    </row>
    <row r="34" spans="2:2" x14ac:dyDescent="0.3">
      <c r="B34" t="s">
        <v>50</v>
      </c>
    </row>
    <row r="35" spans="2:2" x14ac:dyDescent="0.3">
      <c r="B35" t="s">
        <v>49</v>
      </c>
    </row>
    <row r="36" spans="2:2" x14ac:dyDescent="0.3">
      <c r="B36" t="s">
        <v>121</v>
      </c>
    </row>
    <row r="37" spans="2:2" x14ac:dyDescent="0.3">
      <c r="B37" t="s">
        <v>38</v>
      </c>
    </row>
    <row r="39" spans="2:2" x14ac:dyDescent="0.3">
      <c r="B39" t="s">
        <v>48</v>
      </c>
    </row>
    <row r="40" spans="2:2" x14ac:dyDescent="0.3">
      <c r="B40" t="s">
        <v>47</v>
      </c>
    </row>
    <row r="41" spans="2:2" x14ac:dyDescent="0.3">
      <c r="B41" t="s">
        <v>122</v>
      </c>
    </row>
    <row r="42" spans="2:2" x14ac:dyDescent="0.3">
      <c r="B42" t="s">
        <v>124</v>
      </c>
    </row>
    <row r="43" spans="2:2" x14ac:dyDescent="0.3">
      <c r="B43" t="s">
        <v>123</v>
      </c>
    </row>
    <row r="44" spans="2:2" x14ac:dyDescent="0.3">
      <c r="B44" t="s">
        <v>26</v>
      </c>
    </row>
    <row r="46" spans="2:2" x14ac:dyDescent="0.3">
      <c r="B46" t="s">
        <v>46</v>
      </c>
    </row>
    <row r="47" spans="2:2" x14ac:dyDescent="0.3">
      <c r="B47" t="s">
        <v>45</v>
      </c>
    </row>
    <row r="48" spans="2:2" x14ac:dyDescent="0.3">
      <c r="B48" t="s">
        <v>44</v>
      </c>
    </row>
    <row r="49" spans="2:2" x14ac:dyDescent="0.3">
      <c r="B49" t="s">
        <v>43</v>
      </c>
    </row>
    <row r="50" spans="2:2" x14ac:dyDescent="0.3">
      <c r="B50" t="s">
        <v>42</v>
      </c>
    </row>
    <row r="51" spans="2:2" x14ac:dyDescent="0.3">
      <c r="B51" t="s">
        <v>41</v>
      </c>
    </row>
    <row r="52" spans="2:2" x14ac:dyDescent="0.3">
      <c r="B52" t="s">
        <v>40</v>
      </c>
    </row>
    <row r="53" spans="2:2" x14ac:dyDescent="0.3">
      <c r="B53" t="s">
        <v>120</v>
      </c>
    </row>
    <row r="54" spans="2:2" x14ac:dyDescent="0.3">
      <c r="B54" t="s">
        <v>39</v>
      </c>
    </row>
    <row r="55" spans="2:2" x14ac:dyDescent="0.3">
      <c r="B55" t="s">
        <v>38</v>
      </c>
    </row>
    <row r="57" spans="2:2" x14ac:dyDescent="0.3">
      <c r="B57" t="s">
        <v>37</v>
      </c>
    </row>
    <row r="58" spans="2:2" x14ac:dyDescent="0.3">
      <c r="B58" t="s">
        <v>36</v>
      </c>
    </row>
    <row r="59" spans="2:2" x14ac:dyDescent="0.3">
      <c r="B59" t="s">
        <v>35</v>
      </c>
    </row>
    <row r="60" spans="2:2" x14ac:dyDescent="0.3">
      <c r="B60" t="s">
        <v>125</v>
      </c>
    </row>
    <row r="61" spans="2:2" x14ac:dyDescent="0.3">
      <c r="B61" t="s">
        <v>34</v>
      </c>
    </row>
    <row r="63" spans="2:2" x14ac:dyDescent="0.3">
      <c r="B63" t="s">
        <v>144</v>
      </c>
    </row>
    <row r="64" spans="2:2" x14ac:dyDescent="0.3">
      <c r="B64" t="s">
        <v>33</v>
      </c>
    </row>
    <row r="65" spans="2:2" x14ac:dyDescent="0.3">
      <c r="B65" t="s">
        <v>126</v>
      </c>
    </row>
    <row r="66" spans="2:2" x14ac:dyDescent="0.3">
      <c r="B66" t="s">
        <v>31</v>
      </c>
    </row>
    <row r="68" spans="2:2" x14ac:dyDescent="0.3">
      <c r="B68" t="s">
        <v>32</v>
      </c>
    </row>
    <row r="69" spans="2:2" x14ac:dyDescent="0.3">
      <c r="B69" t="s">
        <v>31</v>
      </c>
    </row>
    <row r="70" spans="2:2" x14ac:dyDescent="0.3">
      <c r="B70" t="s">
        <v>30</v>
      </c>
    </row>
    <row r="71" spans="2:2" x14ac:dyDescent="0.3">
      <c r="B71" t="s">
        <v>145</v>
      </c>
    </row>
    <row r="72" spans="2:2" x14ac:dyDescent="0.3">
      <c r="B72" t="s">
        <v>29</v>
      </c>
    </row>
    <row r="74" spans="2:2" x14ac:dyDescent="0.3">
      <c r="B74" t="s">
        <v>28</v>
      </c>
    </row>
    <row r="75" spans="2:2" x14ac:dyDescent="0.3">
      <c r="B75" t="s">
        <v>27</v>
      </c>
    </row>
    <row r="76" spans="2:2" x14ac:dyDescent="0.3">
      <c r="B76" t="s">
        <v>146</v>
      </c>
    </row>
    <row r="77" spans="2:2" x14ac:dyDescent="0.3">
      <c r="B77" t="s">
        <v>112</v>
      </c>
    </row>
    <row r="78" spans="2:2" x14ac:dyDescent="0.3">
      <c r="B78" t="s">
        <v>25</v>
      </c>
    </row>
    <row r="79" spans="2:2" x14ac:dyDescent="0.3">
      <c r="B79" t="s">
        <v>24</v>
      </c>
    </row>
    <row r="80" spans="2:2" x14ac:dyDescent="0.3">
      <c r="B80" t="s">
        <v>113</v>
      </c>
    </row>
    <row r="81" spans="2:2" x14ac:dyDescent="0.3">
      <c r="B81" t="s">
        <v>23</v>
      </c>
    </row>
    <row r="83" spans="2:2" x14ac:dyDescent="0.3">
      <c r="B83" t="s">
        <v>22</v>
      </c>
    </row>
    <row r="84" spans="2:2" x14ac:dyDescent="0.3">
      <c r="B84" t="s">
        <v>21</v>
      </c>
    </row>
    <row r="85" spans="2:2" x14ac:dyDescent="0.3">
      <c r="B85" t="s">
        <v>20</v>
      </c>
    </row>
    <row r="86" spans="2:2" x14ac:dyDescent="0.3">
      <c r="B86" t="s">
        <v>127</v>
      </c>
    </row>
    <row r="87" spans="2:2" x14ac:dyDescent="0.3">
      <c r="B87" t="s">
        <v>128</v>
      </c>
    </row>
    <row r="88" spans="2:2" x14ac:dyDescent="0.3">
      <c r="B88" t="s">
        <v>19</v>
      </c>
    </row>
    <row r="90" spans="2:2" x14ac:dyDescent="0.3">
      <c r="B90" t="s">
        <v>18</v>
      </c>
    </row>
    <row r="91" spans="2:2" x14ac:dyDescent="0.3">
      <c r="B91" t="s">
        <v>129</v>
      </c>
    </row>
    <row r="92" spans="2:2" x14ac:dyDescent="0.3">
      <c r="B92" t="s">
        <v>130</v>
      </c>
    </row>
    <row r="93" spans="2:2" x14ac:dyDescent="0.3">
      <c r="B93" t="s">
        <v>132</v>
      </c>
    </row>
    <row r="94" spans="2:2" x14ac:dyDescent="0.3">
      <c r="B94" t="s">
        <v>134</v>
      </c>
    </row>
    <row r="95" spans="2:2" x14ac:dyDescent="0.3">
      <c r="B95" t="s">
        <v>135</v>
      </c>
    </row>
    <row r="96" spans="2:2" x14ac:dyDescent="0.3">
      <c r="B96" t="s">
        <v>137</v>
      </c>
    </row>
    <row r="97" spans="2:2" x14ac:dyDescent="0.3">
      <c r="B97" t="s">
        <v>138</v>
      </c>
    </row>
    <row r="98" spans="2:2" x14ac:dyDescent="0.3">
      <c r="B98" t="s">
        <v>139</v>
      </c>
    </row>
    <row r="99" spans="2:2" x14ac:dyDescent="0.3">
      <c r="B99" t="s">
        <v>136</v>
      </c>
    </row>
    <row r="100" spans="2:2" x14ac:dyDescent="0.3">
      <c r="B100" t="s">
        <v>140</v>
      </c>
    </row>
    <row r="101" spans="2:2" x14ac:dyDescent="0.3">
      <c r="B101" t="s">
        <v>141</v>
      </c>
    </row>
    <row r="102" spans="2:2" x14ac:dyDescent="0.3">
      <c r="B102" t="s">
        <v>142</v>
      </c>
    </row>
    <row r="103" spans="2:2" x14ac:dyDescent="0.3">
      <c r="B103" t="s">
        <v>143</v>
      </c>
    </row>
    <row r="104" spans="2:2" x14ac:dyDescent="0.3">
      <c r="B104" t="s">
        <v>133</v>
      </c>
    </row>
    <row r="105" spans="2:2" x14ac:dyDescent="0.3">
      <c r="B105" t="s">
        <v>131</v>
      </c>
    </row>
    <row r="107" spans="2:2" x14ac:dyDescent="0.3">
      <c r="B107" t="s">
        <v>17</v>
      </c>
    </row>
    <row r="108" spans="2:2" x14ac:dyDescent="0.3">
      <c r="B108" t="s">
        <v>109</v>
      </c>
    </row>
    <row r="109" spans="2:2" x14ac:dyDescent="0.3">
      <c r="B109" t="s">
        <v>16</v>
      </c>
    </row>
    <row r="110" spans="2:2" x14ac:dyDescent="0.3">
      <c r="B110" t="s">
        <v>15</v>
      </c>
    </row>
    <row r="112" spans="2:2" x14ac:dyDescent="0.3">
      <c r="B112" t="s">
        <v>14</v>
      </c>
    </row>
    <row r="113" spans="2:2" x14ac:dyDescent="0.3">
      <c r="B113" t="s">
        <v>13</v>
      </c>
    </row>
    <row r="114" spans="2:2" x14ac:dyDescent="0.3">
      <c r="B114" t="s">
        <v>12</v>
      </c>
    </row>
    <row r="115" spans="2:2" x14ac:dyDescent="0.3">
      <c r="B115" t="s">
        <v>106</v>
      </c>
    </row>
    <row r="116" spans="2:2" x14ac:dyDescent="0.3">
      <c r="B116" t="s">
        <v>107</v>
      </c>
    </row>
    <row r="117" spans="2:2" x14ac:dyDescent="0.3">
      <c r="B117" t="s">
        <v>108</v>
      </c>
    </row>
    <row r="118" spans="2:2" x14ac:dyDescent="0.3">
      <c r="B118" t="s">
        <v>110</v>
      </c>
    </row>
    <row r="119" spans="2:2" x14ac:dyDescent="0.3">
      <c r="B119" t="s">
        <v>111</v>
      </c>
    </row>
    <row r="120" spans="2:2" x14ac:dyDescent="0.3">
      <c r="B120" t="s">
        <v>11</v>
      </c>
    </row>
    <row r="121" spans="2:2" x14ac:dyDescent="0.3">
      <c r="B121" t="s">
        <v>10</v>
      </c>
    </row>
    <row r="123" spans="2:2" x14ac:dyDescent="0.3">
      <c r="B123" t="s">
        <v>99</v>
      </c>
    </row>
    <row r="124" spans="2:2" x14ac:dyDescent="0.3">
      <c r="B124" t="s">
        <v>100</v>
      </c>
    </row>
    <row r="125" spans="2:2" x14ac:dyDescent="0.3">
      <c r="B125" t="s">
        <v>101</v>
      </c>
    </row>
  </sheetData>
  <sheetProtection algorithmName="SHA-512" hashValue="B5eTYJ4ltQdqMvij1/cERYEuEj9TZ0VNPZHQoF47ttK+HhBh8mHsQTnSGJvy+3CKnLMe595cEZz3uBV1myew0A==" saltValue="lZolp23eDYwfwTVH1LwnPA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1F3B26F3816DF44084C82BD159CB7FE4" ma:contentTypeVersion="27" ma:contentTypeDescription="Yeni belge oluşturun." ma:contentTypeScope="" ma:versionID="6380237763e914d7586c65f0381c8408">
  <xsd:schema xmlns:xsd="http://www.w3.org/2001/XMLSchema" xmlns:xs="http://www.w3.org/2001/XMLSchema" xmlns:p="http://schemas.microsoft.com/office/2006/metadata/properties" xmlns:ns2="189a46b8-f6d2-4a5e-8ebf-628fde6b8530" xmlns:ns3="5f9d8d3f-5aac-4b49-8e58-086d35659b08" targetNamespace="http://schemas.microsoft.com/office/2006/metadata/properties" ma:root="true" ma:fieldsID="eb30e7a335c1415813705257d4aef52c" ns2:_="" ns3:_="">
    <xsd:import namespace="189a46b8-f6d2-4a5e-8ebf-628fde6b8530"/>
    <xsd:import namespace="5f9d8d3f-5aac-4b49-8e58-086d35659b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konum" minOccurs="0"/>
                <xsd:element ref="ns2:ed020792-df70-45d6-8455-f74e42c51f6eCountryOrRegion" minOccurs="0"/>
                <xsd:element ref="ns2:ed020792-df70-45d6-8455-f74e42c51f6eState" minOccurs="0"/>
                <xsd:element ref="ns2:ed020792-df70-45d6-8455-f74e42c51f6eCity" minOccurs="0"/>
                <xsd:element ref="ns2:ed020792-df70-45d6-8455-f74e42c51f6ePostalCode" minOccurs="0"/>
                <xsd:element ref="ns2:ed020792-df70-45d6-8455-f74e42c51f6eStreet" minOccurs="0"/>
                <xsd:element ref="ns2:ed020792-df70-45d6-8455-f74e42c51f6eGeoLoc" minOccurs="0"/>
                <xsd:element ref="ns2:ed020792-df70-45d6-8455-f74e42c51f6eDispNam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a46b8-f6d2-4a5e-8ebf-628fde6b8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konum" ma:index="20" nillable="true" ma:displayName="konum" ma:format="Dropdown" ma:internalName="konum">
      <xsd:simpleType>
        <xsd:restriction base="dms:Unknown"/>
      </xsd:simpleType>
    </xsd:element>
    <xsd:element name="ed020792-df70-45d6-8455-f74e42c51f6eCountryOrRegion" ma:index="21" nillable="true" ma:displayName="konum: Ülke/Bölge" ma:internalName="CountryOrRegion" ma:readOnly="true">
      <xsd:simpleType>
        <xsd:restriction base="dms:Text"/>
      </xsd:simpleType>
    </xsd:element>
    <xsd:element name="ed020792-df70-45d6-8455-f74e42c51f6eState" ma:index="22" nillable="true" ma:displayName="konum: Bölge" ma:internalName="State" ma:readOnly="true">
      <xsd:simpleType>
        <xsd:restriction base="dms:Text"/>
      </xsd:simpleType>
    </xsd:element>
    <xsd:element name="ed020792-df70-45d6-8455-f74e42c51f6eCity" ma:index="23" nillable="true" ma:displayName="konum: Şehir" ma:internalName="City" ma:readOnly="true">
      <xsd:simpleType>
        <xsd:restriction base="dms:Text"/>
      </xsd:simpleType>
    </xsd:element>
    <xsd:element name="ed020792-df70-45d6-8455-f74e42c51f6ePostalCode" ma:index="24" nillable="true" ma:displayName="konum: Posta Kodu" ma:internalName="PostalCode" ma:readOnly="true">
      <xsd:simpleType>
        <xsd:restriction base="dms:Text"/>
      </xsd:simpleType>
    </xsd:element>
    <xsd:element name="ed020792-df70-45d6-8455-f74e42c51f6eStreet" ma:index="25" nillable="true" ma:displayName="konum: Sokak" ma:internalName="Street" ma:readOnly="true">
      <xsd:simpleType>
        <xsd:restriction base="dms:Text"/>
      </xsd:simpleType>
    </xsd:element>
    <xsd:element name="ed020792-df70-45d6-8455-f74e42c51f6eGeoLoc" ma:index="26" nillable="true" ma:displayName="konum: Koordinatlar" ma:internalName="GeoLoc" ma:readOnly="true">
      <xsd:simpleType>
        <xsd:restriction base="dms:Unknown"/>
      </xsd:simpleType>
    </xsd:element>
    <xsd:element name="ed020792-df70-45d6-8455-f74e42c51f6eDispName" ma:index="27" nillable="true" ma:displayName="konum: Ad" ma:internalName="DispName" ma:readOnly="true">
      <xsd:simpleType>
        <xsd:restriction base="dms:Text"/>
      </xsd:simpleType>
    </xsd:element>
    <xsd:element name="MediaServiceLocation" ma:index="2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30" nillable="true" ma:taxonomy="true" ma:internalName="lcf76f155ced4ddcb4097134ff3c332f" ma:taxonomyFieldName="MediaServiceImageTags" ma:displayName="Resim Etiketleri" ma:readOnly="false" ma:fieldId="{5cf76f15-5ced-4ddc-b409-7134ff3c332f}" ma:taxonomyMulti="true" ma:sspId="d360a35d-1e96-46a3-a1bf-3513495fae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d8d3f-5aac-4b49-8e58-086d35659b0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ca6a140d-7eb2-47a2-8748-07ee470db1e4}" ma:internalName="TaxCatchAll" ma:showField="CatchAllData" ma:web="5f9d8d3f-5aac-4b49-8e58-086d35659b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00E948-4003-4BEC-8AA4-08473A361E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3CCC1C-7F21-44DF-BA1F-93B5106C3A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9a46b8-f6d2-4a5e-8ebf-628fde6b8530"/>
    <ds:schemaRef ds:uri="5f9d8d3f-5aac-4b49-8e58-086d35659b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15</vt:i4>
      </vt:variant>
    </vt:vector>
  </HeadingPairs>
  <TitlesOfParts>
    <vt:vector size="17" baseType="lpstr">
      <vt:lpstr>HBR NCR</vt:lpstr>
      <vt:lpstr>Sayfa2</vt:lpstr>
      <vt:lpstr>'HBR NCR'!Bölüm</vt:lpstr>
      <vt:lpstr>Chassis_Design</vt:lpstr>
      <vt:lpstr>Chassis_Quality</vt:lpstr>
      <vt:lpstr>Electrical_Design</vt:lpstr>
      <vt:lpstr>Electromechanic_Tasarım</vt:lpstr>
      <vt:lpstr>GKK</vt:lpstr>
      <vt:lpstr>Logistics</vt:lpstr>
      <vt:lpstr>Mechanical_Design</vt:lpstr>
      <vt:lpstr>Process_And_Final_Quality</vt:lpstr>
      <vt:lpstr>Production_And_Test</vt:lpstr>
      <vt:lpstr>Purchasing</vt:lpstr>
      <vt:lpstr>SQA</vt:lpstr>
      <vt:lpstr>SSH</vt:lpstr>
      <vt:lpstr>Supplier</vt:lpstr>
      <vt:lpstr>Trim_Design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Erkin Demir</dc:creator>
  <cp:lastModifiedBy>Fatih ERKİN</cp:lastModifiedBy>
  <cp:lastPrinted>2019-06-12T07:41:46Z</cp:lastPrinted>
  <dcterms:created xsi:type="dcterms:W3CDTF">2015-07-21T07:44:00Z</dcterms:created>
  <dcterms:modified xsi:type="dcterms:W3CDTF">2026-02-16T11:47:31Z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81dea-88a8-41fd-9ad3-83fe90976aee_Enabled">
    <vt:lpwstr>True</vt:lpwstr>
  </property>
  <property fmtid="{D5CDD505-2E9C-101B-9397-08002B2CF9AE}" pid="3" name="MSIP_Label_b0281dea-88a8-41fd-9ad3-83fe90976aee_SiteId">
    <vt:lpwstr>526aa943-377b-4a76-86ad-0ae6009de111</vt:lpwstr>
  </property>
  <property fmtid="{D5CDD505-2E9C-101B-9397-08002B2CF9AE}" pid="4" name="MSIP_Label_b0281dea-88a8-41fd-9ad3-83fe90976aee_Owner">
    <vt:lpwstr>damlacaliskan@bozankaya.com</vt:lpwstr>
  </property>
  <property fmtid="{D5CDD505-2E9C-101B-9397-08002B2CF9AE}" pid="5" name="MSIP_Label_b0281dea-88a8-41fd-9ad3-83fe90976aee_SetDate">
    <vt:lpwstr>2019-05-08T07:18:49.8021789Z</vt:lpwstr>
  </property>
  <property fmtid="{D5CDD505-2E9C-101B-9397-08002B2CF9AE}" pid="6" name="MSIP_Label_b0281dea-88a8-41fd-9ad3-83fe90976aee_Name">
    <vt:lpwstr>Hizmete Özel</vt:lpwstr>
  </property>
  <property fmtid="{D5CDD505-2E9C-101B-9397-08002B2CF9AE}" pid="7" name="MSIP_Label_b0281dea-88a8-41fd-9ad3-83fe90976aee_Application">
    <vt:lpwstr>Microsoft Azure Information Protection</vt:lpwstr>
  </property>
  <property fmtid="{D5CDD505-2E9C-101B-9397-08002B2CF9AE}" pid="8" name="MSIP_Label_b0281dea-88a8-41fd-9ad3-83fe90976aee_Extended_MSFT_Method">
    <vt:lpwstr>Manual</vt:lpwstr>
  </property>
  <property fmtid="{D5CDD505-2E9C-101B-9397-08002B2CF9AE}" pid="9" name="Sensitivity">
    <vt:lpwstr>Hizmete Özel</vt:lpwstr>
  </property>
</Properties>
</file>