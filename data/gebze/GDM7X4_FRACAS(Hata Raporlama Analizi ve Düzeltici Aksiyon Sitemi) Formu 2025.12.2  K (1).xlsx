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updateLinks="always" codeName="ThisWorkbook" defaultThemeVersion="166925"/>
  <mc:AlternateContent xmlns:mc="http://schemas.openxmlformats.org/markup-compatibility/2006">
    <mc:Choice Requires="x15">
      <x15ac:absPath xmlns:x15ac="http://schemas.microsoft.com/office/spreadsheetml/2010/11/ac" url="C:\Users\fatiherkin\Downloads\"/>
    </mc:Choice>
  </mc:AlternateContent>
  <xr:revisionPtr revIDLastSave="0" documentId="8_{F7EB76C8-ECBC-4B2D-9701-2CB67EAFBC09}" xr6:coauthVersionLast="47" xr6:coauthVersionMax="47" xr10:uidLastSave="{00000000-0000-0000-0000-000000000000}"/>
  <bookViews>
    <workbookView xWindow="-108" yWindow="-108" windowWidth="23256" windowHeight="13896" xr2:uid="{00000000-000D-0000-FFFF-FFFF00000000}"/>
  </bookViews>
  <sheets>
    <sheet name="FRACAS" sheetId="167" r:id="rId1"/>
    <sheet name="FRACAS yedek" sheetId="180" state="hidden" r:id="rId2"/>
  </sheets>
  <externalReferences>
    <externalReference r:id="rId3"/>
    <externalReference r:id="rId4"/>
    <externalReference r:id="rId5"/>
    <externalReference r:id="rId6"/>
  </externalReferences>
  <definedNames>
    <definedName name="_xlnm._FilterDatabase" localSheetId="0" hidden="1">FRACAS!$A$4:$BB$173</definedName>
    <definedName name="_xlnm._FilterDatabase" localSheetId="1" hidden="1">'FRACAS yedek'!$A$5:$BT$466</definedName>
    <definedName name="Ana_Kompanent">#REF!</definedName>
    <definedName name="Ant_2">#REF!</definedName>
    <definedName name="Araç_Şase">#REF!</definedName>
    <definedName name="Araç_Şase_Numaraları">#REF!</definedName>
    <definedName name="Araç_Tipi">#REF!</definedName>
    <definedName name="Assembly_Line">#REF!</definedName>
    <definedName name="Auxiliary_Power_Unit">#REF!</definedName>
    <definedName name="Batarya">#REF!</definedName>
    <definedName name="Bogie">#REF!</definedName>
    <definedName name="Boji">#REF!</definedName>
    <definedName name="BOZANKAYA_Design">#REF!</definedName>
    <definedName name="Bölüm">#REF!</definedName>
    <definedName name="Brake_System">#REF!</definedName>
    <definedName name="CCTV">#REF!</definedName>
    <definedName name="Chassis_Design">#REF!</definedName>
    <definedName name="Chassis_Production">#REF!</definedName>
    <definedName name="Chassis_Quality">#REF!</definedName>
    <definedName name="Chassis_Quality_Controls">#REF!</definedName>
    <definedName name="Couplers">#REF!</definedName>
    <definedName name="Department">#REF!</definedName>
    <definedName name="Door_System">#REF!</definedName>
    <definedName name="Driver_HVAC_System">#REF!</definedName>
    <definedName name="E_Kabinet">#REF!</definedName>
    <definedName name="Electrical_Design">#REF!</definedName>
    <definedName name="Electromechanic_Tasarım">#REF!</definedName>
    <definedName name="Elektrik_Tasarım">#REF!</definedName>
    <definedName name="External_Light">#REF!</definedName>
    <definedName name="External_Trim">#REF!</definedName>
    <definedName name="Gangway_Articulation">#REF!</definedName>
    <definedName name="Gearbox">#REF!</definedName>
    <definedName name="Giriş_Kalite_Kontrol">#REF!</definedName>
    <definedName name="HataDurumu">'[1]Hata Durumu'!$B$2:$B$4</definedName>
    <definedName name="HataGidermeYöntemi1">'[1]Hata Giderme Yöntemi'!$B$2:$B$5</definedName>
    <definedName name="HataKaynağı">'[1]Hata Kaynağı'!$B$2:$B$5</definedName>
    <definedName name="HMI">#REF!</definedName>
    <definedName name="Horn_Bell">#REF!</definedName>
    <definedName name="HSCB">#REF!</definedName>
    <definedName name="IASI_16">#REF!</definedName>
    <definedName name="Internal_Light">#REF!</definedName>
    <definedName name="Internal_Trim">#REF!</definedName>
    <definedName name="Intervall_IS1_Name">[2]Overview!$H$30</definedName>
    <definedName name="Intervall_IS2_Name">[2]Overview!$H$31</definedName>
    <definedName name="Intervall_IS2I_Name">[2]Overview!$H$32</definedName>
    <definedName name="Intervall_IS2II_Name">[2]Overview!$H$33</definedName>
    <definedName name="Intervall_IS3_Name">[2]Overview!$H$34</definedName>
    <definedName name="Intervall_IS4_Name">[2]Overview!$H$35</definedName>
    <definedName name="Intervall_ÜH1_Name">[2]Overview!$H$36</definedName>
    <definedName name="Intervall_ÜH2_Name">[2]Overview!$H$37</definedName>
    <definedName name="İncoming_Quality">#REF!</definedName>
    <definedName name="İncoming_Quality_Controls">#REF!</definedName>
    <definedName name="Kabin_Masası">#REF!</definedName>
    <definedName name="Kablo_Kanalı">#REF!</definedName>
    <definedName name="KAY_5_6">#REF!</definedName>
    <definedName name="KOC_10">#REF!</definedName>
    <definedName name="Lubrication_System">#REF!</definedName>
    <definedName name="Master_Controler">#REF!</definedName>
    <definedName name="Mechanical_Design">#REF!</definedName>
    <definedName name="Mekanik_Tasarım">#REF!</definedName>
    <definedName name="Model">#REF!</definedName>
    <definedName name="Motor">#REF!</definedName>
    <definedName name="Other">#REF!</definedName>
    <definedName name="Other_Department">#REF!</definedName>
    <definedName name="Pantograf">#REF!</definedName>
    <definedName name="Passenger_HVAC_System">#REF!</definedName>
    <definedName name="Passenger_Information">#REF!</definedName>
    <definedName name="Process_And_Final_Quality">#REF!</definedName>
    <definedName name="Process_Quality_Controls">#REF!</definedName>
    <definedName name="Production_And_Test">#REF!</definedName>
    <definedName name="Projeler">#REF!</definedName>
    <definedName name="Reported_By">#REF!</definedName>
    <definedName name="Sanding_System">#REF!</definedName>
    <definedName name="SIEMENS">#REF!</definedName>
    <definedName name="Sinyal">#REF!</definedName>
    <definedName name="Suspantion_Damper">#REF!</definedName>
    <definedName name="Şasi">#REF!</definedName>
    <definedName name="TCMS">#REF!</definedName>
    <definedName name="TIM_16_24">#REF!</definedName>
    <definedName name="TIM_1624">#REF!</definedName>
    <definedName name="Traction_Converter">#REF!</definedName>
    <definedName name="Trim_Design">#REF!</definedName>
    <definedName name="Trim_Tasarım">#REF!</definedName>
    <definedName name="Üretim">#REF!</definedName>
    <definedName name="Üretim_Depo">#REF!</definedName>
    <definedName name="Wiper_System">#REF!</definedName>
    <definedName name="_xlnm.Print_Area" localSheetId="0">FRACAS!$E$1:$AO$6</definedName>
    <definedName name="_xlnm.Print_Area" localSheetId="1">'FRACAS yedek'!$E$1:$AO$7</definedName>
    <definedName name="_xlnm.Print_Titles" localSheetId="0">FRACAS!$1:$2</definedName>
    <definedName name="_xlnm.Print_Titles" localSheetId="1">'FRACAS yedek'!$1:$2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6" i="167" l="1"/>
  <c r="C246" i="167"/>
  <c r="D246" i="167"/>
  <c r="E246" i="167"/>
  <c r="L246" i="167" s="1"/>
  <c r="F246" i="167"/>
  <c r="G246" i="167"/>
  <c r="H246" i="167"/>
  <c r="I246" i="167"/>
  <c r="J246" i="167"/>
  <c r="K246" i="167"/>
  <c r="AN246" i="167" s="1"/>
  <c r="M246" i="167"/>
  <c r="N246" i="167"/>
  <c r="O246" i="167"/>
  <c r="AM246" i="167" s="1"/>
  <c r="P246" i="167"/>
  <c r="Q246" i="167" a="1"/>
  <c r="Q246" i="167" s="1"/>
  <c r="R246" i="167"/>
  <c r="S246" i="167"/>
  <c r="T246" i="167"/>
  <c r="U246" i="167"/>
  <c r="V246" i="167"/>
  <c r="W246" i="167"/>
  <c r="X246" i="167" s="1"/>
  <c r="Y246" i="167"/>
  <c r="Z246" i="167"/>
  <c r="AF246" i="167"/>
  <c r="AG246" i="167"/>
  <c r="AH246" i="167"/>
  <c r="AK246" i="167"/>
  <c r="AO246" i="167"/>
  <c r="AP246" i="167"/>
  <c r="AQ246" i="167"/>
  <c r="AR246" i="167"/>
  <c r="AS246" i="167"/>
  <c r="AT246" i="167"/>
  <c r="AU246" i="167"/>
  <c r="B247" i="167"/>
  <c r="C247" i="167"/>
  <c r="D247" i="167"/>
  <c r="E247" i="167"/>
  <c r="L247" i="167" s="1"/>
  <c r="F247" i="167"/>
  <c r="G247" i="167"/>
  <c r="H247" i="167"/>
  <c r="I247" i="167"/>
  <c r="J247" i="167"/>
  <c r="K247" i="167"/>
  <c r="AN247" i="167" s="1"/>
  <c r="M247" i="167"/>
  <c r="N247" i="167"/>
  <c r="O247" i="167"/>
  <c r="P247" i="167"/>
  <c r="Q247" i="167" a="1"/>
  <c r="Q247" i="167" s="1"/>
  <c r="R247" i="167"/>
  <c r="S247" i="167"/>
  <c r="T247" i="167"/>
  <c r="U247" i="167"/>
  <c r="V247" i="167"/>
  <c r="W247" i="167"/>
  <c r="X247" i="167" s="1"/>
  <c r="Y247" i="167"/>
  <c r="AC247" i="167" s="1"/>
  <c r="Z247" i="167"/>
  <c r="AD247" i="167" s="1"/>
  <c r="AE247" i="167" s="1"/>
  <c r="AA247" i="167"/>
  <c r="AF247" i="167"/>
  <c r="AG247" i="167"/>
  <c r="AH247" i="167"/>
  <c r="AK247" i="167"/>
  <c r="AO247" i="167"/>
  <c r="AP247" i="167"/>
  <c r="AQ247" i="167"/>
  <c r="AR247" i="167"/>
  <c r="AS247" i="167"/>
  <c r="AT247" i="167"/>
  <c r="AU247" i="167"/>
  <c r="B248" i="167"/>
  <c r="C248" i="167"/>
  <c r="D248" i="167"/>
  <c r="E248" i="167"/>
  <c r="L248" i="167" s="1"/>
  <c r="F248" i="167"/>
  <c r="G248" i="167"/>
  <c r="H248" i="167"/>
  <c r="I248" i="167"/>
  <c r="J248" i="167"/>
  <c r="K248" i="167"/>
  <c r="AN248" i="167" s="1"/>
  <c r="M248" i="167"/>
  <c r="N248" i="167"/>
  <c r="O248" i="167"/>
  <c r="P248" i="167"/>
  <c r="Q248" i="167" a="1"/>
  <c r="Q248" i="167" s="1"/>
  <c r="R248" i="167"/>
  <c r="S248" i="167"/>
  <c r="T248" i="167"/>
  <c r="U248" i="167"/>
  <c r="V248" i="167"/>
  <c r="W248" i="167"/>
  <c r="X248" i="167" s="1"/>
  <c r="Y248" i="167"/>
  <c r="AC248" i="167" s="1"/>
  <c r="Z248" i="167"/>
  <c r="AA248" i="167" s="1"/>
  <c r="AF248" i="167"/>
  <c r="AG248" i="167"/>
  <c r="AH248" i="167"/>
  <c r="AK248" i="167"/>
  <c r="AO248" i="167"/>
  <c r="AP248" i="167"/>
  <c r="AQ248" i="167"/>
  <c r="AR248" i="167"/>
  <c r="AS248" i="167"/>
  <c r="AT248" i="167"/>
  <c r="AU248" i="167"/>
  <c r="B249" i="167"/>
  <c r="C249" i="167"/>
  <c r="D249" i="167"/>
  <c r="E249" i="167"/>
  <c r="L249" i="167" s="1"/>
  <c r="F249" i="167"/>
  <c r="G249" i="167"/>
  <c r="H249" i="167"/>
  <c r="I249" i="167"/>
  <c r="J249" i="167"/>
  <c r="K249" i="167"/>
  <c r="AN249" i="167" s="1"/>
  <c r="M249" i="167"/>
  <c r="N249" i="167"/>
  <c r="O249" i="167"/>
  <c r="AM249" i="167" s="1"/>
  <c r="P249" i="167"/>
  <c r="Q249" i="167" a="1"/>
  <c r="Q249" i="167" s="1"/>
  <c r="R249" i="167"/>
  <c r="S249" i="167"/>
  <c r="T249" i="167"/>
  <c r="U249" i="167"/>
  <c r="V249" i="167"/>
  <c r="W249" i="167"/>
  <c r="X249" i="167" s="1"/>
  <c r="Y249" i="167"/>
  <c r="Z249" i="167"/>
  <c r="AD249" i="167" s="1"/>
  <c r="AE249" i="167" s="1"/>
  <c r="AF249" i="167"/>
  <c r="AG249" i="167"/>
  <c r="AH249" i="167"/>
  <c r="AK249" i="167"/>
  <c r="AO249" i="167"/>
  <c r="AP249" i="167"/>
  <c r="AQ249" i="167"/>
  <c r="AR249" i="167"/>
  <c r="AS249" i="167"/>
  <c r="AT249" i="167"/>
  <c r="AU249" i="167"/>
  <c r="B250" i="167"/>
  <c r="C250" i="167"/>
  <c r="D250" i="167"/>
  <c r="E250" i="167"/>
  <c r="L250" i="167" s="1"/>
  <c r="F250" i="167"/>
  <c r="G250" i="167"/>
  <c r="H250" i="167"/>
  <c r="I250" i="167"/>
  <c r="J250" i="167"/>
  <c r="K250" i="167"/>
  <c r="AN250" i="167" s="1"/>
  <c r="M250" i="167"/>
  <c r="N250" i="167"/>
  <c r="O250" i="167"/>
  <c r="P250" i="167"/>
  <c r="Q250" i="167" a="1"/>
  <c r="Q250" i="167" s="1"/>
  <c r="R250" i="167"/>
  <c r="S250" i="167"/>
  <c r="T250" i="167"/>
  <c r="U250" i="167"/>
  <c r="V250" i="167"/>
  <c r="W250" i="167"/>
  <c r="X250" i="167" s="1"/>
  <c r="Y250" i="167"/>
  <c r="AC250" i="167" s="1"/>
  <c r="Z250" i="167"/>
  <c r="AA250" i="167" s="1"/>
  <c r="AF250" i="167"/>
  <c r="AG250" i="167"/>
  <c r="AH250" i="167"/>
  <c r="AK250" i="167"/>
  <c r="AO250" i="167"/>
  <c r="AP250" i="167"/>
  <c r="AQ250" i="167"/>
  <c r="AR250" i="167"/>
  <c r="AS250" i="167"/>
  <c r="AT250" i="167"/>
  <c r="AU250" i="167"/>
  <c r="B251" i="167"/>
  <c r="C251" i="167"/>
  <c r="D251" i="167"/>
  <c r="E251" i="167"/>
  <c r="L251" i="167" s="1"/>
  <c r="F251" i="167"/>
  <c r="G251" i="167"/>
  <c r="H251" i="167"/>
  <c r="I251" i="167"/>
  <c r="J251" i="167"/>
  <c r="K251" i="167"/>
  <c r="AN251" i="167" s="1"/>
  <c r="M251" i="167"/>
  <c r="N251" i="167"/>
  <c r="O251" i="167"/>
  <c r="P251" i="167"/>
  <c r="Q251" i="167" a="1"/>
  <c r="Q251" i="167" s="1"/>
  <c r="R251" i="167"/>
  <c r="S251" i="167"/>
  <c r="T251" i="167"/>
  <c r="U251" i="167"/>
  <c r="V251" i="167"/>
  <c r="W251" i="167"/>
  <c r="X251" i="167" s="1"/>
  <c r="Y251" i="167"/>
  <c r="Z251" i="167"/>
  <c r="AD251" i="167" s="1"/>
  <c r="AE251" i="167" s="1"/>
  <c r="AF251" i="167"/>
  <c r="AG251" i="167"/>
  <c r="AH251" i="167"/>
  <c r="AK251" i="167"/>
  <c r="AO251" i="167"/>
  <c r="AP251" i="167"/>
  <c r="AQ251" i="167"/>
  <c r="AR251" i="167"/>
  <c r="AS251" i="167"/>
  <c r="AT251" i="167"/>
  <c r="AU251" i="167"/>
  <c r="B252" i="167"/>
  <c r="C252" i="167"/>
  <c r="D252" i="167"/>
  <c r="E252" i="167"/>
  <c r="L252" i="167" s="1"/>
  <c r="F252" i="167"/>
  <c r="G252" i="167"/>
  <c r="H252" i="167"/>
  <c r="I252" i="167"/>
  <c r="J252" i="167"/>
  <c r="K252" i="167"/>
  <c r="AN252" i="167" s="1"/>
  <c r="M252" i="167"/>
  <c r="N252" i="167"/>
  <c r="O252" i="167"/>
  <c r="P252" i="167"/>
  <c r="Q252" i="167" a="1"/>
  <c r="Q252" i="167" s="1"/>
  <c r="R252" i="167"/>
  <c r="S252" i="167"/>
  <c r="T252" i="167"/>
  <c r="U252" i="167"/>
  <c r="V252" i="167"/>
  <c r="W252" i="167"/>
  <c r="X252" i="167" s="1"/>
  <c r="Y252" i="167"/>
  <c r="Z252" i="167"/>
  <c r="AA252" i="167" s="1"/>
  <c r="AF252" i="167"/>
  <c r="AG252" i="167"/>
  <c r="AH252" i="167"/>
  <c r="AK252" i="167"/>
  <c r="AO252" i="167"/>
  <c r="AP252" i="167"/>
  <c r="AQ252" i="167"/>
  <c r="AR252" i="167"/>
  <c r="AS252" i="167"/>
  <c r="AT252" i="167"/>
  <c r="AU252" i="167"/>
  <c r="B253" i="167"/>
  <c r="C253" i="167"/>
  <c r="D253" i="167"/>
  <c r="E253" i="167"/>
  <c r="F253" i="167"/>
  <c r="G253" i="167"/>
  <c r="H253" i="167"/>
  <c r="I253" i="167"/>
  <c r="J253" i="167"/>
  <c r="K253" i="167"/>
  <c r="AN253" i="167" s="1"/>
  <c r="L253" i="167"/>
  <c r="M253" i="167"/>
  <c r="N253" i="167"/>
  <c r="O253" i="167"/>
  <c r="P253" i="167"/>
  <c r="Q253" i="167" a="1"/>
  <c r="Q253" i="167" s="1"/>
  <c r="R253" i="167"/>
  <c r="S253" i="167"/>
  <c r="T253" i="167"/>
  <c r="U253" i="167"/>
  <c r="V253" i="167"/>
  <c r="W253" i="167"/>
  <c r="X253" i="167" s="1"/>
  <c r="Y253" i="167"/>
  <c r="AC253" i="167" s="1"/>
  <c r="Z253" i="167"/>
  <c r="AD253" i="167" s="1"/>
  <c r="AE253" i="167" s="1"/>
  <c r="AF253" i="167"/>
  <c r="AG253" i="167"/>
  <c r="AH253" i="167"/>
  <c r="AK253" i="167"/>
  <c r="AO253" i="167"/>
  <c r="AP253" i="167"/>
  <c r="AQ253" i="167"/>
  <c r="AR253" i="167"/>
  <c r="AS253" i="167"/>
  <c r="AT253" i="167"/>
  <c r="AU253" i="167"/>
  <c r="B254" i="167"/>
  <c r="C254" i="167"/>
  <c r="D254" i="167"/>
  <c r="E254" i="167"/>
  <c r="L254" i="167" s="1"/>
  <c r="F254" i="167"/>
  <c r="G254" i="167"/>
  <c r="H254" i="167"/>
  <c r="I254" i="167"/>
  <c r="J254" i="167"/>
  <c r="K254" i="167"/>
  <c r="AN254" i="167" s="1"/>
  <c r="M254" i="167"/>
  <c r="N254" i="167"/>
  <c r="O254" i="167"/>
  <c r="P254" i="167"/>
  <c r="Q254" i="167" a="1"/>
  <c r="Q254" i="167" s="1"/>
  <c r="R254" i="167"/>
  <c r="S254" i="167"/>
  <c r="T254" i="167"/>
  <c r="U254" i="167"/>
  <c r="V254" i="167"/>
  <c r="W254" i="167"/>
  <c r="X254" i="167" s="1"/>
  <c r="Y254" i="167"/>
  <c r="Z254" i="167"/>
  <c r="AD254" i="167" s="1"/>
  <c r="AE254" i="167" s="1"/>
  <c r="AF254" i="167"/>
  <c r="AG254" i="167"/>
  <c r="AH254" i="167"/>
  <c r="AK254" i="167"/>
  <c r="AO254" i="167"/>
  <c r="AP254" i="167"/>
  <c r="AQ254" i="167"/>
  <c r="AR254" i="167"/>
  <c r="AS254" i="167"/>
  <c r="AT254" i="167"/>
  <c r="AU254" i="167"/>
  <c r="B255" i="167"/>
  <c r="C255" i="167"/>
  <c r="D255" i="167"/>
  <c r="E255" i="167"/>
  <c r="L255" i="167" s="1"/>
  <c r="F255" i="167"/>
  <c r="G255" i="167"/>
  <c r="H255" i="167"/>
  <c r="I255" i="167"/>
  <c r="J255" i="167"/>
  <c r="K255" i="167"/>
  <c r="AN255" i="167" s="1"/>
  <c r="M255" i="167"/>
  <c r="N255" i="167"/>
  <c r="O255" i="167"/>
  <c r="P255" i="167"/>
  <c r="Q255" i="167" a="1"/>
  <c r="Q255" i="167" s="1"/>
  <c r="R255" i="167"/>
  <c r="S255" i="167"/>
  <c r="T255" i="167"/>
  <c r="U255" i="167"/>
  <c r="V255" i="167"/>
  <c r="W255" i="167"/>
  <c r="X255" i="167" s="1"/>
  <c r="Y255" i="167"/>
  <c r="AC255" i="167" s="1"/>
  <c r="Z255" i="167"/>
  <c r="AD255" i="167" s="1"/>
  <c r="AE255" i="167" s="1"/>
  <c r="AF255" i="167"/>
  <c r="AG255" i="167"/>
  <c r="AH255" i="167"/>
  <c r="AK255" i="167"/>
  <c r="AO255" i="167"/>
  <c r="AP255" i="167"/>
  <c r="AQ255" i="167"/>
  <c r="AR255" i="167"/>
  <c r="AS255" i="167"/>
  <c r="AT255" i="167"/>
  <c r="AU255" i="167"/>
  <c r="B256" i="167"/>
  <c r="C256" i="167"/>
  <c r="D256" i="167"/>
  <c r="E256" i="167"/>
  <c r="L256" i="167" s="1"/>
  <c r="F256" i="167"/>
  <c r="G256" i="167"/>
  <c r="H256" i="167"/>
  <c r="I256" i="167"/>
  <c r="J256" i="167"/>
  <c r="K256" i="167"/>
  <c r="AN256" i="167" s="1"/>
  <c r="M256" i="167"/>
  <c r="N256" i="167"/>
  <c r="O256" i="167"/>
  <c r="P256" i="167"/>
  <c r="Q256" i="167" a="1"/>
  <c r="Q256" i="167" s="1"/>
  <c r="R256" i="167"/>
  <c r="S256" i="167"/>
  <c r="T256" i="167"/>
  <c r="U256" i="167"/>
  <c r="V256" i="167"/>
  <c r="W256" i="167"/>
  <c r="X256" i="167" s="1"/>
  <c r="Y256" i="167"/>
  <c r="AC256" i="167" s="1"/>
  <c r="Z256" i="167"/>
  <c r="AA256" i="167" s="1"/>
  <c r="AF256" i="167"/>
  <c r="AG256" i="167"/>
  <c r="AH256" i="167"/>
  <c r="AK256" i="167"/>
  <c r="AO256" i="167"/>
  <c r="AP256" i="167"/>
  <c r="AQ256" i="167"/>
  <c r="AR256" i="167"/>
  <c r="AS256" i="167"/>
  <c r="AT256" i="167"/>
  <c r="AU256" i="167"/>
  <c r="B257" i="167"/>
  <c r="C257" i="167"/>
  <c r="D257" i="167"/>
  <c r="E257" i="167"/>
  <c r="L257" i="167" s="1"/>
  <c r="F257" i="167"/>
  <c r="G257" i="167"/>
  <c r="H257" i="167"/>
  <c r="I257" i="167"/>
  <c r="J257" i="167"/>
  <c r="K257" i="167"/>
  <c r="AN257" i="167" s="1"/>
  <c r="M257" i="167"/>
  <c r="N257" i="167"/>
  <c r="O257" i="167"/>
  <c r="P257" i="167"/>
  <c r="Q257" i="167" a="1"/>
  <c r="Q257" i="167" s="1"/>
  <c r="R257" i="167"/>
  <c r="S257" i="167"/>
  <c r="T257" i="167"/>
  <c r="U257" i="167"/>
  <c r="V257" i="167"/>
  <c r="W257" i="167"/>
  <c r="X257" i="167" s="1"/>
  <c r="Y257" i="167"/>
  <c r="AC257" i="167" s="1"/>
  <c r="Z257" i="167"/>
  <c r="AA257" i="167" s="1"/>
  <c r="AB257" i="167"/>
  <c r="AF257" i="167"/>
  <c r="AG257" i="167"/>
  <c r="AH257" i="167"/>
  <c r="AK257" i="167"/>
  <c r="AO257" i="167"/>
  <c r="AP257" i="167"/>
  <c r="AQ257" i="167"/>
  <c r="AR257" i="167"/>
  <c r="AS257" i="167"/>
  <c r="AT257" i="167"/>
  <c r="AU257" i="167"/>
  <c r="B258" i="167"/>
  <c r="C258" i="167"/>
  <c r="D258" i="167"/>
  <c r="E258" i="167"/>
  <c r="L258" i="167" s="1"/>
  <c r="F258" i="167"/>
  <c r="G258" i="167"/>
  <c r="H258" i="167"/>
  <c r="I258" i="167"/>
  <c r="J258" i="167"/>
  <c r="K258" i="167"/>
  <c r="AN258" i="167" s="1"/>
  <c r="M258" i="167"/>
  <c r="N258" i="167"/>
  <c r="O258" i="167"/>
  <c r="P258" i="167"/>
  <c r="Q258" i="167" a="1"/>
  <c r="Q258" i="167" s="1"/>
  <c r="R258" i="167"/>
  <c r="S258" i="167"/>
  <c r="T258" i="167"/>
  <c r="U258" i="167"/>
  <c r="V258" i="167"/>
  <c r="W258" i="167"/>
  <c r="X258" i="167" s="1"/>
  <c r="Y258" i="167"/>
  <c r="AC258" i="167" s="1"/>
  <c r="Z258" i="167"/>
  <c r="AD258" i="167" s="1"/>
  <c r="AE258" i="167" s="1"/>
  <c r="AA258" i="167"/>
  <c r="AF258" i="167"/>
  <c r="AG258" i="167"/>
  <c r="AH258" i="167"/>
  <c r="AK258" i="167"/>
  <c r="AO258" i="167"/>
  <c r="AP258" i="167"/>
  <c r="AQ258" i="167"/>
  <c r="AR258" i="167"/>
  <c r="AS258" i="167"/>
  <c r="AT258" i="167"/>
  <c r="AU258" i="167"/>
  <c r="B241" i="167"/>
  <c r="C241" i="167"/>
  <c r="D241" i="167"/>
  <c r="E241" i="167"/>
  <c r="L241" i="167" s="1"/>
  <c r="F241" i="167"/>
  <c r="G241" i="167"/>
  <c r="H241" i="167"/>
  <c r="I241" i="167"/>
  <c r="J241" i="167"/>
  <c r="K241" i="167"/>
  <c r="AN241" i="167" s="1"/>
  <c r="M241" i="167"/>
  <c r="N241" i="167"/>
  <c r="O241" i="167"/>
  <c r="P241" i="167"/>
  <c r="Q241" i="167" a="1"/>
  <c r="Q241" i="167" s="1"/>
  <c r="R241" i="167"/>
  <c r="S241" i="167"/>
  <c r="T241" i="167"/>
  <c r="U241" i="167"/>
  <c r="V241" i="167"/>
  <c r="W241" i="167"/>
  <c r="X241" i="167" s="1"/>
  <c r="Y241" i="167"/>
  <c r="Z241" i="167"/>
  <c r="AA241" i="167" s="1"/>
  <c r="AF241" i="167"/>
  <c r="AG241" i="167"/>
  <c r="AH241" i="167"/>
  <c r="AK241" i="167"/>
  <c r="AO241" i="167"/>
  <c r="AP241" i="167"/>
  <c r="AQ241" i="167"/>
  <c r="AR241" i="167"/>
  <c r="AS241" i="167"/>
  <c r="AT241" i="167"/>
  <c r="AU241" i="167"/>
  <c r="B242" i="167"/>
  <c r="C242" i="167"/>
  <c r="D242" i="167"/>
  <c r="E242" i="167"/>
  <c r="L242" i="167" s="1"/>
  <c r="F242" i="167"/>
  <c r="G242" i="167"/>
  <c r="H242" i="167"/>
  <c r="I242" i="167"/>
  <c r="J242" i="167"/>
  <c r="K242" i="167"/>
  <c r="AN242" i="167" s="1"/>
  <c r="M242" i="167"/>
  <c r="N242" i="167"/>
  <c r="O242" i="167"/>
  <c r="AM242" i="167" s="1"/>
  <c r="P242" i="167"/>
  <c r="Q242" i="167" a="1"/>
  <c r="Q242" i="167" s="1"/>
  <c r="R242" i="167"/>
  <c r="S242" i="167"/>
  <c r="T242" i="167"/>
  <c r="U242" i="167"/>
  <c r="V242" i="167"/>
  <c r="W242" i="167"/>
  <c r="X242" i="167" s="1"/>
  <c r="Y242" i="167"/>
  <c r="Z242" i="167"/>
  <c r="AA242" i="167" s="1"/>
  <c r="AF242" i="167"/>
  <c r="AG242" i="167"/>
  <c r="AH242" i="167"/>
  <c r="AK242" i="167"/>
  <c r="AO242" i="167"/>
  <c r="AP242" i="167"/>
  <c r="AQ242" i="167"/>
  <c r="AR242" i="167"/>
  <c r="AS242" i="167"/>
  <c r="AT242" i="167"/>
  <c r="AU242" i="167"/>
  <c r="B243" i="167"/>
  <c r="C243" i="167"/>
  <c r="D243" i="167"/>
  <c r="E243" i="167"/>
  <c r="L243" i="167" s="1"/>
  <c r="F243" i="167"/>
  <c r="G243" i="167"/>
  <c r="H243" i="167"/>
  <c r="I243" i="167"/>
  <c r="J243" i="167"/>
  <c r="K243" i="167"/>
  <c r="AN243" i="167" s="1"/>
  <c r="M243" i="167"/>
  <c r="N243" i="167"/>
  <c r="O243" i="167"/>
  <c r="P243" i="167"/>
  <c r="Q243" i="167" a="1"/>
  <c r="Q243" i="167" s="1"/>
  <c r="R243" i="167"/>
  <c r="S243" i="167"/>
  <c r="T243" i="167"/>
  <c r="U243" i="167"/>
  <c r="V243" i="167"/>
  <c r="W243" i="167"/>
  <c r="X243" i="167" s="1"/>
  <c r="Y243" i="167"/>
  <c r="AC243" i="167" s="1"/>
  <c r="Z243" i="167"/>
  <c r="AA243" i="167" s="1"/>
  <c r="AF243" i="167"/>
  <c r="AG243" i="167"/>
  <c r="AH243" i="167"/>
  <c r="AK243" i="167"/>
  <c r="AO243" i="167"/>
  <c r="AP243" i="167"/>
  <c r="AQ243" i="167"/>
  <c r="AR243" i="167"/>
  <c r="AS243" i="167"/>
  <c r="AT243" i="167"/>
  <c r="AU243" i="167"/>
  <c r="B244" i="167"/>
  <c r="C244" i="167"/>
  <c r="D244" i="167"/>
  <c r="E244" i="167"/>
  <c r="L244" i="167" s="1"/>
  <c r="F244" i="167"/>
  <c r="G244" i="167"/>
  <c r="H244" i="167"/>
  <c r="I244" i="167"/>
  <c r="J244" i="167"/>
  <c r="K244" i="167"/>
  <c r="AN244" i="167" s="1"/>
  <c r="M244" i="167"/>
  <c r="N244" i="167"/>
  <c r="O244" i="167"/>
  <c r="P244" i="167"/>
  <c r="Q244" i="167" a="1"/>
  <c r="Q244" i="167"/>
  <c r="R244" i="167"/>
  <c r="S244" i="167"/>
  <c r="T244" i="167"/>
  <c r="U244" i="167"/>
  <c r="V244" i="167"/>
  <c r="W244" i="167"/>
  <c r="X244" i="167" s="1"/>
  <c r="Y244" i="167"/>
  <c r="AC244" i="167" s="1"/>
  <c r="Z244" i="167"/>
  <c r="AA244" i="167" s="1"/>
  <c r="AF244" i="167"/>
  <c r="AG244" i="167"/>
  <c r="AH244" i="167"/>
  <c r="AK244" i="167"/>
  <c r="AO244" i="167"/>
  <c r="AP244" i="167"/>
  <c r="AQ244" i="167"/>
  <c r="AR244" i="167"/>
  <c r="AS244" i="167"/>
  <c r="AT244" i="167"/>
  <c r="AU244" i="167"/>
  <c r="B245" i="167"/>
  <c r="C245" i="167"/>
  <c r="D245" i="167"/>
  <c r="E245" i="167"/>
  <c r="L245" i="167" s="1"/>
  <c r="F245" i="167"/>
  <c r="G245" i="167"/>
  <c r="H245" i="167"/>
  <c r="I245" i="167"/>
  <c r="J245" i="167"/>
  <c r="K245" i="167"/>
  <c r="AN245" i="167" s="1"/>
  <c r="M245" i="167"/>
  <c r="N245" i="167"/>
  <c r="O245" i="167"/>
  <c r="P245" i="167"/>
  <c r="Q245" i="167" a="1"/>
  <c r="Q245" i="167" s="1"/>
  <c r="R245" i="167"/>
  <c r="S245" i="167"/>
  <c r="T245" i="167"/>
  <c r="U245" i="167"/>
  <c r="V245" i="167"/>
  <c r="W245" i="167"/>
  <c r="X245" i="167" s="1"/>
  <c r="Y245" i="167"/>
  <c r="AC245" i="167" s="1"/>
  <c r="Z245" i="167"/>
  <c r="AD245" i="167" s="1"/>
  <c r="AE245" i="167" s="1"/>
  <c r="AF245" i="167"/>
  <c r="AG245" i="167"/>
  <c r="AH245" i="167"/>
  <c r="AK245" i="167"/>
  <c r="AO245" i="167"/>
  <c r="AP245" i="167"/>
  <c r="AQ245" i="167"/>
  <c r="AR245" i="167"/>
  <c r="AS245" i="167"/>
  <c r="AT245" i="167"/>
  <c r="AU245" i="167"/>
  <c r="B233" i="167"/>
  <c r="C233" i="167"/>
  <c r="D233" i="167"/>
  <c r="E233" i="167"/>
  <c r="L233" i="167" s="1"/>
  <c r="F233" i="167"/>
  <c r="G233" i="167"/>
  <c r="H233" i="167"/>
  <c r="I233" i="167"/>
  <c r="J233" i="167"/>
  <c r="K233" i="167"/>
  <c r="AN233" i="167" s="1"/>
  <c r="M233" i="167"/>
  <c r="N233" i="167"/>
  <c r="O233" i="167"/>
  <c r="P233" i="167"/>
  <c r="Q233" i="167" a="1"/>
  <c r="Q233" i="167" s="1"/>
  <c r="R233" i="167"/>
  <c r="S233" i="167"/>
  <c r="T233" i="167"/>
  <c r="U233" i="167"/>
  <c r="V233" i="167"/>
  <c r="W233" i="167"/>
  <c r="X233" i="167" s="1"/>
  <c r="Y233" i="167"/>
  <c r="AC233" i="167" s="1"/>
  <c r="Z233" i="167"/>
  <c r="AA233" i="167" s="1"/>
  <c r="AF233" i="167"/>
  <c r="AG233" i="167"/>
  <c r="AH233" i="167"/>
  <c r="AK233" i="167"/>
  <c r="AM233" i="167"/>
  <c r="AO233" i="167"/>
  <c r="AP233" i="167"/>
  <c r="AQ233" i="167"/>
  <c r="AR233" i="167"/>
  <c r="AS233" i="167"/>
  <c r="AT233" i="167"/>
  <c r="AU233" i="167"/>
  <c r="B234" i="167"/>
  <c r="C234" i="167"/>
  <c r="D234" i="167"/>
  <c r="E234" i="167"/>
  <c r="L234" i="167" s="1"/>
  <c r="F234" i="167"/>
  <c r="G234" i="167"/>
  <c r="H234" i="167"/>
  <c r="I234" i="167"/>
  <c r="J234" i="167"/>
  <c r="K234" i="167"/>
  <c r="AN234" i="167" s="1"/>
  <c r="M234" i="167"/>
  <c r="N234" i="167"/>
  <c r="O234" i="167"/>
  <c r="AM234" i="167" s="1"/>
  <c r="P234" i="167"/>
  <c r="Q234" i="167" a="1"/>
  <c r="Q234" i="167" s="1"/>
  <c r="R234" i="167"/>
  <c r="S234" i="167"/>
  <c r="T234" i="167"/>
  <c r="U234" i="167"/>
  <c r="V234" i="167"/>
  <c r="W234" i="167"/>
  <c r="X234" i="167" s="1"/>
  <c r="Y234" i="167"/>
  <c r="AC234" i="167" s="1"/>
  <c r="Z234" i="167"/>
  <c r="AD234" i="167" s="1"/>
  <c r="AE234" i="167" s="1"/>
  <c r="AA234" i="167"/>
  <c r="AF234" i="167"/>
  <c r="AG234" i="167"/>
  <c r="AH234" i="167"/>
  <c r="AK234" i="167"/>
  <c r="AO234" i="167"/>
  <c r="AP234" i="167"/>
  <c r="AQ234" i="167"/>
  <c r="AR234" i="167"/>
  <c r="AS234" i="167"/>
  <c r="AT234" i="167"/>
  <c r="AU234" i="167"/>
  <c r="B235" i="167"/>
  <c r="C235" i="167"/>
  <c r="D235" i="167"/>
  <c r="E235" i="167"/>
  <c r="L235" i="167" s="1"/>
  <c r="F235" i="167"/>
  <c r="G235" i="167"/>
  <c r="H235" i="167"/>
  <c r="I235" i="167"/>
  <c r="J235" i="167"/>
  <c r="K235" i="167"/>
  <c r="AN235" i="167" s="1"/>
  <c r="M235" i="167"/>
  <c r="N235" i="167"/>
  <c r="O235" i="167"/>
  <c r="P235" i="167"/>
  <c r="Q235" i="167" a="1"/>
  <c r="Q235" i="167" s="1"/>
  <c r="R235" i="167"/>
  <c r="S235" i="167"/>
  <c r="T235" i="167"/>
  <c r="U235" i="167"/>
  <c r="V235" i="167"/>
  <c r="W235" i="167"/>
  <c r="X235" i="167" s="1"/>
  <c r="Y235" i="167"/>
  <c r="Z235" i="167"/>
  <c r="AA235" i="167" s="1"/>
  <c r="AD235" i="167"/>
  <c r="AE235" i="167" s="1"/>
  <c r="AF235" i="167"/>
  <c r="AG235" i="167"/>
  <c r="AH235" i="167"/>
  <c r="AK235" i="167"/>
  <c r="AO235" i="167"/>
  <c r="AP235" i="167"/>
  <c r="AQ235" i="167"/>
  <c r="AR235" i="167"/>
  <c r="AS235" i="167"/>
  <c r="AT235" i="167"/>
  <c r="AU235" i="167"/>
  <c r="B236" i="167"/>
  <c r="C236" i="167"/>
  <c r="D236" i="167"/>
  <c r="E236" i="167"/>
  <c r="L236" i="167" s="1"/>
  <c r="F236" i="167"/>
  <c r="G236" i="167"/>
  <c r="H236" i="167"/>
  <c r="I236" i="167"/>
  <c r="J236" i="167"/>
  <c r="K236" i="167"/>
  <c r="AN236" i="167" s="1"/>
  <c r="M236" i="167"/>
  <c r="N236" i="167"/>
  <c r="O236" i="167"/>
  <c r="AM236" i="167" s="1"/>
  <c r="P236" i="167"/>
  <c r="Q236" i="167" a="1"/>
  <c r="Q236" i="167" s="1"/>
  <c r="R236" i="167"/>
  <c r="S236" i="167"/>
  <c r="T236" i="167"/>
  <c r="U236" i="167"/>
  <c r="V236" i="167"/>
  <c r="W236" i="167"/>
  <c r="X236" i="167" s="1"/>
  <c r="Y236" i="167"/>
  <c r="AC236" i="167" s="1"/>
  <c r="Z236" i="167"/>
  <c r="AD236" i="167" s="1"/>
  <c r="AE236" i="167" s="1"/>
  <c r="AF236" i="167"/>
  <c r="AG236" i="167"/>
  <c r="AH236" i="167"/>
  <c r="AK236" i="167"/>
  <c r="AO236" i="167"/>
  <c r="AP236" i="167"/>
  <c r="AQ236" i="167"/>
  <c r="AR236" i="167"/>
  <c r="AS236" i="167"/>
  <c r="AT236" i="167"/>
  <c r="AU236" i="167"/>
  <c r="B237" i="167"/>
  <c r="C237" i="167"/>
  <c r="D237" i="167"/>
  <c r="E237" i="167"/>
  <c r="L237" i="167" s="1"/>
  <c r="F237" i="167"/>
  <c r="G237" i="167"/>
  <c r="H237" i="167"/>
  <c r="I237" i="167"/>
  <c r="J237" i="167"/>
  <c r="K237" i="167"/>
  <c r="AN237" i="167" s="1"/>
  <c r="M237" i="167"/>
  <c r="N237" i="167"/>
  <c r="O237" i="167"/>
  <c r="P237" i="167"/>
  <c r="Q237" i="167" a="1"/>
  <c r="Q237" i="167" s="1"/>
  <c r="R237" i="167"/>
  <c r="S237" i="167"/>
  <c r="T237" i="167"/>
  <c r="U237" i="167"/>
  <c r="V237" i="167"/>
  <c r="W237" i="167"/>
  <c r="X237" i="167" s="1"/>
  <c r="Y237" i="167"/>
  <c r="Z237" i="167"/>
  <c r="AA237" i="167" s="1"/>
  <c r="AF237" i="167"/>
  <c r="AG237" i="167"/>
  <c r="AH237" i="167"/>
  <c r="AK237" i="167"/>
  <c r="AO237" i="167"/>
  <c r="AP237" i="167"/>
  <c r="AQ237" i="167"/>
  <c r="AR237" i="167"/>
  <c r="AS237" i="167"/>
  <c r="AT237" i="167"/>
  <c r="AU237" i="167"/>
  <c r="B238" i="167"/>
  <c r="C238" i="167"/>
  <c r="D238" i="167"/>
  <c r="E238" i="167"/>
  <c r="L238" i="167" s="1"/>
  <c r="F238" i="167"/>
  <c r="G238" i="167"/>
  <c r="H238" i="167"/>
  <c r="I238" i="167"/>
  <c r="J238" i="167"/>
  <c r="K238" i="167"/>
  <c r="AN238" i="167" s="1"/>
  <c r="M238" i="167"/>
  <c r="N238" i="167"/>
  <c r="O238" i="167"/>
  <c r="AM238" i="167" s="1"/>
  <c r="P238" i="167"/>
  <c r="Q238" i="167" a="1"/>
  <c r="Q238" i="167" s="1"/>
  <c r="R238" i="167"/>
  <c r="S238" i="167"/>
  <c r="T238" i="167"/>
  <c r="U238" i="167"/>
  <c r="V238" i="167"/>
  <c r="W238" i="167"/>
  <c r="X238" i="167" s="1"/>
  <c r="Y238" i="167"/>
  <c r="Z238" i="167"/>
  <c r="AA238" i="167" s="1"/>
  <c r="AD238" i="167"/>
  <c r="AE238" i="167" s="1"/>
  <c r="AF238" i="167"/>
  <c r="AG238" i="167"/>
  <c r="AH238" i="167"/>
  <c r="AK238" i="167"/>
  <c r="AO238" i="167"/>
  <c r="AP238" i="167"/>
  <c r="AQ238" i="167"/>
  <c r="AR238" i="167"/>
  <c r="AS238" i="167"/>
  <c r="AT238" i="167"/>
  <c r="AU238" i="167"/>
  <c r="B239" i="167"/>
  <c r="C239" i="167"/>
  <c r="D239" i="167"/>
  <c r="E239" i="167"/>
  <c r="L239" i="167" s="1"/>
  <c r="F239" i="167"/>
  <c r="G239" i="167"/>
  <c r="H239" i="167"/>
  <c r="I239" i="167"/>
  <c r="J239" i="167"/>
  <c r="K239" i="167"/>
  <c r="AN239" i="167" s="1"/>
  <c r="M239" i="167"/>
  <c r="N239" i="167"/>
  <c r="O239" i="167"/>
  <c r="P239" i="167"/>
  <c r="Q239" i="167" a="1"/>
  <c r="Q239" i="167"/>
  <c r="R239" i="167"/>
  <c r="S239" i="167"/>
  <c r="T239" i="167"/>
  <c r="U239" i="167"/>
  <c r="V239" i="167"/>
  <c r="W239" i="167"/>
  <c r="X239" i="167" s="1"/>
  <c r="Y239" i="167"/>
  <c r="AC239" i="167" s="1"/>
  <c r="Z239" i="167"/>
  <c r="AA239" i="167" s="1"/>
  <c r="AF239" i="167"/>
  <c r="AG239" i="167"/>
  <c r="AH239" i="167"/>
  <c r="AK239" i="167"/>
  <c r="AO239" i="167"/>
  <c r="AP239" i="167"/>
  <c r="AQ239" i="167"/>
  <c r="AR239" i="167"/>
  <c r="AS239" i="167"/>
  <c r="AT239" i="167"/>
  <c r="AU239" i="167"/>
  <c r="B240" i="167"/>
  <c r="C240" i="167"/>
  <c r="D240" i="167"/>
  <c r="E240" i="167"/>
  <c r="L240" i="167" s="1"/>
  <c r="F240" i="167"/>
  <c r="G240" i="167"/>
  <c r="H240" i="167"/>
  <c r="I240" i="167"/>
  <c r="J240" i="167"/>
  <c r="K240" i="167"/>
  <c r="AN240" i="167" s="1"/>
  <c r="M240" i="167"/>
  <c r="N240" i="167"/>
  <c r="O240" i="167"/>
  <c r="AM240" i="167" s="1"/>
  <c r="P240" i="167"/>
  <c r="Q240" i="167" a="1"/>
  <c r="Q240" i="167"/>
  <c r="R240" i="167"/>
  <c r="S240" i="167"/>
  <c r="T240" i="167"/>
  <c r="U240" i="167"/>
  <c r="V240" i="167"/>
  <c r="W240" i="167"/>
  <c r="X240" i="167" s="1"/>
  <c r="Y240" i="167"/>
  <c r="AC240" i="167" s="1"/>
  <c r="Z240" i="167"/>
  <c r="AD240" i="167" s="1"/>
  <c r="AE240" i="167" s="1"/>
  <c r="AF240" i="167"/>
  <c r="AG240" i="167"/>
  <c r="AH240" i="167"/>
  <c r="AK240" i="167"/>
  <c r="AO240" i="167"/>
  <c r="AP240" i="167"/>
  <c r="AQ240" i="167"/>
  <c r="AR240" i="167"/>
  <c r="AS240" i="167"/>
  <c r="AT240" i="167"/>
  <c r="AU240" i="167"/>
  <c r="B208" i="167"/>
  <c r="C208" i="167"/>
  <c r="D208" i="167"/>
  <c r="E208" i="167"/>
  <c r="F208" i="167"/>
  <c r="G208" i="167"/>
  <c r="H208" i="167"/>
  <c r="I208" i="167"/>
  <c r="J208" i="167"/>
  <c r="K208" i="167"/>
  <c r="AN208" i="167" s="1"/>
  <c r="L208" i="167"/>
  <c r="M208" i="167"/>
  <c r="N208" i="167"/>
  <c r="O208" i="167"/>
  <c r="AM208" i="167" s="1"/>
  <c r="P208" i="167"/>
  <c r="Q208" i="167" a="1"/>
  <c r="Q208" i="167" s="1"/>
  <c r="R208" i="167"/>
  <c r="S208" i="167"/>
  <c r="T208" i="167"/>
  <c r="U208" i="167"/>
  <c r="V208" i="167"/>
  <c r="W208" i="167"/>
  <c r="X208" i="167" s="1"/>
  <c r="Y208" i="167"/>
  <c r="Z208" i="167"/>
  <c r="AF208" i="167"/>
  <c r="AG208" i="167"/>
  <c r="AH208" i="167"/>
  <c r="AK208" i="167"/>
  <c r="AO208" i="167"/>
  <c r="AP208" i="167"/>
  <c r="AQ208" i="167"/>
  <c r="AR208" i="167"/>
  <c r="AS208" i="167"/>
  <c r="AT208" i="167"/>
  <c r="AU208" i="167"/>
  <c r="B209" i="167"/>
  <c r="C209" i="167"/>
  <c r="D209" i="167"/>
  <c r="E209" i="167"/>
  <c r="L209" i="167" s="1"/>
  <c r="F209" i="167"/>
  <c r="G209" i="167"/>
  <c r="H209" i="167"/>
  <c r="I209" i="167"/>
  <c r="J209" i="167"/>
  <c r="K209" i="167"/>
  <c r="AN209" i="167" s="1"/>
  <c r="M209" i="167"/>
  <c r="N209" i="167"/>
  <c r="O209" i="167"/>
  <c r="AM209" i="167" s="1"/>
  <c r="P209" i="167"/>
  <c r="Q209" i="167" a="1"/>
  <c r="Q209" i="167" s="1"/>
  <c r="R209" i="167"/>
  <c r="S209" i="167"/>
  <c r="T209" i="167"/>
  <c r="U209" i="167"/>
  <c r="V209" i="167"/>
  <c r="W209" i="167"/>
  <c r="X209" i="167" s="1"/>
  <c r="Y209" i="167"/>
  <c r="AC209" i="167" s="1"/>
  <c r="Z209" i="167"/>
  <c r="AD209" i="167" s="1"/>
  <c r="AE209" i="167" s="1"/>
  <c r="AA209" i="167"/>
  <c r="AF209" i="167"/>
  <c r="AG209" i="167"/>
  <c r="AH209" i="167"/>
  <c r="AK209" i="167"/>
  <c r="AO209" i="167"/>
  <c r="AP209" i="167"/>
  <c r="AQ209" i="167"/>
  <c r="AR209" i="167"/>
  <c r="AS209" i="167"/>
  <c r="AT209" i="167"/>
  <c r="AU209" i="167"/>
  <c r="B210" i="167"/>
  <c r="C210" i="167"/>
  <c r="D210" i="167"/>
  <c r="E210" i="167"/>
  <c r="L210" i="167" s="1"/>
  <c r="F210" i="167"/>
  <c r="G210" i="167"/>
  <c r="H210" i="167"/>
  <c r="I210" i="167"/>
  <c r="J210" i="167"/>
  <c r="K210" i="167"/>
  <c r="AN210" i="167" s="1"/>
  <c r="M210" i="167"/>
  <c r="N210" i="167"/>
  <c r="O210" i="167"/>
  <c r="AM210" i="167" s="1"/>
  <c r="P210" i="167"/>
  <c r="Q210" i="167" a="1"/>
  <c r="Q210" i="167" s="1"/>
  <c r="R210" i="167"/>
  <c r="S210" i="167"/>
  <c r="T210" i="167"/>
  <c r="U210" i="167"/>
  <c r="V210" i="167"/>
  <c r="W210" i="167"/>
  <c r="X210" i="167"/>
  <c r="Y210" i="167"/>
  <c r="AC210" i="167" s="1"/>
  <c r="Z210" i="167"/>
  <c r="AA210" i="167" s="1"/>
  <c r="AF210" i="167"/>
  <c r="AG210" i="167"/>
  <c r="AH210" i="167"/>
  <c r="AK210" i="167"/>
  <c r="AO210" i="167"/>
  <c r="AP210" i="167"/>
  <c r="AQ210" i="167"/>
  <c r="AR210" i="167"/>
  <c r="AS210" i="167"/>
  <c r="AT210" i="167"/>
  <c r="AU210" i="167"/>
  <c r="B211" i="167"/>
  <c r="C211" i="167"/>
  <c r="D211" i="167"/>
  <c r="E211" i="167"/>
  <c r="L211" i="167" s="1"/>
  <c r="F211" i="167"/>
  <c r="G211" i="167"/>
  <c r="H211" i="167"/>
  <c r="I211" i="167"/>
  <c r="J211" i="167"/>
  <c r="K211" i="167"/>
  <c r="AN211" i="167" s="1"/>
  <c r="M211" i="167"/>
  <c r="N211" i="167"/>
  <c r="O211" i="167"/>
  <c r="AM211" i="167" s="1"/>
  <c r="P211" i="167"/>
  <c r="Q211" i="167" a="1"/>
  <c r="Q211" i="167" s="1"/>
  <c r="R211" i="167"/>
  <c r="S211" i="167"/>
  <c r="T211" i="167"/>
  <c r="U211" i="167"/>
  <c r="V211" i="167"/>
  <c r="W211" i="167"/>
  <c r="X211" i="167" s="1"/>
  <c r="Y211" i="167"/>
  <c r="AC211" i="167" s="1"/>
  <c r="Z211" i="167"/>
  <c r="AD211" i="167" s="1"/>
  <c r="AE211" i="167" s="1"/>
  <c r="AA211" i="167"/>
  <c r="AF211" i="167"/>
  <c r="AG211" i="167"/>
  <c r="AH211" i="167"/>
  <c r="AK211" i="167"/>
  <c r="AO211" i="167"/>
  <c r="AP211" i="167"/>
  <c r="AQ211" i="167"/>
  <c r="AR211" i="167"/>
  <c r="AS211" i="167"/>
  <c r="AT211" i="167"/>
  <c r="AU211" i="167"/>
  <c r="B212" i="167"/>
  <c r="C212" i="167"/>
  <c r="D212" i="167"/>
  <c r="E212" i="167"/>
  <c r="L212" i="167" s="1"/>
  <c r="F212" i="167"/>
  <c r="G212" i="167"/>
  <c r="H212" i="167"/>
  <c r="I212" i="167"/>
  <c r="J212" i="167"/>
  <c r="K212" i="167"/>
  <c r="AN212" i="167" s="1"/>
  <c r="M212" i="167"/>
  <c r="N212" i="167"/>
  <c r="O212" i="167"/>
  <c r="AM212" i="167" s="1"/>
  <c r="P212" i="167"/>
  <c r="Q212" i="167" a="1"/>
  <c r="Q212" i="167" s="1"/>
  <c r="R212" i="167"/>
  <c r="S212" i="167"/>
  <c r="T212" i="167"/>
  <c r="U212" i="167"/>
  <c r="V212" i="167"/>
  <c r="W212" i="167"/>
  <c r="X212" i="167" s="1"/>
  <c r="Y212" i="167"/>
  <c r="AC212" i="167" s="1"/>
  <c r="Z212" i="167"/>
  <c r="AA212" i="167" s="1"/>
  <c r="AF212" i="167"/>
  <c r="AG212" i="167"/>
  <c r="AH212" i="167"/>
  <c r="AK212" i="167"/>
  <c r="AO212" i="167"/>
  <c r="AP212" i="167"/>
  <c r="AQ212" i="167"/>
  <c r="AR212" i="167"/>
  <c r="AS212" i="167"/>
  <c r="AT212" i="167"/>
  <c r="AU212" i="167"/>
  <c r="B213" i="167"/>
  <c r="C213" i="167"/>
  <c r="D213" i="167"/>
  <c r="E213" i="167"/>
  <c r="L213" i="167" s="1"/>
  <c r="F213" i="167"/>
  <c r="G213" i="167"/>
  <c r="H213" i="167"/>
  <c r="I213" i="167"/>
  <c r="J213" i="167"/>
  <c r="K213" i="167"/>
  <c r="AN213" i="167" s="1"/>
  <c r="M213" i="167"/>
  <c r="N213" i="167"/>
  <c r="O213" i="167"/>
  <c r="P213" i="167"/>
  <c r="Q213" i="167" a="1"/>
  <c r="Q213" i="167" s="1"/>
  <c r="R213" i="167"/>
  <c r="S213" i="167"/>
  <c r="T213" i="167"/>
  <c r="U213" i="167"/>
  <c r="V213" i="167"/>
  <c r="W213" i="167"/>
  <c r="X213" i="167" s="1"/>
  <c r="Y213" i="167"/>
  <c r="Z213" i="167"/>
  <c r="AA213" i="167" s="1"/>
  <c r="AF213" i="167"/>
  <c r="AG213" i="167"/>
  <c r="AH213" i="167"/>
  <c r="AK213" i="167"/>
  <c r="AO213" i="167"/>
  <c r="AP213" i="167"/>
  <c r="AQ213" i="167"/>
  <c r="AR213" i="167"/>
  <c r="AS213" i="167"/>
  <c r="AT213" i="167"/>
  <c r="AU213" i="167"/>
  <c r="B214" i="167"/>
  <c r="C214" i="167"/>
  <c r="D214" i="167"/>
  <c r="E214" i="167"/>
  <c r="L214" i="167" s="1"/>
  <c r="F214" i="167"/>
  <c r="G214" i="167"/>
  <c r="H214" i="167"/>
  <c r="I214" i="167"/>
  <c r="J214" i="167"/>
  <c r="K214" i="167"/>
  <c r="AN214" i="167" s="1"/>
  <c r="M214" i="167"/>
  <c r="N214" i="167"/>
  <c r="O214" i="167"/>
  <c r="P214" i="167"/>
  <c r="Q214" i="167" a="1"/>
  <c r="Q214" i="167" s="1"/>
  <c r="R214" i="167"/>
  <c r="S214" i="167"/>
  <c r="T214" i="167"/>
  <c r="U214" i="167"/>
  <c r="V214" i="167"/>
  <c r="W214" i="167"/>
  <c r="X214" i="167" s="1"/>
  <c r="Y214" i="167"/>
  <c r="AC214" i="167" s="1"/>
  <c r="Z214" i="167"/>
  <c r="AD214" i="167" s="1"/>
  <c r="AE214" i="167" s="1"/>
  <c r="AF214" i="167"/>
  <c r="AG214" i="167"/>
  <c r="AH214" i="167"/>
  <c r="AK214" i="167"/>
  <c r="AO214" i="167"/>
  <c r="AP214" i="167"/>
  <c r="AQ214" i="167"/>
  <c r="AR214" i="167"/>
  <c r="AS214" i="167"/>
  <c r="AT214" i="167"/>
  <c r="AU214" i="167"/>
  <c r="B215" i="167"/>
  <c r="C215" i="167"/>
  <c r="D215" i="167"/>
  <c r="E215" i="167"/>
  <c r="L215" i="167" s="1"/>
  <c r="F215" i="167"/>
  <c r="G215" i="167"/>
  <c r="H215" i="167"/>
  <c r="I215" i="167"/>
  <c r="J215" i="167"/>
  <c r="K215" i="167"/>
  <c r="AN215" i="167" s="1"/>
  <c r="M215" i="167"/>
  <c r="N215" i="167"/>
  <c r="O215" i="167"/>
  <c r="P215" i="167"/>
  <c r="Q215" i="167" a="1"/>
  <c r="Q215" i="167"/>
  <c r="R215" i="167"/>
  <c r="S215" i="167"/>
  <c r="T215" i="167"/>
  <c r="U215" i="167"/>
  <c r="V215" i="167"/>
  <c r="W215" i="167"/>
  <c r="X215" i="167" s="1"/>
  <c r="Y215" i="167"/>
  <c r="AC215" i="167" s="1"/>
  <c r="Z215" i="167"/>
  <c r="AD215" i="167" s="1"/>
  <c r="AE215" i="167" s="1"/>
  <c r="AA215" i="167"/>
  <c r="AF215" i="167"/>
  <c r="AG215" i="167"/>
  <c r="AH215" i="167"/>
  <c r="AK215" i="167"/>
  <c r="AO215" i="167"/>
  <c r="AP215" i="167"/>
  <c r="AQ215" i="167"/>
  <c r="AR215" i="167"/>
  <c r="AS215" i="167"/>
  <c r="AT215" i="167"/>
  <c r="AU215" i="167"/>
  <c r="B216" i="167"/>
  <c r="C216" i="167"/>
  <c r="D216" i="167"/>
  <c r="E216" i="167"/>
  <c r="L216" i="167" s="1"/>
  <c r="F216" i="167"/>
  <c r="G216" i="167"/>
  <c r="H216" i="167"/>
  <c r="I216" i="167"/>
  <c r="J216" i="167"/>
  <c r="K216" i="167"/>
  <c r="AN216" i="167" s="1"/>
  <c r="M216" i="167"/>
  <c r="N216" i="167"/>
  <c r="O216" i="167"/>
  <c r="P216" i="167"/>
  <c r="Q216" i="167" a="1"/>
  <c r="Q216" i="167" s="1"/>
  <c r="R216" i="167"/>
  <c r="S216" i="167"/>
  <c r="T216" i="167"/>
  <c r="U216" i="167"/>
  <c r="V216" i="167"/>
  <c r="W216" i="167"/>
  <c r="X216" i="167" s="1"/>
  <c r="Y216" i="167"/>
  <c r="AC216" i="167" s="1"/>
  <c r="Z216" i="167"/>
  <c r="AA216" i="167" s="1"/>
  <c r="AF216" i="167"/>
  <c r="AG216" i="167"/>
  <c r="AH216" i="167"/>
  <c r="AK216" i="167"/>
  <c r="AO216" i="167"/>
  <c r="AP216" i="167"/>
  <c r="AQ216" i="167"/>
  <c r="AR216" i="167"/>
  <c r="AS216" i="167"/>
  <c r="AT216" i="167"/>
  <c r="AU216" i="167"/>
  <c r="B217" i="167"/>
  <c r="C217" i="167"/>
  <c r="D217" i="167"/>
  <c r="E217" i="167"/>
  <c r="L217" i="167" s="1"/>
  <c r="F217" i="167"/>
  <c r="G217" i="167"/>
  <c r="H217" i="167"/>
  <c r="I217" i="167"/>
  <c r="J217" i="167"/>
  <c r="K217" i="167"/>
  <c r="AN217" i="167" s="1"/>
  <c r="M217" i="167"/>
  <c r="N217" i="167"/>
  <c r="O217" i="167"/>
  <c r="AM217" i="167" s="1"/>
  <c r="P217" i="167"/>
  <c r="Q217" i="167" a="1"/>
  <c r="Q217" i="167" s="1"/>
  <c r="R217" i="167"/>
  <c r="S217" i="167"/>
  <c r="T217" i="167"/>
  <c r="U217" i="167"/>
  <c r="V217" i="167"/>
  <c r="W217" i="167"/>
  <c r="X217" i="167" s="1"/>
  <c r="Y217" i="167"/>
  <c r="Z217" i="167"/>
  <c r="AD217" i="167" s="1"/>
  <c r="AE217" i="167" s="1"/>
  <c r="AF217" i="167"/>
  <c r="AG217" i="167"/>
  <c r="AH217" i="167"/>
  <c r="AK217" i="167"/>
  <c r="AO217" i="167"/>
  <c r="AP217" i="167"/>
  <c r="AQ217" i="167"/>
  <c r="AR217" i="167"/>
  <c r="AS217" i="167"/>
  <c r="AT217" i="167"/>
  <c r="AU217" i="167"/>
  <c r="B218" i="167"/>
  <c r="C218" i="167"/>
  <c r="D218" i="167"/>
  <c r="E218" i="167"/>
  <c r="L218" i="167" s="1"/>
  <c r="F218" i="167"/>
  <c r="G218" i="167"/>
  <c r="H218" i="167"/>
  <c r="I218" i="167"/>
  <c r="J218" i="167"/>
  <c r="K218" i="167"/>
  <c r="AN218" i="167" s="1"/>
  <c r="M218" i="167"/>
  <c r="N218" i="167"/>
  <c r="O218" i="167"/>
  <c r="P218" i="167"/>
  <c r="Q218" i="167" a="1"/>
  <c r="Q218" i="167" s="1"/>
  <c r="R218" i="167"/>
  <c r="S218" i="167"/>
  <c r="T218" i="167"/>
  <c r="U218" i="167"/>
  <c r="V218" i="167"/>
  <c r="W218" i="167"/>
  <c r="X218" i="167" s="1"/>
  <c r="Y218" i="167"/>
  <c r="AC218" i="167" s="1"/>
  <c r="Z218" i="167"/>
  <c r="AA218" i="167" s="1"/>
  <c r="AF218" i="167"/>
  <c r="AG218" i="167"/>
  <c r="AH218" i="167"/>
  <c r="AK218" i="167"/>
  <c r="AO218" i="167"/>
  <c r="AP218" i="167"/>
  <c r="AQ218" i="167"/>
  <c r="AR218" i="167"/>
  <c r="AS218" i="167"/>
  <c r="AT218" i="167"/>
  <c r="AU218" i="167"/>
  <c r="B219" i="167"/>
  <c r="C219" i="167"/>
  <c r="D219" i="167"/>
  <c r="E219" i="167"/>
  <c r="L219" i="167" s="1"/>
  <c r="F219" i="167"/>
  <c r="G219" i="167"/>
  <c r="H219" i="167"/>
  <c r="I219" i="167"/>
  <c r="J219" i="167"/>
  <c r="K219" i="167"/>
  <c r="AN219" i="167" s="1"/>
  <c r="M219" i="167"/>
  <c r="N219" i="167"/>
  <c r="O219" i="167"/>
  <c r="AM219" i="167" s="1"/>
  <c r="P219" i="167"/>
  <c r="Q219" i="167" a="1"/>
  <c r="Q219" i="167" s="1"/>
  <c r="R219" i="167"/>
  <c r="S219" i="167"/>
  <c r="T219" i="167"/>
  <c r="U219" i="167"/>
  <c r="V219" i="167"/>
  <c r="W219" i="167"/>
  <c r="X219" i="167" s="1"/>
  <c r="Y219" i="167"/>
  <c r="AB219" i="167" s="1"/>
  <c r="AW219" i="167" s="1"/>
  <c r="Z219" i="167"/>
  <c r="AD219" i="167" s="1"/>
  <c r="AE219" i="167" s="1"/>
  <c r="AF219" i="167"/>
  <c r="AG219" i="167"/>
  <c r="AH219" i="167"/>
  <c r="AK219" i="167"/>
  <c r="AO219" i="167"/>
  <c r="AP219" i="167"/>
  <c r="AQ219" i="167"/>
  <c r="AR219" i="167"/>
  <c r="AS219" i="167"/>
  <c r="AT219" i="167"/>
  <c r="AU219" i="167"/>
  <c r="B220" i="167"/>
  <c r="C220" i="167"/>
  <c r="D220" i="167"/>
  <c r="E220" i="167"/>
  <c r="L220" i="167" s="1"/>
  <c r="F220" i="167"/>
  <c r="G220" i="167"/>
  <c r="H220" i="167"/>
  <c r="I220" i="167"/>
  <c r="J220" i="167"/>
  <c r="K220" i="167"/>
  <c r="AN220" i="167" s="1"/>
  <c r="M220" i="167"/>
  <c r="N220" i="167"/>
  <c r="O220" i="167"/>
  <c r="P220" i="167"/>
  <c r="Q220" i="167" a="1"/>
  <c r="Q220" i="167" s="1"/>
  <c r="R220" i="167"/>
  <c r="S220" i="167"/>
  <c r="T220" i="167"/>
  <c r="U220" i="167"/>
  <c r="V220" i="167"/>
  <c r="W220" i="167"/>
  <c r="X220" i="167"/>
  <c r="Y220" i="167"/>
  <c r="Z220" i="167"/>
  <c r="AA220" i="167" s="1"/>
  <c r="AF220" i="167"/>
  <c r="AG220" i="167"/>
  <c r="AH220" i="167"/>
  <c r="AK220" i="167"/>
  <c r="AO220" i="167"/>
  <c r="AP220" i="167"/>
  <c r="AQ220" i="167"/>
  <c r="AR220" i="167"/>
  <c r="AS220" i="167"/>
  <c r="AT220" i="167"/>
  <c r="AU220" i="167"/>
  <c r="B221" i="167"/>
  <c r="C221" i="167"/>
  <c r="D221" i="167"/>
  <c r="E221" i="167"/>
  <c r="L221" i="167" s="1"/>
  <c r="F221" i="167"/>
  <c r="G221" i="167"/>
  <c r="H221" i="167"/>
  <c r="I221" i="167"/>
  <c r="J221" i="167"/>
  <c r="K221" i="167"/>
  <c r="AN221" i="167" s="1"/>
  <c r="M221" i="167"/>
  <c r="N221" i="167"/>
  <c r="O221" i="167"/>
  <c r="AM221" i="167" s="1"/>
  <c r="P221" i="167"/>
  <c r="Q221" i="167" a="1"/>
  <c r="Q221" i="167" s="1"/>
  <c r="R221" i="167"/>
  <c r="S221" i="167"/>
  <c r="T221" i="167"/>
  <c r="U221" i="167"/>
  <c r="V221" i="167"/>
  <c r="W221" i="167"/>
  <c r="X221" i="167" s="1"/>
  <c r="Y221" i="167"/>
  <c r="Z221" i="167"/>
  <c r="AA221" i="167" s="1"/>
  <c r="AF221" i="167"/>
  <c r="AG221" i="167"/>
  <c r="AH221" i="167"/>
  <c r="AK221" i="167"/>
  <c r="AO221" i="167"/>
  <c r="AP221" i="167"/>
  <c r="AQ221" i="167"/>
  <c r="AR221" i="167"/>
  <c r="AS221" i="167"/>
  <c r="AT221" i="167"/>
  <c r="AU221" i="167"/>
  <c r="B222" i="167"/>
  <c r="C222" i="167"/>
  <c r="D222" i="167"/>
  <c r="E222" i="167"/>
  <c r="L222" i="167" s="1"/>
  <c r="F222" i="167"/>
  <c r="G222" i="167"/>
  <c r="H222" i="167"/>
  <c r="I222" i="167"/>
  <c r="J222" i="167"/>
  <c r="K222" i="167"/>
  <c r="AN222" i="167" s="1"/>
  <c r="M222" i="167"/>
  <c r="N222" i="167"/>
  <c r="O222" i="167"/>
  <c r="P222" i="167"/>
  <c r="Q222" i="167" a="1"/>
  <c r="Q222" i="167" s="1"/>
  <c r="R222" i="167"/>
  <c r="S222" i="167"/>
  <c r="T222" i="167"/>
  <c r="U222" i="167"/>
  <c r="V222" i="167"/>
  <c r="W222" i="167"/>
  <c r="X222" i="167" s="1"/>
  <c r="Y222" i="167"/>
  <c r="Z222" i="167"/>
  <c r="AA222" i="167" s="1"/>
  <c r="AF222" i="167"/>
  <c r="AG222" i="167"/>
  <c r="AH222" i="167"/>
  <c r="AK222" i="167"/>
  <c r="AO222" i="167"/>
  <c r="AP222" i="167"/>
  <c r="AQ222" i="167"/>
  <c r="AR222" i="167"/>
  <c r="AS222" i="167"/>
  <c r="AT222" i="167"/>
  <c r="AU222" i="167"/>
  <c r="B223" i="167"/>
  <c r="C223" i="167"/>
  <c r="D223" i="167"/>
  <c r="E223" i="167"/>
  <c r="L223" i="167" s="1"/>
  <c r="F223" i="167"/>
  <c r="G223" i="167"/>
  <c r="H223" i="167"/>
  <c r="I223" i="167"/>
  <c r="J223" i="167"/>
  <c r="K223" i="167"/>
  <c r="AN223" i="167" s="1"/>
  <c r="M223" i="167"/>
  <c r="N223" i="167"/>
  <c r="O223" i="167"/>
  <c r="AM223" i="167" s="1"/>
  <c r="P223" i="167"/>
  <c r="Q223" i="167" a="1"/>
  <c r="Q223" i="167" s="1"/>
  <c r="R223" i="167"/>
  <c r="S223" i="167"/>
  <c r="T223" i="167"/>
  <c r="U223" i="167"/>
  <c r="V223" i="167"/>
  <c r="W223" i="167"/>
  <c r="X223" i="167" s="1"/>
  <c r="Y223" i="167"/>
  <c r="Z223" i="167"/>
  <c r="AD223" i="167" s="1"/>
  <c r="AE223" i="167" s="1"/>
  <c r="AA223" i="167"/>
  <c r="AF223" i="167"/>
  <c r="AG223" i="167"/>
  <c r="AH223" i="167"/>
  <c r="AK223" i="167"/>
  <c r="AO223" i="167"/>
  <c r="AP223" i="167"/>
  <c r="AQ223" i="167"/>
  <c r="AR223" i="167"/>
  <c r="AS223" i="167"/>
  <c r="AT223" i="167"/>
  <c r="AU223" i="167"/>
  <c r="B224" i="167"/>
  <c r="C224" i="167"/>
  <c r="D224" i="167"/>
  <c r="E224" i="167"/>
  <c r="L224" i="167" s="1"/>
  <c r="F224" i="167"/>
  <c r="G224" i="167"/>
  <c r="H224" i="167"/>
  <c r="I224" i="167"/>
  <c r="J224" i="167"/>
  <c r="K224" i="167"/>
  <c r="AN224" i="167" s="1"/>
  <c r="M224" i="167"/>
  <c r="N224" i="167"/>
  <c r="O224" i="167"/>
  <c r="P224" i="167"/>
  <c r="Q224" i="167" a="1"/>
  <c r="Q224" i="167"/>
  <c r="R224" i="167"/>
  <c r="S224" i="167"/>
  <c r="T224" i="167"/>
  <c r="U224" i="167"/>
  <c r="V224" i="167"/>
  <c r="W224" i="167"/>
  <c r="X224" i="167" s="1"/>
  <c r="Y224" i="167"/>
  <c r="AC224" i="167" s="1"/>
  <c r="Z224" i="167"/>
  <c r="AA224" i="167" s="1"/>
  <c r="AF224" i="167"/>
  <c r="AG224" i="167"/>
  <c r="AH224" i="167"/>
  <c r="AK224" i="167"/>
  <c r="AO224" i="167"/>
  <c r="AP224" i="167"/>
  <c r="AQ224" i="167"/>
  <c r="AR224" i="167"/>
  <c r="AS224" i="167"/>
  <c r="AT224" i="167"/>
  <c r="AU224" i="167"/>
  <c r="B225" i="167"/>
  <c r="C225" i="167"/>
  <c r="D225" i="167"/>
  <c r="E225" i="167"/>
  <c r="L225" i="167" s="1"/>
  <c r="F225" i="167"/>
  <c r="G225" i="167"/>
  <c r="H225" i="167"/>
  <c r="I225" i="167"/>
  <c r="J225" i="167"/>
  <c r="K225" i="167"/>
  <c r="AN225" i="167" s="1"/>
  <c r="M225" i="167"/>
  <c r="N225" i="167"/>
  <c r="O225" i="167"/>
  <c r="AM225" i="167" s="1"/>
  <c r="P225" i="167"/>
  <c r="Q225" i="167" a="1"/>
  <c r="Q225" i="167" s="1"/>
  <c r="R225" i="167"/>
  <c r="S225" i="167"/>
  <c r="T225" i="167"/>
  <c r="U225" i="167"/>
  <c r="V225" i="167"/>
  <c r="W225" i="167"/>
  <c r="X225" i="167" s="1"/>
  <c r="Y225" i="167"/>
  <c r="AC225" i="167" s="1"/>
  <c r="Z225" i="167"/>
  <c r="AF225" i="167"/>
  <c r="AG225" i="167"/>
  <c r="AH225" i="167"/>
  <c r="AK225" i="167"/>
  <c r="AO225" i="167"/>
  <c r="AP225" i="167"/>
  <c r="AQ225" i="167"/>
  <c r="AR225" i="167"/>
  <c r="AS225" i="167"/>
  <c r="AT225" i="167"/>
  <c r="AU225" i="167"/>
  <c r="B226" i="167"/>
  <c r="C226" i="167"/>
  <c r="D226" i="167"/>
  <c r="E226" i="167"/>
  <c r="L226" i="167" s="1"/>
  <c r="F226" i="167"/>
  <c r="G226" i="167"/>
  <c r="H226" i="167"/>
  <c r="I226" i="167"/>
  <c r="J226" i="167"/>
  <c r="K226" i="167"/>
  <c r="AN226" i="167" s="1"/>
  <c r="M226" i="167"/>
  <c r="N226" i="167"/>
  <c r="O226" i="167"/>
  <c r="P226" i="167"/>
  <c r="Q226" i="167" a="1"/>
  <c r="Q226" i="167" s="1"/>
  <c r="R226" i="167"/>
  <c r="S226" i="167"/>
  <c r="T226" i="167"/>
  <c r="U226" i="167"/>
  <c r="V226" i="167"/>
  <c r="W226" i="167"/>
  <c r="X226" i="167" s="1"/>
  <c r="Y226" i="167"/>
  <c r="AB226" i="167" s="1"/>
  <c r="AW226" i="167" s="1"/>
  <c r="Z226" i="167"/>
  <c r="AA226" i="167" s="1"/>
  <c r="AC226" i="167"/>
  <c r="AF226" i="167"/>
  <c r="AG226" i="167"/>
  <c r="AH226" i="167"/>
  <c r="AK226" i="167"/>
  <c r="AO226" i="167"/>
  <c r="AP226" i="167"/>
  <c r="AQ226" i="167"/>
  <c r="AR226" i="167"/>
  <c r="AS226" i="167"/>
  <c r="AT226" i="167"/>
  <c r="AU226" i="167"/>
  <c r="B227" i="167"/>
  <c r="C227" i="167"/>
  <c r="D227" i="167"/>
  <c r="E227" i="167"/>
  <c r="L227" i="167" s="1"/>
  <c r="F227" i="167"/>
  <c r="G227" i="167"/>
  <c r="H227" i="167"/>
  <c r="I227" i="167"/>
  <c r="J227" i="167"/>
  <c r="K227" i="167"/>
  <c r="AN227" i="167" s="1"/>
  <c r="M227" i="167"/>
  <c r="N227" i="167"/>
  <c r="O227" i="167"/>
  <c r="P227" i="167"/>
  <c r="Q227" i="167" a="1"/>
  <c r="Q227" i="167"/>
  <c r="R227" i="167"/>
  <c r="S227" i="167"/>
  <c r="T227" i="167"/>
  <c r="U227" i="167"/>
  <c r="V227" i="167"/>
  <c r="W227" i="167"/>
  <c r="X227" i="167" s="1"/>
  <c r="Y227" i="167"/>
  <c r="AC227" i="167" s="1"/>
  <c r="Z227" i="167"/>
  <c r="AD227" i="167" s="1"/>
  <c r="AE227" i="167" s="1"/>
  <c r="AF227" i="167"/>
  <c r="AG227" i="167"/>
  <c r="AH227" i="167"/>
  <c r="AK227" i="167"/>
  <c r="AO227" i="167"/>
  <c r="AP227" i="167"/>
  <c r="AQ227" i="167"/>
  <c r="AR227" i="167"/>
  <c r="AS227" i="167"/>
  <c r="AT227" i="167"/>
  <c r="AU227" i="167"/>
  <c r="B228" i="167"/>
  <c r="C228" i="167"/>
  <c r="D228" i="167"/>
  <c r="E228" i="167"/>
  <c r="L228" i="167" s="1"/>
  <c r="F228" i="167"/>
  <c r="G228" i="167"/>
  <c r="H228" i="167"/>
  <c r="I228" i="167"/>
  <c r="J228" i="167"/>
  <c r="K228" i="167"/>
  <c r="AN228" i="167" s="1"/>
  <c r="M228" i="167"/>
  <c r="N228" i="167"/>
  <c r="O228" i="167"/>
  <c r="AM228" i="167" s="1"/>
  <c r="P228" i="167"/>
  <c r="Q228" i="167" a="1"/>
  <c r="Q228" i="167" s="1"/>
  <c r="R228" i="167"/>
  <c r="S228" i="167"/>
  <c r="T228" i="167"/>
  <c r="U228" i="167"/>
  <c r="V228" i="167"/>
  <c r="W228" i="167"/>
  <c r="X228" i="167" s="1"/>
  <c r="Y228" i="167"/>
  <c r="AC228" i="167" s="1"/>
  <c r="Z228" i="167"/>
  <c r="AA228" i="167" s="1"/>
  <c r="AD228" i="167"/>
  <c r="AE228" i="167" s="1"/>
  <c r="AF228" i="167"/>
  <c r="AG228" i="167"/>
  <c r="AH228" i="167"/>
  <c r="AK228" i="167"/>
  <c r="AO228" i="167"/>
  <c r="AP228" i="167"/>
  <c r="AQ228" i="167"/>
  <c r="AR228" i="167"/>
  <c r="AS228" i="167"/>
  <c r="AT228" i="167"/>
  <c r="AU228" i="167"/>
  <c r="B229" i="167"/>
  <c r="C229" i="167"/>
  <c r="D229" i="167"/>
  <c r="E229" i="167"/>
  <c r="L229" i="167" s="1"/>
  <c r="F229" i="167"/>
  <c r="G229" i="167"/>
  <c r="H229" i="167"/>
  <c r="I229" i="167"/>
  <c r="J229" i="167"/>
  <c r="K229" i="167"/>
  <c r="AN229" i="167" s="1"/>
  <c r="M229" i="167"/>
  <c r="N229" i="167"/>
  <c r="O229" i="167"/>
  <c r="AM229" i="167" s="1"/>
  <c r="P229" i="167"/>
  <c r="Q229" i="167" a="1"/>
  <c r="Q229" i="167" s="1"/>
  <c r="R229" i="167"/>
  <c r="S229" i="167"/>
  <c r="T229" i="167"/>
  <c r="U229" i="167"/>
  <c r="V229" i="167"/>
  <c r="W229" i="167"/>
  <c r="X229" i="167" s="1"/>
  <c r="Y229" i="167"/>
  <c r="AC229" i="167" s="1"/>
  <c r="Z229" i="167"/>
  <c r="AD229" i="167" s="1"/>
  <c r="AE229" i="167" s="1"/>
  <c r="AF229" i="167"/>
  <c r="AG229" i="167"/>
  <c r="AH229" i="167"/>
  <c r="AK229" i="167"/>
  <c r="AO229" i="167"/>
  <c r="AP229" i="167"/>
  <c r="AQ229" i="167"/>
  <c r="AR229" i="167"/>
  <c r="AS229" i="167"/>
  <c r="AT229" i="167"/>
  <c r="AU229" i="167"/>
  <c r="B230" i="167"/>
  <c r="C230" i="167"/>
  <c r="D230" i="167"/>
  <c r="E230" i="167"/>
  <c r="L230" i="167" s="1"/>
  <c r="F230" i="167"/>
  <c r="G230" i="167"/>
  <c r="H230" i="167"/>
  <c r="I230" i="167"/>
  <c r="J230" i="167"/>
  <c r="K230" i="167"/>
  <c r="AN230" i="167" s="1"/>
  <c r="M230" i="167"/>
  <c r="N230" i="167"/>
  <c r="O230" i="167"/>
  <c r="P230" i="167"/>
  <c r="Q230" i="167" a="1"/>
  <c r="Q230" i="167" s="1"/>
  <c r="R230" i="167"/>
  <c r="S230" i="167"/>
  <c r="T230" i="167"/>
  <c r="U230" i="167"/>
  <c r="V230" i="167"/>
  <c r="W230" i="167"/>
  <c r="X230" i="167" s="1"/>
  <c r="Y230" i="167"/>
  <c r="AC230" i="167" s="1"/>
  <c r="Z230" i="167"/>
  <c r="AA230" i="167" s="1"/>
  <c r="AF230" i="167"/>
  <c r="AG230" i="167"/>
  <c r="AH230" i="167"/>
  <c r="AK230" i="167"/>
  <c r="AO230" i="167"/>
  <c r="AP230" i="167"/>
  <c r="AQ230" i="167"/>
  <c r="AR230" i="167"/>
  <c r="AS230" i="167"/>
  <c r="AT230" i="167"/>
  <c r="AU230" i="167"/>
  <c r="B231" i="167"/>
  <c r="C231" i="167"/>
  <c r="D231" i="167"/>
  <c r="E231" i="167"/>
  <c r="L231" i="167" s="1"/>
  <c r="F231" i="167"/>
  <c r="G231" i="167"/>
  <c r="H231" i="167"/>
  <c r="I231" i="167"/>
  <c r="J231" i="167"/>
  <c r="K231" i="167"/>
  <c r="AN231" i="167" s="1"/>
  <c r="M231" i="167"/>
  <c r="N231" i="167"/>
  <c r="O231" i="167"/>
  <c r="AM231" i="167" s="1"/>
  <c r="P231" i="167"/>
  <c r="Q231" i="167" a="1"/>
  <c r="Q231" i="167" s="1"/>
  <c r="R231" i="167"/>
  <c r="S231" i="167"/>
  <c r="T231" i="167"/>
  <c r="U231" i="167"/>
  <c r="V231" i="167"/>
  <c r="W231" i="167"/>
  <c r="X231" i="167" s="1"/>
  <c r="Y231" i="167"/>
  <c r="AC231" i="167" s="1"/>
  <c r="Z231" i="167"/>
  <c r="AD231" i="167" s="1"/>
  <c r="AE231" i="167" s="1"/>
  <c r="AF231" i="167"/>
  <c r="AG231" i="167"/>
  <c r="AH231" i="167"/>
  <c r="AK231" i="167"/>
  <c r="AO231" i="167"/>
  <c r="AP231" i="167"/>
  <c r="AQ231" i="167"/>
  <c r="AR231" i="167"/>
  <c r="AS231" i="167"/>
  <c r="AT231" i="167"/>
  <c r="AU231" i="167"/>
  <c r="B232" i="167"/>
  <c r="C232" i="167"/>
  <c r="D232" i="167"/>
  <c r="E232" i="167"/>
  <c r="L232" i="167" s="1"/>
  <c r="F232" i="167"/>
  <c r="G232" i="167"/>
  <c r="H232" i="167"/>
  <c r="I232" i="167"/>
  <c r="J232" i="167"/>
  <c r="K232" i="167"/>
  <c r="AN232" i="167" s="1"/>
  <c r="M232" i="167"/>
  <c r="N232" i="167"/>
  <c r="O232" i="167"/>
  <c r="AM232" i="167" s="1"/>
  <c r="P232" i="167"/>
  <c r="Q232" i="167" a="1"/>
  <c r="Q232" i="167" s="1"/>
  <c r="R232" i="167"/>
  <c r="S232" i="167"/>
  <c r="T232" i="167"/>
  <c r="U232" i="167"/>
  <c r="V232" i="167"/>
  <c r="W232" i="167"/>
  <c r="X232" i="167"/>
  <c r="Y232" i="167"/>
  <c r="Z232" i="167"/>
  <c r="AF232" i="167"/>
  <c r="AG232" i="167"/>
  <c r="AH232" i="167"/>
  <c r="AK232" i="167"/>
  <c r="AO232" i="167"/>
  <c r="AP232" i="167"/>
  <c r="AQ232" i="167"/>
  <c r="AR232" i="167"/>
  <c r="AS232" i="167"/>
  <c r="AT232" i="167"/>
  <c r="AU232" i="167"/>
  <c r="B206" i="167"/>
  <c r="C206" i="167"/>
  <c r="D206" i="167"/>
  <c r="E206" i="167"/>
  <c r="L206" i="167" s="1"/>
  <c r="F206" i="167"/>
  <c r="G206" i="167"/>
  <c r="H206" i="167"/>
  <c r="I206" i="167"/>
  <c r="J206" i="167"/>
  <c r="K206" i="167"/>
  <c r="AN206" i="167" s="1"/>
  <c r="M206" i="167"/>
  <c r="N206" i="167"/>
  <c r="O206" i="167"/>
  <c r="P206" i="167"/>
  <c r="Q206" i="167" a="1"/>
  <c r="Q206" i="167" s="1"/>
  <c r="R206" i="167"/>
  <c r="S206" i="167"/>
  <c r="T206" i="167"/>
  <c r="U206" i="167"/>
  <c r="V206" i="167"/>
  <c r="W206" i="167"/>
  <c r="X206" i="167" s="1"/>
  <c r="Y206" i="167"/>
  <c r="AC206" i="167" s="1"/>
  <c r="Z206" i="167"/>
  <c r="AD206" i="167" s="1"/>
  <c r="AE206" i="167" s="1"/>
  <c r="AF206" i="167"/>
  <c r="AG206" i="167"/>
  <c r="AH206" i="167"/>
  <c r="AK206" i="167"/>
  <c r="AO206" i="167"/>
  <c r="AP206" i="167"/>
  <c r="AQ206" i="167"/>
  <c r="AR206" i="167"/>
  <c r="AS206" i="167"/>
  <c r="AT206" i="167"/>
  <c r="AU206" i="167"/>
  <c r="B207" i="167"/>
  <c r="C207" i="167"/>
  <c r="D207" i="167"/>
  <c r="E207" i="167"/>
  <c r="L207" i="167" s="1"/>
  <c r="F207" i="167"/>
  <c r="G207" i="167"/>
  <c r="H207" i="167"/>
  <c r="I207" i="167"/>
  <c r="J207" i="167"/>
  <c r="K207" i="167"/>
  <c r="AN207" i="167" s="1"/>
  <c r="M207" i="167"/>
  <c r="N207" i="167"/>
  <c r="O207" i="167"/>
  <c r="P207" i="167"/>
  <c r="Q207" i="167" a="1"/>
  <c r="Q207" i="167" s="1"/>
  <c r="R207" i="167"/>
  <c r="S207" i="167"/>
  <c r="T207" i="167"/>
  <c r="U207" i="167"/>
  <c r="V207" i="167"/>
  <c r="W207" i="167"/>
  <c r="X207" i="167" s="1"/>
  <c r="Y207" i="167"/>
  <c r="AC207" i="167" s="1"/>
  <c r="Z207" i="167"/>
  <c r="AD207" i="167" s="1"/>
  <c r="AE207" i="167" s="1"/>
  <c r="AA207" i="167"/>
  <c r="AF207" i="167"/>
  <c r="AG207" i="167"/>
  <c r="AH207" i="167"/>
  <c r="AK207" i="167"/>
  <c r="AO207" i="167"/>
  <c r="AP207" i="167"/>
  <c r="AQ207" i="167"/>
  <c r="AR207" i="167"/>
  <c r="AS207" i="167"/>
  <c r="AT207" i="167"/>
  <c r="AU207" i="167"/>
  <c r="AB212" i="167" l="1"/>
  <c r="AD233" i="167"/>
  <c r="AE233" i="167" s="1"/>
  <c r="AD230" i="167"/>
  <c r="AE230" i="167" s="1"/>
  <c r="AA217" i="167"/>
  <c r="AA240" i="167"/>
  <c r="AA236" i="167"/>
  <c r="AB225" i="167"/>
  <c r="AW225" i="167" s="1"/>
  <c r="AA206" i="167"/>
  <c r="AB249" i="167"/>
  <c r="AW249" i="167" s="1"/>
  <c r="AD244" i="167"/>
  <c r="AE244" i="167" s="1"/>
  <c r="AA214" i="167"/>
  <c r="AL212" i="167"/>
  <c r="AL233" i="167"/>
  <c r="AB258" i="167"/>
  <c r="AM258" i="167" s="1"/>
  <c r="AL258" i="167" s="1"/>
  <c r="AB252" i="167"/>
  <c r="AW252" i="167" s="1"/>
  <c r="AB248" i="167"/>
  <c r="AD226" i="167"/>
  <c r="AE226" i="167" s="1"/>
  <c r="AB230" i="167"/>
  <c r="AM230" i="167" s="1"/>
  <c r="AL230" i="167" s="1"/>
  <c r="AB228" i="167"/>
  <c r="AW228" i="167" s="1"/>
  <c r="AC249" i="167"/>
  <c r="AB216" i="167"/>
  <c r="AW216" i="167" s="1"/>
  <c r="AD239" i="167"/>
  <c r="AE239" i="167" s="1"/>
  <c r="AD242" i="167"/>
  <c r="AE242" i="167" s="1"/>
  <c r="AD221" i="167"/>
  <c r="AE221" i="167" s="1"/>
  <c r="AA249" i="167"/>
  <c r="AB233" i="167"/>
  <c r="AB242" i="167"/>
  <c r="AW242" i="167" s="1"/>
  <c r="AA245" i="167"/>
  <c r="AB245" i="167" s="1"/>
  <c r="AL223" i="167"/>
  <c r="AM257" i="167"/>
  <c r="AL257" i="167" s="1"/>
  <c r="AL207" i="167"/>
  <c r="AA229" i="167"/>
  <c r="AB227" i="167"/>
  <c r="AW227" i="167" s="1"/>
  <c r="AB222" i="167"/>
  <c r="AW222" i="167" s="1"/>
  <c r="AD216" i="167"/>
  <c r="AE216" i="167" s="1"/>
  <c r="AL216" i="167"/>
  <c r="AB215" i="167"/>
  <c r="AW215" i="167" s="1"/>
  <c r="AA255" i="167"/>
  <c r="AD248" i="167"/>
  <c r="AE248" i="167" s="1"/>
  <c r="AB218" i="167"/>
  <c r="AW218" i="167" s="1"/>
  <c r="AL242" i="167"/>
  <c r="AB229" i="167"/>
  <c r="AL210" i="167"/>
  <c r="AL208" i="167"/>
  <c r="AL219" i="167"/>
  <c r="AC242" i="167"/>
  <c r="AL247" i="167"/>
  <c r="AB240" i="167"/>
  <c r="AA219" i="167"/>
  <c r="AB214" i="167"/>
  <c r="AM214" i="167" s="1"/>
  <c r="AL214" i="167" s="1"/>
  <c r="AD210" i="167"/>
  <c r="AE210" i="167" s="1"/>
  <c r="AB255" i="167"/>
  <c r="AB235" i="167"/>
  <c r="AM235" i="167" s="1"/>
  <c r="AL235" i="167" s="1"/>
  <c r="AC235" i="167"/>
  <c r="AB246" i="167"/>
  <c r="AW246" i="167" s="1"/>
  <c r="AC246" i="167"/>
  <c r="AL226" i="167"/>
  <c r="AM226" i="167"/>
  <c r="AL218" i="167"/>
  <c r="AC222" i="167"/>
  <c r="AB237" i="167"/>
  <c r="AW237" i="167" s="1"/>
  <c r="AC237" i="167"/>
  <c r="AL241" i="167"/>
  <c r="AM241" i="167"/>
  <c r="AC254" i="167"/>
  <c r="AB254" i="167"/>
  <c r="AM254" i="167" s="1"/>
  <c r="AL254" i="167" s="1"/>
  <c r="AB250" i="167"/>
  <c r="AM250" i="167" s="1"/>
  <c r="AL250" i="167" s="1"/>
  <c r="AW230" i="167"/>
  <c r="AL228" i="167"/>
  <c r="AM222" i="167"/>
  <c r="AL222" i="167"/>
  <c r="AD241" i="167"/>
  <c r="AE241" i="167" s="1"/>
  <c r="AC220" i="167"/>
  <c r="AB220" i="167"/>
  <c r="AM220" i="167" s="1"/>
  <c r="AL220" i="167" s="1"/>
  <c r="AB209" i="167"/>
  <c r="AA232" i="167"/>
  <c r="AD232" i="167"/>
  <c r="AE232" i="167" s="1"/>
  <c r="AW220" i="167"/>
  <c r="AL246" i="167"/>
  <c r="AC232" i="167"/>
  <c r="AB232" i="167"/>
  <c r="AW232" i="167" s="1"/>
  <c r="AL221" i="167"/>
  <c r="AB241" i="167"/>
  <c r="AW241" i="167" s="1"/>
  <c r="AA225" i="167"/>
  <c r="AD225" i="167"/>
  <c r="AE225" i="167" s="1"/>
  <c r="AB210" i="167"/>
  <c r="AW210" i="167" s="1"/>
  <c r="AB236" i="167"/>
  <c r="AW236" i="167" s="1"/>
  <c r="AD243" i="167"/>
  <c r="AE243" i="167" s="1"/>
  <c r="AA231" i="167"/>
  <c r="AB217" i="167"/>
  <c r="AW217" i="167" s="1"/>
  <c r="AC217" i="167"/>
  <c r="AW212" i="167"/>
  <c r="AW248" i="167"/>
  <c r="AB208" i="167"/>
  <c r="AW208" i="167" s="1"/>
  <c r="AC208" i="167"/>
  <c r="AA246" i="167"/>
  <c r="AD246" i="167"/>
  <c r="AE246" i="167" s="1"/>
  <c r="AA208" i="167"/>
  <c r="AD208" i="167"/>
  <c r="AE208" i="167" s="1"/>
  <c r="AD257" i="167"/>
  <c r="AE257" i="167" s="1"/>
  <c r="AB244" i="167"/>
  <c r="AM244" i="167" s="1"/>
  <c r="AL244" i="167" s="1"/>
  <c r="AA251" i="167"/>
  <c r="AL240" i="167"/>
  <c r="AW257" i="167"/>
  <c r="AL227" i="167"/>
  <c r="AB221" i="167"/>
  <c r="AW221" i="167" s="1"/>
  <c r="AL217" i="167"/>
  <c r="AB256" i="167"/>
  <c r="AW256" i="167" s="1"/>
  <c r="AB231" i="167"/>
  <c r="AW231" i="167" s="1"/>
  <c r="AB239" i="167"/>
  <c r="AW239" i="167" s="1"/>
  <c r="AL238" i="167"/>
  <c r="AW233" i="167"/>
  <c r="AB251" i="167"/>
  <c r="AW251" i="167" s="1"/>
  <c r="AL248" i="167"/>
  <c r="AB211" i="167"/>
  <c r="AW211" i="167" s="1"/>
  <c r="AL237" i="167"/>
  <c r="AL234" i="167"/>
  <c r="AL229" i="167"/>
  <c r="AB223" i="167"/>
  <c r="AW223" i="167" s="1"/>
  <c r="AL211" i="167"/>
  <c r="AL236" i="167"/>
  <c r="AL225" i="167"/>
  <c r="AB224" i="167"/>
  <c r="AW224" i="167" s="1"/>
  <c r="AL209" i="167"/>
  <c r="AW240" i="167"/>
  <c r="AL239" i="167"/>
  <c r="AB234" i="167"/>
  <c r="AW234" i="167" s="1"/>
  <c r="AB243" i="167"/>
  <c r="AW243" i="167" s="1"/>
  <c r="AL249" i="167"/>
  <c r="AB247" i="167"/>
  <c r="AW247" i="167" s="1"/>
  <c r="AA254" i="167"/>
  <c r="AB253" i="167"/>
  <c r="AM253" i="167" s="1"/>
  <c r="AL253" i="167" s="1"/>
  <c r="AC252" i="167"/>
  <c r="AD252" i="167"/>
  <c r="AE252" i="167" s="1"/>
  <c r="AA253" i="167"/>
  <c r="AC251" i="167"/>
  <c r="AD250" i="167"/>
  <c r="AE250" i="167" s="1"/>
  <c r="AD256" i="167"/>
  <c r="AE256" i="167" s="1"/>
  <c r="AM248" i="167"/>
  <c r="AM247" i="167"/>
  <c r="AC241" i="167"/>
  <c r="AC238" i="167"/>
  <c r="AD237" i="167"/>
  <c r="AE237" i="167" s="1"/>
  <c r="AB238" i="167"/>
  <c r="AW238" i="167" s="1"/>
  <c r="AM239" i="167"/>
  <c r="AM237" i="167"/>
  <c r="AB213" i="167"/>
  <c r="AM213" i="167" s="1"/>
  <c r="AL213" i="167" s="1"/>
  <c r="AW229" i="167"/>
  <c r="AW209" i="167"/>
  <c r="AL231" i="167"/>
  <c r="AM218" i="167"/>
  <c r="AD213" i="167"/>
  <c r="AE213" i="167" s="1"/>
  <c r="AL232" i="167"/>
  <c r="AA227" i="167"/>
  <c r="AD224" i="167"/>
  <c r="AE224" i="167" s="1"/>
  <c r="AC213" i="167"/>
  <c r="AD212" i="167"/>
  <c r="AE212" i="167" s="1"/>
  <c r="AM216" i="167"/>
  <c r="AM227" i="167"/>
  <c r="AC223" i="167"/>
  <c r="AD222" i="167"/>
  <c r="AE222" i="167" s="1"/>
  <c r="AC221" i="167"/>
  <c r="AD220" i="167"/>
  <c r="AE220" i="167" s="1"/>
  <c r="AC219" i="167"/>
  <c r="AD218" i="167"/>
  <c r="AE218" i="167" s="1"/>
  <c r="AB206" i="167"/>
  <c r="AB207" i="167"/>
  <c r="AW207" i="167" s="1"/>
  <c r="AM207" i="167"/>
  <c r="AG7" i="167"/>
  <c r="AG8" i="167"/>
  <c r="AG9" i="167"/>
  <c r="AG10" i="167"/>
  <c r="AG11" i="167"/>
  <c r="AG12" i="167"/>
  <c r="AG13" i="167"/>
  <c r="AG14" i="167"/>
  <c r="AG15" i="167"/>
  <c r="AG16" i="167"/>
  <c r="AG17" i="167"/>
  <c r="AG18" i="167"/>
  <c r="AG19" i="167"/>
  <c r="AG20" i="167"/>
  <c r="AG21" i="167"/>
  <c r="AG22" i="167"/>
  <c r="AG23" i="167"/>
  <c r="AG24" i="167"/>
  <c r="AG25" i="167"/>
  <c r="AG26" i="167"/>
  <c r="AG27" i="167"/>
  <c r="AG28" i="167"/>
  <c r="AG29" i="167"/>
  <c r="AG30" i="167"/>
  <c r="AG31" i="167"/>
  <c r="AG32" i="167"/>
  <c r="AG33" i="167"/>
  <c r="AG34" i="167"/>
  <c r="AG35" i="167"/>
  <c r="AG36" i="167"/>
  <c r="AG37" i="167"/>
  <c r="AG38" i="167"/>
  <c r="AG39" i="167"/>
  <c r="AG40" i="167"/>
  <c r="AG41" i="167"/>
  <c r="AG42" i="167"/>
  <c r="AG43" i="167"/>
  <c r="AG44" i="167"/>
  <c r="AG45" i="167"/>
  <c r="AG46" i="167"/>
  <c r="AG47" i="167"/>
  <c r="AG48" i="167"/>
  <c r="AG49" i="167"/>
  <c r="AG50" i="167"/>
  <c r="AG51" i="167"/>
  <c r="AG52" i="167"/>
  <c r="AG53" i="167"/>
  <c r="AG54" i="167"/>
  <c r="AG55" i="167"/>
  <c r="AG56" i="167"/>
  <c r="AG57" i="167"/>
  <c r="AG58" i="167"/>
  <c r="AG59" i="167"/>
  <c r="AG60" i="167"/>
  <c r="AG61" i="167"/>
  <c r="AG62" i="167"/>
  <c r="AG63" i="167"/>
  <c r="AG64" i="167"/>
  <c r="AG65" i="167"/>
  <c r="AG66" i="167"/>
  <c r="AG67" i="167"/>
  <c r="AG68" i="167"/>
  <c r="AG69" i="167"/>
  <c r="AG70" i="167"/>
  <c r="AG71" i="167"/>
  <c r="AG72" i="167"/>
  <c r="AG73" i="167"/>
  <c r="AG74" i="167"/>
  <c r="AG75" i="167"/>
  <c r="AG76" i="167"/>
  <c r="AG77" i="167"/>
  <c r="AG78" i="167"/>
  <c r="AG79" i="167"/>
  <c r="AG80" i="167"/>
  <c r="AG81" i="167"/>
  <c r="AG82" i="167"/>
  <c r="AG83" i="167"/>
  <c r="AG84" i="167"/>
  <c r="AG85" i="167"/>
  <c r="AG86" i="167"/>
  <c r="AG87" i="167"/>
  <c r="AG88" i="167"/>
  <c r="AG89" i="167"/>
  <c r="AG90" i="167"/>
  <c r="AG91" i="167"/>
  <c r="AG92" i="167"/>
  <c r="AG93" i="167"/>
  <c r="AG94" i="167"/>
  <c r="AG95" i="167"/>
  <c r="AG96" i="167"/>
  <c r="AG97" i="167"/>
  <c r="AG98" i="167"/>
  <c r="AG99" i="167"/>
  <c r="AG100" i="167"/>
  <c r="AG101" i="167"/>
  <c r="AG102" i="167"/>
  <c r="AG103" i="167"/>
  <c r="AG104" i="167"/>
  <c r="AG105" i="167"/>
  <c r="AG106" i="167"/>
  <c r="AG107" i="167"/>
  <c r="AG108" i="167"/>
  <c r="AG109" i="167"/>
  <c r="AG110" i="167"/>
  <c r="AG111" i="167"/>
  <c r="AG112" i="167"/>
  <c r="AG113" i="167"/>
  <c r="AG114" i="167"/>
  <c r="AG115" i="167"/>
  <c r="AG116" i="167"/>
  <c r="AG117" i="167"/>
  <c r="AG118" i="167"/>
  <c r="AG119" i="167"/>
  <c r="AG120" i="167"/>
  <c r="AG121" i="167"/>
  <c r="AG122" i="167"/>
  <c r="AG123" i="167"/>
  <c r="AG124" i="167"/>
  <c r="AG125" i="167"/>
  <c r="AG126" i="167"/>
  <c r="AG127" i="167"/>
  <c r="AG128" i="167"/>
  <c r="AG129" i="167"/>
  <c r="AG130" i="167"/>
  <c r="AG131" i="167"/>
  <c r="AG132" i="167"/>
  <c r="AG133" i="167"/>
  <c r="AG134" i="167"/>
  <c r="AG135" i="167"/>
  <c r="AG136" i="167"/>
  <c r="AG137" i="167"/>
  <c r="AG138" i="167"/>
  <c r="AG139" i="167"/>
  <c r="AG140" i="167"/>
  <c r="AG141" i="167"/>
  <c r="AG142" i="167"/>
  <c r="AG143" i="167"/>
  <c r="AG144" i="167"/>
  <c r="AG145" i="167"/>
  <c r="AG146" i="167"/>
  <c r="AG147" i="167"/>
  <c r="AG148" i="167"/>
  <c r="AG149" i="167"/>
  <c r="AG150" i="167"/>
  <c r="AG151" i="167"/>
  <c r="AG152" i="167"/>
  <c r="AG153" i="167"/>
  <c r="AG154" i="167"/>
  <c r="AG155" i="167"/>
  <c r="AG156" i="167"/>
  <c r="AG157" i="167"/>
  <c r="AG158" i="167"/>
  <c r="AG159" i="167"/>
  <c r="AG160" i="167"/>
  <c r="AG161" i="167"/>
  <c r="AG162" i="167"/>
  <c r="AG163" i="167"/>
  <c r="AG164" i="167"/>
  <c r="AG165" i="167"/>
  <c r="AG166" i="167"/>
  <c r="AG167" i="167"/>
  <c r="AG168" i="167"/>
  <c r="AG169" i="167"/>
  <c r="AG170" i="167"/>
  <c r="AG171" i="167"/>
  <c r="AG172" i="167"/>
  <c r="AG173" i="167"/>
  <c r="AG174" i="167"/>
  <c r="AG175" i="167"/>
  <c r="AG176" i="167"/>
  <c r="AG177" i="167"/>
  <c r="AG178" i="167"/>
  <c r="AG179" i="167"/>
  <c r="AG180" i="167"/>
  <c r="AG181" i="167"/>
  <c r="AG182" i="167"/>
  <c r="AG183" i="167"/>
  <c r="AG184" i="167"/>
  <c r="AG185" i="167"/>
  <c r="AG186" i="167"/>
  <c r="AG187" i="167"/>
  <c r="AG188" i="167"/>
  <c r="AG189" i="167"/>
  <c r="AG190" i="167"/>
  <c r="AG191" i="167"/>
  <c r="AG192" i="167"/>
  <c r="AG193" i="167"/>
  <c r="AG194" i="167"/>
  <c r="AG195" i="167"/>
  <c r="AG196" i="167"/>
  <c r="AG197" i="167"/>
  <c r="AG198" i="167"/>
  <c r="AG199" i="167"/>
  <c r="AG200" i="167"/>
  <c r="AG201" i="167"/>
  <c r="AG202" i="167"/>
  <c r="AG203" i="167"/>
  <c r="AG204" i="167"/>
  <c r="AG205" i="167"/>
  <c r="AG6" i="167"/>
  <c r="AG5" i="167"/>
  <c r="B204" i="167"/>
  <c r="C204" i="167"/>
  <c r="D204" i="167"/>
  <c r="E204" i="167"/>
  <c r="L204" i="167" s="1"/>
  <c r="F204" i="167"/>
  <c r="G204" i="167"/>
  <c r="H204" i="167"/>
  <c r="I204" i="167"/>
  <c r="J204" i="167"/>
  <c r="K204" i="167"/>
  <c r="AN204" i="167" s="1"/>
  <c r="M204" i="167"/>
  <c r="N204" i="167"/>
  <c r="O204" i="167"/>
  <c r="P204" i="167"/>
  <c r="Q204" i="167" a="1"/>
  <c r="Q204" i="167" s="1"/>
  <c r="R204" i="167"/>
  <c r="S204" i="167"/>
  <c r="T204" i="167"/>
  <c r="U204" i="167"/>
  <c r="V204" i="167"/>
  <c r="W204" i="167"/>
  <c r="X204" i="167" s="1"/>
  <c r="Y204" i="167"/>
  <c r="AC204" i="167" s="1"/>
  <c r="Z204" i="167"/>
  <c r="AA204" i="167" s="1"/>
  <c r="AF204" i="167"/>
  <c r="AH204" i="167"/>
  <c r="AK204" i="167"/>
  <c r="AO204" i="167"/>
  <c r="AP204" i="167"/>
  <c r="AQ204" i="167"/>
  <c r="AR204" i="167"/>
  <c r="AS204" i="167"/>
  <c r="AT204" i="167"/>
  <c r="AU204" i="167"/>
  <c r="B205" i="167"/>
  <c r="C205" i="167"/>
  <c r="D205" i="167"/>
  <c r="E205" i="167"/>
  <c r="L205" i="167" s="1"/>
  <c r="F205" i="167"/>
  <c r="G205" i="167"/>
  <c r="H205" i="167"/>
  <c r="I205" i="167"/>
  <c r="J205" i="167"/>
  <c r="K205" i="167"/>
  <c r="AN205" i="167" s="1"/>
  <c r="M205" i="167"/>
  <c r="N205" i="167"/>
  <c r="O205" i="167"/>
  <c r="P205" i="167"/>
  <c r="Q205" i="167" a="1"/>
  <c r="Q205" i="167" s="1"/>
  <c r="R205" i="167"/>
  <c r="S205" i="167"/>
  <c r="T205" i="167"/>
  <c r="U205" i="167"/>
  <c r="V205" i="167"/>
  <c r="W205" i="167"/>
  <c r="X205" i="167" s="1"/>
  <c r="Y205" i="167"/>
  <c r="Z205" i="167"/>
  <c r="AA205" i="167" s="1"/>
  <c r="AF205" i="167"/>
  <c r="AH205" i="167"/>
  <c r="AK205" i="167"/>
  <c r="AO205" i="167"/>
  <c r="AP205" i="167"/>
  <c r="AQ205" i="167"/>
  <c r="AR205" i="167"/>
  <c r="AS205" i="167"/>
  <c r="AT205" i="167"/>
  <c r="AU205" i="167"/>
  <c r="B195" i="167"/>
  <c r="C195" i="167"/>
  <c r="D195" i="167"/>
  <c r="E195" i="167"/>
  <c r="L195" i="167" s="1"/>
  <c r="F195" i="167"/>
  <c r="G195" i="167"/>
  <c r="H195" i="167"/>
  <c r="I195" i="167"/>
  <c r="J195" i="167"/>
  <c r="K195" i="167"/>
  <c r="AN195" i="167" s="1"/>
  <c r="M195" i="167"/>
  <c r="N195" i="167"/>
  <c r="O195" i="167"/>
  <c r="P195" i="167"/>
  <c r="Q195" i="167" a="1"/>
  <c r="Q195" i="167" s="1"/>
  <c r="R195" i="167"/>
  <c r="S195" i="167"/>
  <c r="T195" i="167"/>
  <c r="U195" i="167"/>
  <c r="V195" i="167"/>
  <c r="W195" i="167"/>
  <c r="X195" i="167" s="1"/>
  <c r="Y195" i="167"/>
  <c r="Z195" i="167"/>
  <c r="AA195" i="167" s="1"/>
  <c r="AF195" i="167"/>
  <c r="AH195" i="167"/>
  <c r="AK195" i="167"/>
  <c r="AO195" i="167"/>
  <c r="AP195" i="167"/>
  <c r="AQ195" i="167"/>
  <c r="AR195" i="167"/>
  <c r="AS195" i="167"/>
  <c r="AT195" i="167"/>
  <c r="AU195" i="167"/>
  <c r="B196" i="167"/>
  <c r="C196" i="167"/>
  <c r="D196" i="167"/>
  <c r="E196" i="167"/>
  <c r="L196" i="167" s="1"/>
  <c r="F196" i="167"/>
  <c r="G196" i="167"/>
  <c r="H196" i="167"/>
  <c r="I196" i="167"/>
  <c r="J196" i="167"/>
  <c r="K196" i="167"/>
  <c r="AN196" i="167" s="1"/>
  <c r="M196" i="167"/>
  <c r="N196" i="167"/>
  <c r="O196" i="167"/>
  <c r="AM196" i="167" s="1"/>
  <c r="P196" i="167"/>
  <c r="Q196" i="167" a="1"/>
  <c r="Q196" i="167" s="1"/>
  <c r="R196" i="167"/>
  <c r="S196" i="167"/>
  <c r="T196" i="167"/>
  <c r="U196" i="167"/>
  <c r="V196" i="167"/>
  <c r="W196" i="167"/>
  <c r="X196" i="167" s="1"/>
  <c r="Y196" i="167"/>
  <c r="AC196" i="167" s="1"/>
  <c r="Z196" i="167"/>
  <c r="AA196" i="167" s="1"/>
  <c r="AF196" i="167"/>
  <c r="AH196" i="167"/>
  <c r="AK196" i="167"/>
  <c r="AO196" i="167"/>
  <c r="AP196" i="167"/>
  <c r="AQ196" i="167"/>
  <c r="AR196" i="167"/>
  <c r="AS196" i="167"/>
  <c r="AT196" i="167"/>
  <c r="AU196" i="167"/>
  <c r="B197" i="167"/>
  <c r="C197" i="167"/>
  <c r="D197" i="167"/>
  <c r="E197" i="167"/>
  <c r="L197" i="167" s="1"/>
  <c r="F197" i="167"/>
  <c r="G197" i="167"/>
  <c r="H197" i="167"/>
  <c r="I197" i="167"/>
  <c r="J197" i="167"/>
  <c r="K197" i="167"/>
  <c r="AN197" i="167" s="1"/>
  <c r="M197" i="167"/>
  <c r="N197" i="167"/>
  <c r="O197" i="167"/>
  <c r="P197" i="167"/>
  <c r="Q197" i="167" a="1"/>
  <c r="Q197" i="167" s="1"/>
  <c r="R197" i="167"/>
  <c r="S197" i="167"/>
  <c r="T197" i="167"/>
  <c r="U197" i="167"/>
  <c r="V197" i="167"/>
  <c r="W197" i="167"/>
  <c r="X197" i="167" s="1"/>
  <c r="Y197" i="167"/>
  <c r="AC197" i="167" s="1"/>
  <c r="Z197" i="167"/>
  <c r="AD197" i="167" s="1"/>
  <c r="AE197" i="167" s="1"/>
  <c r="AF197" i="167"/>
  <c r="AH197" i="167"/>
  <c r="AK197" i="167"/>
  <c r="AO197" i="167"/>
  <c r="AP197" i="167"/>
  <c r="AQ197" i="167"/>
  <c r="AR197" i="167"/>
  <c r="AS197" i="167"/>
  <c r="AT197" i="167"/>
  <c r="AU197" i="167"/>
  <c r="B198" i="167"/>
  <c r="C198" i="167"/>
  <c r="D198" i="167"/>
  <c r="E198" i="167"/>
  <c r="L198" i="167" s="1"/>
  <c r="F198" i="167"/>
  <c r="G198" i="167"/>
  <c r="H198" i="167"/>
  <c r="I198" i="167"/>
  <c r="J198" i="167"/>
  <c r="K198" i="167"/>
  <c r="AN198" i="167" s="1"/>
  <c r="M198" i="167"/>
  <c r="N198" i="167"/>
  <c r="O198" i="167"/>
  <c r="P198" i="167"/>
  <c r="Q198" i="167" a="1"/>
  <c r="Q198" i="167" s="1"/>
  <c r="R198" i="167"/>
  <c r="S198" i="167"/>
  <c r="T198" i="167"/>
  <c r="U198" i="167"/>
  <c r="V198" i="167"/>
  <c r="W198" i="167"/>
  <c r="X198" i="167" s="1"/>
  <c r="Y198" i="167"/>
  <c r="Z198" i="167"/>
  <c r="AD198" i="167" s="1"/>
  <c r="AE198" i="167" s="1"/>
  <c r="AF198" i="167"/>
  <c r="AH198" i="167"/>
  <c r="AK198" i="167"/>
  <c r="AO198" i="167"/>
  <c r="AP198" i="167"/>
  <c r="AQ198" i="167"/>
  <c r="AR198" i="167"/>
  <c r="AS198" i="167"/>
  <c r="AT198" i="167"/>
  <c r="AU198" i="167"/>
  <c r="B199" i="167"/>
  <c r="C199" i="167"/>
  <c r="D199" i="167"/>
  <c r="E199" i="167"/>
  <c r="L199" i="167" s="1"/>
  <c r="F199" i="167"/>
  <c r="G199" i="167"/>
  <c r="H199" i="167"/>
  <c r="I199" i="167"/>
  <c r="J199" i="167"/>
  <c r="K199" i="167"/>
  <c r="AN199" i="167" s="1"/>
  <c r="M199" i="167"/>
  <c r="N199" i="167"/>
  <c r="O199" i="167"/>
  <c r="AM199" i="167" s="1"/>
  <c r="P199" i="167"/>
  <c r="Q199" i="167" a="1"/>
  <c r="Q199" i="167" s="1"/>
  <c r="R199" i="167"/>
  <c r="S199" i="167"/>
  <c r="T199" i="167"/>
  <c r="U199" i="167"/>
  <c r="V199" i="167"/>
  <c r="W199" i="167"/>
  <c r="X199" i="167" s="1"/>
  <c r="Y199" i="167"/>
  <c r="Z199" i="167"/>
  <c r="AA199" i="167" s="1"/>
  <c r="AF199" i="167"/>
  <c r="AH199" i="167"/>
  <c r="AK199" i="167"/>
  <c r="AO199" i="167"/>
  <c r="AP199" i="167"/>
  <c r="AQ199" i="167"/>
  <c r="AR199" i="167"/>
  <c r="AS199" i="167"/>
  <c r="AT199" i="167"/>
  <c r="AU199" i="167"/>
  <c r="B200" i="167"/>
  <c r="C200" i="167"/>
  <c r="D200" i="167"/>
  <c r="E200" i="167"/>
  <c r="L200" i="167" s="1"/>
  <c r="F200" i="167"/>
  <c r="G200" i="167"/>
  <c r="H200" i="167"/>
  <c r="I200" i="167"/>
  <c r="J200" i="167"/>
  <c r="K200" i="167"/>
  <c r="AN200" i="167" s="1"/>
  <c r="M200" i="167"/>
  <c r="N200" i="167"/>
  <c r="O200" i="167"/>
  <c r="P200" i="167"/>
  <c r="Q200" i="167" a="1"/>
  <c r="Q200" i="167" s="1"/>
  <c r="R200" i="167"/>
  <c r="S200" i="167"/>
  <c r="T200" i="167"/>
  <c r="U200" i="167"/>
  <c r="V200" i="167"/>
  <c r="W200" i="167"/>
  <c r="X200" i="167" s="1"/>
  <c r="Y200" i="167"/>
  <c r="Z200" i="167"/>
  <c r="AA200" i="167" s="1"/>
  <c r="AF200" i="167"/>
  <c r="AH200" i="167"/>
  <c r="AK200" i="167"/>
  <c r="AO200" i="167"/>
  <c r="AP200" i="167"/>
  <c r="AQ200" i="167"/>
  <c r="AR200" i="167"/>
  <c r="AS200" i="167"/>
  <c r="AT200" i="167"/>
  <c r="AU200" i="167"/>
  <c r="B201" i="167"/>
  <c r="C201" i="167"/>
  <c r="D201" i="167"/>
  <c r="E201" i="167"/>
  <c r="L201" i="167" s="1"/>
  <c r="F201" i="167"/>
  <c r="G201" i="167"/>
  <c r="H201" i="167"/>
  <c r="I201" i="167"/>
  <c r="J201" i="167"/>
  <c r="K201" i="167"/>
  <c r="AN201" i="167" s="1"/>
  <c r="M201" i="167"/>
  <c r="N201" i="167"/>
  <c r="O201" i="167"/>
  <c r="P201" i="167"/>
  <c r="Q201" i="167" a="1"/>
  <c r="Q201" i="167" s="1"/>
  <c r="R201" i="167"/>
  <c r="S201" i="167"/>
  <c r="T201" i="167"/>
  <c r="U201" i="167"/>
  <c r="V201" i="167"/>
  <c r="W201" i="167"/>
  <c r="X201" i="167" s="1"/>
  <c r="Y201" i="167"/>
  <c r="AC201" i="167" s="1"/>
  <c r="Z201" i="167"/>
  <c r="AA201" i="167" s="1"/>
  <c r="AF201" i="167"/>
  <c r="AH201" i="167"/>
  <c r="AK201" i="167"/>
  <c r="AO201" i="167"/>
  <c r="AP201" i="167"/>
  <c r="AQ201" i="167"/>
  <c r="AR201" i="167"/>
  <c r="AS201" i="167"/>
  <c r="AT201" i="167"/>
  <c r="AU201" i="167"/>
  <c r="B202" i="167"/>
  <c r="C202" i="167"/>
  <c r="D202" i="167"/>
  <c r="E202" i="167"/>
  <c r="L202" i="167" s="1"/>
  <c r="F202" i="167"/>
  <c r="G202" i="167"/>
  <c r="H202" i="167"/>
  <c r="I202" i="167"/>
  <c r="J202" i="167"/>
  <c r="K202" i="167"/>
  <c r="AN202" i="167" s="1"/>
  <c r="M202" i="167"/>
  <c r="N202" i="167"/>
  <c r="O202" i="167"/>
  <c r="P202" i="167"/>
  <c r="Q202" i="167" a="1"/>
  <c r="Q202" i="167" s="1"/>
  <c r="R202" i="167"/>
  <c r="S202" i="167"/>
  <c r="T202" i="167"/>
  <c r="U202" i="167"/>
  <c r="V202" i="167"/>
  <c r="W202" i="167"/>
  <c r="X202" i="167" s="1"/>
  <c r="Y202" i="167"/>
  <c r="Z202" i="167"/>
  <c r="AD202" i="167" s="1"/>
  <c r="AE202" i="167" s="1"/>
  <c r="AF202" i="167"/>
  <c r="AH202" i="167"/>
  <c r="AK202" i="167"/>
  <c r="AO202" i="167"/>
  <c r="AP202" i="167"/>
  <c r="AQ202" i="167"/>
  <c r="AR202" i="167"/>
  <c r="AS202" i="167"/>
  <c r="AT202" i="167"/>
  <c r="AU202" i="167"/>
  <c r="B203" i="167"/>
  <c r="C203" i="167"/>
  <c r="D203" i="167"/>
  <c r="E203" i="167"/>
  <c r="L203" i="167" s="1"/>
  <c r="F203" i="167"/>
  <c r="G203" i="167"/>
  <c r="H203" i="167"/>
  <c r="I203" i="167"/>
  <c r="J203" i="167"/>
  <c r="K203" i="167"/>
  <c r="AN203" i="167" s="1"/>
  <c r="M203" i="167"/>
  <c r="N203" i="167"/>
  <c r="O203" i="167"/>
  <c r="P203" i="167"/>
  <c r="Q203" i="167" a="1"/>
  <c r="Q203" i="167" s="1"/>
  <c r="R203" i="167"/>
  <c r="S203" i="167"/>
  <c r="T203" i="167"/>
  <c r="U203" i="167"/>
  <c r="V203" i="167"/>
  <c r="W203" i="167"/>
  <c r="X203" i="167" s="1"/>
  <c r="Y203" i="167"/>
  <c r="AC203" i="167" s="1"/>
  <c r="Z203" i="167"/>
  <c r="AD203" i="167" s="1"/>
  <c r="AE203" i="167" s="1"/>
  <c r="AF203" i="167"/>
  <c r="AH203" i="167"/>
  <c r="AK203" i="167"/>
  <c r="AO203" i="167"/>
  <c r="AP203" i="167"/>
  <c r="AQ203" i="167"/>
  <c r="AR203" i="167"/>
  <c r="AS203" i="167"/>
  <c r="AT203" i="167"/>
  <c r="AU203" i="167"/>
  <c r="B190" i="167"/>
  <c r="C190" i="167"/>
  <c r="D190" i="167"/>
  <c r="E190" i="167"/>
  <c r="L190" i="167" s="1"/>
  <c r="F190" i="167"/>
  <c r="G190" i="167"/>
  <c r="H190" i="167"/>
  <c r="I190" i="167"/>
  <c r="J190" i="167"/>
  <c r="K190" i="167"/>
  <c r="AN190" i="167" s="1"/>
  <c r="M190" i="167"/>
  <c r="N190" i="167"/>
  <c r="O190" i="167"/>
  <c r="AM190" i="167" s="1"/>
  <c r="P190" i="167"/>
  <c r="Q190" i="167" a="1"/>
  <c r="Q190" i="167" s="1"/>
  <c r="R190" i="167"/>
  <c r="S190" i="167"/>
  <c r="T190" i="167"/>
  <c r="U190" i="167"/>
  <c r="V190" i="167"/>
  <c r="W190" i="167"/>
  <c r="X190" i="167" s="1"/>
  <c r="Y190" i="167"/>
  <c r="Z190" i="167"/>
  <c r="AA190" i="167" s="1"/>
  <c r="AF190" i="167"/>
  <c r="AH190" i="167"/>
  <c r="AK190" i="167"/>
  <c r="AO190" i="167"/>
  <c r="AP190" i="167"/>
  <c r="AQ190" i="167"/>
  <c r="AR190" i="167"/>
  <c r="AS190" i="167"/>
  <c r="AT190" i="167"/>
  <c r="AU190" i="167"/>
  <c r="B191" i="167"/>
  <c r="C191" i="167"/>
  <c r="D191" i="167"/>
  <c r="E191" i="167"/>
  <c r="L191" i="167" s="1"/>
  <c r="F191" i="167"/>
  <c r="G191" i="167"/>
  <c r="H191" i="167"/>
  <c r="I191" i="167"/>
  <c r="J191" i="167"/>
  <c r="K191" i="167"/>
  <c r="AN191" i="167" s="1"/>
  <c r="M191" i="167"/>
  <c r="N191" i="167"/>
  <c r="O191" i="167"/>
  <c r="AM191" i="167" s="1"/>
  <c r="P191" i="167"/>
  <c r="Q191" i="167" a="1"/>
  <c r="Q191" i="167" s="1"/>
  <c r="R191" i="167"/>
  <c r="S191" i="167"/>
  <c r="T191" i="167"/>
  <c r="U191" i="167"/>
  <c r="V191" i="167"/>
  <c r="W191" i="167"/>
  <c r="X191" i="167" s="1"/>
  <c r="Y191" i="167"/>
  <c r="AC191" i="167" s="1"/>
  <c r="Z191" i="167"/>
  <c r="AA191" i="167" s="1"/>
  <c r="AF191" i="167"/>
  <c r="AH191" i="167"/>
  <c r="AK191" i="167"/>
  <c r="AO191" i="167"/>
  <c r="AP191" i="167"/>
  <c r="AQ191" i="167"/>
  <c r="AR191" i="167"/>
  <c r="AS191" i="167"/>
  <c r="AT191" i="167"/>
  <c r="AU191" i="167"/>
  <c r="B192" i="167"/>
  <c r="C192" i="167"/>
  <c r="D192" i="167"/>
  <c r="E192" i="167"/>
  <c r="L192" i="167" s="1"/>
  <c r="F192" i="167"/>
  <c r="G192" i="167"/>
  <c r="H192" i="167"/>
  <c r="I192" i="167"/>
  <c r="J192" i="167"/>
  <c r="K192" i="167"/>
  <c r="AN192" i="167" s="1"/>
  <c r="M192" i="167"/>
  <c r="N192" i="167"/>
  <c r="O192" i="167"/>
  <c r="P192" i="167"/>
  <c r="Q192" i="167" a="1"/>
  <c r="Q192" i="167" s="1"/>
  <c r="R192" i="167"/>
  <c r="S192" i="167"/>
  <c r="T192" i="167"/>
  <c r="U192" i="167"/>
  <c r="V192" i="167"/>
  <c r="W192" i="167"/>
  <c r="X192" i="167" s="1"/>
  <c r="Y192" i="167"/>
  <c r="AC192" i="167" s="1"/>
  <c r="Z192" i="167"/>
  <c r="AA192" i="167" s="1"/>
  <c r="AF192" i="167"/>
  <c r="AH192" i="167"/>
  <c r="AK192" i="167"/>
  <c r="AO192" i="167"/>
  <c r="AP192" i="167"/>
  <c r="AQ192" i="167"/>
  <c r="AR192" i="167"/>
  <c r="AS192" i="167"/>
  <c r="AT192" i="167"/>
  <c r="AU192" i="167"/>
  <c r="B193" i="167"/>
  <c r="C193" i="167"/>
  <c r="D193" i="167"/>
  <c r="E193" i="167"/>
  <c r="L193" i="167" s="1"/>
  <c r="F193" i="167"/>
  <c r="G193" i="167"/>
  <c r="H193" i="167"/>
  <c r="I193" i="167"/>
  <c r="J193" i="167"/>
  <c r="K193" i="167"/>
  <c r="AN193" i="167" s="1"/>
  <c r="M193" i="167"/>
  <c r="N193" i="167"/>
  <c r="O193" i="167"/>
  <c r="AM193" i="167" s="1"/>
  <c r="P193" i="167"/>
  <c r="Q193" i="167" a="1"/>
  <c r="Q193" i="167" s="1"/>
  <c r="R193" i="167"/>
  <c r="S193" i="167"/>
  <c r="T193" i="167"/>
  <c r="U193" i="167"/>
  <c r="V193" i="167"/>
  <c r="W193" i="167"/>
  <c r="X193" i="167" s="1"/>
  <c r="Y193" i="167"/>
  <c r="AC193" i="167" s="1"/>
  <c r="Z193" i="167"/>
  <c r="AA193" i="167" s="1"/>
  <c r="AF193" i="167"/>
  <c r="AH193" i="167"/>
  <c r="AK193" i="167"/>
  <c r="AO193" i="167"/>
  <c r="AP193" i="167"/>
  <c r="AQ193" i="167"/>
  <c r="AR193" i="167"/>
  <c r="AS193" i="167"/>
  <c r="AT193" i="167"/>
  <c r="AU193" i="167"/>
  <c r="B194" i="167"/>
  <c r="C194" i="167"/>
  <c r="D194" i="167"/>
  <c r="E194" i="167"/>
  <c r="L194" i="167" s="1"/>
  <c r="F194" i="167"/>
  <c r="G194" i="167"/>
  <c r="H194" i="167"/>
  <c r="I194" i="167"/>
  <c r="J194" i="167"/>
  <c r="K194" i="167"/>
  <c r="AN194" i="167" s="1"/>
  <c r="M194" i="167"/>
  <c r="N194" i="167"/>
  <c r="O194" i="167"/>
  <c r="AM194" i="167" s="1"/>
  <c r="P194" i="167"/>
  <c r="Q194" i="167" a="1"/>
  <c r="Q194" i="167" s="1"/>
  <c r="R194" i="167"/>
  <c r="S194" i="167"/>
  <c r="T194" i="167"/>
  <c r="U194" i="167"/>
  <c r="V194" i="167"/>
  <c r="W194" i="167"/>
  <c r="X194" i="167" s="1"/>
  <c r="Y194" i="167"/>
  <c r="AC194" i="167" s="1"/>
  <c r="Z194" i="167"/>
  <c r="AA194" i="167" s="1"/>
  <c r="AF194" i="167"/>
  <c r="AH194" i="167"/>
  <c r="AK194" i="167"/>
  <c r="AO194" i="167"/>
  <c r="AP194" i="167"/>
  <c r="AQ194" i="167"/>
  <c r="AR194" i="167"/>
  <c r="AS194" i="167"/>
  <c r="AT194" i="167"/>
  <c r="AU194" i="167"/>
  <c r="B174" i="167"/>
  <c r="C174" i="167"/>
  <c r="D174" i="167"/>
  <c r="E174" i="167"/>
  <c r="L174" i="167" s="1"/>
  <c r="F174" i="167"/>
  <c r="G174" i="167"/>
  <c r="H174" i="167"/>
  <c r="I174" i="167"/>
  <c r="J174" i="167"/>
  <c r="K174" i="167"/>
  <c r="AN174" i="167" s="1"/>
  <c r="M174" i="167"/>
  <c r="N174" i="167"/>
  <c r="O174" i="167"/>
  <c r="P174" i="167"/>
  <c r="Q174" i="167" a="1"/>
  <c r="Q174" i="167" s="1"/>
  <c r="R174" i="167"/>
  <c r="S174" i="167"/>
  <c r="T174" i="167"/>
  <c r="U174" i="167"/>
  <c r="V174" i="167"/>
  <c r="W174" i="167"/>
  <c r="X174" i="167" s="1"/>
  <c r="Y174" i="167"/>
  <c r="AC174" i="167" s="1"/>
  <c r="Z174" i="167"/>
  <c r="AA174" i="167" s="1"/>
  <c r="AF174" i="167"/>
  <c r="AH174" i="167"/>
  <c r="AK174" i="167"/>
  <c r="AO174" i="167"/>
  <c r="AP174" i="167"/>
  <c r="AQ174" i="167"/>
  <c r="AR174" i="167"/>
  <c r="AS174" i="167"/>
  <c r="AT174" i="167"/>
  <c r="AU174" i="167"/>
  <c r="B175" i="167"/>
  <c r="C175" i="167"/>
  <c r="D175" i="167"/>
  <c r="E175" i="167"/>
  <c r="L175" i="167" s="1"/>
  <c r="F175" i="167"/>
  <c r="G175" i="167"/>
  <c r="H175" i="167"/>
  <c r="I175" i="167"/>
  <c r="J175" i="167"/>
  <c r="K175" i="167"/>
  <c r="AN175" i="167" s="1"/>
  <c r="M175" i="167"/>
  <c r="N175" i="167"/>
  <c r="O175" i="167"/>
  <c r="P175" i="167"/>
  <c r="Q175" i="167" a="1"/>
  <c r="Q175" i="167" s="1"/>
  <c r="R175" i="167"/>
  <c r="S175" i="167"/>
  <c r="T175" i="167"/>
  <c r="U175" i="167"/>
  <c r="V175" i="167"/>
  <c r="W175" i="167"/>
  <c r="X175" i="167" s="1"/>
  <c r="Y175" i="167"/>
  <c r="AC175" i="167" s="1"/>
  <c r="Z175" i="167"/>
  <c r="AD175" i="167" s="1"/>
  <c r="AE175" i="167" s="1"/>
  <c r="AF175" i="167"/>
  <c r="AH175" i="167"/>
  <c r="AK175" i="167"/>
  <c r="AO175" i="167"/>
  <c r="AP175" i="167"/>
  <c r="AQ175" i="167"/>
  <c r="AR175" i="167"/>
  <c r="AS175" i="167"/>
  <c r="AT175" i="167"/>
  <c r="AU175" i="167"/>
  <c r="B176" i="167"/>
  <c r="C176" i="167"/>
  <c r="D176" i="167"/>
  <c r="E176" i="167"/>
  <c r="L176" i="167" s="1"/>
  <c r="F176" i="167"/>
  <c r="G176" i="167"/>
  <c r="H176" i="167"/>
  <c r="I176" i="167"/>
  <c r="J176" i="167"/>
  <c r="K176" i="167"/>
  <c r="AN176" i="167" s="1"/>
  <c r="M176" i="167"/>
  <c r="N176" i="167"/>
  <c r="O176" i="167"/>
  <c r="P176" i="167"/>
  <c r="Q176" i="167" a="1"/>
  <c r="Q176" i="167" s="1"/>
  <c r="R176" i="167"/>
  <c r="S176" i="167"/>
  <c r="T176" i="167"/>
  <c r="U176" i="167"/>
  <c r="V176" i="167"/>
  <c r="W176" i="167"/>
  <c r="X176" i="167" s="1"/>
  <c r="Y176" i="167"/>
  <c r="AC176" i="167" s="1"/>
  <c r="Z176" i="167"/>
  <c r="AA176" i="167" s="1"/>
  <c r="AF176" i="167"/>
  <c r="AH176" i="167"/>
  <c r="AK176" i="167"/>
  <c r="AO176" i="167"/>
  <c r="AP176" i="167"/>
  <c r="AQ176" i="167"/>
  <c r="AR176" i="167"/>
  <c r="AS176" i="167"/>
  <c r="AT176" i="167"/>
  <c r="AU176" i="167"/>
  <c r="B177" i="167"/>
  <c r="C177" i="167"/>
  <c r="D177" i="167"/>
  <c r="E177" i="167"/>
  <c r="L177" i="167" s="1"/>
  <c r="F177" i="167"/>
  <c r="G177" i="167"/>
  <c r="H177" i="167"/>
  <c r="I177" i="167"/>
  <c r="J177" i="167"/>
  <c r="K177" i="167"/>
  <c r="AN177" i="167" s="1"/>
  <c r="M177" i="167"/>
  <c r="N177" i="167"/>
  <c r="O177" i="167"/>
  <c r="P177" i="167"/>
  <c r="Q177" i="167" a="1"/>
  <c r="Q177" i="167" s="1"/>
  <c r="R177" i="167"/>
  <c r="S177" i="167"/>
  <c r="T177" i="167"/>
  <c r="U177" i="167"/>
  <c r="V177" i="167"/>
  <c r="W177" i="167"/>
  <c r="X177" i="167" s="1"/>
  <c r="Y177" i="167"/>
  <c r="AC177" i="167" s="1"/>
  <c r="Z177" i="167"/>
  <c r="AA177" i="167" s="1"/>
  <c r="AF177" i="167"/>
  <c r="AH177" i="167"/>
  <c r="AK177" i="167"/>
  <c r="AO177" i="167"/>
  <c r="AP177" i="167"/>
  <c r="AQ177" i="167"/>
  <c r="AR177" i="167"/>
  <c r="AS177" i="167"/>
  <c r="AT177" i="167"/>
  <c r="AU177" i="167"/>
  <c r="B178" i="167"/>
  <c r="C178" i="167"/>
  <c r="D178" i="167"/>
  <c r="E178" i="167"/>
  <c r="L178" i="167" s="1"/>
  <c r="F178" i="167"/>
  <c r="G178" i="167"/>
  <c r="H178" i="167"/>
  <c r="I178" i="167"/>
  <c r="J178" i="167"/>
  <c r="K178" i="167"/>
  <c r="AN178" i="167" s="1"/>
  <c r="M178" i="167"/>
  <c r="N178" i="167"/>
  <c r="O178" i="167"/>
  <c r="P178" i="167"/>
  <c r="Q178" i="167" a="1"/>
  <c r="Q178" i="167" s="1"/>
  <c r="R178" i="167"/>
  <c r="S178" i="167"/>
  <c r="T178" i="167"/>
  <c r="U178" i="167"/>
  <c r="V178" i="167"/>
  <c r="W178" i="167"/>
  <c r="X178" i="167" s="1"/>
  <c r="Y178" i="167"/>
  <c r="AC178" i="167" s="1"/>
  <c r="Z178" i="167"/>
  <c r="AD178" i="167" s="1"/>
  <c r="AE178" i="167" s="1"/>
  <c r="AF178" i="167"/>
  <c r="AH178" i="167"/>
  <c r="AK178" i="167"/>
  <c r="AO178" i="167"/>
  <c r="AP178" i="167"/>
  <c r="AQ178" i="167"/>
  <c r="AR178" i="167"/>
  <c r="AS178" i="167"/>
  <c r="AT178" i="167"/>
  <c r="AU178" i="167"/>
  <c r="B179" i="167"/>
  <c r="C179" i="167"/>
  <c r="D179" i="167"/>
  <c r="E179" i="167"/>
  <c r="L179" i="167" s="1"/>
  <c r="F179" i="167"/>
  <c r="G179" i="167"/>
  <c r="H179" i="167"/>
  <c r="I179" i="167"/>
  <c r="J179" i="167"/>
  <c r="K179" i="167"/>
  <c r="AN179" i="167" s="1"/>
  <c r="M179" i="167"/>
  <c r="N179" i="167"/>
  <c r="O179" i="167"/>
  <c r="P179" i="167"/>
  <c r="Q179" i="167" a="1"/>
  <c r="Q179" i="167" s="1"/>
  <c r="R179" i="167"/>
  <c r="S179" i="167"/>
  <c r="T179" i="167"/>
  <c r="U179" i="167"/>
  <c r="V179" i="167"/>
  <c r="W179" i="167"/>
  <c r="X179" i="167" s="1"/>
  <c r="Y179" i="167"/>
  <c r="Z179" i="167"/>
  <c r="AA179" i="167" s="1"/>
  <c r="AF179" i="167"/>
  <c r="AH179" i="167"/>
  <c r="AK179" i="167"/>
  <c r="AO179" i="167"/>
  <c r="AP179" i="167"/>
  <c r="AQ179" i="167"/>
  <c r="AR179" i="167"/>
  <c r="AS179" i="167"/>
  <c r="AT179" i="167"/>
  <c r="AU179" i="167"/>
  <c r="B180" i="167"/>
  <c r="C180" i="167"/>
  <c r="D180" i="167"/>
  <c r="E180" i="167"/>
  <c r="L180" i="167" s="1"/>
  <c r="F180" i="167"/>
  <c r="G180" i="167"/>
  <c r="H180" i="167"/>
  <c r="I180" i="167"/>
  <c r="J180" i="167"/>
  <c r="K180" i="167"/>
  <c r="AN180" i="167" s="1"/>
  <c r="M180" i="167"/>
  <c r="N180" i="167"/>
  <c r="O180" i="167"/>
  <c r="AM180" i="167" s="1"/>
  <c r="P180" i="167"/>
  <c r="Q180" i="167" a="1"/>
  <c r="Q180" i="167" s="1"/>
  <c r="R180" i="167"/>
  <c r="S180" i="167"/>
  <c r="T180" i="167"/>
  <c r="U180" i="167"/>
  <c r="V180" i="167"/>
  <c r="W180" i="167"/>
  <c r="X180" i="167" s="1"/>
  <c r="Y180" i="167"/>
  <c r="AC180" i="167" s="1"/>
  <c r="Z180" i="167"/>
  <c r="AA180" i="167" s="1"/>
  <c r="AF180" i="167"/>
  <c r="AH180" i="167"/>
  <c r="AK180" i="167"/>
  <c r="AO180" i="167"/>
  <c r="AP180" i="167"/>
  <c r="AQ180" i="167"/>
  <c r="AR180" i="167"/>
  <c r="AS180" i="167"/>
  <c r="AT180" i="167"/>
  <c r="AU180" i="167"/>
  <c r="B181" i="167"/>
  <c r="C181" i="167"/>
  <c r="D181" i="167"/>
  <c r="E181" i="167"/>
  <c r="L181" i="167" s="1"/>
  <c r="F181" i="167"/>
  <c r="G181" i="167"/>
  <c r="H181" i="167"/>
  <c r="I181" i="167"/>
  <c r="J181" i="167"/>
  <c r="K181" i="167"/>
  <c r="AN181" i="167" s="1"/>
  <c r="M181" i="167"/>
  <c r="N181" i="167"/>
  <c r="O181" i="167"/>
  <c r="P181" i="167"/>
  <c r="Q181" i="167" a="1"/>
  <c r="Q181" i="167" s="1"/>
  <c r="R181" i="167"/>
  <c r="S181" i="167"/>
  <c r="T181" i="167"/>
  <c r="U181" i="167"/>
  <c r="V181" i="167"/>
  <c r="W181" i="167"/>
  <c r="X181" i="167" s="1"/>
  <c r="Y181" i="167"/>
  <c r="Z181" i="167"/>
  <c r="AD181" i="167" s="1"/>
  <c r="AE181" i="167" s="1"/>
  <c r="AF181" i="167"/>
  <c r="AH181" i="167"/>
  <c r="AK181" i="167"/>
  <c r="AO181" i="167"/>
  <c r="AP181" i="167"/>
  <c r="AQ181" i="167"/>
  <c r="AR181" i="167"/>
  <c r="AS181" i="167"/>
  <c r="AT181" i="167"/>
  <c r="AU181" i="167"/>
  <c r="B182" i="167"/>
  <c r="C182" i="167"/>
  <c r="D182" i="167"/>
  <c r="E182" i="167"/>
  <c r="L182" i="167" s="1"/>
  <c r="F182" i="167"/>
  <c r="G182" i="167"/>
  <c r="H182" i="167"/>
  <c r="I182" i="167"/>
  <c r="J182" i="167"/>
  <c r="K182" i="167"/>
  <c r="AN182" i="167" s="1"/>
  <c r="M182" i="167"/>
  <c r="N182" i="167"/>
  <c r="O182" i="167"/>
  <c r="AM182" i="167" s="1"/>
  <c r="P182" i="167"/>
  <c r="Q182" i="167" a="1"/>
  <c r="Q182" i="167" s="1"/>
  <c r="R182" i="167"/>
  <c r="S182" i="167"/>
  <c r="T182" i="167"/>
  <c r="U182" i="167"/>
  <c r="V182" i="167"/>
  <c r="W182" i="167"/>
  <c r="X182" i="167" s="1"/>
  <c r="Y182" i="167"/>
  <c r="AC182" i="167" s="1"/>
  <c r="Z182" i="167"/>
  <c r="AD182" i="167" s="1"/>
  <c r="AE182" i="167" s="1"/>
  <c r="AF182" i="167"/>
  <c r="AH182" i="167"/>
  <c r="AK182" i="167"/>
  <c r="AO182" i="167"/>
  <c r="AP182" i="167"/>
  <c r="AQ182" i="167"/>
  <c r="AR182" i="167"/>
  <c r="AS182" i="167"/>
  <c r="AT182" i="167"/>
  <c r="AU182" i="167"/>
  <c r="B183" i="167"/>
  <c r="C183" i="167"/>
  <c r="D183" i="167"/>
  <c r="E183" i="167"/>
  <c r="L183" i="167" s="1"/>
  <c r="F183" i="167"/>
  <c r="G183" i="167"/>
  <c r="H183" i="167"/>
  <c r="I183" i="167"/>
  <c r="J183" i="167"/>
  <c r="K183" i="167"/>
  <c r="AN183" i="167" s="1"/>
  <c r="M183" i="167"/>
  <c r="N183" i="167"/>
  <c r="O183" i="167"/>
  <c r="AM183" i="167" s="1"/>
  <c r="P183" i="167"/>
  <c r="Q183" i="167" a="1"/>
  <c r="Q183" i="167" s="1"/>
  <c r="R183" i="167"/>
  <c r="S183" i="167"/>
  <c r="T183" i="167"/>
  <c r="U183" i="167"/>
  <c r="V183" i="167"/>
  <c r="W183" i="167"/>
  <c r="X183" i="167" s="1"/>
  <c r="Y183" i="167"/>
  <c r="AC183" i="167" s="1"/>
  <c r="Z183" i="167"/>
  <c r="AD183" i="167" s="1"/>
  <c r="AE183" i="167" s="1"/>
  <c r="AF183" i="167"/>
  <c r="AH183" i="167"/>
  <c r="AK183" i="167"/>
  <c r="AO183" i="167"/>
  <c r="AP183" i="167"/>
  <c r="AQ183" i="167"/>
  <c r="AR183" i="167"/>
  <c r="AS183" i="167"/>
  <c r="AT183" i="167"/>
  <c r="AU183" i="167"/>
  <c r="B184" i="167"/>
  <c r="C184" i="167"/>
  <c r="D184" i="167"/>
  <c r="E184" i="167"/>
  <c r="L184" i="167" s="1"/>
  <c r="F184" i="167"/>
  <c r="G184" i="167"/>
  <c r="H184" i="167"/>
  <c r="I184" i="167"/>
  <c r="J184" i="167"/>
  <c r="K184" i="167"/>
  <c r="AN184" i="167" s="1"/>
  <c r="M184" i="167"/>
  <c r="N184" i="167"/>
  <c r="O184" i="167"/>
  <c r="P184" i="167"/>
  <c r="Q184" i="167" a="1"/>
  <c r="Q184" i="167" s="1"/>
  <c r="R184" i="167"/>
  <c r="S184" i="167"/>
  <c r="T184" i="167"/>
  <c r="U184" i="167"/>
  <c r="V184" i="167"/>
  <c r="W184" i="167"/>
  <c r="X184" i="167" s="1"/>
  <c r="Y184" i="167"/>
  <c r="Z184" i="167"/>
  <c r="AA184" i="167" s="1"/>
  <c r="AF184" i="167"/>
  <c r="AH184" i="167"/>
  <c r="AK184" i="167"/>
  <c r="AO184" i="167"/>
  <c r="AP184" i="167"/>
  <c r="AQ184" i="167"/>
  <c r="AR184" i="167"/>
  <c r="AS184" i="167"/>
  <c r="AT184" i="167"/>
  <c r="AU184" i="167"/>
  <c r="B185" i="167"/>
  <c r="C185" i="167"/>
  <c r="D185" i="167"/>
  <c r="E185" i="167"/>
  <c r="L185" i="167" s="1"/>
  <c r="F185" i="167"/>
  <c r="G185" i="167"/>
  <c r="H185" i="167"/>
  <c r="I185" i="167"/>
  <c r="J185" i="167"/>
  <c r="K185" i="167"/>
  <c r="AN185" i="167" s="1"/>
  <c r="M185" i="167"/>
  <c r="N185" i="167"/>
  <c r="O185" i="167"/>
  <c r="P185" i="167"/>
  <c r="Q185" i="167" a="1"/>
  <c r="Q185" i="167" s="1"/>
  <c r="R185" i="167"/>
  <c r="S185" i="167"/>
  <c r="T185" i="167"/>
  <c r="U185" i="167"/>
  <c r="V185" i="167"/>
  <c r="W185" i="167"/>
  <c r="X185" i="167" s="1"/>
  <c r="Y185" i="167"/>
  <c r="Z185" i="167"/>
  <c r="AA185" i="167" s="1"/>
  <c r="AF185" i="167"/>
  <c r="AH185" i="167"/>
  <c r="AK185" i="167"/>
  <c r="AO185" i="167"/>
  <c r="AP185" i="167"/>
  <c r="AQ185" i="167"/>
  <c r="AR185" i="167"/>
  <c r="AS185" i="167"/>
  <c r="AT185" i="167"/>
  <c r="AU185" i="167"/>
  <c r="B186" i="167"/>
  <c r="C186" i="167"/>
  <c r="D186" i="167"/>
  <c r="E186" i="167"/>
  <c r="L186" i="167" s="1"/>
  <c r="F186" i="167"/>
  <c r="G186" i="167"/>
  <c r="H186" i="167"/>
  <c r="I186" i="167"/>
  <c r="J186" i="167"/>
  <c r="K186" i="167"/>
  <c r="AN186" i="167" s="1"/>
  <c r="M186" i="167"/>
  <c r="N186" i="167"/>
  <c r="O186" i="167"/>
  <c r="AM186" i="167" s="1"/>
  <c r="P186" i="167"/>
  <c r="Q186" i="167" a="1"/>
  <c r="Q186" i="167" s="1"/>
  <c r="R186" i="167"/>
  <c r="S186" i="167"/>
  <c r="T186" i="167"/>
  <c r="U186" i="167"/>
  <c r="V186" i="167"/>
  <c r="W186" i="167"/>
  <c r="X186" i="167" s="1"/>
  <c r="Y186" i="167"/>
  <c r="AC186" i="167" s="1"/>
  <c r="Z186" i="167"/>
  <c r="AD186" i="167" s="1"/>
  <c r="AE186" i="167" s="1"/>
  <c r="AF186" i="167"/>
  <c r="AH186" i="167"/>
  <c r="AK186" i="167"/>
  <c r="AO186" i="167"/>
  <c r="AP186" i="167"/>
  <c r="AQ186" i="167"/>
  <c r="AR186" i="167"/>
  <c r="AS186" i="167"/>
  <c r="AT186" i="167"/>
  <c r="AU186" i="167"/>
  <c r="B187" i="167"/>
  <c r="C187" i="167"/>
  <c r="D187" i="167"/>
  <c r="E187" i="167"/>
  <c r="L187" i="167" s="1"/>
  <c r="F187" i="167"/>
  <c r="G187" i="167"/>
  <c r="H187" i="167"/>
  <c r="I187" i="167"/>
  <c r="J187" i="167"/>
  <c r="K187" i="167"/>
  <c r="AN187" i="167" s="1"/>
  <c r="M187" i="167"/>
  <c r="N187" i="167"/>
  <c r="O187" i="167"/>
  <c r="AM187" i="167" s="1"/>
  <c r="P187" i="167"/>
  <c r="Q187" i="167" a="1"/>
  <c r="Q187" i="167" s="1"/>
  <c r="R187" i="167"/>
  <c r="S187" i="167"/>
  <c r="T187" i="167"/>
  <c r="U187" i="167"/>
  <c r="V187" i="167"/>
  <c r="W187" i="167"/>
  <c r="X187" i="167" s="1"/>
  <c r="Y187" i="167"/>
  <c r="Z187" i="167"/>
  <c r="AA187" i="167" s="1"/>
  <c r="AF187" i="167"/>
  <c r="AH187" i="167"/>
  <c r="AK187" i="167"/>
  <c r="AO187" i="167"/>
  <c r="AP187" i="167"/>
  <c r="AQ187" i="167"/>
  <c r="AR187" i="167"/>
  <c r="AS187" i="167"/>
  <c r="AT187" i="167"/>
  <c r="AU187" i="167"/>
  <c r="B188" i="167"/>
  <c r="C188" i="167"/>
  <c r="D188" i="167"/>
  <c r="E188" i="167"/>
  <c r="L188" i="167" s="1"/>
  <c r="F188" i="167"/>
  <c r="G188" i="167"/>
  <c r="H188" i="167"/>
  <c r="I188" i="167"/>
  <c r="J188" i="167"/>
  <c r="K188" i="167"/>
  <c r="AN188" i="167" s="1"/>
  <c r="M188" i="167"/>
  <c r="N188" i="167"/>
  <c r="O188" i="167"/>
  <c r="P188" i="167"/>
  <c r="Q188" i="167" a="1"/>
  <c r="Q188" i="167"/>
  <c r="R188" i="167"/>
  <c r="S188" i="167"/>
  <c r="T188" i="167"/>
  <c r="U188" i="167"/>
  <c r="V188" i="167"/>
  <c r="W188" i="167"/>
  <c r="X188" i="167" s="1"/>
  <c r="Y188" i="167"/>
  <c r="Z188" i="167"/>
  <c r="AA188" i="167" s="1"/>
  <c r="AF188" i="167"/>
  <c r="AH188" i="167"/>
  <c r="AK188" i="167"/>
  <c r="AO188" i="167"/>
  <c r="AP188" i="167"/>
  <c r="AQ188" i="167"/>
  <c r="AR188" i="167"/>
  <c r="AS188" i="167"/>
  <c r="AT188" i="167"/>
  <c r="AU188" i="167"/>
  <c r="B189" i="167"/>
  <c r="C189" i="167"/>
  <c r="D189" i="167"/>
  <c r="E189" i="167"/>
  <c r="L189" i="167" s="1"/>
  <c r="F189" i="167"/>
  <c r="G189" i="167"/>
  <c r="H189" i="167"/>
  <c r="I189" i="167"/>
  <c r="J189" i="167"/>
  <c r="K189" i="167"/>
  <c r="AN189" i="167" s="1"/>
  <c r="M189" i="167"/>
  <c r="N189" i="167"/>
  <c r="O189" i="167"/>
  <c r="AM189" i="167" s="1"/>
  <c r="P189" i="167"/>
  <c r="Q189" i="167" a="1"/>
  <c r="Q189" i="167" s="1"/>
  <c r="R189" i="167"/>
  <c r="S189" i="167"/>
  <c r="T189" i="167"/>
  <c r="U189" i="167"/>
  <c r="V189" i="167"/>
  <c r="W189" i="167"/>
  <c r="X189" i="167" s="1"/>
  <c r="Y189" i="167"/>
  <c r="Z189" i="167"/>
  <c r="AA189" i="167" s="1"/>
  <c r="AF189" i="167"/>
  <c r="AH189" i="167"/>
  <c r="AK189" i="167"/>
  <c r="AO189" i="167"/>
  <c r="AP189" i="167"/>
  <c r="AQ189" i="167"/>
  <c r="AR189" i="167"/>
  <c r="AS189" i="167"/>
  <c r="AT189" i="167"/>
  <c r="AU189" i="167"/>
  <c r="S5" i="167"/>
  <c r="T5" i="167"/>
  <c r="AM255" i="167" l="1"/>
  <c r="AL255" i="167" s="1"/>
  <c r="AW255" i="167"/>
  <c r="AA197" i="167"/>
  <c r="AD196" i="167"/>
  <c r="AE196" i="167" s="1"/>
  <c r="AM245" i="167"/>
  <c r="AL245" i="167" s="1"/>
  <c r="AW245" i="167"/>
  <c r="AW214" i="167"/>
  <c r="AM251" i="167"/>
  <c r="AL251" i="167" s="1"/>
  <c r="AM252" i="167"/>
  <c r="AL252" i="167" s="1"/>
  <c r="AW258" i="167"/>
  <c r="AW213" i="167"/>
  <c r="AM215" i="167"/>
  <c r="AL215" i="167" s="1"/>
  <c r="AW235" i="167"/>
  <c r="AM224" i="167"/>
  <c r="AL224" i="167" s="1"/>
  <c r="AW250" i="167"/>
  <c r="AB197" i="167"/>
  <c r="AW197" i="167" s="1"/>
  <c r="AW254" i="167"/>
  <c r="AM256" i="167"/>
  <c r="AL256" i="167" s="1"/>
  <c r="AM243" i="167"/>
  <c r="AL243" i="167" s="1"/>
  <c r="AW253" i="167"/>
  <c r="AB199" i="167"/>
  <c r="AW199" i="167" s="1"/>
  <c r="AW244" i="167"/>
  <c r="AB198" i="167"/>
  <c r="AW198" i="167" s="1"/>
  <c r="AB179" i="167"/>
  <c r="AW179" i="167" s="1"/>
  <c r="AW206" i="167"/>
  <c r="AM206" i="167"/>
  <c r="AL206" i="167" s="1"/>
  <c r="AD194" i="167"/>
  <c r="AE194" i="167" s="1"/>
  <c r="AD201" i="167"/>
  <c r="AE201" i="167" s="1"/>
  <c r="AD190" i="167"/>
  <c r="AE190" i="167" s="1"/>
  <c r="AB190" i="167"/>
  <c r="AW190" i="167" s="1"/>
  <c r="AD191" i="167"/>
  <c r="AE191" i="167" s="1"/>
  <c r="AD189" i="167"/>
  <c r="AE189" i="167" s="1"/>
  <c r="AD176" i="167"/>
  <c r="AE176" i="167" s="1"/>
  <c r="AL195" i="167"/>
  <c r="AA178" i="167"/>
  <c r="AA198" i="167"/>
  <c r="AA182" i="167"/>
  <c r="AL182" i="167" s="1"/>
  <c r="AB193" i="167"/>
  <c r="AW193" i="167" s="1"/>
  <c r="AA202" i="167"/>
  <c r="AB202" i="167" s="1"/>
  <c r="AB188" i="167"/>
  <c r="AW188" i="167" s="1"/>
  <c r="AD187" i="167"/>
  <c r="AE187" i="167" s="1"/>
  <c r="AB181" i="167"/>
  <c r="AW181" i="167" s="1"/>
  <c r="AB178" i="167"/>
  <c r="AM178" i="167" s="1"/>
  <c r="AL178" i="167" s="1"/>
  <c r="AB191" i="167"/>
  <c r="AW191" i="167" s="1"/>
  <c r="AB200" i="167"/>
  <c r="AW200" i="167" s="1"/>
  <c r="AL198" i="167"/>
  <c r="AL197" i="167"/>
  <c r="AL185" i="167"/>
  <c r="AB174" i="167"/>
  <c r="AM174" i="167" s="1"/>
  <c r="AL174" i="167" s="1"/>
  <c r="AB189" i="167"/>
  <c r="AW189" i="167" s="1"/>
  <c r="AM185" i="167"/>
  <c r="AD179" i="167"/>
  <c r="AE179" i="167" s="1"/>
  <c r="AC190" i="167"/>
  <c r="AL187" i="167"/>
  <c r="AA186" i="167"/>
  <c r="AL186" i="167" s="1"/>
  <c r="AA183" i="167"/>
  <c r="AB183" i="167" s="1"/>
  <c r="AW183" i="167" s="1"/>
  <c r="AC179" i="167"/>
  <c r="AA175" i="167"/>
  <c r="AB201" i="167"/>
  <c r="AM201" i="167" s="1"/>
  <c r="AL201" i="167" s="1"/>
  <c r="AC181" i="167"/>
  <c r="AL179" i="167"/>
  <c r="AD195" i="167"/>
  <c r="AE195" i="167" s="1"/>
  <c r="AB187" i="167"/>
  <c r="AW187" i="167" s="1"/>
  <c r="AB184" i="167"/>
  <c r="AW184" i="167" s="1"/>
  <c r="AC188" i="167"/>
  <c r="AL188" i="167"/>
  <c r="AL181" i="167"/>
  <c r="AD177" i="167"/>
  <c r="AE177" i="167" s="1"/>
  <c r="AL193" i="167"/>
  <c r="AD174" i="167"/>
  <c r="AE174" i="167" s="1"/>
  <c r="AD193" i="167"/>
  <c r="AE193" i="167" s="1"/>
  <c r="AL196" i="167"/>
  <c r="AB195" i="167"/>
  <c r="AW195" i="167" s="1"/>
  <c r="AB185" i="167"/>
  <c r="AW185" i="167" s="1"/>
  <c r="AD180" i="167"/>
  <c r="AE180" i="167" s="1"/>
  <c r="AB196" i="167"/>
  <c r="AW196" i="167" s="1"/>
  <c r="AC202" i="167"/>
  <c r="AL189" i="167"/>
  <c r="AL184" i="167"/>
  <c r="AB192" i="167"/>
  <c r="AW192" i="167" s="1"/>
  <c r="AL190" i="167"/>
  <c r="AM195" i="167"/>
  <c r="AB205" i="167"/>
  <c r="AW205" i="167" s="1"/>
  <c r="AB204" i="167"/>
  <c r="AW204" i="167" s="1"/>
  <c r="AL194" i="167"/>
  <c r="AB180" i="167"/>
  <c r="AW180" i="167" s="1"/>
  <c r="AD192" i="167"/>
  <c r="AE192" i="167" s="1"/>
  <c r="AD205" i="167"/>
  <c r="AE205" i="167" s="1"/>
  <c r="AC205" i="167"/>
  <c r="AD204" i="167"/>
  <c r="AE204" i="167" s="1"/>
  <c r="AA203" i="167"/>
  <c r="AB203" i="167" s="1"/>
  <c r="AW203" i="167" s="1"/>
  <c r="AD200" i="167"/>
  <c r="AE200" i="167" s="1"/>
  <c r="AC200" i="167"/>
  <c r="AC199" i="167"/>
  <c r="AC198" i="167"/>
  <c r="AD199" i="167"/>
  <c r="AE199" i="167" s="1"/>
  <c r="AC195" i="167"/>
  <c r="AL199" i="167"/>
  <c r="AM198" i="167"/>
  <c r="AM197" i="167"/>
  <c r="AL192" i="167"/>
  <c r="AL191" i="167"/>
  <c r="AB194" i="167"/>
  <c r="AW194" i="167" s="1"/>
  <c r="AM192" i="167"/>
  <c r="AB177" i="167"/>
  <c r="AW177" i="167" s="1"/>
  <c r="AB176" i="167"/>
  <c r="AW176" i="167" s="1"/>
  <c r="AL176" i="167"/>
  <c r="AM184" i="167"/>
  <c r="AA181" i="167"/>
  <c r="AC189" i="167"/>
  <c r="AD188" i="167"/>
  <c r="AE188" i="167" s="1"/>
  <c r="AM181" i="167"/>
  <c r="AC187" i="167"/>
  <c r="AL180" i="167"/>
  <c r="AM179" i="167"/>
  <c r="AD185" i="167"/>
  <c r="AE185" i="167" s="1"/>
  <c r="AC185" i="167"/>
  <c r="AD184" i="167"/>
  <c r="AE184" i="167" s="1"/>
  <c r="AM188" i="167"/>
  <c r="AC184" i="167"/>
  <c r="AM176" i="167"/>
  <c r="AK6" i="167"/>
  <c r="AK7" i="167"/>
  <c r="AK8" i="167"/>
  <c r="AK9" i="167"/>
  <c r="AK10" i="167"/>
  <c r="AK11" i="167"/>
  <c r="AK12" i="167"/>
  <c r="AK13" i="167"/>
  <c r="AK14" i="167"/>
  <c r="AK15" i="167"/>
  <c r="AK16" i="167"/>
  <c r="AK17" i="167"/>
  <c r="AK18" i="167"/>
  <c r="AK19" i="167"/>
  <c r="AK20" i="167"/>
  <c r="AK21" i="167"/>
  <c r="AK22" i="167"/>
  <c r="AK23" i="167"/>
  <c r="AK24" i="167"/>
  <c r="AK25" i="167"/>
  <c r="AK26" i="167"/>
  <c r="AK27" i="167"/>
  <c r="AK28" i="167"/>
  <c r="AK29" i="167"/>
  <c r="AK30" i="167"/>
  <c r="AK31" i="167"/>
  <c r="AK32" i="167"/>
  <c r="AK33" i="167"/>
  <c r="AK34" i="167"/>
  <c r="AK35" i="167"/>
  <c r="AK36" i="167"/>
  <c r="AK37" i="167"/>
  <c r="AK38" i="167"/>
  <c r="AK39" i="167"/>
  <c r="AK40" i="167"/>
  <c r="AK41" i="167"/>
  <c r="AK42" i="167"/>
  <c r="AK43" i="167"/>
  <c r="AK44" i="167"/>
  <c r="AK45" i="167"/>
  <c r="AK46" i="167"/>
  <c r="AK47" i="167"/>
  <c r="AK48" i="167"/>
  <c r="AK49" i="167"/>
  <c r="AK50" i="167"/>
  <c r="AK51" i="167"/>
  <c r="AK52" i="167"/>
  <c r="AK53" i="167"/>
  <c r="AK54" i="167"/>
  <c r="AK55" i="167"/>
  <c r="AK56" i="167"/>
  <c r="AK57" i="167"/>
  <c r="AK58" i="167"/>
  <c r="AK59" i="167"/>
  <c r="AK60" i="167"/>
  <c r="AK61" i="167"/>
  <c r="AK62" i="167"/>
  <c r="AK63" i="167"/>
  <c r="AK64" i="167"/>
  <c r="AK65" i="167"/>
  <c r="AK66" i="167"/>
  <c r="AK67" i="167"/>
  <c r="AK68" i="167"/>
  <c r="AK69" i="167"/>
  <c r="AK70" i="167"/>
  <c r="AK71" i="167"/>
  <c r="AK72" i="167"/>
  <c r="AK73" i="167"/>
  <c r="AK74" i="167"/>
  <c r="AK75" i="167"/>
  <c r="AK76" i="167"/>
  <c r="AK77" i="167"/>
  <c r="AK78" i="167"/>
  <c r="AK79" i="167"/>
  <c r="AK80" i="167"/>
  <c r="AK81" i="167"/>
  <c r="AK82" i="167"/>
  <c r="AK83" i="167"/>
  <c r="AK84" i="167"/>
  <c r="AK85" i="167"/>
  <c r="AK86" i="167"/>
  <c r="AK87" i="167"/>
  <c r="AK88" i="167"/>
  <c r="AK89" i="167"/>
  <c r="AK90" i="167"/>
  <c r="AK91" i="167"/>
  <c r="AK92" i="167"/>
  <c r="AK93" i="167"/>
  <c r="AK94" i="167"/>
  <c r="AK95" i="167"/>
  <c r="AK96" i="167"/>
  <c r="AK97" i="167"/>
  <c r="AK98" i="167"/>
  <c r="AK99" i="167"/>
  <c r="AK100" i="167"/>
  <c r="AK101" i="167"/>
  <c r="AK102" i="167"/>
  <c r="AK103" i="167"/>
  <c r="AK104" i="167"/>
  <c r="AK105" i="167"/>
  <c r="AK106" i="167"/>
  <c r="AK107" i="167"/>
  <c r="AK108" i="167"/>
  <c r="AK109" i="167"/>
  <c r="AK110" i="167"/>
  <c r="AK111" i="167"/>
  <c r="AK112" i="167"/>
  <c r="AK113" i="167"/>
  <c r="AK114" i="167"/>
  <c r="AK115" i="167"/>
  <c r="AK116" i="167"/>
  <c r="AK117" i="167"/>
  <c r="AK118" i="167"/>
  <c r="AK119" i="167"/>
  <c r="AK120" i="167"/>
  <c r="AK121" i="167"/>
  <c r="AK122" i="167"/>
  <c r="AK123" i="167"/>
  <c r="AK124" i="167"/>
  <c r="AK125" i="167"/>
  <c r="AK126" i="167"/>
  <c r="AK127" i="167"/>
  <c r="AK128" i="167"/>
  <c r="AK129" i="167"/>
  <c r="AK130" i="167"/>
  <c r="AK131" i="167"/>
  <c r="AK132" i="167"/>
  <c r="AK133" i="167"/>
  <c r="AK134" i="167"/>
  <c r="AK135" i="167"/>
  <c r="AK136" i="167"/>
  <c r="AK137" i="167"/>
  <c r="AK138" i="167"/>
  <c r="AK139" i="167"/>
  <c r="AK140" i="167"/>
  <c r="AK141" i="167"/>
  <c r="AK142" i="167"/>
  <c r="AK143" i="167"/>
  <c r="AK144" i="167"/>
  <c r="AK145" i="167"/>
  <c r="AK146" i="167"/>
  <c r="AK147" i="167"/>
  <c r="AK148" i="167"/>
  <c r="AK149" i="167"/>
  <c r="AK150" i="167"/>
  <c r="AK151" i="167"/>
  <c r="AK152" i="167"/>
  <c r="AK153" i="167"/>
  <c r="AK154" i="167"/>
  <c r="AK155" i="167"/>
  <c r="AK156" i="167"/>
  <c r="AK157" i="167"/>
  <c r="AK158" i="167"/>
  <c r="AK159" i="167"/>
  <c r="AK160" i="167"/>
  <c r="AK161" i="167"/>
  <c r="AK162" i="167"/>
  <c r="AK163" i="167"/>
  <c r="AK164" i="167"/>
  <c r="AK165" i="167"/>
  <c r="AK166" i="167"/>
  <c r="AK167" i="167"/>
  <c r="AK168" i="167"/>
  <c r="AK169" i="167"/>
  <c r="AK170" i="167"/>
  <c r="AK171" i="167"/>
  <c r="AK172" i="167"/>
  <c r="AK173" i="167"/>
  <c r="AH173" i="167"/>
  <c r="V173" i="167"/>
  <c r="Y172" i="167"/>
  <c r="V172" i="167"/>
  <c r="B173" i="167"/>
  <c r="C173" i="167"/>
  <c r="D173" i="167"/>
  <c r="E173" i="167"/>
  <c r="L173" i="167" s="1"/>
  <c r="G173" i="167"/>
  <c r="H173" i="167"/>
  <c r="I173" i="167"/>
  <c r="J173" i="167"/>
  <c r="K173" i="167"/>
  <c r="AN173" i="167" s="1"/>
  <c r="M173" i="167"/>
  <c r="N173" i="167"/>
  <c r="O173" i="167"/>
  <c r="AM173" i="167" s="1"/>
  <c r="P173" i="167"/>
  <c r="Q173" i="167" a="1"/>
  <c r="Q173" i="167" s="1"/>
  <c r="R173" i="167"/>
  <c r="S173" i="167"/>
  <c r="T173" i="167"/>
  <c r="U173" i="167"/>
  <c r="W173" i="167"/>
  <c r="X173" i="167" s="1"/>
  <c r="Y173" i="167"/>
  <c r="Z173" i="167"/>
  <c r="AA173" i="167" s="1"/>
  <c r="AF173" i="167"/>
  <c r="AO173" i="167"/>
  <c r="AP173" i="167"/>
  <c r="AQ173" i="167"/>
  <c r="AR173" i="167"/>
  <c r="AS173" i="167"/>
  <c r="AT173" i="167"/>
  <c r="AU173" i="167"/>
  <c r="B171" i="167"/>
  <c r="C171" i="167"/>
  <c r="D171" i="167"/>
  <c r="E171" i="167"/>
  <c r="L171" i="167" s="1"/>
  <c r="F171" i="167"/>
  <c r="G171" i="167"/>
  <c r="H171" i="167"/>
  <c r="I171" i="167"/>
  <c r="J171" i="167"/>
  <c r="K171" i="167"/>
  <c r="AN171" i="167" s="1"/>
  <c r="M171" i="167"/>
  <c r="N171" i="167"/>
  <c r="O171" i="167"/>
  <c r="P171" i="167"/>
  <c r="Q171" i="167" a="1"/>
  <c r="Q171" i="167" s="1"/>
  <c r="R171" i="167"/>
  <c r="S171" i="167"/>
  <c r="T171" i="167"/>
  <c r="U171" i="167"/>
  <c r="V171" i="167"/>
  <c r="W171" i="167"/>
  <c r="Y171" i="167"/>
  <c r="Z171" i="167"/>
  <c r="AA171" i="167" s="1"/>
  <c r="AF171" i="167"/>
  <c r="AO171" i="167"/>
  <c r="AP171" i="167"/>
  <c r="AQ171" i="167"/>
  <c r="AR171" i="167"/>
  <c r="AS171" i="167"/>
  <c r="AT171" i="167"/>
  <c r="AU171" i="167"/>
  <c r="B172" i="167"/>
  <c r="C172" i="167"/>
  <c r="D172" i="167"/>
  <c r="E172" i="167"/>
  <c r="L172" i="167" s="1"/>
  <c r="G172" i="167"/>
  <c r="H172" i="167"/>
  <c r="I172" i="167"/>
  <c r="J172" i="167"/>
  <c r="K172" i="167"/>
  <c r="AN172" i="167" s="1"/>
  <c r="M172" i="167"/>
  <c r="N172" i="167"/>
  <c r="O172" i="167"/>
  <c r="P172" i="167"/>
  <c r="Q172" i="167" a="1"/>
  <c r="Q172" i="167" s="1"/>
  <c r="R172" i="167"/>
  <c r="S172" i="167"/>
  <c r="T172" i="167"/>
  <c r="U172" i="167"/>
  <c r="W172" i="167"/>
  <c r="X172" i="167" s="1"/>
  <c r="Z172" i="167"/>
  <c r="AD172" i="167" s="1"/>
  <c r="AF172" i="167"/>
  <c r="AO172" i="167"/>
  <c r="AP172" i="167"/>
  <c r="AQ172" i="167"/>
  <c r="AR172" i="167"/>
  <c r="AS172" i="167"/>
  <c r="AT172" i="167"/>
  <c r="AU172" i="167"/>
  <c r="B166" i="167"/>
  <c r="C166" i="167"/>
  <c r="D166" i="167"/>
  <c r="E166" i="167"/>
  <c r="L166" i="167" s="1"/>
  <c r="F166" i="167"/>
  <c r="G166" i="167"/>
  <c r="H166" i="167"/>
  <c r="I166" i="167"/>
  <c r="J166" i="167"/>
  <c r="K166" i="167"/>
  <c r="AN166" i="167" s="1"/>
  <c r="M166" i="167"/>
  <c r="N166" i="167"/>
  <c r="O166" i="167"/>
  <c r="P166" i="167"/>
  <c r="Q166" i="167" a="1"/>
  <c r="Q166" i="167" s="1"/>
  <c r="R166" i="167"/>
  <c r="S166" i="167"/>
  <c r="T166" i="167"/>
  <c r="U166" i="167"/>
  <c r="V166" i="167"/>
  <c r="W166" i="167"/>
  <c r="X166" i="167" s="1"/>
  <c r="Y166" i="167"/>
  <c r="Z166" i="167"/>
  <c r="AA166" i="167" s="1"/>
  <c r="AF166" i="167"/>
  <c r="AO166" i="167"/>
  <c r="AP166" i="167"/>
  <c r="AQ166" i="167"/>
  <c r="AR166" i="167"/>
  <c r="AS166" i="167"/>
  <c r="AT166" i="167"/>
  <c r="AU166" i="167"/>
  <c r="B167" i="167"/>
  <c r="C167" i="167"/>
  <c r="D167" i="167"/>
  <c r="E167" i="167"/>
  <c r="L167" i="167" s="1"/>
  <c r="F167" i="167"/>
  <c r="G167" i="167"/>
  <c r="H167" i="167"/>
  <c r="I167" i="167"/>
  <c r="J167" i="167"/>
  <c r="K167" i="167"/>
  <c r="AN167" i="167" s="1"/>
  <c r="M167" i="167"/>
  <c r="N167" i="167"/>
  <c r="O167" i="167"/>
  <c r="P167" i="167"/>
  <c r="Q167" i="167" a="1"/>
  <c r="Q167" i="167" s="1"/>
  <c r="R167" i="167"/>
  <c r="S167" i="167"/>
  <c r="T167" i="167"/>
  <c r="U167" i="167"/>
  <c r="V167" i="167"/>
  <c r="W167" i="167"/>
  <c r="X167" i="167" s="1"/>
  <c r="Y167" i="167"/>
  <c r="Z167" i="167"/>
  <c r="AD167" i="167" s="1"/>
  <c r="AF167" i="167"/>
  <c r="AO167" i="167"/>
  <c r="AP167" i="167"/>
  <c r="AQ167" i="167"/>
  <c r="AR167" i="167"/>
  <c r="AS167" i="167"/>
  <c r="AT167" i="167"/>
  <c r="AU167" i="167"/>
  <c r="B168" i="167"/>
  <c r="C168" i="167"/>
  <c r="D168" i="167"/>
  <c r="E168" i="167"/>
  <c r="L168" i="167" s="1"/>
  <c r="F168" i="167"/>
  <c r="G168" i="167"/>
  <c r="H168" i="167"/>
  <c r="I168" i="167"/>
  <c r="J168" i="167"/>
  <c r="K168" i="167"/>
  <c r="AN168" i="167" s="1"/>
  <c r="M168" i="167"/>
  <c r="N168" i="167"/>
  <c r="O168" i="167"/>
  <c r="P168" i="167"/>
  <c r="Q168" i="167" a="1"/>
  <c r="Q168" i="167" s="1"/>
  <c r="R168" i="167"/>
  <c r="S168" i="167"/>
  <c r="T168" i="167"/>
  <c r="U168" i="167"/>
  <c r="V168" i="167"/>
  <c r="W168" i="167"/>
  <c r="X168" i="167" s="1"/>
  <c r="Y168" i="167"/>
  <c r="Z168" i="167"/>
  <c r="AA168" i="167" s="1"/>
  <c r="AF168" i="167"/>
  <c r="AO168" i="167"/>
  <c r="AP168" i="167"/>
  <c r="AQ168" i="167"/>
  <c r="AR168" i="167"/>
  <c r="AS168" i="167"/>
  <c r="AT168" i="167"/>
  <c r="AU168" i="167"/>
  <c r="B169" i="167"/>
  <c r="C169" i="167"/>
  <c r="D169" i="167"/>
  <c r="E169" i="167"/>
  <c r="L169" i="167" s="1"/>
  <c r="F169" i="167"/>
  <c r="G169" i="167"/>
  <c r="H169" i="167"/>
  <c r="I169" i="167"/>
  <c r="J169" i="167"/>
  <c r="K169" i="167"/>
  <c r="AN169" i="167" s="1"/>
  <c r="M169" i="167"/>
  <c r="N169" i="167"/>
  <c r="O169" i="167"/>
  <c r="P169" i="167"/>
  <c r="Q169" i="167" a="1"/>
  <c r="Q169" i="167" s="1"/>
  <c r="R169" i="167"/>
  <c r="S169" i="167"/>
  <c r="T169" i="167"/>
  <c r="U169" i="167"/>
  <c r="V169" i="167"/>
  <c r="W169" i="167"/>
  <c r="X169" i="167" s="1"/>
  <c r="Y169" i="167"/>
  <c r="Z169" i="167"/>
  <c r="AA169" i="167" s="1"/>
  <c r="AF169" i="167"/>
  <c r="AO169" i="167"/>
  <c r="AP169" i="167"/>
  <c r="AQ169" i="167"/>
  <c r="AR169" i="167"/>
  <c r="AS169" i="167"/>
  <c r="AT169" i="167"/>
  <c r="AU169" i="167"/>
  <c r="B170" i="167"/>
  <c r="C170" i="167"/>
  <c r="D170" i="167"/>
  <c r="E170" i="167"/>
  <c r="L170" i="167" s="1"/>
  <c r="F170" i="167"/>
  <c r="G170" i="167"/>
  <c r="H170" i="167"/>
  <c r="I170" i="167"/>
  <c r="J170" i="167"/>
  <c r="K170" i="167"/>
  <c r="AN170" i="167" s="1"/>
  <c r="M170" i="167"/>
  <c r="N170" i="167"/>
  <c r="O170" i="167"/>
  <c r="P170" i="167"/>
  <c r="Q170" i="167" a="1"/>
  <c r="Q170" i="167" s="1"/>
  <c r="R170" i="167"/>
  <c r="S170" i="167"/>
  <c r="T170" i="167"/>
  <c r="U170" i="167"/>
  <c r="V170" i="167"/>
  <c r="W170" i="167"/>
  <c r="X170" i="167" s="1"/>
  <c r="Y170" i="167"/>
  <c r="Z170" i="167"/>
  <c r="AA170" i="167" s="1"/>
  <c r="AF170" i="167"/>
  <c r="AO170" i="167"/>
  <c r="AP170" i="167"/>
  <c r="AQ170" i="167"/>
  <c r="AR170" i="167"/>
  <c r="AS170" i="167"/>
  <c r="AT170" i="167"/>
  <c r="AU170" i="167"/>
  <c r="AH171" i="167"/>
  <c r="AW178" i="167" l="1"/>
  <c r="AW174" i="167"/>
  <c r="AB182" i="167"/>
  <c r="AW182" i="167" s="1"/>
  <c r="AM177" i="167"/>
  <c r="AL177" i="167" s="1"/>
  <c r="AM205" i="167"/>
  <c r="AL205" i="167" s="1"/>
  <c r="AM200" i="167"/>
  <c r="AL200" i="167" s="1"/>
  <c r="AW202" i="167"/>
  <c r="AM202" i="167"/>
  <c r="AL202" i="167" s="1"/>
  <c r="AB175" i="167"/>
  <c r="AW175" i="167" s="1"/>
  <c r="AW201" i="167"/>
  <c r="AM204" i="167"/>
  <c r="AL204" i="167" s="1"/>
  <c r="AB186" i="167"/>
  <c r="AW186" i="167" s="1"/>
  <c r="AL183" i="167"/>
  <c r="AM203" i="167"/>
  <c r="AL203" i="167" s="1"/>
  <c r="AM175" i="167"/>
  <c r="AL175" i="167" s="1"/>
  <c r="AB170" i="167"/>
  <c r="AM170" i="167" s="1"/>
  <c r="AL170" i="167" s="1"/>
  <c r="AD170" i="167"/>
  <c r="AD171" i="167"/>
  <c r="AC170" i="167"/>
  <c r="AC169" i="167"/>
  <c r="AC168" i="167"/>
  <c r="AB171" i="167"/>
  <c r="AW171" i="167" s="1"/>
  <c r="AB167" i="167"/>
  <c r="AW167" i="167" s="1"/>
  <c r="AA167" i="167"/>
  <c r="AD168" i="167"/>
  <c r="AE168" i="167" s="1"/>
  <c r="AD166" i="167"/>
  <c r="AB166" i="167"/>
  <c r="AW166" i="167" s="1"/>
  <c r="AD173" i="167"/>
  <c r="AC166" i="167"/>
  <c r="AB169" i="167"/>
  <c r="AM169" i="167" s="1"/>
  <c r="AL169" i="167" s="1"/>
  <c r="F173" i="167"/>
  <c r="AL173" i="167" s="1"/>
  <c r="AC173" i="167"/>
  <c r="F172" i="167"/>
  <c r="AH172" i="167"/>
  <c r="AE172" i="167"/>
  <c r="AA172" i="167"/>
  <c r="X171" i="167"/>
  <c r="AC171" i="167"/>
  <c r="AC172" i="167"/>
  <c r="AE167" i="167"/>
  <c r="AH170" i="167"/>
  <c r="AB168" i="167"/>
  <c r="AW168" i="167" s="1"/>
  <c r="AD169" i="167"/>
  <c r="AC167" i="167"/>
  <c r="AM166" i="167" l="1"/>
  <c r="AL166" i="167" s="1"/>
  <c r="AM167" i="167"/>
  <c r="AL167" i="167" s="1"/>
  <c r="AM171" i="167"/>
  <c r="AL171" i="167" s="1"/>
  <c r="AM168" i="167"/>
  <c r="AL168" i="167" s="1"/>
  <c r="AE171" i="167"/>
  <c r="AB173" i="167"/>
  <c r="AW173" i="167" s="1"/>
  <c r="AE170" i="167"/>
  <c r="AW170" i="167"/>
  <c r="AE173" i="167"/>
  <c r="AE166" i="167"/>
  <c r="AW169" i="167"/>
  <c r="AB172" i="167"/>
  <c r="AE169" i="167"/>
  <c r="AW172" i="167" l="1"/>
  <c r="AM172" i="167"/>
  <c r="AL172" i="167" s="1"/>
  <c r="AH166" i="167"/>
  <c r="AH167" i="167"/>
  <c r="AH168" i="167"/>
  <c r="AH169" i="167"/>
  <c r="AS6" i="167" l="1"/>
  <c r="AS7" i="167"/>
  <c r="AS8" i="167"/>
  <c r="AT8" i="167"/>
  <c r="AU8" i="167"/>
  <c r="AS9" i="167"/>
  <c r="AT9" i="167"/>
  <c r="AU9" i="167"/>
  <c r="AS10" i="167"/>
  <c r="AT10" i="167"/>
  <c r="AU10" i="167"/>
  <c r="AS11" i="167"/>
  <c r="AT11" i="167"/>
  <c r="AU11" i="167"/>
  <c r="AS12" i="167"/>
  <c r="AT12" i="167"/>
  <c r="AU12" i="167"/>
  <c r="AS13" i="167"/>
  <c r="AT13" i="167"/>
  <c r="AU13" i="167"/>
  <c r="AS14" i="167"/>
  <c r="AT14" i="167"/>
  <c r="AU14" i="167"/>
  <c r="AS15" i="167"/>
  <c r="AT15" i="167"/>
  <c r="AU15" i="167"/>
  <c r="AS16" i="167"/>
  <c r="AS17" i="167"/>
  <c r="AT17" i="167"/>
  <c r="AU17" i="167"/>
  <c r="AS18" i="167"/>
  <c r="AT18" i="167"/>
  <c r="AU18" i="167"/>
  <c r="AS19" i="167"/>
  <c r="AT19" i="167"/>
  <c r="AU19" i="167"/>
  <c r="AS20" i="167"/>
  <c r="AT20" i="167"/>
  <c r="AU20" i="167"/>
  <c r="AS21" i="167"/>
  <c r="AT21" i="167"/>
  <c r="AU21" i="167"/>
  <c r="AS22" i="167"/>
  <c r="AT22" i="167"/>
  <c r="AU22" i="167"/>
  <c r="AS23" i="167"/>
  <c r="AT23" i="167"/>
  <c r="AU23" i="167"/>
  <c r="AS24" i="167"/>
  <c r="AT24" i="167"/>
  <c r="AU24" i="167"/>
  <c r="AS25" i="167"/>
  <c r="AT25" i="167"/>
  <c r="AU25" i="167"/>
  <c r="AS26" i="167"/>
  <c r="AT26" i="167"/>
  <c r="AU26" i="167"/>
  <c r="AS27" i="167"/>
  <c r="AT27" i="167"/>
  <c r="AU27" i="167"/>
  <c r="AS28" i="167"/>
  <c r="AT28" i="167"/>
  <c r="AU28" i="167"/>
  <c r="AS29" i="167"/>
  <c r="AT29" i="167"/>
  <c r="AU29" i="167"/>
  <c r="AS30" i="167"/>
  <c r="AT30" i="167"/>
  <c r="AU30" i="167"/>
  <c r="AS31" i="167"/>
  <c r="AT31" i="167"/>
  <c r="AU31" i="167"/>
  <c r="AS32" i="167"/>
  <c r="AT32" i="167"/>
  <c r="AU32" i="167"/>
  <c r="AS33" i="167"/>
  <c r="AT33" i="167"/>
  <c r="AU33" i="167"/>
  <c r="AS34" i="167"/>
  <c r="AT34" i="167"/>
  <c r="AU34" i="167"/>
  <c r="AS35" i="167"/>
  <c r="AT35" i="167"/>
  <c r="AU35" i="167"/>
  <c r="AS36" i="167"/>
  <c r="AT36" i="167"/>
  <c r="AU36" i="167"/>
  <c r="AS37" i="167"/>
  <c r="AT37" i="167"/>
  <c r="AU37" i="167"/>
  <c r="AS38" i="167"/>
  <c r="AT38" i="167"/>
  <c r="AU38" i="167"/>
  <c r="AS39" i="167"/>
  <c r="AT39" i="167"/>
  <c r="AU39" i="167"/>
  <c r="AS40" i="167"/>
  <c r="AS41" i="167"/>
  <c r="AT41" i="167"/>
  <c r="AU41" i="167"/>
  <c r="AS42" i="167"/>
  <c r="AT42" i="167"/>
  <c r="AU42" i="167"/>
  <c r="AS43" i="167"/>
  <c r="AT43" i="167"/>
  <c r="AU43" i="167"/>
  <c r="AS44" i="167"/>
  <c r="AT44" i="167"/>
  <c r="AU44" i="167"/>
  <c r="AS45" i="167"/>
  <c r="AT45" i="167"/>
  <c r="AU45" i="167"/>
  <c r="AS46" i="167"/>
  <c r="AT46" i="167"/>
  <c r="AU46" i="167"/>
  <c r="AS47" i="167"/>
  <c r="AT47" i="167"/>
  <c r="AU47" i="167"/>
  <c r="AS48" i="167"/>
  <c r="AT48" i="167"/>
  <c r="AU48" i="167"/>
  <c r="AS49" i="167"/>
  <c r="AT49" i="167"/>
  <c r="AU49" i="167"/>
  <c r="AS50" i="167"/>
  <c r="AT50" i="167"/>
  <c r="AU50" i="167"/>
  <c r="AS51" i="167"/>
  <c r="AT51" i="167"/>
  <c r="AU51" i="167"/>
  <c r="AS52" i="167"/>
  <c r="AT52" i="167"/>
  <c r="AU52" i="167"/>
  <c r="AS53" i="167"/>
  <c r="AT53" i="167"/>
  <c r="AU53" i="167"/>
  <c r="AS54" i="167"/>
  <c r="AT54" i="167"/>
  <c r="AU54" i="167"/>
  <c r="AS55" i="167"/>
  <c r="AS56" i="167"/>
  <c r="AS57" i="167"/>
  <c r="AS58" i="167"/>
  <c r="AT58" i="167"/>
  <c r="AU58" i="167"/>
  <c r="AS59" i="167"/>
  <c r="AS60" i="167"/>
  <c r="AT60" i="167"/>
  <c r="AU60" i="167"/>
  <c r="AS61" i="167"/>
  <c r="AT61" i="167"/>
  <c r="AU61" i="167"/>
  <c r="AS62" i="167"/>
  <c r="AT62" i="167"/>
  <c r="AU62" i="167"/>
  <c r="AS63" i="167"/>
  <c r="AT63" i="167"/>
  <c r="AU63" i="167"/>
  <c r="AS64" i="167"/>
  <c r="AT64" i="167"/>
  <c r="AU64" i="167"/>
  <c r="AS65" i="167"/>
  <c r="AT65" i="167"/>
  <c r="AU65" i="167"/>
  <c r="AS66" i="167"/>
  <c r="AT66" i="167"/>
  <c r="AU66" i="167"/>
  <c r="AS67" i="167"/>
  <c r="AT67" i="167"/>
  <c r="AU67" i="167"/>
  <c r="AS68" i="167"/>
  <c r="AT68" i="167"/>
  <c r="AU68" i="167"/>
  <c r="AS69" i="167"/>
  <c r="AT69" i="167"/>
  <c r="AU69" i="167"/>
  <c r="AS70" i="167"/>
  <c r="AT70" i="167"/>
  <c r="AU70" i="167"/>
  <c r="AS71" i="167"/>
  <c r="AT71" i="167"/>
  <c r="AU71" i="167"/>
  <c r="AS72" i="167"/>
  <c r="AT72" i="167"/>
  <c r="AU72" i="167"/>
  <c r="AS73" i="167"/>
  <c r="AT73" i="167"/>
  <c r="AU73" i="167"/>
  <c r="AS74" i="167"/>
  <c r="AT74" i="167"/>
  <c r="AU74" i="167"/>
  <c r="AS75" i="167"/>
  <c r="AT75" i="167"/>
  <c r="AU75" i="167"/>
  <c r="AS76" i="167"/>
  <c r="AT76" i="167"/>
  <c r="AU76" i="167"/>
  <c r="AS77" i="167"/>
  <c r="AT77" i="167"/>
  <c r="AU77" i="167"/>
  <c r="AS78" i="167"/>
  <c r="AT78" i="167"/>
  <c r="AU78" i="167"/>
  <c r="AS79" i="167"/>
  <c r="AT79" i="167"/>
  <c r="AU79" i="167"/>
  <c r="AS80" i="167"/>
  <c r="AT80" i="167"/>
  <c r="AU80" i="167"/>
  <c r="AS81" i="167"/>
  <c r="AT81" i="167"/>
  <c r="AU81" i="167"/>
  <c r="AS82" i="167"/>
  <c r="AT82" i="167"/>
  <c r="AU82" i="167"/>
  <c r="AS83" i="167"/>
  <c r="AT83" i="167"/>
  <c r="AU83" i="167"/>
  <c r="AS84" i="167"/>
  <c r="AT84" i="167"/>
  <c r="AU84" i="167"/>
  <c r="AS85" i="167"/>
  <c r="AS86" i="167"/>
  <c r="AS87" i="167"/>
  <c r="AS88" i="167"/>
  <c r="AS89" i="167"/>
  <c r="AS90" i="167"/>
  <c r="AS91" i="167"/>
  <c r="AS92" i="167"/>
  <c r="AS93" i="167"/>
  <c r="AS94" i="167"/>
  <c r="AS95" i="167"/>
  <c r="AS96" i="167"/>
  <c r="AS97" i="167"/>
  <c r="AS98" i="167"/>
  <c r="AS99" i="167"/>
  <c r="AS100" i="167"/>
  <c r="AS101" i="167"/>
  <c r="AS102" i="167"/>
  <c r="AS103" i="167"/>
  <c r="AS104" i="167"/>
  <c r="AT104" i="167"/>
  <c r="AS105" i="167"/>
  <c r="AS106" i="167"/>
  <c r="AS107" i="167"/>
  <c r="AS108" i="167"/>
  <c r="AT108" i="167"/>
  <c r="AS109" i="167"/>
  <c r="AS110" i="167"/>
  <c r="AS111" i="167"/>
  <c r="AS112" i="167"/>
  <c r="AS113" i="167"/>
  <c r="AS114" i="167"/>
  <c r="AS115" i="167"/>
  <c r="AS116" i="167"/>
  <c r="AT116" i="167"/>
  <c r="AS117" i="167"/>
  <c r="AS118" i="167"/>
  <c r="AS119" i="167"/>
  <c r="AS120" i="167"/>
  <c r="AT120" i="167"/>
  <c r="AS121" i="167"/>
  <c r="AS122" i="167"/>
  <c r="AS123" i="167"/>
  <c r="AS124" i="167"/>
  <c r="AS125" i="167"/>
  <c r="AS126" i="167"/>
  <c r="AT126" i="167"/>
  <c r="AU126" i="167"/>
  <c r="AS127" i="167"/>
  <c r="AS128" i="167"/>
  <c r="AT128" i="167"/>
  <c r="AS129" i="167"/>
  <c r="AS130" i="167"/>
  <c r="AS131" i="167"/>
  <c r="AS132" i="167"/>
  <c r="AS133" i="167"/>
  <c r="AS134" i="167"/>
  <c r="AS135" i="167"/>
  <c r="AS136" i="167"/>
  <c r="AS137" i="167"/>
  <c r="AS138" i="167"/>
  <c r="AS139" i="167"/>
  <c r="AS140" i="167"/>
  <c r="AT140" i="167"/>
  <c r="AS141" i="167"/>
  <c r="AS142" i="167"/>
  <c r="AS143" i="167"/>
  <c r="AS144" i="167"/>
  <c r="AT144" i="167"/>
  <c r="AS145" i="167"/>
  <c r="AS146" i="167"/>
  <c r="AS147" i="167"/>
  <c r="AS148" i="167"/>
  <c r="AS149" i="167"/>
  <c r="AT149" i="167"/>
  <c r="AS150" i="167"/>
  <c r="AS151" i="167"/>
  <c r="AS152" i="167"/>
  <c r="AS153" i="167"/>
  <c r="AS154" i="167"/>
  <c r="AS155" i="167"/>
  <c r="AS156" i="167"/>
  <c r="AT156" i="167"/>
  <c r="AS157" i="167"/>
  <c r="AS158" i="167"/>
  <c r="AS159" i="167"/>
  <c r="AU159" i="167"/>
  <c r="AS160" i="167"/>
  <c r="AS161" i="167"/>
  <c r="AT161" i="167"/>
  <c r="AU161" i="167"/>
  <c r="AS162" i="167"/>
  <c r="AS163" i="167"/>
  <c r="AS164" i="167"/>
  <c r="AT164" i="167"/>
  <c r="AS165" i="167"/>
  <c r="AT165" i="167"/>
  <c r="AT160" i="167"/>
  <c r="AU160" i="167"/>
  <c r="AU165" i="167"/>
  <c r="AU164" i="167"/>
  <c r="AT163" i="167"/>
  <c r="AU163" i="167"/>
  <c r="AT159" i="167"/>
  <c r="AU162" i="167"/>
  <c r="AT162" i="167"/>
  <c r="AT158" i="167"/>
  <c r="AU158" i="167"/>
  <c r="AU139" i="167"/>
  <c r="AT139" i="167"/>
  <c r="AT129" i="167"/>
  <c r="AU129" i="167"/>
  <c r="AT157" i="167"/>
  <c r="AU157" i="167"/>
  <c r="AU156" i="167"/>
  <c r="AT155" i="167"/>
  <c r="AU155" i="167"/>
  <c r="AT154" i="167"/>
  <c r="AU154" i="167"/>
  <c r="AT153" i="167"/>
  <c r="AU153" i="167"/>
  <c r="AT152" i="167"/>
  <c r="AU152" i="167"/>
  <c r="AT151" i="167"/>
  <c r="AU151" i="167"/>
  <c r="AT150" i="167"/>
  <c r="AU150" i="167"/>
  <c r="AU149" i="167"/>
  <c r="AT147" i="167"/>
  <c r="AU147" i="167"/>
  <c r="AT146" i="167"/>
  <c r="AU146" i="167"/>
  <c r="AT148" i="167"/>
  <c r="AU148" i="167"/>
  <c r="AU142" i="167"/>
  <c r="AT142" i="167"/>
  <c r="AU143" i="167"/>
  <c r="AT143" i="167"/>
  <c r="AT145" i="167"/>
  <c r="AU145" i="167"/>
  <c r="AU144" i="167"/>
  <c r="AT141" i="167"/>
  <c r="AU141" i="167"/>
  <c r="AU140" i="167"/>
  <c r="AT137" i="167"/>
  <c r="AU137" i="167"/>
  <c r="AT136" i="167"/>
  <c r="AU136" i="167"/>
  <c r="AU138" i="167"/>
  <c r="AT138" i="167"/>
  <c r="AT135" i="167"/>
  <c r="AU135" i="167"/>
  <c r="AT134" i="167"/>
  <c r="AU134" i="167"/>
  <c r="AT131" i="167"/>
  <c r="AU131" i="167"/>
  <c r="AT130" i="167"/>
  <c r="AU130" i="167"/>
  <c r="AU128" i="167"/>
  <c r="AT121" i="167"/>
  <c r="AU121" i="167"/>
  <c r="AU120" i="167"/>
  <c r="AT133" i="167"/>
  <c r="AU133" i="167"/>
  <c r="AT132" i="167"/>
  <c r="AU132" i="167"/>
  <c r="AT127" i="167"/>
  <c r="AU127" i="167"/>
  <c r="AT123" i="167"/>
  <c r="AU123" i="167"/>
  <c r="AT91" i="167"/>
  <c r="AU91" i="167"/>
  <c r="AT124" i="167"/>
  <c r="AU124" i="167"/>
  <c r="AT92" i="167"/>
  <c r="AU92" i="167"/>
  <c r="AU111" i="167"/>
  <c r="AT111" i="167"/>
  <c r="AU98" i="167"/>
  <c r="AT98" i="167"/>
  <c r="AU87" i="167"/>
  <c r="AT87" i="167"/>
  <c r="AU88" i="167"/>
  <c r="AT88" i="167"/>
  <c r="AU97" i="167"/>
  <c r="AT97" i="167"/>
  <c r="AT125" i="167"/>
  <c r="AU125" i="167"/>
  <c r="AT122" i="167"/>
  <c r="AU122" i="167"/>
  <c r="AT118" i="167"/>
  <c r="AU118" i="167"/>
  <c r="AT119" i="167"/>
  <c r="AU119" i="167"/>
  <c r="AT117" i="167"/>
  <c r="AU117" i="167"/>
  <c r="AT112" i="167"/>
  <c r="AU112" i="167"/>
  <c r="AT115" i="167"/>
  <c r="AU115" i="167"/>
  <c r="AU116" i="167"/>
  <c r="AT86" i="167"/>
  <c r="AU86" i="167"/>
  <c r="AT40" i="167"/>
  <c r="AU40" i="167"/>
  <c r="AT55" i="167"/>
  <c r="AU55" i="167"/>
  <c r="AT59" i="167"/>
  <c r="AU59" i="167"/>
  <c r="AT56" i="167"/>
  <c r="AU56" i="167"/>
  <c r="AT57" i="167"/>
  <c r="AU57" i="167"/>
  <c r="AT114" i="167"/>
  <c r="AU114" i="167"/>
  <c r="AT16" i="167"/>
  <c r="AU16" i="167"/>
  <c r="AU113" i="167"/>
  <c r="AT113" i="167"/>
  <c r="AU110" i="167"/>
  <c r="AT110" i="167"/>
  <c r="AU109" i="167"/>
  <c r="AT109" i="167"/>
  <c r="AU105" i="167"/>
  <c r="AT105" i="167"/>
  <c r="AU104" i="167"/>
  <c r="AU103" i="167"/>
  <c r="AT103" i="167"/>
  <c r="AU108" i="167"/>
  <c r="AU107" i="167"/>
  <c r="AT107" i="167"/>
  <c r="AU106" i="167"/>
  <c r="AT106" i="167"/>
  <c r="AU102" i="167"/>
  <c r="AT102" i="167"/>
  <c r="AU101" i="167"/>
  <c r="AT101" i="167"/>
  <c r="AU100" i="167"/>
  <c r="AT100" i="167"/>
  <c r="AU99" i="167"/>
  <c r="AT99" i="167"/>
  <c r="AU96" i="167"/>
  <c r="AT96" i="167"/>
  <c r="AU95" i="167"/>
  <c r="AT95" i="167"/>
  <c r="AU94" i="167"/>
  <c r="AT94" i="167"/>
  <c r="AU93" i="167"/>
  <c r="AT93" i="167"/>
  <c r="AU90" i="167"/>
  <c r="AT90" i="167"/>
  <c r="AU89" i="167"/>
  <c r="AT89" i="167"/>
  <c r="AU85" i="167"/>
  <c r="AT85" i="167"/>
  <c r="AU7" i="167"/>
  <c r="AT7" i="167"/>
  <c r="AU6" i="167"/>
  <c r="AT6" i="167"/>
  <c r="E158" i="167" l="1"/>
  <c r="E159" i="167"/>
  <c r="M158" i="167" l="1"/>
  <c r="T165" i="167"/>
  <c r="S165" i="167"/>
  <c r="T164" i="167"/>
  <c r="S164" i="167"/>
  <c r="T163" i="167"/>
  <c r="S163" i="167"/>
  <c r="T162" i="167"/>
  <c r="S162" i="167"/>
  <c r="T161" i="167"/>
  <c r="S161" i="167"/>
  <c r="T160" i="167"/>
  <c r="S160" i="167"/>
  <c r="T159" i="167"/>
  <c r="S159" i="167"/>
  <c r="T158" i="167"/>
  <c r="S158" i="167"/>
  <c r="T157" i="167"/>
  <c r="S157" i="167"/>
  <c r="T156" i="167"/>
  <c r="S156" i="167"/>
  <c r="T155" i="167"/>
  <c r="S155" i="167"/>
  <c r="T154" i="167"/>
  <c r="S154" i="167"/>
  <c r="T153" i="167"/>
  <c r="S153" i="167"/>
  <c r="T152" i="167"/>
  <c r="S152" i="167"/>
  <c r="T151" i="167"/>
  <c r="S151" i="167"/>
  <c r="T150" i="167"/>
  <c r="S150" i="167"/>
  <c r="T149" i="167"/>
  <c r="S149" i="167"/>
  <c r="T148" i="167"/>
  <c r="S148" i="167"/>
  <c r="T147" i="167"/>
  <c r="S147" i="167"/>
  <c r="T146" i="167"/>
  <c r="S146" i="167"/>
  <c r="T145" i="167"/>
  <c r="S145" i="167"/>
  <c r="T144" i="167"/>
  <c r="S144" i="167"/>
  <c r="T143" i="167"/>
  <c r="S143" i="167"/>
  <c r="T142" i="167"/>
  <c r="S142" i="167"/>
  <c r="T141" i="167"/>
  <c r="S141" i="167"/>
  <c r="T140" i="167"/>
  <c r="S140" i="167"/>
  <c r="T139" i="167"/>
  <c r="S139" i="167"/>
  <c r="T138" i="167"/>
  <c r="S138" i="167"/>
  <c r="T137" i="167"/>
  <c r="S137" i="167"/>
  <c r="T136" i="167"/>
  <c r="S136" i="167"/>
  <c r="T135" i="167"/>
  <c r="S135" i="167"/>
  <c r="T134" i="167"/>
  <c r="S134" i="167"/>
  <c r="T133" i="167"/>
  <c r="S133" i="167"/>
  <c r="T132" i="167"/>
  <c r="S132" i="167"/>
  <c r="T131" i="167"/>
  <c r="S131" i="167"/>
  <c r="T130" i="167"/>
  <c r="S130" i="167"/>
  <c r="T129" i="167"/>
  <c r="S129" i="167"/>
  <c r="T128" i="167"/>
  <c r="S128" i="167"/>
  <c r="T127" i="167"/>
  <c r="S127" i="167"/>
  <c r="T126" i="167"/>
  <c r="S126" i="167"/>
  <c r="T125" i="167"/>
  <c r="S125" i="167"/>
  <c r="T124" i="167"/>
  <c r="S124" i="167"/>
  <c r="T123" i="167"/>
  <c r="S123" i="167"/>
  <c r="T122" i="167"/>
  <c r="S122" i="167"/>
  <c r="T121" i="167"/>
  <c r="S121" i="167"/>
  <c r="T120" i="167"/>
  <c r="S120" i="167"/>
  <c r="T119" i="167"/>
  <c r="S119" i="167"/>
  <c r="T118" i="167"/>
  <c r="S118" i="167"/>
  <c r="T117" i="167"/>
  <c r="S117" i="167"/>
  <c r="T116" i="167"/>
  <c r="S116" i="167"/>
  <c r="T115" i="167"/>
  <c r="S115" i="167"/>
  <c r="T114" i="167"/>
  <c r="S114" i="167"/>
  <c r="T113" i="167"/>
  <c r="S113" i="167"/>
  <c r="T112" i="167"/>
  <c r="S112" i="167"/>
  <c r="T111" i="167"/>
  <c r="S111" i="167"/>
  <c r="T110" i="167"/>
  <c r="S110" i="167"/>
  <c r="T109" i="167"/>
  <c r="S109" i="167"/>
  <c r="T108" i="167"/>
  <c r="S108" i="167"/>
  <c r="T107" i="167"/>
  <c r="S107" i="167"/>
  <c r="T106" i="167"/>
  <c r="S106" i="167"/>
  <c r="T105" i="167"/>
  <c r="S105" i="167"/>
  <c r="T104" i="167"/>
  <c r="S104" i="167"/>
  <c r="T103" i="167"/>
  <c r="S103" i="167"/>
  <c r="T102" i="167"/>
  <c r="S102" i="167"/>
  <c r="T101" i="167"/>
  <c r="S101" i="167"/>
  <c r="T100" i="167"/>
  <c r="S100" i="167"/>
  <c r="T99" i="167"/>
  <c r="S99" i="167"/>
  <c r="T98" i="167"/>
  <c r="S98" i="167"/>
  <c r="T97" i="167"/>
  <c r="S97" i="167"/>
  <c r="T96" i="167"/>
  <c r="S96" i="167"/>
  <c r="T95" i="167"/>
  <c r="S95" i="167"/>
  <c r="T94" i="167"/>
  <c r="S94" i="167"/>
  <c r="T93" i="167"/>
  <c r="S93" i="167"/>
  <c r="T92" i="167"/>
  <c r="S92" i="167"/>
  <c r="T91" i="167"/>
  <c r="S91" i="167"/>
  <c r="T90" i="167"/>
  <c r="S90" i="167"/>
  <c r="T89" i="167"/>
  <c r="S89" i="167"/>
  <c r="T88" i="167"/>
  <c r="S88" i="167"/>
  <c r="T87" i="167"/>
  <c r="S87" i="167"/>
  <c r="T86" i="167"/>
  <c r="S86" i="167"/>
  <c r="T85" i="167"/>
  <c r="S85" i="167"/>
  <c r="T84" i="167"/>
  <c r="S84" i="167"/>
  <c r="T83" i="167"/>
  <c r="S83" i="167"/>
  <c r="T82" i="167"/>
  <c r="S82" i="167"/>
  <c r="T81" i="167"/>
  <c r="S81" i="167"/>
  <c r="T80" i="167"/>
  <c r="S80" i="167"/>
  <c r="T79" i="167"/>
  <c r="S79" i="167"/>
  <c r="T78" i="167"/>
  <c r="S78" i="167"/>
  <c r="T77" i="167"/>
  <c r="S77" i="167"/>
  <c r="T76" i="167"/>
  <c r="S76" i="167"/>
  <c r="T75" i="167"/>
  <c r="S75" i="167"/>
  <c r="T74" i="167"/>
  <c r="S74" i="167"/>
  <c r="T73" i="167"/>
  <c r="S73" i="167"/>
  <c r="T72" i="167"/>
  <c r="S72" i="167"/>
  <c r="T71" i="167"/>
  <c r="S71" i="167"/>
  <c r="T70" i="167"/>
  <c r="S70" i="167"/>
  <c r="T69" i="167"/>
  <c r="S69" i="167"/>
  <c r="T68" i="167"/>
  <c r="S68" i="167"/>
  <c r="T67" i="167"/>
  <c r="S67" i="167"/>
  <c r="T66" i="167"/>
  <c r="S66" i="167"/>
  <c r="T65" i="167"/>
  <c r="S65" i="167"/>
  <c r="T64" i="167"/>
  <c r="S64" i="167"/>
  <c r="T63" i="167"/>
  <c r="S63" i="167"/>
  <c r="T62" i="167"/>
  <c r="S62" i="167"/>
  <c r="T61" i="167"/>
  <c r="S61" i="167"/>
  <c r="T60" i="167"/>
  <c r="S60" i="167"/>
  <c r="T59" i="167"/>
  <c r="S59" i="167"/>
  <c r="T58" i="167"/>
  <c r="S58" i="167"/>
  <c r="T57" i="167"/>
  <c r="S57" i="167"/>
  <c r="T56" i="167"/>
  <c r="S56" i="167"/>
  <c r="T55" i="167"/>
  <c r="S55" i="167"/>
  <c r="T54" i="167"/>
  <c r="S54" i="167"/>
  <c r="T53" i="167"/>
  <c r="S53" i="167"/>
  <c r="T52" i="167"/>
  <c r="S52" i="167"/>
  <c r="T51" i="167"/>
  <c r="S51" i="167"/>
  <c r="T50" i="167"/>
  <c r="S50" i="167"/>
  <c r="T49" i="167"/>
  <c r="S49" i="167"/>
  <c r="T48" i="167"/>
  <c r="S48" i="167"/>
  <c r="T47" i="167"/>
  <c r="S47" i="167"/>
  <c r="T46" i="167"/>
  <c r="S46" i="167"/>
  <c r="T45" i="167"/>
  <c r="S45" i="167"/>
  <c r="T44" i="167"/>
  <c r="S44" i="167"/>
  <c r="T43" i="167"/>
  <c r="S43" i="167"/>
  <c r="T42" i="167"/>
  <c r="S42" i="167"/>
  <c r="T41" i="167"/>
  <c r="S41" i="167"/>
  <c r="T40" i="167"/>
  <c r="S40" i="167"/>
  <c r="T39" i="167"/>
  <c r="S39" i="167"/>
  <c r="T38" i="167"/>
  <c r="S38" i="167"/>
  <c r="T37" i="167"/>
  <c r="S37" i="167"/>
  <c r="T36" i="167"/>
  <c r="S36" i="167"/>
  <c r="T35" i="167"/>
  <c r="S35" i="167"/>
  <c r="T34" i="167"/>
  <c r="S34" i="167"/>
  <c r="T33" i="167"/>
  <c r="S33" i="167"/>
  <c r="T32" i="167"/>
  <c r="S32" i="167"/>
  <c r="T31" i="167"/>
  <c r="S31" i="167"/>
  <c r="T30" i="167"/>
  <c r="S30" i="167"/>
  <c r="T29" i="167"/>
  <c r="S29" i="167"/>
  <c r="T28" i="167"/>
  <c r="S28" i="167"/>
  <c r="T27" i="167"/>
  <c r="S27" i="167"/>
  <c r="T26" i="167"/>
  <c r="S26" i="167"/>
  <c r="T25" i="167"/>
  <c r="S25" i="167"/>
  <c r="T24" i="167"/>
  <c r="S24" i="167"/>
  <c r="T23" i="167"/>
  <c r="S23" i="167"/>
  <c r="T22" i="167"/>
  <c r="S22" i="167"/>
  <c r="T21" i="167"/>
  <c r="S21" i="167"/>
  <c r="T20" i="167"/>
  <c r="S20" i="167"/>
  <c r="T19" i="167"/>
  <c r="S19" i="167"/>
  <c r="T18" i="167"/>
  <c r="S18" i="167"/>
  <c r="T17" i="167"/>
  <c r="S17" i="167"/>
  <c r="T16" i="167"/>
  <c r="S16" i="167"/>
  <c r="T15" i="167"/>
  <c r="S15" i="167"/>
  <c r="T14" i="167"/>
  <c r="S14" i="167"/>
  <c r="T13" i="167"/>
  <c r="S13" i="167"/>
  <c r="T12" i="167"/>
  <c r="S12" i="167"/>
  <c r="T11" i="167"/>
  <c r="S11" i="167"/>
  <c r="T10" i="167"/>
  <c r="S10" i="167"/>
  <c r="T9" i="167"/>
  <c r="S9" i="167"/>
  <c r="T8" i="167"/>
  <c r="S8" i="167"/>
  <c r="T7" i="167"/>
  <c r="S7" i="167"/>
  <c r="T6" i="167"/>
  <c r="S6" i="167"/>
  <c r="B6" i="167"/>
  <c r="C6" i="167"/>
  <c r="D6" i="167"/>
  <c r="E6" i="167"/>
  <c r="L6" i="167" s="1"/>
  <c r="G6" i="167"/>
  <c r="H6" i="167"/>
  <c r="I6" i="167"/>
  <c r="J6" i="167"/>
  <c r="K6" i="167"/>
  <c r="AN6" i="167" s="1"/>
  <c r="M6" i="167"/>
  <c r="N6" i="167"/>
  <c r="O6" i="167"/>
  <c r="P6" i="167"/>
  <c r="Q6" i="167" a="1"/>
  <c r="Q6" i="167" s="1"/>
  <c r="R6" i="167"/>
  <c r="U6" i="167"/>
  <c r="W6" i="167"/>
  <c r="X6" i="167" s="1"/>
  <c r="Z6" i="167"/>
  <c r="AF6" i="167"/>
  <c r="AH6" i="167"/>
  <c r="AO6" i="167"/>
  <c r="AP6" i="167"/>
  <c r="AQ6" i="167"/>
  <c r="AR6" i="167"/>
  <c r="B7" i="167"/>
  <c r="C7" i="167"/>
  <c r="D7" i="167"/>
  <c r="E7" i="167"/>
  <c r="L7" i="167" s="1"/>
  <c r="G7" i="167"/>
  <c r="H7" i="167"/>
  <c r="I7" i="167"/>
  <c r="J7" i="167"/>
  <c r="K7" i="167"/>
  <c r="AN7" i="167" s="1"/>
  <c r="M7" i="167"/>
  <c r="N7" i="167"/>
  <c r="O7" i="167"/>
  <c r="P7" i="167"/>
  <c r="Q7" i="167" a="1"/>
  <c r="Q7" i="167" s="1"/>
  <c r="R7" i="167"/>
  <c r="U7" i="167"/>
  <c r="W7" i="167"/>
  <c r="X7" i="167" s="1"/>
  <c r="Z7" i="167"/>
  <c r="AA7" i="167" s="1"/>
  <c r="AF7" i="167"/>
  <c r="AH7" i="167"/>
  <c r="AO7" i="167"/>
  <c r="AP7" i="167"/>
  <c r="AQ7" i="167"/>
  <c r="AR7" i="167"/>
  <c r="B8" i="167"/>
  <c r="C8" i="167"/>
  <c r="D8" i="167"/>
  <c r="E8" i="167"/>
  <c r="L8" i="167" s="1"/>
  <c r="G8" i="167"/>
  <c r="H8" i="167"/>
  <c r="I8" i="167"/>
  <c r="J8" i="167"/>
  <c r="K8" i="167"/>
  <c r="AN8" i="167" s="1"/>
  <c r="M8" i="167"/>
  <c r="N8" i="167"/>
  <c r="O8" i="167"/>
  <c r="P8" i="167"/>
  <c r="Q8" i="167" a="1"/>
  <c r="Q8" i="167" s="1"/>
  <c r="R8" i="167"/>
  <c r="U8" i="167"/>
  <c r="W8" i="167"/>
  <c r="X8" i="167" s="1"/>
  <c r="Z8" i="167"/>
  <c r="AD8" i="167" s="1"/>
  <c r="AF8" i="167"/>
  <c r="AH8" i="167"/>
  <c r="AO8" i="167"/>
  <c r="AP8" i="167"/>
  <c r="AQ8" i="167"/>
  <c r="AR8" i="167"/>
  <c r="B9" i="167"/>
  <c r="C9" i="167"/>
  <c r="D9" i="167"/>
  <c r="E9" i="167"/>
  <c r="L9" i="167" s="1"/>
  <c r="G9" i="167"/>
  <c r="H9" i="167"/>
  <c r="I9" i="167"/>
  <c r="J9" i="167"/>
  <c r="K9" i="167"/>
  <c r="AN9" i="167" s="1"/>
  <c r="M9" i="167"/>
  <c r="N9" i="167"/>
  <c r="O9" i="167"/>
  <c r="P9" i="167"/>
  <c r="Q9" i="167" a="1"/>
  <c r="Q9" i="167" s="1"/>
  <c r="R9" i="167"/>
  <c r="U9" i="167"/>
  <c r="W9" i="167"/>
  <c r="X9" i="167" s="1"/>
  <c r="Z9" i="167"/>
  <c r="AD9" i="167" s="1"/>
  <c r="AF9" i="167"/>
  <c r="AH9" i="167"/>
  <c r="AO9" i="167"/>
  <c r="AP9" i="167"/>
  <c r="AQ9" i="167"/>
  <c r="AR9" i="167"/>
  <c r="B10" i="167"/>
  <c r="C10" i="167"/>
  <c r="D10" i="167"/>
  <c r="E10" i="167"/>
  <c r="L10" i="167" s="1"/>
  <c r="G10" i="167"/>
  <c r="H10" i="167"/>
  <c r="I10" i="167"/>
  <c r="J10" i="167"/>
  <c r="K10" i="167"/>
  <c r="AN10" i="167" s="1"/>
  <c r="M10" i="167"/>
  <c r="N10" i="167"/>
  <c r="O10" i="167"/>
  <c r="P10" i="167"/>
  <c r="Q10" i="167" a="1"/>
  <c r="Q10" i="167" s="1"/>
  <c r="R10" i="167"/>
  <c r="U10" i="167"/>
  <c r="W10" i="167"/>
  <c r="X10" i="167" s="1"/>
  <c r="Z10" i="167"/>
  <c r="AA10" i="167" s="1"/>
  <c r="AF10" i="167"/>
  <c r="AH10" i="167"/>
  <c r="AO10" i="167"/>
  <c r="AP10" i="167"/>
  <c r="AQ10" i="167"/>
  <c r="AR10" i="167"/>
  <c r="B11" i="167"/>
  <c r="C11" i="167"/>
  <c r="D11" i="167"/>
  <c r="E11" i="167"/>
  <c r="L11" i="167" s="1"/>
  <c r="G11" i="167"/>
  <c r="H11" i="167"/>
  <c r="I11" i="167"/>
  <c r="J11" i="167"/>
  <c r="K11" i="167"/>
  <c r="AN11" i="167" s="1"/>
  <c r="M11" i="167"/>
  <c r="N11" i="167"/>
  <c r="O11" i="167"/>
  <c r="P11" i="167"/>
  <c r="Q11" i="167" a="1"/>
  <c r="Q11" i="167" s="1"/>
  <c r="R11" i="167"/>
  <c r="U11" i="167"/>
  <c r="W11" i="167"/>
  <c r="X11" i="167" s="1"/>
  <c r="Z11" i="167"/>
  <c r="AD11" i="167" s="1"/>
  <c r="AF11" i="167"/>
  <c r="AH11" i="167"/>
  <c r="AO11" i="167"/>
  <c r="AP11" i="167"/>
  <c r="AQ11" i="167"/>
  <c r="AR11" i="167"/>
  <c r="B12" i="167"/>
  <c r="C12" i="167"/>
  <c r="D12" i="167"/>
  <c r="E12" i="167"/>
  <c r="L12" i="167" s="1"/>
  <c r="G12" i="167"/>
  <c r="H12" i="167"/>
  <c r="I12" i="167"/>
  <c r="J12" i="167"/>
  <c r="K12" i="167"/>
  <c r="AN12" i="167" s="1"/>
  <c r="M12" i="167"/>
  <c r="N12" i="167"/>
  <c r="O12" i="167"/>
  <c r="P12" i="167"/>
  <c r="Q12" i="167" a="1"/>
  <c r="Q12" i="167" s="1"/>
  <c r="R12" i="167"/>
  <c r="U12" i="167"/>
  <c r="W12" i="167"/>
  <c r="X12" i="167" s="1"/>
  <c r="Z12" i="167"/>
  <c r="AA12" i="167" s="1"/>
  <c r="AF12" i="167"/>
  <c r="AH12" i="167"/>
  <c r="AO12" i="167"/>
  <c r="AP12" i="167"/>
  <c r="AQ12" i="167"/>
  <c r="AR12" i="167"/>
  <c r="B13" i="167"/>
  <c r="C13" i="167"/>
  <c r="D13" i="167"/>
  <c r="E13" i="167"/>
  <c r="L13" i="167" s="1"/>
  <c r="G13" i="167"/>
  <c r="H13" i="167"/>
  <c r="I13" i="167"/>
  <c r="J13" i="167"/>
  <c r="K13" i="167"/>
  <c r="AN13" i="167" s="1"/>
  <c r="M13" i="167"/>
  <c r="N13" i="167"/>
  <c r="O13" i="167"/>
  <c r="P13" i="167"/>
  <c r="Q13" i="167" a="1"/>
  <c r="Q13" i="167" s="1"/>
  <c r="R13" i="167"/>
  <c r="U13" i="167"/>
  <c r="W13" i="167"/>
  <c r="X13" i="167" s="1"/>
  <c r="Z13" i="167"/>
  <c r="AD13" i="167" s="1"/>
  <c r="AF13" i="167"/>
  <c r="AH13" i="167"/>
  <c r="AO13" i="167"/>
  <c r="AP13" i="167"/>
  <c r="AQ13" i="167"/>
  <c r="AR13" i="167"/>
  <c r="B14" i="167"/>
  <c r="C14" i="167"/>
  <c r="D14" i="167"/>
  <c r="E14" i="167"/>
  <c r="L14" i="167" s="1"/>
  <c r="G14" i="167"/>
  <c r="H14" i="167"/>
  <c r="I14" i="167"/>
  <c r="J14" i="167"/>
  <c r="K14" i="167"/>
  <c r="AN14" i="167" s="1"/>
  <c r="M14" i="167"/>
  <c r="N14" i="167"/>
  <c r="O14" i="167"/>
  <c r="P14" i="167"/>
  <c r="Q14" i="167" a="1"/>
  <c r="Q14" i="167" s="1"/>
  <c r="R14" i="167"/>
  <c r="U14" i="167"/>
  <c r="W14" i="167"/>
  <c r="X14" i="167" s="1"/>
  <c r="Z14" i="167"/>
  <c r="AD14" i="167" s="1"/>
  <c r="AF14" i="167"/>
  <c r="AH14" i="167"/>
  <c r="AO14" i="167"/>
  <c r="AP14" i="167"/>
  <c r="AQ14" i="167"/>
  <c r="AR14" i="167"/>
  <c r="B15" i="167"/>
  <c r="C15" i="167"/>
  <c r="D15" i="167"/>
  <c r="E15" i="167"/>
  <c r="L15" i="167" s="1"/>
  <c r="G15" i="167"/>
  <c r="H15" i="167"/>
  <c r="I15" i="167"/>
  <c r="J15" i="167"/>
  <c r="K15" i="167"/>
  <c r="AN15" i="167" s="1"/>
  <c r="M15" i="167"/>
  <c r="N15" i="167"/>
  <c r="O15" i="167"/>
  <c r="P15" i="167"/>
  <c r="Q15" i="167" a="1"/>
  <c r="Q15" i="167" s="1"/>
  <c r="R15" i="167"/>
  <c r="U15" i="167"/>
  <c r="W15" i="167"/>
  <c r="X15" i="167" s="1"/>
  <c r="Z15" i="167"/>
  <c r="AA15" i="167" s="1"/>
  <c r="AF15" i="167"/>
  <c r="AH15" i="167"/>
  <c r="AO15" i="167"/>
  <c r="AP15" i="167"/>
  <c r="AQ15" i="167"/>
  <c r="AR15" i="167"/>
  <c r="B16" i="167"/>
  <c r="C16" i="167"/>
  <c r="D16" i="167"/>
  <c r="E16" i="167"/>
  <c r="L16" i="167" s="1"/>
  <c r="G16" i="167"/>
  <c r="H16" i="167"/>
  <c r="I16" i="167"/>
  <c r="J16" i="167"/>
  <c r="K16" i="167"/>
  <c r="AN16" i="167" s="1"/>
  <c r="M16" i="167"/>
  <c r="N16" i="167"/>
  <c r="O16" i="167"/>
  <c r="P16" i="167"/>
  <c r="Q16" i="167" a="1"/>
  <c r="Q16" i="167" s="1"/>
  <c r="R16" i="167"/>
  <c r="U16" i="167"/>
  <c r="W16" i="167"/>
  <c r="X16" i="167" s="1"/>
  <c r="Z16" i="167"/>
  <c r="AA16" i="167" s="1"/>
  <c r="AF16" i="167"/>
  <c r="AH16" i="167"/>
  <c r="AO16" i="167"/>
  <c r="AP16" i="167"/>
  <c r="AQ16" i="167"/>
  <c r="AR16" i="167"/>
  <c r="B17" i="167"/>
  <c r="C17" i="167"/>
  <c r="D17" i="167"/>
  <c r="E17" i="167"/>
  <c r="L17" i="167" s="1"/>
  <c r="G17" i="167"/>
  <c r="H17" i="167"/>
  <c r="I17" i="167"/>
  <c r="J17" i="167"/>
  <c r="K17" i="167"/>
  <c r="AN17" i="167" s="1"/>
  <c r="M17" i="167"/>
  <c r="N17" i="167"/>
  <c r="O17" i="167"/>
  <c r="P17" i="167"/>
  <c r="Q17" i="167" a="1"/>
  <c r="Q17" i="167" s="1"/>
  <c r="R17" i="167"/>
  <c r="U17" i="167"/>
  <c r="W17" i="167"/>
  <c r="X17" i="167" s="1"/>
  <c r="Z17" i="167"/>
  <c r="AD17" i="167" s="1"/>
  <c r="AF17" i="167"/>
  <c r="AH17" i="167"/>
  <c r="AO17" i="167"/>
  <c r="AP17" i="167"/>
  <c r="AQ17" i="167"/>
  <c r="AR17" i="167"/>
  <c r="B18" i="167"/>
  <c r="C18" i="167"/>
  <c r="D18" i="167"/>
  <c r="E18" i="167"/>
  <c r="L18" i="167" s="1"/>
  <c r="G18" i="167"/>
  <c r="H18" i="167"/>
  <c r="I18" i="167"/>
  <c r="J18" i="167"/>
  <c r="K18" i="167"/>
  <c r="AN18" i="167" s="1"/>
  <c r="M18" i="167"/>
  <c r="N18" i="167"/>
  <c r="O18" i="167"/>
  <c r="P18" i="167"/>
  <c r="Q18" i="167" a="1"/>
  <c r="Q18" i="167" s="1"/>
  <c r="R18" i="167"/>
  <c r="U18" i="167"/>
  <c r="W18" i="167"/>
  <c r="X18" i="167" s="1"/>
  <c r="Z18" i="167"/>
  <c r="AA18" i="167" s="1"/>
  <c r="AF18" i="167"/>
  <c r="AH18" i="167"/>
  <c r="AO18" i="167"/>
  <c r="AP18" i="167"/>
  <c r="AQ18" i="167"/>
  <c r="AR18" i="167"/>
  <c r="B19" i="167"/>
  <c r="C19" i="167"/>
  <c r="D19" i="167"/>
  <c r="E19" i="167"/>
  <c r="L19" i="167" s="1"/>
  <c r="G19" i="167"/>
  <c r="H19" i="167"/>
  <c r="I19" i="167"/>
  <c r="J19" i="167"/>
  <c r="K19" i="167"/>
  <c r="AN19" i="167" s="1"/>
  <c r="M19" i="167"/>
  <c r="N19" i="167"/>
  <c r="O19" i="167"/>
  <c r="P19" i="167"/>
  <c r="Q19" i="167" a="1"/>
  <c r="Q19" i="167" s="1"/>
  <c r="R19" i="167"/>
  <c r="U19" i="167"/>
  <c r="W19" i="167"/>
  <c r="X19" i="167" s="1"/>
  <c r="Z19" i="167"/>
  <c r="AD19" i="167" s="1"/>
  <c r="AF19" i="167"/>
  <c r="AH19" i="167"/>
  <c r="AO19" i="167"/>
  <c r="AP19" i="167"/>
  <c r="AQ19" i="167"/>
  <c r="AR19" i="167"/>
  <c r="B20" i="167"/>
  <c r="C20" i="167"/>
  <c r="D20" i="167"/>
  <c r="E20" i="167"/>
  <c r="L20" i="167" s="1"/>
  <c r="G20" i="167"/>
  <c r="H20" i="167"/>
  <c r="I20" i="167"/>
  <c r="J20" i="167"/>
  <c r="K20" i="167"/>
  <c r="AN20" i="167" s="1"/>
  <c r="M20" i="167"/>
  <c r="N20" i="167"/>
  <c r="O20" i="167"/>
  <c r="P20" i="167"/>
  <c r="Q20" i="167" a="1"/>
  <c r="Q20" i="167" s="1"/>
  <c r="R20" i="167"/>
  <c r="U20" i="167"/>
  <c r="W20" i="167"/>
  <c r="X20" i="167" s="1"/>
  <c r="Z20" i="167"/>
  <c r="AA20" i="167" s="1"/>
  <c r="AF20" i="167"/>
  <c r="AH20" i="167"/>
  <c r="AO20" i="167"/>
  <c r="AP20" i="167"/>
  <c r="AQ20" i="167"/>
  <c r="AR20" i="167"/>
  <c r="B21" i="167"/>
  <c r="C21" i="167"/>
  <c r="D21" i="167"/>
  <c r="E21" i="167"/>
  <c r="L21" i="167" s="1"/>
  <c r="G21" i="167"/>
  <c r="H21" i="167"/>
  <c r="I21" i="167"/>
  <c r="J21" i="167"/>
  <c r="K21" i="167"/>
  <c r="AN21" i="167" s="1"/>
  <c r="M21" i="167"/>
  <c r="N21" i="167"/>
  <c r="O21" i="167"/>
  <c r="P21" i="167"/>
  <c r="Q21" i="167" a="1"/>
  <c r="Q21" i="167" s="1"/>
  <c r="R21" i="167"/>
  <c r="U21" i="167"/>
  <c r="W21" i="167"/>
  <c r="X21" i="167" s="1"/>
  <c r="Z21" i="167"/>
  <c r="AF21" i="167"/>
  <c r="AH21" i="167"/>
  <c r="AO21" i="167"/>
  <c r="AP21" i="167"/>
  <c r="AQ21" i="167"/>
  <c r="AR21" i="167"/>
  <c r="B22" i="167"/>
  <c r="C22" i="167"/>
  <c r="D22" i="167"/>
  <c r="E22" i="167"/>
  <c r="L22" i="167" s="1"/>
  <c r="G22" i="167"/>
  <c r="H22" i="167"/>
  <c r="I22" i="167"/>
  <c r="J22" i="167"/>
  <c r="K22" i="167"/>
  <c r="AN22" i="167" s="1"/>
  <c r="M22" i="167"/>
  <c r="N22" i="167"/>
  <c r="O22" i="167"/>
  <c r="P22" i="167"/>
  <c r="Q22" i="167" a="1"/>
  <c r="Q22" i="167" s="1"/>
  <c r="R22" i="167"/>
  <c r="U22" i="167"/>
  <c r="W22" i="167"/>
  <c r="X22" i="167" s="1"/>
  <c r="Z22" i="167"/>
  <c r="AD22" i="167" s="1"/>
  <c r="AF22" i="167"/>
  <c r="AH22" i="167"/>
  <c r="AO22" i="167"/>
  <c r="AP22" i="167"/>
  <c r="AQ22" i="167"/>
  <c r="AR22" i="167"/>
  <c r="B23" i="167"/>
  <c r="C23" i="167"/>
  <c r="D23" i="167"/>
  <c r="E23" i="167"/>
  <c r="L23" i="167" s="1"/>
  <c r="G23" i="167"/>
  <c r="H23" i="167"/>
  <c r="I23" i="167"/>
  <c r="J23" i="167"/>
  <c r="K23" i="167"/>
  <c r="AN23" i="167" s="1"/>
  <c r="M23" i="167"/>
  <c r="N23" i="167"/>
  <c r="O23" i="167"/>
  <c r="P23" i="167"/>
  <c r="Q23" i="167" a="1"/>
  <c r="Q23" i="167" s="1"/>
  <c r="R23" i="167"/>
  <c r="U23" i="167"/>
  <c r="W23" i="167"/>
  <c r="X23" i="167" s="1"/>
  <c r="Z23" i="167"/>
  <c r="AA23" i="167" s="1"/>
  <c r="AF23" i="167"/>
  <c r="AH23" i="167"/>
  <c r="AO23" i="167"/>
  <c r="AP23" i="167"/>
  <c r="AQ23" i="167"/>
  <c r="AR23" i="167"/>
  <c r="B24" i="167"/>
  <c r="C24" i="167"/>
  <c r="D24" i="167"/>
  <c r="E24" i="167"/>
  <c r="L24" i="167" s="1"/>
  <c r="G24" i="167"/>
  <c r="H24" i="167"/>
  <c r="I24" i="167"/>
  <c r="J24" i="167"/>
  <c r="K24" i="167"/>
  <c r="AN24" i="167" s="1"/>
  <c r="M24" i="167"/>
  <c r="N24" i="167"/>
  <c r="O24" i="167"/>
  <c r="P24" i="167"/>
  <c r="Q24" i="167" a="1"/>
  <c r="Q24" i="167" s="1"/>
  <c r="R24" i="167"/>
  <c r="U24" i="167"/>
  <c r="W24" i="167"/>
  <c r="X24" i="167" s="1"/>
  <c r="Z24" i="167"/>
  <c r="AD24" i="167" s="1"/>
  <c r="AF24" i="167"/>
  <c r="AH24" i="167"/>
  <c r="AO24" i="167"/>
  <c r="AP24" i="167"/>
  <c r="AQ24" i="167"/>
  <c r="AR24" i="167"/>
  <c r="B25" i="167"/>
  <c r="C25" i="167"/>
  <c r="D25" i="167"/>
  <c r="E25" i="167"/>
  <c r="L25" i="167" s="1"/>
  <c r="G25" i="167"/>
  <c r="H25" i="167"/>
  <c r="I25" i="167"/>
  <c r="J25" i="167"/>
  <c r="K25" i="167"/>
  <c r="AN25" i="167" s="1"/>
  <c r="M25" i="167"/>
  <c r="N25" i="167"/>
  <c r="O25" i="167"/>
  <c r="P25" i="167"/>
  <c r="Q25" i="167" a="1"/>
  <c r="Q25" i="167" s="1"/>
  <c r="R25" i="167"/>
  <c r="U25" i="167"/>
  <c r="W25" i="167"/>
  <c r="X25" i="167" s="1"/>
  <c r="Z25" i="167"/>
  <c r="AD25" i="167" s="1"/>
  <c r="AF25" i="167"/>
  <c r="AH25" i="167"/>
  <c r="AO25" i="167"/>
  <c r="AP25" i="167"/>
  <c r="AQ25" i="167"/>
  <c r="AR25" i="167"/>
  <c r="B26" i="167"/>
  <c r="C26" i="167"/>
  <c r="D26" i="167"/>
  <c r="E26" i="167"/>
  <c r="L26" i="167" s="1"/>
  <c r="G26" i="167"/>
  <c r="H26" i="167"/>
  <c r="I26" i="167"/>
  <c r="J26" i="167"/>
  <c r="K26" i="167"/>
  <c r="AN26" i="167" s="1"/>
  <c r="M26" i="167"/>
  <c r="N26" i="167"/>
  <c r="O26" i="167"/>
  <c r="P26" i="167"/>
  <c r="Q26" i="167" a="1"/>
  <c r="Q26" i="167" s="1"/>
  <c r="R26" i="167"/>
  <c r="U26" i="167"/>
  <c r="W26" i="167"/>
  <c r="X26" i="167" s="1"/>
  <c r="Z26" i="167"/>
  <c r="AA26" i="167" s="1"/>
  <c r="AF26" i="167"/>
  <c r="AH26" i="167"/>
  <c r="AO26" i="167"/>
  <c r="AP26" i="167"/>
  <c r="AQ26" i="167"/>
  <c r="AR26" i="167"/>
  <c r="B27" i="167"/>
  <c r="C27" i="167"/>
  <c r="D27" i="167"/>
  <c r="E27" i="167"/>
  <c r="L27" i="167" s="1"/>
  <c r="G27" i="167"/>
  <c r="H27" i="167"/>
  <c r="I27" i="167"/>
  <c r="J27" i="167"/>
  <c r="K27" i="167"/>
  <c r="AN27" i="167" s="1"/>
  <c r="M27" i="167"/>
  <c r="N27" i="167"/>
  <c r="O27" i="167"/>
  <c r="P27" i="167"/>
  <c r="Q27" i="167" a="1"/>
  <c r="Q27" i="167" s="1"/>
  <c r="R27" i="167"/>
  <c r="U27" i="167"/>
  <c r="W27" i="167"/>
  <c r="X27" i="167" s="1"/>
  <c r="Z27" i="167"/>
  <c r="AA27" i="167" s="1"/>
  <c r="AF27" i="167"/>
  <c r="AH27" i="167"/>
  <c r="AO27" i="167"/>
  <c r="AP27" i="167"/>
  <c r="AQ27" i="167"/>
  <c r="AR27" i="167"/>
  <c r="B28" i="167"/>
  <c r="C28" i="167"/>
  <c r="D28" i="167"/>
  <c r="E28" i="167"/>
  <c r="L28" i="167" s="1"/>
  <c r="G28" i="167"/>
  <c r="H28" i="167"/>
  <c r="I28" i="167"/>
  <c r="J28" i="167"/>
  <c r="K28" i="167"/>
  <c r="AN28" i="167" s="1"/>
  <c r="M28" i="167"/>
  <c r="N28" i="167"/>
  <c r="O28" i="167"/>
  <c r="P28" i="167"/>
  <c r="Q28" i="167" a="1"/>
  <c r="Q28" i="167" s="1"/>
  <c r="R28" i="167"/>
  <c r="U28" i="167"/>
  <c r="W28" i="167"/>
  <c r="X28" i="167" s="1"/>
  <c r="Z28" i="167"/>
  <c r="AD28" i="167" s="1"/>
  <c r="AF28" i="167"/>
  <c r="AH28" i="167"/>
  <c r="AO28" i="167"/>
  <c r="AP28" i="167"/>
  <c r="AQ28" i="167"/>
  <c r="AR28" i="167"/>
  <c r="B29" i="167"/>
  <c r="C29" i="167"/>
  <c r="D29" i="167"/>
  <c r="E29" i="167"/>
  <c r="L29" i="167" s="1"/>
  <c r="G29" i="167"/>
  <c r="H29" i="167"/>
  <c r="I29" i="167"/>
  <c r="J29" i="167"/>
  <c r="K29" i="167"/>
  <c r="AN29" i="167" s="1"/>
  <c r="M29" i="167"/>
  <c r="N29" i="167"/>
  <c r="O29" i="167"/>
  <c r="P29" i="167"/>
  <c r="Q29" i="167" a="1"/>
  <c r="Q29" i="167" s="1"/>
  <c r="R29" i="167"/>
  <c r="U29" i="167"/>
  <c r="W29" i="167"/>
  <c r="X29" i="167" s="1"/>
  <c r="Z29" i="167"/>
  <c r="AF29" i="167"/>
  <c r="AH29" i="167"/>
  <c r="AO29" i="167"/>
  <c r="AP29" i="167"/>
  <c r="AQ29" i="167"/>
  <c r="AR29" i="167"/>
  <c r="B30" i="167"/>
  <c r="C30" i="167"/>
  <c r="D30" i="167"/>
  <c r="E30" i="167"/>
  <c r="L30" i="167" s="1"/>
  <c r="G30" i="167"/>
  <c r="H30" i="167"/>
  <c r="I30" i="167"/>
  <c r="J30" i="167"/>
  <c r="K30" i="167"/>
  <c r="AN30" i="167" s="1"/>
  <c r="M30" i="167"/>
  <c r="N30" i="167"/>
  <c r="O30" i="167"/>
  <c r="P30" i="167"/>
  <c r="Q30" i="167" a="1"/>
  <c r="Q30" i="167" s="1"/>
  <c r="R30" i="167"/>
  <c r="U30" i="167"/>
  <c r="W30" i="167"/>
  <c r="X30" i="167" s="1"/>
  <c r="Z30" i="167"/>
  <c r="AF30" i="167"/>
  <c r="AH30" i="167"/>
  <c r="AO30" i="167"/>
  <c r="AP30" i="167"/>
  <c r="AQ30" i="167"/>
  <c r="AR30" i="167"/>
  <c r="B31" i="167"/>
  <c r="C31" i="167"/>
  <c r="D31" i="167"/>
  <c r="E31" i="167"/>
  <c r="L31" i="167" s="1"/>
  <c r="G31" i="167"/>
  <c r="H31" i="167"/>
  <c r="I31" i="167"/>
  <c r="J31" i="167"/>
  <c r="K31" i="167"/>
  <c r="AN31" i="167" s="1"/>
  <c r="M31" i="167"/>
  <c r="N31" i="167"/>
  <c r="O31" i="167"/>
  <c r="P31" i="167"/>
  <c r="Q31" i="167" a="1"/>
  <c r="Q31" i="167" s="1"/>
  <c r="R31" i="167"/>
  <c r="U31" i="167"/>
  <c r="W31" i="167"/>
  <c r="X31" i="167" s="1"/>
  <c r="Z31" i="167"/>
  <c r="AA31" i="167" s="1"/>
  <c r="AF31" i="167"/>
  <c r="AH31" i="167"/>
  <c r="AO31" i="167"/>
  <c r="AP31" i="167"/>
  <c r="AQ31" i="167"/>
  <c r="AR31" i="167"/>
  <c r="B32" i="167"/>
  <c r="C32" i="167"/>
  <c r="D32" i="167"/>
  <c r="E32" i="167"/>
  <c r="L32" i="167" s="1"/>
  <c r="G32" i="167"/>
  <c r="H32" i="167"/>
  <c r="I32" i="167"/>
  <c r="J32" i="167"/>
  <c r="K32" i="167"/>
  <c r="AN32" i="167" s="1"/>
  <c r="M32" i="167"/>
  <c r="N32" i="167"/>
  <c r="O32" i="167"/>
  <c r="P32" i="167"/>
  <c r="Q32" i="167" a="1"/>
  <c r="Q32" i="167" s="1"/>
  <c r="R32" i="167"/>
  <c r="U32" i="167"/>
  <c r="W32" i="167"/>
  <c r="X32" i="167" s="1"/>
  <c r="Z32" i="167"/>
  <c r="AA32" i="167" s="1"/>
  <c r="AF32" i="167"/>
  <c r="AH32" i="167"/>
  <c r="AO32" i="167"/>
  <c r="AP32" i="167"/>
  <c r="AQ32" i="167"/>
  <c r="AR32" i="167"/>
  <c r="B33" i="167"/>
  <c r="C33" i="167"/>
  <c r="D33" i="167"/>
  <c r="E33" i="167"/>
  <c r="L33" i="167" s="1"/>
  <c r="G33" i="167"/>
  <c r="H33" i="167"/>
  <c r="I33" i="167"/>
  <c r="J33" i="167"/>
  <c r="K33" i="167"/>
  <c r="AN33" i="167" s="1"/>
  <c r="M33" i="167"/>
  <c r="N33" i="167"/>
  <c r="O33" i="167"/>
  <c r="P33" i="167"/>
  <c r="Q33" i="167" a="1"/>
  <c r="Q33" i="167" s="1"/>
  <c r="R33" i="167"/>
  <c r="U33" i="167"/>
  <c r="W33" i="167"/>
  <c r="X33" i="167" s="1"/>
  <c r="Z33" i="167"/>
  <c r="AD33" i="167" s="1"/>
  <c r="AF33" i="167"/>
  <c r="AH33" i="167"/>
  <c r="AO33" i="167"/>
  <c r="AP33" i="167"/>
  <c r="AQ33" i="167"/>
  <c r="AR33" i="167"/>
  <c r="B34" i="167"/>
  <c r="C34" i="167"/>
  <c r="D34" i="167"/>
  <c r="E34" i="167"/>
  <c r="L34" i="167" s="1"/>
  <c r="G34" i="167"/>
  <c r="H34" i="167"/>
  <c r="I34" i="167"/>
  <c r="J34" i="167"/>
  <c r="K34" i="167"/>
  <c r="AN34" i="167" s="1"/>
  <c r="M34" i="167"/>
  <c r="N34" i="167"/>
  <c r="O34" i="167"/>
  <c r="P34" i="167"/>
  <c r="Q34" i="167" a="1"/>
  <c r="Q34" i="167" s="1"/>
  <c r="R34" i="167"/>
  <c r="U34" i="167"/>
  <c r="W34" i="167"/>
  <c r="X34" i="167" s="1"/>
  <c r="Z34" i="167"/>
  <c r="AA34" i="167" s="1"/>
  <c r="AF34" i="167"/>
  <c r="AH34" i="167"/>
  <c r="AO34" i="167"/>
  <c r="AP34" i="167"/>
  <c r="AQ34" i="167"/>
  <c r="AR34" i="167"/>
  <c r="B35" i="167"/>
  <c r="C35" i="167"/>
  <c r="D35" i="167"/>
  <c r="E35" i="167"/>
  <c r="L35" i="167" s="1"/>
  <c r="G35" i="167"/>
  <c r="H35" i="167"/>
  <c r="I35" i="167"/>
  <c r="J35" i="167"/>
  <c r="K35" i="167"/>
  <c r="AN35" i="167" s="1"/>
  <c r="M35" i="167"/>
  <c r="N35" i="167"/>
  <c r="O35" i="167"/>
  <c r="P35" i="167"/>
  <c r="Q35" i="167" a="1"/>
  <c r="Q35" i="167" s="1"/>
  <c r="R35" i="167"/>
  <c r="U35" i="167"/>
  <c r="W35" i="167"/>
  <c r="X35" i="167" s="1"/>
  <c r="Z35" i="167"/>
  <c r="AD35" i="167" s="1"/>
  <c r="AF35" i="167"/>
  <c r="AH35" i="167"/>
  <c r="AO35" i="167"/>
  <c r="AP35" i="167"/>
  <c r="AQ35" i="167"/>
  <c r="AR35" i="167"/>
  <c r="B36" i="167"/>
  <c r="C36" i="167"/>
  <c r="D36" i="167"/>
  <c r="E36" i="167"/>
  <c r="L36" i="167" s="1"/>
  <c r="G36" i="167"/>
  <c r="H36" i="167"/>
  <c r="I36" i="167"/>
  <c r="J36" i="167"/>
  <c r="K36" i="167"/>
  <c r="AN36" i="167" s="1"/>
  <c r="M36" i="167"/>
  <c r="N36" i="167"/>
  <c r="O36" i="167"/>
  <c r="P36" i="167"/>
  <c r="Q36" i="167" a="1"/>
  <c r="Q36" i="167" s="1"/>
  <c r="R36" i="167"/>
  <c r="U36" i="167"/>
  <c r="W36" i="167"/>
  <c r="X36" i="167" s="1"/>
  <c r="Z36" i="167"/>
  <c r="AD36" i="167" s="1"/>
  <c r="AF36" i="167"/>
  <c r="AH36" i="167"/>
  <c r="AO36" i="167"/>
  <c r="AP36" i="167"/>
  <c r="AQ36" i="167"/>
  <c r="AR36" i="167"/>
  <c r="B37" i="167"/>
  <c r="C37" i="167"/>
  <c r="D37" i="167"/>
  <c r="E37" i="167"/>
  <c r="L37" i="167" s="1"/>
  <c r="G37" i="167"/>
  <c r="H37" i="167"/>
  <c r="I37" i="167"/>
  <c r="J37" i="167"/>
  <c r="K37" i="167"/>
  <c r="AN37" i="167" s="1"/>
  <c r="M37" i="167"/>
  <c r="N37" i="167"/>
  <c r="O37" i="167"/>
  <c r="P37" i="167"/>
  <c r="Q37" i="167" a="1"/>
  <c r="Q37" i="167" s="1"/>
  <c r="R37" i="167"/>
  <c r="U37" i="167"/>
  <c r="W37" i="167"/>
  <c r="X37" i="167" s="1"/>
  <c r="Z37" i="167"/>
  <c r="AA37" i="167" s="1"/>
  <c r="AF37" i="167"/>
  <c r="AH37" i="167"/>
  <c r="AO37" i="167"/>
  <c r="AP37" i="167"/>
  <c r="AQ37" i="167"/>
  <c r="AR37" i="167"/>
  <c r="B38" i="167"/>
  <c r="C38" i="167"/>
  <c r="D38" i="167"/>
  <c r="E38" i="167"/>
  <c r="L38" i="167" s="1"/>
  <c r="G38" i="167"/>
  <c r="H38" i="167"/>
  <c r="I38" i="167"/>
  <c r="J38" i="167"/>
  <c r="K38" i="167"/>
  <c r="AN38" i="167" s="1"/>
  <c r="M38" i="167"/>
  <c r="N38" i="167"/>
  <c r="O38" i="167"/>
  <c r="P38" i="167"/>
  <c r="Q38" i="167" a="1"/>
  <c r="Q38" i="167" s="1"/>
  <c r="R38" i="167"/>
  <c r="U38" i="167"/>
  <c r="W38" i="167"/>
  <c r="X38" i="167" s="1"/>
  <c r="Z38" i="167"/>
  <c r="AA38" i="167" s="1"/>
  <c r="AF38" i="167"/>
  <c r="AH38" i="167"/>
  <c r="AO38" i="167"/>
  <c r="AP38" i="167"/>
  <c r="AQ38" i="167"/>
  <c r="AR38" i="167"/>
  <c r="B39" i="167"/>
  <c r="C39" i="167"/>
  <c r="D39" i="167"/>
  <c r="E39" i="167"/>
  <c r="L39" i="167" s="1"/>
  <c r="G39" i="167"/>
  <c r="H39" i="167"/>
  <c r="I39" i="167"/>
  <c r="J39" i="167"/>
  <c r="K39" i="167"/>
  <c r="AN39" i="167" s="1"/>
  <c r="M39" i="167"/>
  <c r="N39" i="167"/>
  <c r="O39" i="167"/>
  <c r="P39" i="167"/>
  <c r="Q39" i="167" a="1"/>
  <c r="Q39" i="167" s="1"/>
  <c r="R39" i="167"/>
  <c r="U39" i="167"/>
  <c r="W39" i="167"/>
  <c r="X39" i="167" s="1"/>
  <c r="Z39" i="167"/>
  <c r="AF39" i="167"/>
  <c r="AH39" i="167"/>
  <c r="AO39" i="167"/>
  <c r="AP39" i="167"/>
  <c r="AQ39" i="167"/>
  <c r="AR39" i="167"/>
  <c r="B40" i="167"/>
  <c r="C40" i="167"/>
  <c r="D40" i="167"/>
  <c r="E40" i="167"/>
  <c r="L40" i="167" s="1"/>
  <c r="G40" i="167"/>
  <c r="H40" i="167"/>
  <c r="I40" i="167"/>
  <c r="J40" i="167"/>
  <c r="K40" i="167"/>
  <c r="AN40" i="167" s="1"/>
  <c r="M40" i="167"/>
  <c r="N40" i="167"/>
  <c r="O40" i="167"/>
  <c r="P40" i="167"/>
  <c r="Q40" i="167" a="1"/>
  <c r="Q40" i="167" s="1"/>
  <c r="R40" i="167"/>
  <c r="U40" i="167"/>
  <c r="W40" i="167"/>
  <c r="X40" i="167" s="1"/>
  <c r="Z40" i="167"/>
  <c r="AD40" i="167" s="1"/>
  <c r="AF40" i="167"/>
  <c r="AH40" i="167"/>
  <c r="AO40" i="167"/>
  <c r="AP40" i="167"/>
  <c r="AQ40" i="167"/>
  <c r="AR40" i="167"/>
  <c r="B41" i="167"/>
  <c r="C41" i="167"/>
  <c r="D41" i="167"/>
  <c r="E41" i="167"/>
  <c r="L41" i="167" s="1"/>
  <c r="G41" i="167"/>
  <c r="H41" i="167"/>
  <c r="I41" i="167"/>
  <c r="J41" i="167"/>
  <c r="K41" i="167"/>
  <c r="AN41" i="167" s="1"/>
  <c r="M41" i="167"/>
  <c r="N41" i="167"/>
  <c r="O41" i="167"/>
  <c r="P41" i="167"/>
  <c r="Q41" i="167" a="1"/>
  <c r="Q41" i="167" s="1"/>
  <c r="R41" i="167"/>
  <c r="U41" i="167"/>
  <c r="W41" i="167"/>
  <c r="X41" i="167" s="1"/>
  <c r="Z41" i="167"/>
  <c r="AA41" i="167" s="1"/>
  <c r="AF41" i="167"/>
  <c r="AH41" i="167"/>
  <c r="AO41" i="167"/>
  <c r="AP41" i="167"/>
  <c r="AQ41" i="167"/>
  <c r="AR41" i="167"/>
  <c r="B42" i="167"/>
  <c r="C42" i="167"/>
  <c r="D42" i="167"/>
  <c r="E42" i="167"/>
  <c r="L42" i="167" s="1"/>
  <c r="G42" i="167"/>
  <c r="H42" i="167"/>
  <c r="I42" i="167"/>
  <c r="J42" i="167"/>
  <c r="K42" i="167"/>
  <c r="AN42" i="167" s="1"/>
  <c r="M42" i="167"/>
  <c r="N42" i="167"/>
  <c r="O42" i="167"/>
  <c r="P42" i="167"/>
  <c r="Q42" i="167" a="1"/>
  <c r="Q42" i="167" s="1"/>
  <c r="R42" i="167"/>
  <c r="U42" i="167"/>
  <c r="W42" i="167"/>
  <c r="X42" i="167" s="1"/>
  <c r="Z42" i="167"/>
  <c r="AF42" i="167"/>
  <c r="AH42" i="167"/>
  <c r="AO42" i="167"/>
  <c r="AP42" i="167"/>
  <c r="AQ42" i="167"/>
  <c r="AR42" i="167"/>
  <c r="B43" i="167"/>
  <c r="C43" i="167"/>
  <c r="D43" i="167"/>
  <c r="E43" i="167"/>
  <c r="L43" i="167" s="1"/>
  <c r="G43" i="167"/>
  <c r="H43" i="167"/>
  <c r="I43" i="167"/>
  <c r="J43" i="167"/>
  <c r="K43" i="167"/>
  <c r="AN43" i="167" s="1"/>
  <c r="M43" i="167"/>
  <c r="N43" i="167"/>
  <c r="O43" i="167"/>
  <c r="P43" i="167"/>
  <c r="Q43" i="167" a="1"/>
  <c r="Q43" i="167" s="1"/>
  <c r="R43" i="167"/>
  <c r="U43" i="167"/>
  <c r="W43" i="167"/>
  <c r="X43" i="167" s="1"/>
  <c r="Z43" i="167"/>
  <c r="AD43" i="167" s="1"/>
  <c r="AF43" i="167"/>
  <c r="AH43" i="167"/>
  <c r="AO43" i="167"/>
  <c r="AP43" i="167"/>
  <c r="AQ43" i="167"/>
  <c r="AR43" i="167"/>
  <c r="B44" i="167"/>
  <c r="C44" i="167"/>
  <c r="D44" i="167"/>
  <c r="E44" i="167"/>
  <c r="L44" i="167" s="1"/>
  <c r="G44" i="167"/>
  <c r="H44" i="167"/>
  <c r="I44" i="167"/>
  <c r="J44" i="167"/>
  <c r="K44" i="167"/>
  <c r="AN44" i="167" s="1"/>
  <c r="M44" i="167"/>
  <c r="N44" i="167"/>
  <c r="O44" i="167"/>
  <c r="P44" i="167"/>
  <c r="Q44" i="167" a="1"/>
  <c r="Q44" i="167" s="1"/>
  <c r="R44" i="167"/>
  <c r="U44" i="167"/>
  <c r="W44" i="167"/>
  <c r="X44" i="167" s="1"/>
  <c r="Z44" i="167"/>
  <c r="AF44" i="167"/>
  <c r="AH44" i="167"/>
  <c r="AO44" i="167"/>
  <c r="AP44" i="167"/>
  <c r="AQ44" i="167"/>
  <c r="AR44" i="167"/>
  <c r="B45" i="167"/>
  <c r="C45" i="167"/>
  <c r="D45" i="167"/>
  <c r="E45" i="167"/>
  <c r="L45" i="167" s="1"/>
  <c r="G45" i="167"/>
  <c r="H45" i="167"/>
  <c r="I45" i="167"/>
  <c r="J45" i="167"/>
  <c r="K45" i="167"/>
  <c r="AN45" i="167" s="1"/>
  <c r="M45" i="167"/>
  <c r="N45" i="167"/>
  <c r="O45" i="167"/>
  <c r="P45" i="167"/>
  <c r="Q45" i="167" a="1"/>
  <c r="Q45" i="167" s="1"/>
  <c r="R45" i="167"/>
  <c r="U45" i="167"/>
  <c r="W45" i="167"/>
  <c r="X45" i="167" s="1"/>
  <c r="Z45" i="167"/>
  <c r="AD45" i="167" s="1"/>
  <c r="AF45" i="167"/>
  <c r="AH45" i="167"/>
  <c r="AO45" i="167"/>
  <c r="AP45" i="167"/>
  <c r="AQ45" i="167"/>
  <c r="AR45" i="167"/>
  <c r="B46" i="167"/>
  <c r="C46" i="167"/>
  <c r="D46" i="167"/>
  <c r="E46" i="167"/>
  <c r="L46" i="167" s="1"/>
  <c r="G46" i="167"/>
  <c r="H46" i="167"/>
  <c r="I46" i="167"/>
  <c r="J46" i="167"/>
  <c r="K46" i="167"/>
  <c r="AN46" i="167" s="1"/>
  <c r="M46" i="167"/>
  <c r="N46" i="167"/>
  <c r="O46" i="167"/>
  <c r="P46" i="167"/>
  <c r="Q46" i="167" a="1"/>
  <c r="Q46" i="167" s="1"/>
  <c r="R46" i="167"/>
  <c r="U46" i="167"/>
  <c r="W46" i="167"/>
  <c r="X46" i="167" s="1"/>
  <c r="Z46" i="167"/>
  <c r="AA46" i="167" s="1"/>
  <c r="AF46" i="167"/>
  <c r="AH46" i="167"/>
  <c r="AO46" i="167"/>
  <c r="AP46" i="167"/>
  <c r="AQ46" i="167"/>
  <c r="AR46" i="167"/>
  <c r="B47" i="167"/>
  <c r="C47" i="167"/>
  <c r="D47" i="167"/>
  <c r="E47" i="167"/>
  <c r="L47" i="167" s="1"/>
  <c r="G47" i="167"/>
  <c r="H47" i="167"/>
  <c r="I47" i="167"/>
  <c r="J47" i="167"/>
  <c r="K47" i="167"/>
  <c r="AN47" i="167" s="1"/>
  <c r="M47" i="167"/>
  <c r="N47" i="167"/>
  <c r="O47" i="167"/>
  <c r="P47" i="167"/>
  <c r="Q47" i="167" a="1"/>
  <c r="Q47" i="167" s="1"/>
  <c r="R47" i="167"/>
  <c r="U47" i="167"/>
  <c r="W47" i="167"/>
  <c r="X47" i="167" s="1"/>
  <c r="Z47" i="167"/>
  <c r="AD47" i="167" s="1"/>
  <c r="AF47" i="167"/>
  <c r="AH47" i="167"/>
  <c r="AO47" i="167"/>
  <c r="AP47" i="167"/>
  <c r="AQ47" i="167"/>
  <c r="AR47" i="167"/>
  <c r="B48" i="167"/>
  <c r="C48" i="167"/>
  <c r="D48" i="167"/>
  <c r="E48" i="167"/>
  <c r="L48" i="167" s="1"/>
  <c r="G48" i="167"/>
  <c r="H48" i="167"/>
  <c r="I48" i="167"/>
  <c r="J48" i="167"/>
  <c r="K48" i="167"/>
  <c r="AN48" i="167" s="1"/>
  <c r="M48" i="167"/>
  <c r="N48" i="167"/>
  <c r="O48" i="167"/>
  <c r="P48" i="167"/>
  <c r="Q48" i="167" a="1"/>
  <c r="Q48" i="167" s="1"/>
  <c r="R48" i="167"/>
  <c r="U48" i="167"/>
  <c r="W48" i="167"/>
  <c r="X48" i="167" s="1"/>
  <c r="Z48" i="167"/>
  <c r="AD48" i="167" s="1"/>
  <c r="AF48" i="167"/>
  <c r="AH48" i="167"/>
  <c r="AO48" i="167"/>
  <c r="AP48" i="167"/>
  <c r="AQ48" i="167"/>
  <c r="AR48" i="167"/>
  <c r="B49" i="167"/>
  <c r="C49" i="167"/>
  <c r="D49" i="167"/>
  <c r="E49" i="167"/>
  <c r="L49" i="167" s="1"/>
  <c r="G49" i="167"/>
  <c r="H49" i="167"/>
  <c r="I49" i="167"/>
  <c r="J49" i="167"/>
  <c r="K49" i="167"/>
  <c r="AN49" i="167" s="1"/>
  <c r="M49" i="167"/>
  <c r="N49" i="167"/>
  <c r="O49" i="167"/>
  <c r="P49" i="167"/>
  <c r="Q49" i="167" a="1"/>
  <c r="Q49" i="167" s="1"/>
  <c r="R49" i="167"/>
  <c r="U49" i="167"/>
  <c r="W49" i="167"/>
  <c r="X49" i="167" s="1"/>
  <c r="Z49" i="167"/>
  <c r="AA49" i="167" s="1"/>
  <c r="AF49" i="167"/>
  <c r="AH49" i="167"/>
  <c r="AO49" i="167"/>
  <c r="AP49" i="167"/>
  <c r="AQ49" i="167"/>
  <c r="AR49" i="167"/>
  <c r="B50" i="167"/>
  <c r="C50" i="167"/>
  <c r="D50" i="167"/>
  <c r="E50" i="167"/>
  <c r="L50" i="167" s="1"/>
  <c r="G50" i="167"/>
  <c r="H50" i="167"/>
  <c r="I50" i="167"/>
  <c r="J50" i="167"/>
  <c r="K50" i="167"/>
  <c r="AN50" i="167" s="1"/>
  <c r="M50" i="167"/>
  <c r="N50" i="167"/>
  <c r="O50" i="167"/>
  <c r="P50" i="167"/>
  <c r="Q50" i="167" a="1"/>
  <c r="Q50" i="167" s="1"/>
  <c r="R50" i="167"/>
  <c r="U50" i="167"/>
  <c r="W50" i="167"/>
  <c r="X50" i="167" s="1"/>
  <c r="Z50" i="167"/>
  <c r="AD50" i="167" s="1"/>
  <c r="AF50" i="167"/>
  <c r="AH50" i="167"/>
  <c r="AO50" i="167"/>
  <c r="AP50" i="167"/>
  <c r="AQ50" i="167"/>
  <c r="AR50" i="167"/>
  <c r="B51" i="167"/>
  <c r="C51" i="167"/>
  <c r="D51" i="167"/>
  <c r="E51" i="167"/>
  <c r="L51" i="167" s="1"/>
  <c r="G51" i="167"/>
  <c r="H51" i="167"/>
  <c r="I51" i="167"/>
  <c r="J51" i="167"/>
  <c r="K51" i="167"/>
  <c r="AN51" i="167" s="1"/>
  <c r="M51" i="167"/>
  <c r="N51" i="167"/>
  <c r="O51" i="167"/>
  <c r="P51" i="167"/>
  <c r="Q51" i="167" a="1"/>
  <c r="Q51" i="167" s="1"/>
  <c r="R51" i="167"/>
  <c r="U51" i="167"/>
  <c r="W51" i="167"/>
  <c r="X51" i="167" s="1"/>
  <c r="Z51" i="167"/>
  <c r="AD51" i="167" s="1"/>
  <c r="AF51" i="167"/>
  <c r="AH51" i="167"/>
  <c r="AO51" i="167"/>
  <c r="AP51" i="167"/>
  <c r="AQ51" i="167"/>
  <c r="AR51" i="167"/>
  <c r="B52" i="167"/>
  <c r="C52" i="167"/>
  <c r="D52" i="167"/>
  <c r="E52" i="167"/>
  <c r="L52" i="167" s="1"/>
  <c r="G52" i="167"/>
  <c r="H52" i="167"/>
  <c r="I52" i="167"/>
  <c r="J52" i="167"/>
  <c r="K52" i="167"/>
  <c r="AN52" i="167" s="1"/>
  <c r="M52" i="167"/>
  <c r="N52" i="167"/>
  <c r="O52" i="167"/>
  <c r="P52" i="167"/>
  <c r="Q52" i="167" a="1"/>
  <c r="Q52" i="167" s="1"/>
  <c r="R52" i="167"/>
  <c r="U52" i="167"/>
  <c r="W52" i="167"/>
  <c r="X52" i="167" s="1"/>
  <c r="Z52" i="167"/>
  <c r="AA52" i="167" s="1"/>
  <c r="AF52" i="167"/>
  <c r="AH52" i="167"/>
  <c r="AO52" i="167"/>
  <c r="AP52" i="167"/>
  <c r="AQ52" i="167"/>
  <c r="AR52" i="167"/>
  <c r="B53" i="167"/>
  <c r="C53" i="167"/>
  <c r="D53" i="167"/>
  <c r="E53" i="167"/>
  <c r="L53" i="167" s="1"/>
  <c r="G53" i="167"/>
  <c r="H53" i="167"/>
  <c r="I53" i="167"/>
  <c r="J53" i="167"/>
  <c r="K53" i="167"/>
  <c r="AN53" i="167" s="1"/>
  <c r="M53" i="167"/>
  <c r="N53" i="167"/>
  <c r="O53" i="167"/>
  <c r="P53" i="167"/>
  <c r="Q53" i="167" a="1"/>
  <c r="Q53" i="167" s="1"/>
  <c r="R53" i="167"/>
  <c r="U53" i="167"/>
  <c r="W53" i="167"/>
  <c r="X53" i="167" s="1"/>
  <c r="Z53" i="167"/>
  <c r="AD53" i="167" s="1"/>
  <c r="AF53" i="167"/>
  <c r="AH53" i="167"/>
  <c r="AO53" i="167"/>
  <c r="AP53" i="167"/>
  <c r="AQ53" i="167"/>
  <c r="AR53" i="167"/>
  <c r="B54" i="167"/>
  <c r="C54" i="167"/>
  <c r="D54" i="167"/>
  <c r="E54" i="167"/>
  <c r="L54" i="167" s="1"/>
  <c r="G54" i="167"/>
  <c r="H54" i="167"/>
  <c r="I54" i="167"/>
  <c r="J54" i="167"/>
  <c r="K54" i="167"/>
  <c r="AN54" i="167" s="1"/>
  <c r="M54" i="167"/>
  <c r="N54" i="167"/>
  <c r="O54" i="167"/>
  <c r="P54" i="167"/>
  <c r="Q54" i="167" a="1"/>
  <c r="Q54" i="167" s="1"/>
  <c r="R54" i="167"/>
  <c r="U54" i="167"/>
  <c r="W54" i="167"/>
  <c r="X54" i="167" s="1"/>
  <c r="Z54" i="167"/>
  <c r="AA54" i="167" s="1"/>
  <c r="AF54" i="167"/>
  <c r="AH54" i="167"/>
  <c r="AO54" i="167"/>
  <c r="AP54" i="167"/>
  <c r="AQ54" i="167"/>
  <c r="AR54" i="167"/>
  <c r="B55" i="167"/>
  <c r="C55" i="167"/>
  <c r="D55" i="167"/>
  <c r="E55" i="167"/>
  <c r="L55" i="167" s="1"/>
  <c r="G55" i="167"/>
  <c r="H55" i="167"/>
  <c r="I55" i="167"/>
  <c r="J55" i="167"/>
  <c r="K55" i="167"/>
  <c r="AN55" i="167" s="1"/>
  <c r="M55" i="167"/>
  <c r="N55" i="167"/>
  <c r="O55" i="167"/>
  <c r="P55" i="167"/>
  <c r="Q55" i="167" a="1"/>
  <c r="Q55" i="167" s="1"/>
  <c r="R55" i="167"/>
  <c r="U55" i="167"/>
  <c r="W55" i="167"/>
  <c r="X55" i="167" s="1"/>
  <c r="Z55" i="167"/>
  <c r="AF55" i="167"/>
  <c r="AH55" i="167"/>
  <c r="AO55" i="167"/>
  <c r="AP55" i="167"/>
  <c r="AQ55" i="167"/>
  <c r="AR55" i="167"/>
  <c r="B56" i="167"/>
  <c r="C56" i="167"/>
  <c r="D56" i="167"/>
  <c r="E56" i="167"/>
  <c r="L56" i="167" s="1"/>
  <c r="G56" i="167"/>
  <c r="H56" i="167"/>
  <c r="I56" i="167"/>
  <c r="J56" i="167"/>
  <c r="K56" i="167"/>
  <c r="AN56" i="167" s="1"/>
  <c r="M56" i="167"/>
  <c r="N56" i="167"/>
  <c r="O56" i="167"/>
  <c r="P56" i="167"/>
  <c r="Q56" i="167" a="1"/>
  <c r="Q56" i="167" s="1"/>
  <c r="R56" i="167"/>
  <c r="U56" i="167"/>
  <c r="W56" i="167"/>
  <c r="X56" i="167" s="1"/>
  <c r="Z56" i="167"/>
  <c r="AA56" i="167" s="1"/>
  <c r="AF56" i="167"/>
  <c r="AH56" i="167"/>
  <c r="AO56" i="167"/>
  <c r="AP56" i="167"/>
  <c r="AQ56" i="167"/>
  <c r="AR56" i="167"/>
  <c r="B57" i="167"/>
  <c r="C57" i="167"/>
  <c r="D57" i="167"/>
  <c r="E57" i="167"/>
  <c r="L57" i="167" s="1"/>
  <c r="G57" i="167"/>
  <c r="H57" i="167"/>
  <c r="I57" i="167"/>
  <c r="J57" i="167"/>
  <c r="K57" i="167"/>
  <c r="AN57" i="167" s="1"/>
  <c r="M57" i="167"/>
  <c r="N57" i="167"/>
  <c r="O57" i="167"/>
  <c r="P57" i="167"/>
  <c r="Q57" i="167" a="1"/>
  <c r="Q57" i="167" s="1"/>
  <c r="R57" i="167"/>
  <c r="U57" i="167"/>
  <c r="W57" i="167"/>
  <c r="X57" i="167" s="1"/>
  <c r="Z57" i="167"/>
  <c r="AD57" i="167" s="1"/>
  <c r="AF57" i="167"/>
  <c r="AH57" i="167"/>
  <c r="AO57" i="167"/>
  <c r="AP57" i="167"/>
  <c r="AQ57" i="167"/>
  <c r="AR57" i="167"/>
  <c r="B58" i="167"/>
  <c r="C58" i="167"/>
  <c r="D58" i="167"/>
  <c r="E58" i="167"/>
  <c r="L58" i="167" s="1"/>
  <c r="G58" i="167"/>
  <c r="H58" i="167"/>
  <c r="I58" i="167"/>
  <c r="J58" i="167"/>
  <c r="K58" i="167"/>
  <c r="AN58" i="167" s="1"/>
  <c r="M58" i="167"/>
  <c r="N58" i="167"/>
  <c r="O58" i="167"/>
  <c r="P58" i="167"/>
  <c r="Q58" i="167" a="1"/>
  <c r="Q58" i="167" s="1"/>
  <c r="R58" i="167"/>
  <c r="U58" i="167"/>
  <c r="W58" i="167"/>
  <c r="X58" i="167" s="1"/>
  <c r="Z58" i="167"/>
  <c r="AF58" i="167"/>
  <c r="AH58" i="167"/>
  <c r="AO58" i="167"/>
  <c r="AP58" i="167"/>
  <c r="AQ58" i="167"/>
  <c r="AR58" i="167"/>
  <c r="B59" i="167"/>
  <c r="C59" i="167"/>
  <c r="D59" i="167"/>
  <c r="E59" i="167"/>
  <c r="L59" i="167" s="1"/>
  <c r="G59" i="167"/>
  <c r="H59" i="167"/>
  <c r="I59" i="167"/>
  <c r="J59" i="167"/>
  <c r="K59" i="167"/>
  <c r="AN59" i="167" s="1"/>
  <c r="M59" i="167"/>
  <c r="N59" i="167"/>
  <c r="O59" i="167"/>
  <c r="P59" i="167"/>
  <c r="Q59" i="167" a="1"/>
  <c r="Q59" i="167" s="1"/>
  <c r="R59" i="167"/>
  <c r="U59" i="167"/>
  <c r="W59" i="167"/>
  <c r="X59" i="167" s="1"/>
  <c r="Z59" i="167"/>
  <c r="AD59" i="167" s="1"/>
  <c r="AF59" i="167"/>
  <c r="AH59" i="167"/>
  <c r="AO59" i="167"/>
  <c r="AP59" i="167"/>
  <c r="AQ59" i="167"/>
  <c r="AR59" i="167"/>
  <c r="B60" i="167"/>
  <c r="C60" i="167"/>
  <c r="D60" i="167"/>
  <c r="E60" i="167"/>
  <c r="L60" i="167" s="1"/>
  <c r="G60" i="167"/>
  <c r="H60" i="167"/>
  <c r="I60" i="167"/>
  <c r="J60" i="167"/>
  <c r="K60" i="167"/>
  <c r="AN60" i="167" s="1"/>
  <c r="M60" i="167"/>
  <c r="N60" i="167"/>
  <c r="O60" i="167"/>
  <c r="P60" i="167"/>
  <c r="Q60" i="167" a="1"/>
  <c r="Q60" i="167" s="1"/>
  <c r="R60" i="167"/>
  <c r="U60" i="167"/>
  <c r="W60" i="167"/>
  <c r="X60" i="167" s="1"/>
  <c r="Z60" i="167"/>
  <c r="AA60" i="167" s="1"/>
  <c r="AF60" i="167"/>
  <c r="AH60" i="167"/>
  <c r="AO60" i="167"/>
  <c r="AP60" i="167"/>
  <c r="AQ60" i="167"/>
  <c r="AR60" i="167"/>
  <c r="B61" i="167"/>
  <c r="C61" i="167"/>
  <c r="D61" i="167"/>
  <c r="E61" i="167"/>
  <c r="L61" i="167" s="1"/>
  <c r="G61" i="167"/>
  <c r="H61" i="167"/>
  <c r="I61" i="167"/>
  <c r="J61" i="167"/>
  <c r="K61" i="167"/>
  <c r="AN61" i="167" s="1"/>
  <c r="M61" i="167"/>
  <c r="N61" i="167"/>
  <c r="O61" i="167"/>
  <c r="P61" i="167"/>
  <c r="Q61" i="167" a="1"/>
  <c r="Q61" i="167" s="1"/>
  <c r="R61" i="167"/>
  <c r="U61" i="167"/>
  <c r="W61" i="167"/>
  <c r="X61" i="167" s="1"/>
  <c r="Z61" i="167"/>
  <c r="AD61" i="167" s="1"/>
  <c r="AF61" i="167"/>
  <c r="AH61" i="167"/>
  <c r="AO61" i="167"/>
  <c r="AP61" i="167"/>
  <c r="AQ61" i="167"/>
  <c r="AR61" i="167"/>
  <c r="B62" i="167"/>
  <c r="C62" i="167"/>
  <c r="D62" i="167"/>
  <c r="E62" i="167"/>
  <c r="L62" i="167" s="1"/>
  <c r="G62" i="167"/>
  <c r="H62" i="167"/>
  <c r="I62" i="167"/>
  <c r="J62" i="167"/>
  <c r="K62" i="167"/>
  <c r="AN62" i="167" s="1"/>
  <c r="M62" i="167"/>
  <c r="N62" i="167"/>
  <c r="O62" i="167"/>
  <c r="P62" i="167"/>
  <c r="Q62" i="167" a="1"/>
  <c r="Q62" i="167" s="1"/>
  <c r="R62" i="167"/>
  <c r="U62" i="167"/>
  <c r="W62" i="167"/>
  <c r="X62" i="167" s="1"/>
  <c r="Z62" i="167"/>
  <c r="AF62" i="167"/>
  <c r="AH62" i="167"/>
  <c r="AO62" i="167"/>
  <c r="AP62" i="167"/>
  <c r="AQ62" i="167"/>
  <c r="AR62" i="167"/>
  <c r="B63" i="167"/>
  <c r="C63" i="167"/>
  <c r="D63" i="167"/>
  <c r="E63" i="167"/>
  <c r="L63" i="167" s="1"/>
  <c r="G63" i="167"/>
  <c r="H63" i="167"/>
  <c r="I63" i="167"/>
  <c r="J63" i="167"/>
  <c r="K63" i="167"/>
  <c r="AN63" i="167" s="1"/>
  <c r="M63" i="167"/>
  <c r="N63" i="167"/>
  <c r="O63" i="167"/>
  <c r="P63" i="167"/>
  <c r="Q63" i="167" a="1"/>
  <c r="Q63" i="167" s="1"/>
  <c r="R63" i="167"/>
  <c r="U63" i="167"/>
  <c r="W63" i="167"/>
  <c r="X63" i="167" s="1"/>
  <c r="Z63" i="167"/>
  <c r="AA63" i="167" s="1"/>
  <c r="AF63" i="167"/>
  <c r="AH63" i="167"/>
  <c r="AO63" i="167"/>
  <c r="AP63" i="167"/>
  <c r="AQ63" i="167"/>
  <c r="AR63" i="167"/>
  <c r="B64" i="167"/>
  <c r="C64" i="167"/>
  <c r="D64" i="167"/>
  <c r="E64" i="167"/>
  <c r="L64" i="167" s="1"/>
  <c r="G64" i="167"/>
  <c r="H64" i="167"/>
  <c r="I64" i="167"/>
  <c r="J64" i="167"/>
  <c r="K64" i="167"/>
  <c r="AN64" i="167" s="1"/>
  <c r="M64" i="167"/>
  <c r="N64" i="167"/>
  <c r="O64" i="167"/>
  <c r="P64" i="167"/>
  <c r="Q64" i="167" a="1"/>
  <c r="Q64" i="167" s="1"/>
  <c r="R64" i="167"/>
  <c r="U64" i="167"/>
  <c r="W64" i="167"/>
  <c r="X64" i="167" s="1"/>
  <c r="Z64" i="167"/>
  <c r="AF64" i="167"/>
  <c r="AH64" i="167"/>
  <c r="AO64" i="167"/>
  <c r="AP64" i="167"/>
  <c r="AQ64" i="167"/>
  <c r="AR64" i="167"/>
  <c r="B65" i="167"/>
  <c r="C65" i="167"/>
  <c r="D65" i="167"/>
  <c r="E65" i="167"/>
  <c r="L65" i="167" s="1"/>
  <c r="G65" i="167"/>
  <c r="H65" i="167"/>
  <c r="I65" i="167"/>
  <c r="J65" i="167"/>
  <c r="K65" i="167"/>
  <c r="AN65" i="167" s="1"/>
  <c r="M65" i="167"/>
  <c r="N65" i="167"/>
  <c r="O65" i="167"/>
  <c r="P65" i="167"/>
  <c r="Q65" i="167" a="1"/>
  <c r="Q65" i="167" s="1"/>
  <c r="R65" i="167"/>
  <c r="U65" i="167"/>
  <c r="W65" i="167"/>
  <c r="X65" i="167" s="1"/>
  <c r="Z65" i="167"/>
  <c r="AF65" i="167"/>
  <c r="AH65" i="167"/>
  <c r="AO65" i="167"/>
  <c r="AP65" i="167"/>
  <c r="AQ65" i="167"/>
  <c r="AR65" i="167"/>
  <c r="B66" i="167"/>
  <c r="C66" i="167"/>
  <c r="D66" i="167"/>
  <c r="E66" i="167"/>
  <c r="L66" i="167" s="1"/>
  <c r="G66" i="167"/>
  <c r="H66" i="167"/>
  <c r="I66" i="167"/>
  <c r="J66" i="167"/>
  <c r="K66" i="167"/>
  <c r="AN66" i="167" s="1"/>
  <c r="M66" i="167"/>
  <c r="N66" i="167"/>
  <c r="O66" i="167"/>
  <c r="P66" i="167"/>
  <c r="Q66" i="167" a="1"/>
  <c r="Q66" i="167" s="1"/>
  <c r="R66" i="167"/>
  <c r="U66" i="167"/>
  <c r="W66" i="167"/>
  <c r="X66" i="167" s="1"/>
  <c r="Z66" i="167"/>
  <c r="AF66" i="167"/>
  <c r="AH66" i="167"/>
  <c r="AO66" i="167"/>
  <c r="AP66" i="167"/>
  <c r="AQ66" i="167"/>
  <c r="AR66" i="167"/>
  <c r="B67" i="167"/>
  <c r="C67" i="167"/>
  <c r="D67" i="167"/>
  <c r="E67" i="167"/>
  <c r="L67" i="167" s="1"/>
  <c r="G67" i="167"/>
  <c r="H67" i="167"/>
  <c r="I67" i="167"/>
  <c r="J67" i="167"/>
  <c r="K67" i="167"/>
  <c r="AN67" i="167" s="1"/>
  <c r="M67" i="167"/>
  <c r="N67" i="167"/>
  <c r="O67" i="167"/>
  <c r="P67" i="167"/>
  <c r="Q67" i="167" a="1"/>
  <c r="Q67" i="167" s="1"/>
  <c r="R67" i="167"/>
  <c r="U67" i="167"/>
  <c r="W67" i="167"/>
  <c r="X67" i="167" s="1"/>
  <c r="Z67" i="167"/>
  <c r="AF67" i="167"/>
  <c r="AH67" i="167"/>
  <c r="AO67" i="167"/>
  <c r="AP67" i="167"/>
  <c r="AQ67" i="167"/>
  <c r="AR67" i="167"/>
  <c r="B68" i="167"/>
  <c r="C68" i="167"/>
  <c r="D68" i="167"/>
  <c r="E68" i="167"/>
  <c r="L68" i="167" s="1"/>
  <c r="G68" i="167"/>
  <c r="H68" i="167"/>
  <c r="I68" i="167"/>
  <c r="J68" i="167"/>
  <c r="K68" i="167"/>
  <c r="AN68" i="167" s="1"/>
  <c r="M68" i="167"/>
  <c r="N68" i="167"/>
  <c r="O68" i="167"/>
  <c r="P68" i="167"/>
  <c r="Q68" i="167" a="1"/>
  <c r="Q68" i="167" s="1"/>
  <c r="R68" i="167"/>
  <c r="U68" i="167"/>
  <c r="W68" i="167"/>
  <c r="X68" i="167" s="1"/>
  <c r="Z68" i="167"/>
  <c r="AD68" i="167" s="1"/>
  <c r="AF68" i="167"/>
  <c r="AH68" i="167"/>
  <c r="AO68" i="167"/>
  <c r="AP68" i="167"/>
  <c r="AQ68" i="167"/>
  <c r="AR68" i="167"/>
  <c r="B69" i="167"/>
  <c r="C69" i="167"/>
  <c r="D69" i="167"/>
  <c r="E69" i="167"/>
  <c r="L69" i="167" s="1"/>
  <c r="G69" i="167"/>
  <c r="H69" i="167"/>
  <c r="I69" i="167"/>
  <c r="J69" i="167"/>
  <c r="K69" i="167"/>
  <c r="AN69" i="167" s="1"/>
  <c r="M69" i="167"/>
  <c r="N69" i="167"/>
  <c r="O69" i="167"/>
  <c r="P69" i="167"/>
  <c r="Q69" i="167" a="1"/>
  <c r="Q69" i="167" s="1"/>
  <c r="R69" i="167"/>
  <c r="U69" i="167"/>
  <c r="W69" i="167"/>
  <c r="X69" i="167" s="1"/>
  <c r="Z69" i="167"/>
  <c r="AD69" i="167" s="1"/>
  <c r="AF69" i="167"/>
  <c r="AH69" i="167"/>
  <c r="AO69" i="167"/>
  <c r="AP69" i="167"/>
  <c r="AQ69" i="167"/>
  <c r="AR69" i="167"/>
  <c r="B70" i="167"/>
  <c r="C70" i="167"/>
  <c r="D70" i="167"/>
  <c r="E70" i="167"/>
  <c r="L70" i="167" s="1"/>
  <c r="G70" i="167"/>
  <c r="H70" i="167"/>
  <c r="I70" i="167"/>
  <c r="J70" i="167"/>
  <c r="K70" i="167"/>
  <c r="AN70" i="167" s="1"/>
  <c r="M70" i="167"/>
  <c r="N70" i="167"/>
  <c r="O70" i="167"/>
  <c r="P70" i="167"/>
  <c r="Q70" i="167" a="1"/>
  <c r="Q70" i="167" s="1"/>
  <c r="R70" i="167"/>
  <c r="U70" i="167"/>
  <c r="W70" i="167"/>
  <c r="X70" i="167" s="1"/>
  <c r="Z70" i="167"/>
  <c r="AA70" i="167" s="1"/>
  <c r="AF70" i="167"/>
  <c r="AH70" i="167"/>
  <c r="AO70" i="167"/>
  <c r="AP70" i="167"/>
  <c r="AQ70" i="167"/>
  <c r="AR70" i="167"/>
  <c r="B71" i="167"/>
  <c r="C71" i="167"/>
  <c r="D71" i="167"/>
  <c r="E71" i="167"/>
  <c r="L71" i="167" s="1"/>
  <c r="G71" i="167"/>
  <c r="H71" i="167"/>
  <c r="I71" i="167"/>
  <c r="J71" i="167"/>
  <c r="K71" i="167"/>
  <c r="AN71" i="167" s="1"/>
  <c r="M71" i="167"/>
  <c r="N71" i="167"/>
  <c r="O71" i="167"/>
  <c r="P71" i="167"/>
  <c r="Q71" i="167" a="1"/>
  <c r="Q71" i="167" s="1"/>
  <c r="R71" i="167"/>
  <c r="U71" i="167"/>
  <c r="W71" i="167"/>
  <c r="X71" i="167" s="1"/>
  <c r="Z71" i="167"/>
  <c r="AF71" i="167"/>
  <c r="AH71" i="167"/>
  <c r="AO71" i="167"/>
  <c r="AP71" i="167"/>
  <c r="AQ71" i="167"/>
  <c r="AR71" i="167"/>
  <c r="B72" i="167"/>
  <c r="C72" i="167"/>
  <c r="D72" i="167"/>
  <c r="E72" i="167"/>
  <c r="L72" i="167" s="1"/>
  <c r="G72" i="167"/>
  <c r="H72" i="167"/>
  <c r="I72" i="167"/>
  <c r="J72" i="167"/>
  <c r="K72" i="167"/>
  <c r="AN72" i="167" s="1"/>
  <c r="M72" i="167"/>
  <c r="N72" i="167"/>
  <c r="O72" i="167"/>
  <c r="P72" i="167"/>
  <c r="Q72" i="167" a="1"/>
  <c r="Q72" i="167" s="1"/>
  <c r="R72" i="167"/>
  <c r="U72" i="167"/>
  <c r="W72" i="167"/>
  <c r="X72" i="167" s="1"/>
  <c r="Z72" i="167"/>
  <c r="AD72" i="167" s="1"/>
  <c r="AF72" i="167"/>
  <c r="AH72" i="167"/>
  <c r="AO72" i="167"/>
  <c r="AP72" i="167"/>
  <c r="AQ72" i="167"/>
  <c r="AR72" i="167"/>
  <c r="B73" i="167"/>
  <c r="C73" i="167"/>
  <c r="D73" i="167"/>
  <c r="E73" i="167"/>
  <c r="L73" i="167" s="1"/>
  <c r="G73" i="167"/>
  <c r="H73" i="167"/>
  <c r="I73" i="167"/>
  <c r="J73" i="167"/>
  <c r="K73" i="167"/>
  <c r="AN73" i="167" s="1"/>
  <c r="M73" i="167"/>
  <c r="N73" i="167"/>
  <c r="O73" i="167"/>
  <c r="P73" i="167"/>
  <c r="Q73" i="167" a="1"/>
  <c r="Q73" i="167" s="1"/>
  <c r="R73" i="167"/>
  <c r="U73" i="167"/>
  <c r="W73" i="167"/>
  <c r="X73" i="167" s="1"/>
  <c r="Z73" i="167"/>
  <c r="AA73" i="167" s="1"/>
  <c r="AF73" i="167"/>
  <c r="AH73" i="167"/>
  <c r="AO73" i="167"/>
  <c r="AP73" i="167"/>
  <c r="AQ73" i="167"/>
  <c r="AR73" i="167"/>
  <c r="B74" i="167"/>
  <c r="C74" i="167"/>
  <c r="D74" i="167"/>
  <c r="E74" i="167"/>
  <c r="L74" i="167" s="1"/>
  <c r="G74" i="167"/>
  <c r="H74" i="167"/>
  <c r="I74" i="167"/>
  <c r="J74" i="167"/>
  <c r="K74" i="167"/>
  <c r="AN74" i="167" s="1"/>
  <c r="M74" i="167"/>
  <c r="N74" i="167"/>
  <c r="O74" i="167"/>
  <c r="P74" i="167"/>
  <c r="Q74" i="167" a="1"/>
  <c r="Q74" i="167" s="1"/>
  <c r="R74" i="167"/>
  <c r="U74" i="167"/>
  <c r="W74" i="167"/>
  <c r="X74" i="167" s="1"/>
  <c r="Z74" i="167"/>
  <c r="AD74" i="167" s="1"/>
  <c r="AF74" i="167"/>
  <c r="AH74" i="167"/>
  <c r="AO74" i="167"/>
  <c r="AP74" i="167"/>
  <c r="AQ74" i="167"/>
  <c r="AR74" i="167"/>
  <c r="B75" i="167"/>
  <c r="C75" i="167"/>
  <c r="D75" i="167"/>
  <c r="E75" i="167"/>
  <c r="L75" i="167" s="1"/>
  <c r="G75" i="167"/>
  <c r="H75" i="167"/>
  <c r="I75" i="167"/>
  <c r="J75" i="167"/>
  <c r="K75" i="167"/>
  <c r="AN75" i="167" s="1"/>
  <c r="M75" i="167"/>
  <c r="N75" i="167"/>
  <c r="O75" i="167"/>
  <c r="P75" i="167"/>
  <c r="Q75" i="167" a="1"/>
  <c r="Q75" i="167" s="1"/>
  <c r="R75" i="167"/>
  <c r="U75" i="167"/>
  <c r="W75" i="167"/>
  <c r="X75" i="167" s="1"/>
  <c r="Z75" i="167"/>
  <c r="AF75" i="167"/>
  <c r="AH75" i="167"/>
  <c r="AO75" i="167"/>
  <c r="AP75" i="167"/>
  <c r="AQ75" i="167"/>
  <c r="AR75" i="167"/>
  <c r="B76" i="167"/>
  <c r="C76" i="167"/>
  <c r="D76" i="167"/>
  <c r="E76" i="167"/>
  <c r="L76" i="167" s="1"/>
  <c r="G76" i="167"/>
  <c r="H76" i="167"/>
  <c r="I76" i="167"/>
  <c r="J76" i="167"/>
  <c r="K76" i="167"/>
  <c r="AN76" i="167" s="1"/>
  <c r="M76" i="167"/>
  <c r="N76" i="167"/>
  <c r="O76" i="167"/>
  <c r="P76" i="167"/>
  <c r="Q76" i="167" a="1"/>
  <c r="Q76" i="167" s="1"/>
  <c r="R76" i="167"/>
  <c r="U76" i="167"/>
  <c r="W76" i="167"/>
  <c r="X76" i="167" s="1"/>
  <c r="Z76" i="167"/>
  <c r="AF76" i="167"/>
  <c r="AH76" i="167"/>
  <c r="AO76" i="167"/>
  <c r="AP76" i="167"/>
  <c r="AQ76" i="167"/>
  <c r="AR76" i="167"/>
  <c r="B77" i="167"/>
  <c r="C77" i="167"/>
  <c r="D77" i="167"/>
  <c r="E77" i="167"/>
  <c r="L77" i="167" s="1"/>
  <c r="G77" i="167"/>
  <c r="H77" i="167"/>
  <c r="I77" i="167"/>
  <c r="J77" i="167"/>
  <c r="K77" i="167"/>
  <c r="AN77" i="167" s="1"/>
  <c r="M77" i="167"/>
  <c r="N77" i="167"/>
  <c r="O77" i="167"/>
  <c r="P77" i="167"/>
  <c r="Q77" i="167" a="1"/>
  <c r="Q77" i="167" s="1"/>
  <c r="R77" i="167"/>
  <c r="U77" i="167"/>
  <c r="W77" i="167"/>
  <c r="X77" i="167" s="1"/>
  <c r="Z77" i="167"/>
  <c r="AD77" i="167" s="1"/>
  <c r="AF77" i="167"/>
  <c r="AH77" i="167"/>
  <c r="AO77" i="167"/>
  <c r="AP77" i="167"/>
  <c r="AQ77" i="167"/>
  <c r="AR77" i="167"/>
  <c r="B78" i="167"/>
  <c r="C78" i="167"/>
  <c r="D78" i="167"/>
  <c r="E78" i="167"/>
  <c r="L78" i="167" s="1"/>
  <c r="G78" i="167"/>
  <c r="H78" i="167"/>
  <c r="I78" i="167"/>
  <c r="J78" i="167"/>
  <c r="K78" i="167"/>
  <c r="AN78" i="167" s="1"/>
  <c r="M78" i="167"/>
  <c r="N78" i="167"/>
  <c r="O78" i="167"/>
  <c r="P78" i="167"/>
  <c r="Q78" i="167" a="1"/>
  <c r="Q78" i="167" s="1"/>
  <c r="R78" i="167"/>
  <c r="U78" i="167"/>
  <c r="W78" i="167"/>
  <c r="X78" i="167" s="1"/>
  <c r="Z78" i="167"/>
  <c r="AA78" i="167" s="1"/>
  <c r="AF78" i="167"/>
  <c r="AH78" i="167"/>
  <c r="AO78" i="167"/>
  <c r="AP78" i="167"/>
  <c r="AQ78" i="167"/>
  <c r="AR78" i="167"/>
  <c r="B79" i="167"/>
  <c r="C79" i="167"/>
  <c r="D79" i="167"/>
  <c r="E79" i="167"/>
  <c r="L79" i="167" s="1"/>
  <c r="G79" i="167"/>
  <c r="H79" i="167"/>
  <c r="I79" i="167"/>
  <c r="J79" i="167"/>
  <c r="K79" i="167"/>
  <c r="AN79" i="167" s="1"/>
  <c r="M79" i="167"/>
  <c r="N79" i="167"/>
  <c r="O79" i="167"/>
  <c r="P79" i="167"/>
  <c r="Q79" i="167" a="1"/>
  <c r="Q79" i="167" s="1"/>
  <c r="R79" i="167"/>
  <c r="U79" i="167"/>
  <c r="W79" i="167"/>
  <c r="X79" i="167" s="1"/>
  <c r="Z79" i="167"/>
  <c r="AD79" i="167" s="1"/>
  <c r="AF79" i="167"/>
  <c r="AH79" i="167"/>
  <c r="AO79" i="167"/>
  <c r="AP79" i="167"/>
  <c r="AQ79" i="167"/>
  <c r="AR79" i="167"/>
  <c r="B80" i="167"/>
  <c r="C80" i="167"/>
  <c r="D80" i="167"/>
  <c r="E80" i="167"/>
  <c r="L80" i="167" s="1"/>
  <c r="G80" i="167"/>
  <c r="H80" i="167"/>
  <c r="I80" i="167"/>
  <c r="J80" i="167"/>
  <c r="K80" i="167"/>
  <c r="AN80" i="167" s="1"/>
  <c r="M80" i="167"/>
  <c r="N80" i="167"/>
  <c r="O80" i="167"/>
  <c r="P80" i="167"/>
  <c r="Q80" i="167" a="1"/>
  <c r="Q80" i="167" s="1"/>
  <c r="R80" i="167"/>
  <c r="U80" i="167"/>
  <c r="W80" i="167"/>
  <c r="X80" i="167" s="1"/>
  <c r="Z80" i="167"/>
  <c r="AD80" i="167" s="1"/>
  <c r="AF80" i="167"/>
  <c r="AH80" i="167"/>
  <c r="AO80" i="167"/>
  <c r="AP80" i="167"/>
  <c r="AQ80" i="167"/>
  <c r="AR80" i="167"/>
  <c r="B81" i="167"/>
  <c r="C81" i="167"/>
  <c r="D81" i="167"/>
  <c r="E81" i="167"/>
  <c r="L81" i="167" s="1"/>
  <c r="G81" i="167"/>
  <c r="H81" i="167"/>
  <c r="I81" i="167"/>
  <c r="J81" i="167"/>
  <c r="K81" i="167"/>
  <c r="AN81" i="167" s="1"/>
  <c r="M81" i="167"/>
  <c r="N81" i="167"/>
  <c r="O81" i="167"/>
  <c r="P81" i="167"/>
  <c r="Q81" i="167" a="1"/>
  <c r="Q81" i="167" s="1"/>
  <c r="R81" i="167"/>
  <c r="U81" i="167"/>
  <c r="W81" i="167"/>
  <c r="X81" i="167" s="1"/>
  <c r="Z81" i="167"/>
  <c r="AD81" i="167" s="1"/>
  <c r="AF81" i="167"/>
  <c r="AH81" i="167"/>
  <c r="AO81" i="167"/>
  <c r="AP81" i="167"/>
  <c r="AQ81" i="167"/>
  <c r="AR81" i="167"/>
  <c r="B82" i="167"/>
  <c r="C82" i="167"/>
  <c r="D82" i="167"/>
  <c r="E82" i="167"/>
  <c r="L82" i="167" s="1"/>
  <c r="G82" i="167"/>
  <c r="H82" i="167"/>
  <c r="I82" i="167"/>
  <c r="J82" i="167"/>
  <c r="K82" i="167"/>
  <c r="AN82" i="167" s="1"/>
  <c r="M82" i="167"/>
  <c r="N82" i="167"/>
  <c r="O82" i="167"/>
  <c r="P82" i="167"/>
  <c r="Q82" i="167" a="1"/>
  <c r="Q82" i="167" s="1"/>
  <c r="R82" i="167"/>
  <c r="U82" i="167"/>
  <c r="W82" i="167"/>
  <c r="X82" i="167" s="1"/>
  <c r="Z82" i="167"/>
  <c r="AF82" i="167"/>
  <c r="AH82" i="167"/>
  <c r="AO82" i="167"/>
  <c r="AP82" i="167"/>
  <c r="AQ82" i="167"/>
  <c r="AR82" i="167"/>
  <c r="B83" i="167"/>
  <c r="C83" i="167"/>
  <c r="D83" i="167"/>
  <c r="E83" i="167"/>
  <c r="L83" i="167" s="1"/>
  <c r="G83" i="167"/>
  <c r="H83" i="167"/>
  <c r="I83" i="167"/>
  <c r="J83" i="167"/>
  <c r="K83" i="167"/>
  <c r="AN83" i="167" s="1"/>
  <c r="M83" i="167"/>
  <c r="N83" i="167"/>
  <c r="O83" i="167"/>
  <c r="P83" i="167"/>
  <c r="Q83" i="167" a="1"/>
  <c r="Q83" i="167" s="1"/>
  <c r="R83" i="167"/>
  <c r="U83" i="167"/>
  <c r="W83" i="167"/>
  <c r="X83" i="167" s="1"/>
  <c r="Z83" i="167"/>
  <c r="AF83" i="167"/>
  <c r="AH83" i="167"/>
  <c r="AO83" i="167"/>
  <c r="AP83" i="167"/>
  <c r="AQ83" i="167"/>
  <c r="AR83" i="167"/>
  <c r="B84" i="167"/>
  <c r="C84" i="167"/>
  <c r="D84" i="167"/>
  <c r="E84" i="167"/>
  <c r="L84" i="167" s="1"/>
  <c r="G84" i="167"/>
  <c r="H84" i="167"/>
  <c r="I84" i="167"/>
  <c r="J84" i="167"/>
  <c r="K84" i="167"/>
  <c r="AN84" i="167" s="1"/>
  <c r="M84" i="167"/>
  <c r="N84" i="167"/>
  <c r="O84" i="167"/>
  <c r="P84" i="167"/>
  <c r="Q84" i="167" a="1"/>
  <c r="Q84" i="167" s="1"/>
  <c r="R84" i="167"/>
  <c r="U84" i="167"/>
  <c r="W84" i="167"/>
  <c r="X84" i="167" s="1"/>
  <c r="Z84" i="167"/>
  <c r="AD84" i="167" s="1"/>
  <c r="AF84" i="167"/>
  <c r="AH84" i="167"/>
  <c r="AO84" i="167"/>
  <c r="AP84" i="167"/>
  <c r="AQ84" i="167"/>
  <c r="AR84" i="167"/>
  <c r="B85" i="167"/>
  <c r="C85" i="167"/>
  <c r="D85" i="167"/>
  <c r="E85" i="167"/>
  <c r="L85" i="167" s="1"/>
  <c r="G85" i="167"/>
  <c r="H85" i="167"/>
  <c r="I85" i="167"/>
  <c r="J85" i="167"/>
  <c r="K85" i="167"/>
  <c r="AN85" i="167" s="1"/>
  <c r="M85" i="167"/>
  <c r="N85" i="167"/>
  <c r="O85" i="167"/>
  <c r="P85" i="167"/>
  <c r="Q85" i="167" a="1"/>
  <c r="Q85" i="167" s="1"/>
  <c r="R85" i="167"/>
  <c r="U85" i="167"/>
  <c r="W85" i="167"/>
  <c r="X85" i="167" s="1"/>
  <c r="Z85" i="167"/>
  <c r="AA85" i="167" s="1"/>
  <c r="AF85" i="167"/>
  <c r="AH85" i="167"/>
  <c r="AO85" i="167"/>
  <c r="AP85" i="167"/>
  <c r="AQ85" i="167"/>
  <c r="AR85" i="167"/>
  <c r="B86" i="167"/>
  <c r="C86" i="167"/>
  <c r="D86" i="167"/>
  <c r="E86" i="167"/>
  <c r="L86" i="167" s="1"/>
  <c r="G86" i="167"/>
  <c r="H86" i="167"/>
  <c r="I86" i="167"/>
  <c r="J86" i="167"/>
  <c r="K86" i="167"/>
  <c r="AN86" i="167" s="1"/>
  <c r="M86" i="167"/>
  <c r="N86" i="167"/>
  <c r="O86" i="167"/>
  <c r="P86" i="167"/>
  <c r="Q86" i="167" a="1"/>
  <c r="Q86" i="167" s="1"/>
  <c r="R86" i="167"/>
  <c r="U86" i="167"/>
  <c r="W86" i="167"/>
  <c r="X86" i="167" s="1"/>
  <c r="Z86" i="167"/>
  <c r="AA86" i="167" s="1"/>
  <c r="AF86" i="167"/>
  <c r="AH86" i="167"/>
  <c r="AO86" i="167"/>
  <c r="AP86" i="167"/>
  <c r="AQ86" i="167"/>
  <c r="AR86" i="167"/>
  <c r="B87" i="167"/>
  <c r="C87" i="167"/>
  <c r="D87" i="167"/>
  <c r="E87" i="167"/>
  <c r="L87" i="167" s="1"/>
  <c r="G87" i="167"/>
  <c r="H87" i="167"/>
  <c r="I87" i="167"/>
  <c r="J87" i="167"/>
  <c r="K87" i="167"/>
  <c r="AN87" i="167" s="1"/>
  <c r="M87" i="167"/>
  <c r="N87" i="167"/>
  <c r="O87" i="167"/>
  <c r="P87" i="167"/>
  <c r="Q87" i="167" a="1"/>
  <c r="Q87" i="167" s="1"/>
  <c r="R87" i="167"/>
  <c r="U87" i="167"/>
  <c r="W87" i="167"/>
  <c r="X87" i="167" s="1"/>
  <c r="Z87" i="167"/>
  <c r="AD87" i="167" s="1"/>
  <c r="AF87" i="167"/>
  <c r="AH87" i="167"/>
  <c r="AO87" i="167"/>
  <c r="AP87" i="167"/>
  <c r="AQ87" i="167"/>
  <c r="AR87" i="167"/>
  <c r="B88" i="167"/>
  <c r="C88" i="167"/>
  <c r="D88" i="167"/>
  <c r="E88" i="167"/>
  <c r="L88" i="167" s="1"/>
  <c r="G88" i="167"/>
  <c r="H88" i="167"/>
  <c r="I88" i="167"/>
  <c r="J88" i="167"/>
  <c r="K88" i="167"/>
  <c r="AN88" i="167" s="1"/>
  <c r="M88" i="167"/>
  <c r="N88" i="167"/>
  <c r="O88" i="167"/>
  <c r="P88" i="167"/>
  <c r="Q88" i="167" a="1"/>
  <c r="Q88" i="167" s="1"/>
  <c r="R88" i="167"/>
  <c r="U88" i="167"/>
  <c r="W88" i="167"/>
  <c r="X88" i="167" s="1"/>
  <c r="Z88" i="167"/>
  <c r="AD88" i="167" s="1"/>
  <c r="AF88" i="167"/>
  <c r="AH88" i="167"/>
  <c r="AO88" i="167"/>
  <c r="AP88" i="167"/>
  <c r="AQ88" i="167"/>
  <c r="AR88" i="167"/>
  <c r="B89" i="167"/>
  <c r="C89" i="167"/>
  <c r="D89" i="167"/>
  <c r="E89" i="167"/>
  <c r="L89" i="167" s="1"/>
  <c r="G89" i="167"/>
  <c r="H89" i="167"/>
  <c r="I89" i="167"/>
  <c r="J89" i="167"/>
  <c r="K89" i="167"/>
  <c r="AN89" i="167" s="1"/>
  <c r="M89" i="167"/>
  <c r="N89" i="167"/>
  <c r="O89" i="167"/>
  <c r="P89" i="167"/>
  <c r="Q89" i="167" a="1"/>
  <c r="Q89" i="167" s="1"/>
  <c r="R89" i="167"/>
  <c r="U89" i="167"/>
  <c r="W89" i="167"/>
  <c r="X89" i="167" s="1"/>
  <c r="Z89" i="167"/>
  <c r="AF89" i="167"/>
  <c r="AH89" i="167"/>
  <c r="AO89" i="167"/>
  <c r="AP89" i="167"/>
  <c r="AQ89" i="167"/>
  <c r="AR89" i="167"/>
  <c r="B90" i="167"/>
  <c r="C90" i="167"/>
  <c r="D90" i="167"/>
  <c r="E90" i="167"/>
  <c r="L90" i="167" s="1"/>
  <c r="G90" i="167"/>
  <c r="H90" i="167"/>
  <c r="I90" i="167"/>
  <c r="J90" i="167"/>
  <c r="K90" i="167"/>
  <c r="AN90" i="167" s="1"/>
  <c r="M90" i="167"/>
  <c r="N90" i="167"/>
  <c r="O90" i="167"/>
  <c r="P90" i="167"/>
  <c r="Q90" i="167" a="1"/>
  <c r="Q90" i="167" s="1"/>
  <c r="R90" i="167"/>
  <c r="U90" i="167"/>
  <c r="W90" i="167"/>
  <c r="X90" i="167" s="1"/>
  <c r="Z90" i="167"/>
  <c r="AA90" i="167" s="1"/>
  <c r="AF90" i="167"/>
  <c r="AH90" i="167"/>
  <c r="AO90" i="167"/>
  <c r="AP90" i="167"/>
  <c r="AQ90" i="167"/>
  <c r="AR90" i="167"/>
  <c r="B91" i="167"/>
  <c r="C91" i="167"/>
  <c r="D91" i="167"/>
  <c r="E91" i="167"/>
  <c r="L91" i="167" s="1"/>
  <c r="G91" i="167"/>
  <c r="H91" i="167"/>
  <c r="I91" i="167"/>
  <c r="J91" i="167"/>
  <c r="K91" i="167"/>
  <c r="AN91" i="167" s="1"/>
  <c r="M91" i="167"/>
  <c r="N91" i="167"/>
  <c r="O91" i="167"/>
  <c r="P91" i="167"/>
  <c r="Q91" i="167" a="1"/>
  <c r="Q91" i="167" s="1"/>
  <c r="R91" i="167"/>
  <c r="U91" i="167"/>
  <c r="W91" i="167"/>
  <c r="X91" i="167" s="1"/>
  <c r="Z91" i="167"/>
  <c r="AD91" i="167" s="1"/>
  <c r="AF91" i="167"/>
  <c r="AH91" i="167"/>
  <c r="AO91" i="167"/>
  <c r="AP91" i="167"/>
  <c r="AQ91" i="167"/>
  <c r="AR91" i="167"/>
  <c r="B92" i="167"/>
  <c r="C92" i="167"/>
  <c r="D92" i="167"/>
  <c r="E92" i="167"/>
  <c r="L92" i="167" s="1"/>
  <c r="G92" i="167"/>
  <c r="H92" i="167"/>
  <c r="I92" i="167"/>
  <c r="J92" i="167"/>
  <c r="K92" i="167"/>
  <c r="AN92" i="167" s="1"/>
  <c r="M92" i="167"/>
  <c r="N92" i="167"/>
  <c r="O92" i="167"/>
  <c r="P92" i="167"/>
  <c r="Q92" i="167" a="1"/>
  <c r="Q92" i="167" s="1"/>
  <c r="R92" i="167"/>
  <c r="U92" i="167"/>
  <c r="W92" i="167"/>
  <c r="X92" i="167" s="1"/>
  <c r="Z92" i="167"/>
  <c r="AA92" i="167" s="1"/>
  <c r="AF92" i="167"/>
  <c r="AH92" i="167"/>
  <c r="AO92" i="167"/>
  <c r="AP92" i="167"/>
  <c r="AQ92" i="167"/>
  <c r="AR92" i="167"/>
  <c r="B93" i="167"/>
  <c r="C93" i="167"/>
  <c r="D93" i="167"/>
  <c r="E93" i="167"/>
  <c r="L93" i="167" s="1"/>
  <c r="G93" i="167"/>
  <c r="H93" i="167"/>
  <c r="I93" i="167"/>
  <c r="J93" i="167"/>
  <c r="K93" i="167"/>
  <c r="AN93" i="167" s="1"/>
  <c r="M93" i="167"/>
  <c r="N93" i="167"/>
  <c r="O93" i="167"/>
  <c r="P93" i="167"/>
  <c r="Q93" i="167" a="1"/>
  <c r="Q93" i="167" s="1"/>
  <c r="R93" i="167"/>
  <c r="U93" i="167"/>
  <c r="W93" i="167"/>
  <c r="X93" i="167" s="1"/>
  <c r="Z93" i="167"/>
  <c r="AF93" i="167"/>
  <c r="AH93" i="167"/>
  <c r="AO93" i="167"/>
  <c r="AP93" i="167"/>
  <c r="AQ93" i="167"/>
  <c r="AR93" i="167"/>
  <c r="B94" i="167"/>
  <c r="C94" i="167"/>
  <c r="D94" i="167"/>
  <c r="E94" i="167"/>
  <c r="L94" i="167" s="1"/>
  <c r="G94" i="167"/>
  <c r="H94" i="167"/>
  <c r="I94" i="167"/>
  <c r="J94" i="167"/>
  <c r="K94" i="167"/>
  <c r="AN94" i="167" s="1"/>
  <c r="M94" i="167"/>
  <c r="N94" i="167"/>
  <c r="O94" i="167"/>
  <c r="P94" i="167"/>
  <c r="Q94" i="167" a="1"/>
  <c r="Q94" i="167" s="1"/>
  <c r="R94" i="167"/>
  <c r="U94" i="167"/>
  <c r="W94" i="167"/>
  <c r="X94" i="167" s="1"/>
  <c r="Z94" i="167"/>
  <c r="AF94" i="167"/>
  <c r="AH94" i="167"/>
  <c r="AO94" i="167"/>
  <c r="AP94" i="167"/>
  <c r="AQ94" i="167"/>
  <c r="AR94" i="167"/>
  <c r="B95" i="167"/>
  <c r="C95" i="167"/>
  <c r="D95" i="167"/>
  <c r="E95" i="167"/>
  <c r="L95" i="167" s="1"/>
  <c r="G95" i="167"/>
  <c r="H95" i="167"/>
  <c r="I95" i="167"/>
  <c r="J95" i="167"/>
  <c r="K95" i="167"/>
  <c r="AN95" i="167" s="1"/>
  <c r="M95" i="167"/>
  <c r="N95" i="167"/>
  <c r="O95" i="167"/>
  <c r="P95" i="167"/>
  <c r="Q95" i="167" a="1"/>
  <c r="Q95" i="167" s="1"/>
  <c r="R95" i="167"/>
  <c r="U95" i="167"/>
  <c r="W95" i="167"/>
  <c r="X95" i="167" s="1"/>
  <c r="Z95" i="167"/>
  <c r="AF95" i="167"/>
  <c r="AH95" i="167"/>
  <c r="AO95" i="167"/>
  <c r="AP95" i="167"/>
  <c r="AQ95" i="167"/>
  <c r="AR95" i="167"/>
  <c r="B96" i="167"/>
  <c r="C96" i="167"/>
  <c r="D96" i="167"/>
  <c r="E96" i="167"/>
  <c r="L96" i="167" s="1"/>
  <c r="G96" i="167"/>
  <c r="H96" i="167"/>
  <c r="I96" i="167"/>
  <c r="J96" i="167"/>
  <c r="K96" i="167"/>
  <c r="AN96" i="167" s="1"/>
  <c r="M96" i="167"/>
  <c r="N96" i="167"/>
  <c r="O96" i="167"/>
  <c r="P96" i="167"/>
  <c r="Q96" i="167" a="1"/>
  <c r="Q96" i="167" s="1"/>
  <c r="R96" i="167"/>
  <c r="U96" i="167"/>
  <c r="W96" i="167"/>
  <c r="X96" i="167" s="1"/>
  <c r="Z96" i="167"/>
  <c r="AD96" i="167" s="1"/>
  <c r="AF96" i="167"/>
  <c r="AH96" i="167"/>
  <c r="AO96" i="167"/>
  <c r="AP96" i="167"/>
  <c r="AQ96" i="167"/>
  <c r="AR96" i="167"/>
  <c r="B97" i="167"/>
  <c r="C97" i="167"/>
  <c r="D97" i="167"/>
  <c r="E97" i="167"/>
  <c r="L97" i="167" s="1"/>
  <c r="G97" i="167"/>
  <c r="H97" i="167"/>
  <c r="I97" i="167"/>
  <c r="J97" i="167"/>
  <c r="K97" i="167"/>
  <c r="AN97" i="167" s="1"/>
  <c r="M97" i="167"/>
  <c r="N97" i="167"/>
  <c r="O97" i="167"/>
  <c r="P97" i="167"/>
  <c r="Q97" i="167" a="1"/>
  <c r="Q97" i="167" s="1"/>
  <c r="R97" i="167"/>
  <c r="U97" i="167"/>
  <c r="W97" i="167"/>
  <c r="X97" i="167" s="1"/>
  <c r="Z97" i="167"/>
  <c r="AD97" i="167" s="1"/>
  <c r="AF97" i="167"/>
  <c r="AH97" i="167"/>
  <c r="AO97" i="167"/>
  <c r="AP97" i="167"/>
  <c r="AQ97" i="167"/>
  <c r="AR97" i="167"/>
  <c r="B98" i="167"/>
  <c r="C98" i="167"/>
  <c r="D98" i="167"/>
  <c r="E98" i="167"/>
  <c r="L98" i="167" s="1"/>
  <c r="G98" i="167"/>
  <c r="H98" i="167"/>
  <c r="I98" i="167"/>
  <c r="J98" i="167"/>
  <c r="K98" i="167"/>
  <c r="AN98" i="167" s="1"/>
  <c r="M98" i="167"/>
  <c r="N98" i="167"/>
  <c r="O98" i="167"/>
  <c r="P98" i="167"/>
  <c r="Q98" i="167" a="1"/>
  <c r="Q98" i="167" s="1"/>
  <c r="R98" i="167"/>
  <c r="U98" i="167"/>
  <c r="W98" i="167"/>
  <c r="X98" i="167" s="1"/>
  <c r="Z98" i="167"/>
  <c r="AF98" i="167"/>
  <c r="AH98" i="167"/>
  <c r="AO98" i="167"/>
  <c r="AP98" i="167"/>
  <c r="AQ98" i="167"/>
  <c r="AR98" i="167"/>
  <c r="B99" i="167"/>
  <c r="C99" i="167"/>
  <c r="D99" i="167"/>
  <c r="E99" i="167"/>
  <c r="L99" i="167" s="1"/>
  <c r="G99" i="167"/>
  <c r="H99" i="167"/>
  <c r="I99" i="167"/>
  <c r="J99" i="167"/>
  <c r="K99" i="167"/>
  <c r="AN99" i="167" s="1"/>
  <c r="M99" i="167"/>
  <c r="N99" i="167"/>
  <c r="O99" i="167"/>
  <c r="P99" i="167"/>
  <c r="Q99" i="167" a="1"/>
  <c r="Q99" i="167" s="1"/>
  <c r="R99" i="167"/>
  <c r="U99" i="167"/>
  <c r="W99" i="167"/>
  <c r="X99" i="167" s="1"/>
  <c r="Z99" i="167"/>
  <c r="AD99" i="167" s="1"/>
  <c r="AF99" i="167"/>
  <c r="AH99" i="167"/>
  <c r="AO99" i="167"/>
  <c r="AP99" i="167"/>
  <c r="AQ99" i="167"/>
  <c r="AR99" i="167"/>
  <c r="B100" i="167"/>
  <c r="C100" i="167"/>
  <c r="D100" i="167"/>
  <c r="E100" i="167"/>
  <c r="L100" i="167" s="1"/>
  <c r="G100" i="167"/>
  <c r="H100" i="167"/>
  <c r="I100" i="167"/>
  <c r="J100" i="167"/>
  <c r="K100" i="167"/>
  <c r="AN100" i="167" s="1"/>
  <c r="M100" i="167"/>
  <c r="N100" i="167"/>
  <c r="O100" i="167"/>
  <c r="P100" i="167"/>
  <c r="Q100" i="167" a="1"/>
  <c r="Q100" i="167" s="1"/>
  <c r="R100" i="167"/>
  <c r="U100" i="167"/>
  <c r="W100" i="167"/>
  <c r="X100" i="167" s="1"/>
  <c r="Z100" i="167"/>
  <c r="AA100" i="167" s="1"/>
  <c r="AF100" i="167"/>
  <c r="AH100" i="167"/>
  <c r="AO100" i="167"/>
  <c r="AP100" i="167"/>
  <c r="AQ100" i="167"/>
  <c r="AR100" i="167"/>
  <c r="B101" i="167"/>
  <c r="C101" i="167"/>
  <c r="D101" i="167"/>
  <c r="E101" i="167"/>
  <c r="L101" i="167" s="1"/>
  <c r="G101" i="167"/>
  <c r="H101" i="167"/>
  <c r="I101" i="167"/>
  <c r="J101" i="167"/>
  <c r="K101" i="167"/>
  <c r="AN101" i="167" s="1"/>
  <c r="M101" i="167"/>
  <c r="N101" i="167"/>
  <c r="O101" i="167"/>
  <c r="P101" i="167"/>
  <c r="Q101" i="167" a="1"/>
  <c r="Q101" i="167" s="1"/>
  <c r="R101" i="167"/>
  <c r="U101" i="167"/>
  <c r="W101" i="167"/>
  <c r="X101" i="167" s="1"/>
  <c r="Z101" i="167"/>
  <c r="AA101" i="167" s="1"/>
  <c r="AF101" i="167"/>
  <c r="AH101" i="167"/>
  <c r="AO101" i="167"/>
  <c r="AP101" i="167"/>
  <c r="AQ101" i="167"/>
  <c r="AR101" i="167"/>
  <c r="B102" i="167"/>
  <c r="C102" i="167"/>
  <c r="D102" i="167"/>
  <c r="E102" i="167"/>
  <c r="L102" i="167" s="1"/>
  <c r="G102" i="167"/>
  <c r="H102" i="167"/>
  <c r="I102" i="167"/>
  <c r="J102" i="167"/>
  <c r="K102" i="167"/>
  <c r="AN102" i="167" s="1"/>
  <c r="M102" i="167"/>
  <c r="N102" i="167"/>
  <c r="O102" i="167"/>
  <c r="P102" i="167"/>
  <c r="Q102" i="167" a="1"/>
  <c r="Q102" i="167" s="1"/>
  <c r="R102" i="167"/>
  <c r="U102" i="167"/>
  <c r="W102" i="167"/>
  <c r="X102" i="167" s="1"/>
  <c r="Z102" i="167"/>
  <c r="AA102" i="167" s="1"/>
  <c r="AF102" i="167"/>
  <c r="AH102" i="167"/>
  <c r="AO102" i="167"/>
  <c r="AP102" i="167"/>
  <c r="AQ102" i="167"/>
  <c r="AR102" i="167"/>
  <c r="B103" i="167"/>
  <c r="C103" i="167"/>
  <c r="D103" i="167"/>
  <c r="E103" i="167"/>
  <c r="L103" i="167" s="1"/>
  <c r="G103" i="167"/>
  <c r="H103" i="167"/>
  <c r="I103" i="167"/>
  <c r="J103" i="167"/>
  <c r="K103" i="167"/>
  <c r="AN103" i="167" s="1"/>
  <c r="M103" i="167"/>
  <c r="N103" i="167"/>
  <c r="O103" i="167"/>
  <c r="P103" i="167"/>
  <c r="Q103" i="167" a="1"/>
  <c r="Q103" i="167" s="1"/>
  <c r="R103" i="167"/>
  <c r="U103" i="167"/>
  <c r="W103" i="167"/>
  <c r="X103" i="167" s="1"/>
  <c r="Z103" i="167"/>
  <c r="AF103" i="167"/>
  <c r="AH103" i="167"/>
  <c r="AO103" i="167"/>
  <c r="AP103" i="167"/>
  <c r="AQ103" i="167"/>
  <c r="AR103" i="167"/>
  <c r="B104" i="167"/>
  <c r="C104" i="167"/>
  <c r="D104" i="167"/>
  <c r="E104" i="167"/>
  <c r="L104" i="167" s="1"/>
  <c r="G104" i="167"/>
  <c r="H104" i="167"/>
  <c r="I104" i="167"/>
  <c r="J104" i="167"/>
  <c r="K104" i="167"/>
  <c r="AN104" i="167" s="1"/>
  <c r="M104" i="167"/>
  <c r="N104" i="167"/>
  <c r="O104" i="167"/>
  <c r="P104" i="167"/>
  <c r="Q104" i="167" a="1"/>
  <c r="Q104" i="167" s="1"/>
  <c r="R104" i="167"/>
  <c r="U104" i="167"/>
  <c r="W104" i="167"/>
  <c r="X104" i="167" s="1"/>
  <c r="Z104" i="167"/>
  <c r="AD104" i="167" s="1"/>
  <c r="AF104" i="167"/>
  <c r="AH104" i="167"/>
  <c r="AO104" i="167"/>
  <c r="AP104" i="167"/>
  <c r="AQ104" i="167"/>
  <c r="AR104" i="167"/>
  <c r="B105" i="167"/>
  <c r="C105" i="167"/>
  <c r="D105" i="167"/>
  <c r="E105" i="167"/>
  <c r="L105" i="167" s="1"/>
  <c r="G105" i="167"/>
  <c r="H105" i="167"/>
  <c r="I105" i="167"/>
  <c r="J105" i="167"/>
  <c r="K105" i="167"/>
  <c r="AN105" i="167" s="1"/>
  <c r="M105" i="167"/>
  <c r="N105" i="167"/>
  <c r="O105" i="167"/>
  <c r="P105" i="167"/>
  <c r="Q105" i="167" a="1"/>
  <c r="Q105" i="167" s="1"/>
  <c r="R105" i="167"/>
  <c r="U105" i="167"/>
  <c r="W105" i="167"/>
  <c r="X105" i="167" s="1"/>
  <c r="Z105" i="167"/>
  <c r="AF105" i="167"/>
  <c r="AH105" i="167"/>
  <c r="AO105" i="167"/>
  <c r="AP105" i="167"/>
  <c r="AQ105" i="167"/>
  <c r="AR105" i="167"/>
  <c r="B106" i="167"/>
  <c r="C106" i="167"/>
  <c r="D106" i="167"/>
  <c r="E106" i="167"/>
  <c r="L106" i="167" s="1"/>
  <c r="G106" i="167"/>
  <c r="H106" i="167"/>
  <c r="I106" i="167"/>
  <c r="J106" i="167"/>
  <c r="K106" i="167"/>
  <c r="AN106" i="167" s="1"/>
  <c r="M106" i="167"/>
  <c r="N106" i="167"/>
  <c r="O106" i="167"/>
  <c r="P106" i="167"/>
  <c r="Q106" i="167" a="1"/>
  <c r="Q106" i="167" s="1"/>
  <c r="R106" i="167"/>
  <c r="U106" i="167"/>
  <c r="W106" i="167"/>
  <c r="X106" i="167" s="1"/>
  <c r="Z106" i="167"/>
  <c r="AF106" i="167"/>
  <c r="AH106" i="167"/>
  <c r="AO106" i="167"/>
  <c r="AP106" i="167"/>
  <c r="AQ106" i="167"/>
  <c r="AR106" i="167"/>
  <c r="B107" i="167"/>
  <c r="C107" i="167"/>
  <c r="D107" i="167"/>
  <c r="E107" i="167"/>
  <c r="L107" i="167" s="1"/>
  <c r="G107" i="167"/>
  <c r="H107" i="167"/>
  <c r="I107" i="167"/>
  <c r="J107" i="167"/>
  <c r="K107" i="167"/>
  <c r="AN107" i="167" s="1"/>
  <c r="M107" i="167"/>
  <c r="N107" i="167"/>
  <c r="O107" i="167"/>
  <c r="P107" i="167"/>
  <c r="Q107" i="167" a="1"/>
  <c r="Q107" i="167" s="1"/>
  <c r="R107" i="167"/>
  <c r="U107" i="167"/>
  <c r="W107" i="167"/>
  <c r="X107" i="167" s="1"/>
  <c r="Z107" i="167"/>
  <c r="AA107" i="167" s="1"/>
  <c r="AF107" i="167"/>
  <c r="AH107" i="167"/>
  <c r="AO107" i="167"/>
  <c r="AP107" i="167"/>
  <c r="AQ107" i="167"/>
  <c r="AR107" i="167"/>
  <c r="B108" i="167"/>
  <c r="C108" i="167"/>
  <c r="D108" i="167"/>
  <c r="E108" i="167"/>
  <c r="L108" i="167" s="1"/>
  <c r="G108" i="167"/>
  <c r="H108" i="167"/>
  <c r="I108" i="167"/>
  <c r="J108" i="167"/>
  <c r="K108" i="167"/>
  <c r="AN108" i="167" s="1"/>
  <c r="M108" i="167"/>
  <c r="N108" i="167"/>
  <c r="O108" i="167"/>
  <c r="P108" i="167"/>
  <c r="Q108" i="167" a="1"/>
  <c r="Q108" i="167" s="1"/>
  <c r="R108" i="167"/>
  <c r="U108" i="167"/>
  <c r="W108" i="167"/>
  <c r="X108" i="167" s="1"/>
  <c r="Z108" i="167"/>
  <c r="AA108" i="167" s="1"/>
  <c r="AF108" i="167"/>
  <c r="AH108" i="167"/>
  <c r="AO108" i="167"/>
  <c r="AP108" i="167"/>
  <c r="AQ108" i="167"/>
  <c r="AR108" i="167"/>
  <c r="B109" i="167"/>
  <c r="C109" i="167"/>
  <c r="D109" i="167"/>
  <c r="E109" i="167"/>
  <c r="L109" i="167" s="1"/>
  <c r="G109" i="167"/>
  <c r="H109" i="167"/>
  <c r="I109" i="167"/>
  <c r="J109" i="167"/>
  <c r="K109" i="167"/>
  <c r="AN109" i="167" s="1"/>
  <c r="M109" i="167"/>
  <c r="N109" i="167"/>
  <c r="O109" i="167"/>
  <c r="P109" i="167"/>
  <c r="Q109" i="167" a="1"/>
  <c r="Q109" i="167" s="1"/>
  <c r="R109" i="167"/>
  <c r="U109" i="167"/>
  <c r="W109" i="167"/>
  <c r="X109" i="167" s="1"/>
  <c r="Z109" i="167"/>
  <c r="AF109" i="167"/>
  <c r="AH109" i="167"/>
  <c r="AO109" i="167"/>
  <c r="AP109" i="167"/>
  <c r="AQ109" i="167"/>
  <c r="AR109" i="167"/>
  <c r="B110" i="167"/>
  <c r="C110" i="167"/>
  <c r="D110" i="167"/>
  <c r="E110" i="167"/>
  <c r="L110" i="167" s="1"/>
  <c r="G110" i="167"/>
  <c r="H110" i="167"/>
  <c r="I110" i="167"/>
  <c r="J110" i="167"/>
  <c r="K110" i="167"/>
  <c r="AN110" i="167" s="1"/>
  <c r="M110" i="167"/>
  <c r="N110" i="167"/>
  <c r="O110" i="167"/>
  <c r="P110" i="167"/>
  <c r="Q110" i="167" a="1"/>
  <c r="Q110" i="167" s="1"/>
  <c r="R110" i="167"/>
  <c r="U110" i="167"/>
  <c r="W110" i="167"/>
  <c r="X110" i="167" s="1"/>
  <c r="Z110" i="167"/>
  <c r="AF110" i="167"/>
  <c r="AH110" i="167"/>
  <c r="AO110" i="167"/>
  <c r="AP110" i="167"/>
  <c r="AQ110" i="167"/>
  <c r="AR110" i="167"/>
  <c r="B111" i="167"/>
  <c r="C111" i="167"/>
  <c r="D111" i="167"/>
  <c r="E111" i="167"/>
  <c r="L111" i="167" s="1"/>
  <c r="G111" i="167"/>
  <c r="H111" i="167"/>
  <c r="I111" i="167"/>
  <c r="J111" i="167"/>
  <c r="K111" i="167"/>
  <c r="AN111" i="167" s="1"/>
  <c r="M111" i="167"/>
  <c r="N111" i="167"/>
  <c r="O111" i="167"/>
  <c r="P111" i="167"/>
  <c r="Q111" i="167" a="1"/>
  <c r="Q111" i="167" s="1"/>
  <c r="R111" i="167"/>
  <c r="U111" i="167"/>
  <c r="W111" i="167"/>
  <c r="X111" i="167" s="1"/>
  <c r="Z111" i="167"/>
  <c r="AD111" i="167" s="1"/>
  <c r="AF111" i="167"/>
  <c r="AH111" i="167"/>
  <c r="AO111" i="167"/>
  <c r="AP111" i="167"/>
  <c r="AQ111" i="167"/>
  <c r="AR111" i="167"/>
  <c r="B112" i="167"/>
  <c r="C112" i="167"/>
  <c r="D112" i="167"/>
  <c r="E112" i="167"/>
  <c r="L112" i="167" s="1"/>
  <c r="G112" i="167"/>
  <c r="H112" i="167"/>
  <c r="I112" i="167"/>
  <c r="J112" i="167"/>
  <c r="K112" i="167"/>
  <c r="AN112" i="167" s="1"/>
  <c r="M112" i="167"/>
  <c r="N112" i="167"/>
  <c r="O112" i="167"/>
  <c r="P112" i="167"/>
  <c r="Q112" i="167" a="1"/>
  <c r="Q112" i="167" s="1"/>
  <c r="R112" i="167"/>
  <c r="U112" i="167"/>
  <c r="W112" i="167"/>
  <c r="X112" i="167" s="1"/>
  <c r="Z112" i="167"/>
  <c r="AD112" i="167" s="1"/>
  <c r="AF112" i="167"/>
  <c r="AH112" i="167"/>
  <c r="AO112" i="167"/>
  <c r="AP112" i="167"/>
  <c r="AQ112" i="167"/>
  <c r="AR112" i="167"/>
  <c r="B113" i="167"/>
  <c r="C113" i="167"/>
  <c r="D113" i="167"/>
  <c r="E113" i="167"/>
  <c r="L113" i="167" s="1"/>
  <c r="G113" i="167"/>
  <c r="H113" i="167"/>
  <c r="I113" i="167"/>
  <c r="J113" i="167"/>
  <c r="K113" i="167"/>
  <c r="AN113" i="167" s="1"/>
  <c r="M113" i="167"/>
  <c r="N113" i="167"/>
  <c r="O113" i="167"/>
  <c r="P113" i="167"/>
  <c r="Q113" i="167" a="1"/>
  <c r="Q113" i="167" s="1"/>
  <c r="R113" i="167"/>
  <c r="U113" i="167"/>
  <c r="W113" i="167"/>
  <c r="X113" i="167" s="1"/>
  <c r="Z113" i="167"/>
  <c r="AA113" i="167" s="1"/>
  <c r="AF113" i="167"/>
  <c r="AH113" i="167"/>
  <c r="AO113" i="167"/>
  <c r="AP113" i="167"/>
  <c r="AQ113" i="167"/>
  <c r="AR113" i="167"/>
  <c r="B114" i="167"/>
  <c r="C114" i="167"/>
  <c r="D114" i="167"/>
  <c r="E114" i="167"/>
  <c r="L114" i="167" s="1"/>
  <c r="G114" i="167"/>
  <c r="H114" i="167"/>
  <c r="I114" i="167"/>
  <c r="J114" i="167"/>
  <c r="K114" i="167"/>
  <c r="AN114" i="167" s="1"/>
  <c r="M114" i="167"/>
  <c r="N114" i="167"/>
  <c r="O114" i="167"/>
  <c r="P114" i="167"/>
  <c r="Q114" i="167" a="1"/>
  <c r="Q114" i="167" s="1"/>
  <c r="R114" i="167"/>
  <c r="U114" i="167"/>
  <c r="W114" i="167"/>
  <c r="X114" i="167" s="1"/>
  <c r="Z114" i="167"/>
  <c r="AA114" i="167" s="1"/>
  <c r="AF114" i="167"/>
  <c r="AH114" i="167"/>
  <c r="AO114" i="167"/>
  <c r="AP114" i="167"/>
  <c r="AQ114" i="167"/>
  <c r="AR114" i="167"/>
  <c r="B115" i="167"/>
  <c r="C115" i="167"/>
  <c r="D115" i="167"/>
  <c r="E115" i="167"/>
  <c r="L115" i="167" s="1"/>
  <c r="G115" i="167"/>
  <c r="H115" i="167"/>
  <c r="I115" i="167"/>
  <c r="J115" i="167"/>
  <c r="K115" i="167"/>
  <c r="AN115" i="167" s="1"/>
  <c r="M115" i="167"/>
  <c r="N115" i="167"/>
  <c r="O115" i="167"/>
  <c r="P115" i="167"/>
  <c r="Q115" i="167" a="1"/>
  <c r="Q115" i="167" s="1"/>
  <c r="R115" i="167"/>
  <c r="U115" i="167"/>
  <c r="W115" i="167"/>
  <c r="X115" i="167" s="1"/>
  <c r="Z115" i="167"/>
  <c r="AF115" i="167"/>
  <c r="AH115" i="167"/>
  <c r="AO115" i="167"/>
  <c r="AP115" i="167"/>
  <c r="AQ115" i="167"/>
  <c r="AR115" i="167"/>
  <c r="B116" i="167"/>
  <c r="C116" i="167"/>
  <c r="D116" i="167"/>
  <c r="E116" i="167"/>
  <c r="L116" i="167" s="1"/>
  <c r="G116" i="167"/>
  <c r="H116" i="167"/>
  <c r="I116" i="167"/>
  <c r="J116" i="167"/>
  <c r="K116" i="167"/>
  <c r="AN116" i="167" s="1"/>
  <c r="M116" i="167"/>
  <c r="N116" i="167"/>
  <c r="O116" i="167"/>
  <c r="P116" i="167"/>
  <c r="Q116" i="167" a="1"/>
  <c r="Q116" i="167" s="1"/>
  <c r="R116" i="167"/>
  <c r="U116" i="167"/>
  <c r="W116" i="167"/>
  <c r="X116" i="167" s="1"/>
  <c r="Z116" i="167"/>
  <c r="AF116" i="167"/>
  <c r="AH116" i="167"/>
  <c r="AO116" i="167"/>
  <c r="AP116" i="167"/>
  <c r="AQ116" i="167"/>
  <c r="AR116" i="167"/>
  <c r="B117" i="167"/>
  <c r="C117" i="167"/>
  <c r="D117" i="167"/>
  <c r="E117" i="167"/>
  <c r="L117" i="167" s="1"/>
  <c r="G117" i="167"/>
  <c r="H117" i="167"/>
  <c r="I117" i="167"/>
  <c r="J117" i="167"/>
  <c r="K117" i="167"/>
  <c r="AN117" i="167" s="1"/>
  <c r="M117" i="167"/>
  <c r="N117" i="167"/>
  <c r="O117" i="167"/>
  <c r="P117" i="167"/>
  <c r="Q117" i="167" a="1"/>
  <c r="Q117" i="167" s="1"/>
  <c r="R117" i="167"/>
  <c r="U117" i="167"/>
  <c r="W117" i="167"/>
  <c r="X117" i="167" s="1"/>
  <c r="Z117" i="167"/>
  <c r="AF117" i="167"/>
  <c r="AH117" i="167"/>
  <c r="AO117" i="167"/>
  <c r="AP117" i="167"/>
  <c r="AQ117" i="167"/>
  <c r="AR117" i="167"/>
  <c r="B118" i="167"/>
  <c r="C118" i="167"/>
  <c r="D118" i="167"/>
  <c r="E118" i="167"/>
  <c r="L118" i="167" s="1"/>
  <c r="G118" i="167"/>
  <c r="H118" i="167"/>
  <c r="I118" i="167"/>
  <c r="J118" i="167"/>
  <c r="K118" i="167"/>
  <c r="AN118" i="167" s="1"/>
  <c r="M118" i="167"/>
  <c r="N118" i="167"/>
  <c r="O118" i="167"/>
  <c r="P118" i="167"/>
  <c r="Q118" i="167" a="1"/>
  <c r="Q118" i="167" s="1"/>
  <c r="R118" i="167"/>
  <c r="U118" i="167"/>
  <c r="W118" i="167"/>
  <c r="X118" i="167" s="1"/>
  <c r="Z118" i="167"/>
  <c r="AA118" i="167" s="1"/>
  <c r="AF118" i="167"/>
  <c r="AH118" i="167"/>
  <c r="AO118" i="167"/>
  <c r="AP118" i="167"/>
  <c r="AQ118" i="167"/>
  <c r="AR118" i="167"/>
  <c r="B119" i="167"/>
  <c r="C119" i="167"/>
  <c r="D119" i="167"/>
  <c r="E119" i="167"/>
  <c r="L119" i="167" s="1"/>
  <c r="G119" i="167"/>
  <c r="H119" i="167"/>
  <c r="I119" i="167"/>
  <c r="J119" i="167"/>
  <c r="K119" i="167"/>
  <c r="AN119" i="167" s="1"/>
  <c r="M119" i="167"/>
  <c r="N119" i="167"/>
  <c r="O119" i="167"/>
  <c r="P119" i="167"/>
  <c r="Q119" i="167" a="1"/>
  <c r="Q119" i="167" s="1"/>
  <c r="R119" i="167"/>
  <c r="U119" i="167"/>
  <c r="W119" i="167"/>
  <c r="X119" i="167" s="1"/>
  <c r="Z119" i="167"/>
  <c r="AD119" i="167" s="1"/>
  <c r="AF119" i="167"/>
  <c r="AH119" i="167"/>
  <c r="AO119" i="167"/>
  <c r="AP119" i="167"/>
  <c r="AQ119" i="167"/>
  <c r="AR119" i="167"/>
  <c r="B120" i="167"/>
  <c r="C120" i="167"/>
  <c r="D120" i="167"/>
  <c r="E120" i="167"/>
  <c r="L120" i="167" s="1"/>
  <c r="G120" i="167"/>
  <c r="H120" i="167"/>
  <c r="I120" i="167"/>
  <c r="J120" i="167"/>
  <c r="K120" i="167"/>
  <c r="AN120" i="167" s="1"/>
  <c r="M120" i="167"/>
  <c r="N120" i="167"/>
  <c r="O120" i="167"/>
  <c r="P120" i="167"/>
  <c r="Q120" i="167" a="1"/>
  <c r="Q120" i="167" s="1"/>
  <c r="R120" i="167"/>
  <c r="U120" i="167"/>
  <c r="W120" i="167"/>
  <c r="X120" i="167" s="1"/>
  <c r="Z120" i="167"/>
  <c r="AA120" i="167" s="1"/>
  <c r="AF120" i="167"/>
  <c r="AH120" i="167"/>
  <c r="AO120" i="167"/>
  <c r="AP120" i="167"/>
  <c r="AQ120" i="167"/>
  <c r="AR120" i="167"/>
  <c r="B121" i="167"/>
  <c r="C121" i="167"/>
  <c r="D121" i="167"/>
  <c r="E121" i="167"/>
  <c r="L121" i="167" s="1"/>
  <c r="G121" i="167"/>
  <c r="H121" i="167"/>
  <c r="I121" i="167"/>
  <c r="J121" i="167"/>
  <c r="K121" i="167"/>
  <c r="AN121" i="167" s="1"/>
  <c r="M121" i="167"/>
  <c r="N121" i="167"/>
  <c r="O121" i="167"/>
  <c r="P121" i="167"/>
  <c r="Q121" i="167" a="1"/>
  <c r="Q121" i="167" s="1"/>
  <c r="R121" i="167"/>
  <c r="U121" i="167"/>
  <c r="W121" i="167"/>
  <c r="X121" i="167" s="1"/>
  <c r="Z121" i="167"/>
  <c r="AF121" i="167"/>
  <c r="AH121" i="167"/>
  <c r="AO121" i="167"/>
  <c r="AP121" i="167"/>
  <c r="AQ121" i="167"/>
  <c r="AR121" i="167"/>
  <c r="B122" i="167"/>
  <c r="C122" i="167"/>
  <c r="D122" i="167"/>
  <c r="E122" i="167"/>
  <c r="L122" i="167" s="1"/>
  <c r="G122" i="167"/>
  <c r="H122" i="167"/>
  <c r="I122" i="167"/>
  <c r="J122" i="167"/>
  <c r="K122" i="167"/>
  <c r="AN122" i="167" s="1"/>
  <c r="M122" i="167"/>
  <c r="N122" i="167"/>
  <c r="O122" i="167"/>
  <c r="P122" i="167"/>
  <c r="Q122" i="167" a="1"/>
  <c r="Q122" i="167" s="1"/>
  <c r="R122" i="167"/>
  <c r="U122" i="167"/>
  <c r="W122" i="167"/>
  <c r="X122" i="167" s="1"/>
  <c r="Z122" i="167"/>
  <c r="AD122" i="167" s="1"/>
  <c r="AF122" i="167"/>
  <c r="AH122" i="167"/>
  <c r="AO122" i="167"/>
  <c r="AP122" i="167"/>
  <c r="AQ122" i="167"/>
  <c r="AR122" i="167"/>
  <c r="B123" i="167"/>
  <c r="C123" i="167"/>
  <c r="D123" i="167"/>
  <c r="E123" i="167"/>
  <c r="L123" i="167" s="1"/>
  <c r="G123" i="167"/>
  <c r="H123" i="167"/>
  <c r="I123" i="167"/>
  <c r="J123" i="167"/>
  <c r="K123" i="167"/>
  <c r="AN123" i="167" s="1"/>
  <c r="M123" i="167"/>
  <c r="N123" i="167"/>
  <c r="O123" i="167"/>
  <c r="P123" i="167"/>
  <c r="Q123" i="167" a="1"/>
  <c r="Q123" i="167" s="1"/>
  <c r="R123" i="167"/>
  <c r="U123" i="167"/>
  <c r="W123" i="167"/>
  <c r="X123" i="167" s="1"/>
  <c r="Z123" i="167"/>
  <c r="AA123" i="167" s="1"/>
  <c r="AF123" i="167"/>
  <c r="AH123" i="167"/>
  <c r="AO123" i="167"/>
  <c r="AP123" i="167"/>
  <c r="AQ123" i="167"/>
  <c r="AR123" i="167"/>
  <c r="B124" i="167"/>
  <c r="C124" i="167"/>
  <c r="D124" i="167"/>
  <c r="E124" i="167"/>
  <c r="L124" i="167" s="1"/>
  <c r="G124" i="167"/>
  <c r="H124" i="167"/>
  <c r="I124" i="167"/>
  <c r="J124" i="167"/>
  <c r="K124" i="167"/>
  <c r="AN124" i="167" s="1"/>
  <c r="M124" i="167"/>
  <c r="N124" i="167"/>
  <c r="O124" i="167"/>
  <c r="P124" i="167"/>
  <c r="Q124" i="167" a="1"/>
  <c r="Q124" i="167" s="1"/>
  <c r="R124" i="167"/>
  <c r="U124" i="167"/>
  <c r="W124" i="167"/>
  <c r="X124" i="167" s="1"/>
  <c r="Z124" i="167"/>
  <c r="AA124" i="167" s="1"/>
  <c r="AF124" i="167"/>
  <c r="AH124" i="167"/>
  <c r="AO124" i="167"/>
  <c r="AP124" i="167"/>
  <c r="AQ124" i="167"/>
  <c r="AR124" i="167"/>
  <c r="B125" i="167"/>
  <c r="C125" i="167"/>
  <c r="D125" i="167"/>
  <c r="E125" i="167"/>
  <c r="L125" i="167" s="1"/>
  <c r="G125" i="167"/>
  <c r="H125" i="167"/>
  <c r="I125" i="167"/>
  <c r="J125" i="167"/>
  <c r="K125" i="167"/>
  <c r="AN125" i="167" s="1"/>
  <c r="M125" i="167"/>
  <c r="N125" i="167"/>
  <c r="O125" i="167"/>
  <c r="P125" i="167"/>
  <c r="Q125" i="167" a="1"/>
  <c r="Q125" i="167" s="1"/>
  <c r="R125" i="167"/>
  <c r="U125" i="167"/>
  <c r="W125" i="167"/>
  <c r="X125" i="167" s="1"/>
  <c r="Z125" i="167"/>
  <c r="AF125" i="167"/>
  <c r="AH125" i="167"/>
  <c r="AO125" i="167"/>
  <c r="AP125" i="167"/>
  <c r="AQ125" i="167"/>
  <c r="AR125" i="167"/>
  <c r="B126" i="167"/>
  <c r="C126" i="167"/>
  <c r="D126" i="167"/>
  <c r="E126" i="167"/>
  <c r="L126" i="167" s="1"/>
  <c r="F126" i="167"/>
  <c r="G126" i="167"/>
  <c r="H126" i="167"/>
  <c r="I126" i="167"/>
  <c r="J126" i="167"/>
  <c r="K126" i="167"/>
  <c r="AN126" i="167" s="1"/>
  <c r="M126" i="167"/>
  <c r="N126" i="167"/>
  <c r="O126" i="167"/>
  <c r="P126" i="167"/>
  <c r="Q126" i="167" a="1"/>
  <c r="Q126" i="167" s="1"/>
  <c r="R126" i="167"/>
  <c r="U126" i="167"/>
  <c r="V126" i="167"/>
  <c r="W126" i="167"/>
  <c r="X126" i="167" s="1"/>
  <c r="Z126" i="167"/>
  <c r="AF126" i="167"/>
  <c r="AH126" i="167"/>
  <c r="AO126" i="167"/>
  <c r="AP126" i="167"/>
  <c r="AQ126" i="167"/>
  <c r="AR126" i="167"/>
  <c r="B127" i="167"/>
  <c r="C127" i="167"/>
  <c r="D127" i="167"/>
  <c r="E127" i="167"/>
  <c r="L127" i="167" s="1"/>
  <c r="G127" i="167"/>
  <c r="H127" i="167"/>
  <c r="I127" i="167"/>
  <c r="J127" i="167"/>
  <c r="K127" i="167"/>
  <c r="AN127" i="167" s="1"/>
  <c r="M127" i="167"/>
  <c r="N127" i="167"/>
  <c r="O127" i="167"/>
  <c r="P127" i="167"/>
  <c r="Q127" i="167" a="1"/>
  <c r="Q127" i="167" s="1"/>
  <c r="R127" i="167"/>
  <c r="U127" i="167"/>
  <c r="W127" i="167"/>
  <c r="X127" i="167" s="1"/>
  <c r="Z127" i="167"/>
  <c r="AD127" i="167" s="1"/>
  <c r="AF127" i="167"/>
  <c r="AH127" i="167"/>
  <c r="AO127" i="167"/>
  <c r="AP127" i="167"/>
  <c r="AQ127" i="167"/>
  <c r="AR127" i="167"/>
  <c r="B128" i="167"/>
  <c r="C128" i="167"/>
  <c r="D128" i="167"/>
  <c r="E128" i="167"/>
  <c r="L128" i="167" s="1"/>
  <c r="G128" i="167"/>
  <c r="H128" i="167"/>
  <c r="I128" i="167"/>
  <c r="J128" i="167"/>
  <c r="K128" i="167"/>
  <c r="AN128" i="167" s="1"/>
  <c r="M128" i="167"/>
  <c r="N128" i="167"/>
  <c r="O128" i="167"/>
  <c r="P128" i="167"/>
  <c r="Q128" i="167" a="1"/>
  <c r="Q128" i="167" s="1"/>
  <c r="R128" i="167"/>
  <c r="U128" i="167"/>
  <c r="W128" i="167"/>
  <c r="X128" i="167" s="1"/>
  <c r="Z128" i="167"/>
  <c r="AD128" i="167" s="1"/>
  <c r="AF128" i="167"/>
  <c r="AH128" i="167"/>
  <c r="AO128" i="167"/>
  <c r="AP128" i="167"/>
  <c r="AQ128" i="167"/>
  <c r="AR128" i="167"/>
  <c r="B129" i="167"/>
  <c r="C129" i="167"/>
  <c r="D129" i="167"/>
  <c r="E129" i="167"/>
  <c r="L129" i="167" s="1"/>
  <c r="G129" i="167"/>
  <c r="H129" i="167"/>
  <c r="I129" i="167"/>
  <c r="J129" i="167"/>
  <c r="K129" i="167"/>
  <c r="AN129" i="167" s="1"/>
  <c r="M129" i="167"/>
  <c r="N129" i="167"/>
  <c r="O129" i="167"/>
  <c r="P129" i="167"/>
  <c r="Q129" i="167" a="1"/>
  <c r="Q129" i="167" s="1"/>
  <c r="R129" i="167"/>
  <c r="U129" i="167"/>
  <c r="W129" i="167"/>
  <c r="X129" i="167" s="1"/>
  <c r="Z129" i="167"/>
  <c r="AD129" i="167" s="1"/>
  <c r="AF129" i="167"/>
  <c r="AH129" i="167"/>
  <c r="AO129" i="167"/>
  <c r="AP129" i="167"/>
  <c r="AQ129" i="167"/>
  <c r="AR129" i="167"/>
  <c r="B130" i="167"/>
  <c r="C130" i="167"/>
  <c r="D130" i="167"/>
  <c r="E130" i="167"/>
  <c r="L130" i="167" s="1"/>
  <c r="G130" i="167"/>
  <c r="H130" i="167"/>
  <c r="I130" i="167"/>
  <c r="J130" i="167"/>
  <c r="K130" i="167"/>
  <c r="AN130" i="167" s="1"/>
  <c r="M130" i="167"/>
  <c r="N130" i="167"/>
  <c r="O130" i="167"/>
  <c r="P130" i="167"/>
  <c r="Q130" i="167" a="1"/>
  <c r="Q130" i="167" s="1"/>
  <c r="R130" i="167"/>
  <c r="U130" i="167"/>
  <c r="W130" i="167"/>
  <c r="X130" i="167" s="1"/>
  <c r="Z130" i="167"/>
  <c r="AA130" i="167" s="1"/>
  <c r="AF130" i="167"/>
  <c r="AH130" i="167"/>
  <c r="AO130" i="167"/>
  <c r="AP130" i="167"/>
  <c r="AQ130" i="167"/>
  <c r="AR130" i="167"/>
  <c r="B131" i="167"/>
  <c r="C131" i="167"/>
  <c r="D131" i="167"/>
  <c r="E131" i="167"/>
  <c r="L131" i="167" s="1"/>
  <c r="G131" i="167"/>
  <c r="H131" i="167"/>
  <c r="I131" i="167"/>
  <c r="J131" i="167"/>
  <c r="K131" i="167"/>
  <c r="AN131" i="167" s="1"/>
  <c r="M131" i="167"/>
  <c r="N131" i="167"/>
  <c r="O131" i="167"/>
  <c r="P131" i="167"/>
  <c r="Q131" i="167" a="1"/>
  <c r="Q131" i="167" s="1"/>
  <c r="R131" i="167"/>
  <c r="U131" i="167"/>
  <c r="W131" i="167"/>
  <c r="X131" i="167" s="1"/>
  <c r="Z131" i="167"/>
  <c r="AA131" i="167" s="1"/>
  <c r="AF131" i="167"/>
  <c r="AH131" i="167"/>
  <c r="AO131" i="167"/>
  <c r="AP131" i="167"/>
  <c r="AQ131" i="167"/>
  <c r="AR131" i="167"/>
  <c r="B132" i="167"/>
  <c r="C132" i="167"/>
  <c r="D132" i="167"/>
  <c r="E132" i="167"/>
  <c r="L132" i="167" s="1"/>
  <c r="G132" i="167"/>
  <c r="H132" i="167"/>
  <c r="I132" i="167"/>
  <c r="J132" i="167"/>
  <c r="K132" i="167"/>
  <c r="AN132" i="167" s="1"/>
  <c r="M132" i="167"/>
  <c r="N132" i="167"/>
  <c r="O132" i="167"/>
  <c r="P132" i="167"/>
  <c r="Q132" i="167" a="1"/>
  <c r="Q132" i="167" s="1"/>
  <c r="R132" i="167"/>
  <c r="U132" i="167"/>
  <c r="W132" i="167"/>
  <c r="X132" i="167" s="1"/>
  <c r="Z132" i="167"/>
  <c r="AF132" i="167"/>
  <c r="AH132" i="167"/>
  <c r="AO132" i="167"/>
  <c r="AP132" i="167"/>
  <c r="AQ132" i="167"/>
  <c r="AR132" i="167"/>
  <c r="B133" i="167"/>
  <c r="C133" i="167"/>
  <c r="D133" i="167"/>
  <c r="E133" i="167"/>
  <c r="L133" i="167" s="1"/>
  <c r="G133" i="167"/>
  <c r="H133" i="167"/>
  <c r="I133" i="167"/>
  <c r="J133" i="167"/>
  <c r="K133" i="167"/>
  <c r="AN133" i="167" s="1"/>
  <c r="M133" i="167"/>
  <c r="N133" i="167"/>
  <c r="O133" i="167"/>
  <c r="P133" i="167"/>
  <c r="Q133" i="167" a="1"/>
  <c r="Q133" i="167" s="1"/>
  <c r="R133" i="167"/>
  <c r="U133" i="167"/>
  <c r="W133" i="167"/>
  <c r="X133" i="167" s="1"/>
  <c r="Z133" i="167"/>
  <c r="AD133" i="167" s="1"/>
  <c r="AF133" i="167"/>
  <c r="AH133" i="167"/>
  <c r="AO133" i="167"/>
  <c r="AP133" i="167"/>
  <c r="AQ133" i="167"/>
  <c r="AR133" i="167"/>
  <c r="B134" i="167"/>
  <c r="C134" i="167"/>
  <c r="D134" i="167"/>
  <c r="E134" i="167"/>
  <c r="L134" i="167" s="1"/>
  <c r="G134" i="167"/>
  <c r="H134" i="167"/>
  <c r="I134" i="167"/>
  <c r="J134" i="167"/>
  <c r="K134" i="167"/>
  <c r="AN134" i="167" s="1"/>
  <c r="M134" i="167"/>
  <c r="N134" i="167"/>
  <c r="O134" i="167"/>
  <c r="P134" i="167"/>
  <c r="Q134" i="167" a="1"/>
  <c r="Q134" i="167" s="1"/>
  <c r="R134" i="167"/>
  <c r="U134" i="167"/>
  <c r="W134" i="167"/>
  <c r="X134" i="167" s="1"/>
  <c r="Z134" i="167"/>
  <c r="AA134" i="167" s="1"/>
  <c r="AF134" i="167"/>
  <c r="AH134" i="167"/>
  <c r="AO134" i="167"/>
  <c r="AP134" i="167"/>
  <c r="AQ134" i="167"/>
  <c r="AR134" i="167"/>
  <c r="B135" i="167"/>
  <c r="C135" i="167"/>
  <c r="D135" i="167"/>
  <c r="E135" i="167"/>
  <c r="L135" i="167" s="1"/>
  <c r="G135" i="167"/>
  <c r="H135" i="167"/>
  <c r="I135" i="167"/>
  <c r="J135" i="167"/>
  <c r="K135" i="167"/>
  <c r="AN135" i="167" s="1"/>
  <c r="M135" i="167"/>
  <c r="N135" i="167"/>
  <c r="O135" i="167"/>
  <c r="P135" i="167"/>
  <c r="Q135" i="167" a="1"/>
  <c r="Q135" i="167" s="1"/>
  <c r="R135" i="167"/>
  <c r="U135" i="167"/>
  <c r="W135" i="167"/>
  <c r="X135" i="167" s="1"/>
  <c r="Z135" i="167"/>
  <c r="AA135" i="167" s="1"/>
  <c r="AF135" i="167"/>
  <c r="AH135" i="167"/>
  <c r="AO135" i="167"/>
  <c r="AP135" i="167"/>
  <c r="AQ135" i="167"/>
  <c r="AR135" i="167"/>
  <c r="B136" i="167"/>
  <c r="C136" i="167"/>
  <c r="D136" i="167"/>
  <c r="E136" i="167"/>
  <c r="L136" i="167" s="1"/>
  <c r="G136" i="167"/>
  <c r="H136" i="167"/>
  <c r="I136" i="167"/>
  <c r="J136" i="167"/>
  <c r="K136" i="167"/>
  <c r="AN136" i="167" s="1"/>
  <c r="M136" i="167"/>
  <c r="N136" i="167"/>
  <c r="O136" i="167"/>
  <c r="P136" i="167"/>
  <c r="Q136" i="167" a="1"/>
  <c r="Q136" i="167" s="1"/>
  <c r="R136" i="167"/>
  <c r="U136" i="167"/>
  <c r="W136" i="167"/>
  <c r="X136" i="167" s="1"/>
  <c r="Z136" i="167"/>
  <c r="AD136" i="167" s="1"/>
  <c r="AF136" i="167"/>
  <c r="AH136" i="167"/>
  <c r="AO136" i="167"/>
  <c r="AP136" i="167"/>
  <c r="AQ136" i="167"/>
  <c r="AR136" i="167"/>
  <c r="B137" i="167"/>
  <c r="C137" i="167"/>
  <c r="D137" i="167"/>
  <c r="E137" i="167"/>
  <c r="L137" i="167" s="1"/>
  <c r="G137" i="167"/>
  <c r="H137" i="167"/>
  <c r="I137" i="167"/>
  <c r="J137" i="167"/>
  <c r="K137" i="167"/>
  <c r="AN137" i="167" s="1"/>
  <c r="M137" i="167"/>
  <c r="N137" i="167"/>
  <c r="O137" i="167"/>
  <c r="P137" i="167"/>
  <c r="Q137" i="167" a="1"/>
  <c r="Q137" i="167" s="1"/>
  <c r="R137" i="167"/>
  <c r="U137" i="167"/>
  <c r="W137" i="167"/>
  <c r="X137" i="167" s="1"/>
  <c r="Z137" i="167"/>
  <c r="AA137" i="167" s="1"/>
  <c r="AF137" i="167"/>
  <c r="AH137" i="167"/>
  <c r="AO137" i="167"/>
  <c r="AP137" i="167"/>
  <c r="AQ137" i="167"/>
  <c r="AR137" i="167"/>
  <c r="B138" i="167"/>
  <c r="C138" i="167"/>
  <c r="D138" i="167"/>
  <c r="E138" i="167"/>
  <c r="L138" i="167" s="1"/>
  <c r="G138" i="167"/>
  <c r="H138" i="167"/>
  <c r="I138" i="167"/>
  <c r="J138" i="167"/>
  <c r="K138" i="167"/>
  <c r="AN138" i="167" s="1"/>
  <c r="M138" i="167"/>
  <c r="N138" i="167"/>
  <c r="O138" i="167"/>
  <c r="P138" i="167"/>
  <c r="Q138" i="167" a="1"/>
  <c r="Q138" i="167" s="1"/>
  <c r="R138" i="167"/>
  <c r="U138" i="167"/>
  <c r="W138" i="167"/>
  <c r="X138" i="167" s="1"/>
  <c r="Z138" i="167"/>
  <c r="AA138" i="167" s="1"/>
  <c r="AF138" i="167"/>
  <c r="AH138" i="167"/>
  <c r="AO138" i="167"/>
  <c r="AP138" i="167"/>
  <c r="AQ138" i="167"/>
  <c r="AR138" i="167"/>
  <c r="B139" i="167"/>
  <c r="C139" i="167"/>
  <c r="D139" i="167"/>
  <c r="E139" i="167"/>
  <c r="L139" i="167" s="1"/>
  <c r="G139" i="167"/>
  <c r="H139" i="167"/>
  <c r="I139" i="167"/>
  <c r="J139" i="167"/>
  <c r="K139" i="167"/>
  <c r="AN139" i="167" s="1"/>
  <c r="M139" i="167"/>
  <c r="N139" i="167"/>
  <c r="O139" i="167"/>
  <c r="P139" i="167"/>
  <c r="Q139" i="167" a="1"/>
  <c r="Q139" i="167" s="1"/>
  <c r="R139" i="167"/>
  <c r="U139" i="167"/>
  <c r="W139" i="167"/>
  <c r="X139" i="167" s="1"/>
  <c r="Z139" i="167"/>
  <c r="AA139" i="167" s="1"/>
  <c r="AF139" i="167"/>
  <c r="AH139" i="167"/>
  <c r="AO139" i="167"/>
  <c r="AP139" i="167"/>
  <c r="AQ139" i="167"/>
  <c r="AR139" i="167"/>
  <c r="B140" i="167"/>
  <c r="C140" i="167"/>
  <c r="D140" i="167"/>
  <c r="E140" i="167"/>
  <c r="L140" i="167" s="1"/>
  <c r="G140" i="167"/>
  <c r="H140" i="167"/>
  <c r="I140" i="167"/>
  <c r="J140" i="167"/>
  <c r="K140" i="167"/>
  <c r="AN140" i="167" s="1"/>
  <c r="M140" i="167"/>
  <c r="N140" i="167"/>
  <c r="O140" i="167"/>
  <c r="P140" i="167"/>
  <c r="Q140" i="167" a="1"/>
  <c r="Q140" i="167" s="1"/>
  <c r="R140" i="167"/>
  <c r="U140" i="167"/>
  <c r="W140" i="167"/>
  <c r="X140" i="167" s="1"/>
  <c r="Z140" i="167"/>
  <c r="AD140" i="167" s="1"/>
  <c r="AF140" i="167"/>
  <c r="AH140" i="167"/>
  <c r="AO140" i="167"/>
  <c r="AP140" i="167"/>
  <c r="AQ140" i="167"/>
  <c r="AR140" i="167"/>
  <c r="B141" i="167"/>
  <c r="C141" i="167"/>
  <c r="D141" i="167"/>
  <c r="E141" i="167"/>
  <c r="L141" i="167" s="1"/>
  <c r="G141" i="167"/>
  <c r="H141" i="167"/>
  <c r="I141" i="167"/>
  <c r="J141" i="167"/>
  <c r="K141" i="167"/>
  <c r="AN141" i="167" s="1"/>
  <c r="M141" i="167"/>
  <c r="N141" i="167"/>
  <c r="O141" i="167"/>
  <c r="P141" i="167"/>
  <c r="Q141" i="167" a="1"/>
  <c r="Q141" i="167" s="1"/>
  <c r="R141" i="167"/>
  <c r="U141" i="167"/>
  <c r="W141" i="167"/>
  <c r="X141" i="167" s="1"/>
  <c r="Z141" i="167"/>
  <c r="AF141" i="167"/>
  <c r="AH141" i="167"/>
  <c r="AO141" i="167"/>
  <c r="AP141" i="167"/>
  <c r="AQ141" i="167"/>
  <c r="AR141" i="167"/>
  <c r="B142" i="167"/>
  <c r="C142" i="167"/>
  <c r="D142" i="167"/>
  <c r="E142" i="167"/>
  <c r="L142" i="167" s="1"/>
  <c r="G142" i="167"/>
  <c r="H142" i="167"/>
  <c r="I142" i="167"/>
  <c r="J142" i="167"/>
  <c r="K142" i="167"/>
  <c r="AN142" i="167" s="1"/>
  <c r="M142" i="167"/>
  <c r="N142" i="167"/>
  <c r="O142" i="167"/>
  <c r="P142" i="167"/>
  <c r="Q142" i="167" a="1"/>
  <c r="Q142" i="167" s="1"/>
  <c r="R142" i="167"/>
  <c r="U142" i="167"/>
  <c r="W142" i="167"/>
  <c r="X142" i="167" s="1"/>
  <c r="Z142" i="167"/>
  <c r="AA142" i="167" s="1"/>
  <c r="AF142" i="167"/>
  <c r="AH142" i="167"/>
  <c r="AO142" i="167"/>
  <c r="AP142" i="167"/>
  <c r="AQ142" i="167"/>
  <c r="AR142" i="167"/>
  <c r="B143" i="167"/>
  <c r="C143" i="167"/>
  <c r="D143" i="167"/>
  <c r="E143" i="167"/>
  <c r="L143" i="167" s="1"/>
  <c r="G143" i="167"/>
  <c r="H143" i="167"/>
  <c r="I143" i="167"/>
  <c r="J143" i="167"/>
  <c r="K143" i="167"/>
  <c r="AN143" i="167" s="1"/>
  <c r="M143" i="167"/>
  <c r="N143" i="167"/>
  <c r="O143" i="167"/>
  <c r="P143" i="167"/>
  <c r="Q143" i="167" a="1"/>
  <c r="Q143" i="167" s="1"/>
  <c r="R143" i="167"/>
  <c r="U143" i="167"/>
  <c r="W143" i="167"/>
  <c r="X143" i="167" s="1"/>
  <c r="Z143" i="167"/>
  <c r="AD143" i="167" s="1"/>
  <c r="AF143" i="167"/>
  <c r="AH143" i="167"/>
  <c r="AO143" i="167"/>
  <c r="AP143" i="167"/>
  <c r="AQ143" i="167"/>
  <c r="AR143" i="167"/>
  <c r="B144" i="167"/>
  <c r="C144" i="167"/>
  <c r="D144" i="167"/>
  <c r="E144" i="167"/>
  <c r="L144" i="167" s="1"/>
  <c r="G144" i="167"/>
  <c r="H144" i="167"/>
  <c r="I144" i="167"/>
  <c r="J144" i="167"/>
  <c r="K144" i="167"/>
  <c r="AN144" i="167" s="1"/>
  <c r="M144" i="167"/>
  <c r="N144" i="167"/>
  <c r="O144" i="167"/>
  <c r="P144" i="167"/>
  <c r="Q144" i="167" a="1"/>
  <c r="Q144" i="167" s="1"/>
  <c r="R144" i="167"/>
  <c r="U144" i="167"/>
  <c r="W144" i="167"/>
  <c r="X144" i="167" s="1"/>
  <c r="Z144" i="167"/>
  <c r="AD144" i="167" s="1"/>
  <c r="AF144" i="167"/>
  <c r="AH144" i="167"/>
  <c r="AO144" i="167"/>
  <c r="AP144" i="167"/>
  <c r="AQ144" i="167"/>
  <c r="AR144" i="167"/>
  <c r="B145" i="167"/>
  <c r="C145" i="167"/>
  <c r="D145" i="167"/>
  <c r="E145" i="167"/>
  <c r="L145" i="167" s="1"/>
  <c r="G145" i="167"/>
  <c r="H145" i="167"/>
  <c r="I145" i="167"/>
  <c r="J145" i="167"/>
  <c r="K145" i="167"/>
  <c r="AN145" i="167" s="1"/>
  <c r="M145" i="167"/>
  <c r="N145" i="167"/>
  <c r="O145" i="167"/>
  <c r="P145" i="167"/>
  <c r="Q145" i="167" a="1"/>
  <c r="Q145" i="167" s="1"/>
  <c r="R145" i="167"/>
  <c r="U145" i="167"/>
  <c r="W145" i="167"/>
  <c r="X145" i="167" s="1"/>
  <c r="Z145" i="167"/>
  <c r="AF145" i="167"/>
  <c r="AH145" i="167"/>
  <c r="AO145" i="167"/>
  <c r="AP145" i="167"/>
  <c r="AQ145" i="167"/>
  <c r="AR145" i="167"/>
  <c r="B146" i="167"/>
  <c r="C146" i="167"/>
  <c r="D146" i="167"/>
  <c r="E146" i="167"/>
  <c r="L146" i="167" s="1"/>
  <c r="G146" i="167"/>
  <c r="H146" i="167"/>
  <c r="I146" i="167"/>
  <c r="J146" i="167"/>
  <c r="K146" i="167"/>
  <c r="AN146" i="167" s="1"/>
  <c r="M146" i="167"/>
  <c r="N146" i="167"/>
  <c r="O146" i="167"/>
  <c r="P146" i="167"/>
  <c r="Q146" i="167" a="1"/>
  <c r="Q146" i="167" s="1"/>
  <c r="R146" i="167"/>
  <c r="U146" i="167"/>
  <c r="W146" i="167"/>
  <c r="X146" i="167" s="1"/>
  <c r="Z146" i="167"/>
  <c r="AD146" i="167" s="1"/>
  <c r="AF146" i="167"/>
  <c r="AH146" i="167"/>
  <c r="AO146" i="167"/>
  <c r="AP146" i="167"/>
  <c r="AQ146" i="167"/>
  <c r="AR146" i="167"/>
  <c r="B147" i="167"/>
  <c r="C147" i="167"/>
  <c r="D147" i="167"/>
  <c r="E147" i="167"/>
  <c r="L147" i="167" s="1"/>
  <c r="G147" i="167"/>
  <c r="H147" i="167"/>
  <c r="I147" i="167"/>
  <c r="J147" i="167"/>
  <c r="K147" i="167"/>
  <c r="AN147" i="167" s="1"/>
  <c r="M147" i="167"/>
  <c r="N147" i="167"/>
  <c r="O147" i="167"/>
  <c r="P147" i="167"/>
  <c r="Q147" i="167" a="1"/>
  <c r="Q147" i="167" s="1"/>
  <c r="R147" i="167"/>
  <c r="U147" i="167"/>
  <c r="W147" i="167"/>
  <c r="X147" i="167" s="1"/>
  <c r="Z147" i="167"/>
  <c r="AD147" i="167" s="1"/>
  <c r="AF147" i="167"/>
  <c r="AH147" i="167"/>
  <c r="AO147" i="167"/>
  <c r="AP147" i="167"/>
  <c r="AQ147" i="167"/>
  <c r="AR147" i="167"/>
  <c r="B148" i="167"/>
  <c r="C148" i="167"/>
  <c r="D148" i="167"/>
  <c r="E148" i="167"/>
  <c r="L148" i="167" s="1"/>
  <c r="G148" i="167"/>
  <c r="H148" i="167"/>
  <c r="I148" i="167"/>
  <c r="J148" i="167"/>
  <c r="K148" i="167"/>
  <c r="AN148" i="167" s="1"/>
  <c r="M148" i="167"/>
  <c r="N148" i="167"/>
  <c r="O148" i="167"/>
  <c r="P148" i="167"/>
  <c r="Q148" i="167" a="1"/>
  <c r="Q148" i="167" s="1"/>
  <c r="R148" i="167"/>
  <c r="U148" i="167"/>
  <c r="W148" i="167"/>
  <c r="X148" i="167" s="1"/>
  <c r="Z148" i="167"/>
  <c r="AA148" i="167" s="1"/>
  <c r="AF148" i="167"/>
  <c r="AH148" i="167"/>
  <c r="AO148" i="167"/>
  <c r="AP148" i="167"/>
  <c r="AQ148" i="167"/>
  <c r="AR148" i="167"/>
  <c r="B149" i="167"/>
  <c r="C149" i="167"/>
  <c r="D149" i="167"/>
  <c r="E149" i="167"/>
  <c r="L149" i="167" s="1"/>
  <c r="G149" i="167"/>
  <c r="H149" i="167"/>
  <c r="I149" i="167"/>
  <c r="J149" i="167"/>
  <c r="K149" i="167"/>
  <c r="AN149" i="167" s="1"/>
  <c r="M149" i="167"/>
  <c r="N149" i="167"/>
  <c r="O149" i="167"/>
  <c r="P149" i="167"/>
  <c r="Q149" i="167" a="1"/>
  <c r="Q149" i="167" s="1"/>
  <c r="R149" i="167"/>
  <c r="U149" i="167"/>
  <c r="W149" i="167"/>
  <c r="X149" i="167" s="1"/>
  <c r="Z149" i="167"/>
  <c r="AF149" i="167"/>
  <c r="AH149" i="167"/>
  <c r="AO149" i="167"/>
  <c r="AP149" i="167"/>
  <c r="AQ149" i="167"/>
  <c r="AR149" i="167"/>
  <c r="B150" i="167"/>
  <c r="C150" i="167"/>
  <c r="D150" i="167"/>
  <c r="E150" i="167"/>
  <c r="L150" i="167" s="1"/>
  <c r="G150" i="167"/>
  <c r="H150" i="167"/>
  <c r="I150" i="167"/>
  <c r="J150" i="167"/>
  <c r="K150" i="167"/>
  <c r="AN150" i="167" s="1"/>
  <c r="M150" i="167"/>
  <c r="N150" i="167"/>
  <c r="O150" i="167"/>
  <c r="P150" i="167"/>
  <c r="Q150" i="167" a="1"/>
  <c r="Q150" i="167" s="1"/>
  <c r="R150" i="167"/>
  <c r="U150" i="167"/>
  <c r="W150" i="167"/>
  <c r="X150" i="167" s="1"/>
  <c r="Z150" i="167"/>
  <c r="AA150" i="167" s="1"/>
  <c r="AF150" i="167"/>
  <c r="AH150" i="167"/>
  <c r="AO150" i="167"/>
  <c r="AP150" i="167"/>
  <c r="AQ150" i="167"/>
  <c r="AR150" i="167"/>
  <c r="B151" i="167"/>
  <c r="C151" i="167"/>
  <c r="D151" i="167"/>
  <c r="E151" i="167"/>
  <c r="L151" i="167" s="1"/>
  <c r="G151" i="167"/>
  <c r="H151" i="167"/>
  <c r="I151" i="167"/>
  <c r="J151" i="167"/>
  <c r="K151" i="167"/>
  <c r="AN151" i="167" s="1"/>
  <c r="M151" i="167"/>
  <c r="N151" i="167"/>
  <c r="O151" i="167"/>
  <c r="P151" i="167"/>
  <c r="Q151" i="167" a="1"/>
  <c r="Q151" i="167" s="1"/>
  <c r="R151" i="167"/>
  <c r="U151" i="167"/>
  <c r="W151" i="167"/>
  <c r="X151" i="167" s="1"/>
  <c r="Z151" i="167"/>
  <c r="AD151" i="167" s="1"/>
  <c r="AF151" i="167"/>
  <c r="AH151" i="167"/>
  <c r="AO151" i="167"/>
  <c r="AP151" i="167"/>
  <c r="AQ151" i="167"/>
  <c r="AR151" i="167"/>
  <c r="B152" i="167"/>
  <c r="C152" i="167"/>
  <c r="D152" i="167"/>
  <c r="E152" i="167"/>
  <c r="L152" i="167" s="1"/>
  <c r="G152" i="167"/>
  <c r="H152" i="167"/>
  <c r="I152" i="167"/>
  <c r="J152" i="167"/>
  <c r="K152" i="167"/>
  <c r="AN152" i="167" s="1"/>
  <c r="M152" i="167"/>
  <c r="N152" i="167"/>
  <c r="O152" i="167"/>
  <c r="P152" i="167"/>
  <c r="Q152" i="167" a="1"/>
  <c r="Q152" i="167" s="1"/>
  <c r="R152" i="167"/>
  <c r="U152" i="167"/>
  <c r="W152" i="167"/>
  <c r="X152" i="167" s="1"/>
  <c r="Z152" i="167"/>
  <c r="AF152" i="167"/>
  <c r="AH152" i="167"/>
  <c r="AO152" i="167"/>
  <c r="AP152" i="167"/>
  <c r="AQ152" i="167"/>
  <c r="AR152" i="167"/>
  <c r="B153" i="167"/>
  <c r="C153" i="167"/>
  <c r="D153" i="167"/>
  <c r="E153" i="167"/>
  <c r="L153" i="167" s="1"/>
  <c r="G153" i="167"/>
  <c r="H153" i="167"/>
  <c r="I153" i="167"/>
  <c r="J153" i="167"/>
  <c r="K153" i="167"/>
  <c r="AN153" i="167" s="1"/>
  <c r="M153" i="167"/>
  <c r="N153" i="167"/>
  <c r="O153" i="167"/>
  <c r="P153" i="167"/>
  <c r="Q153" i="167" a="1"/>
  <c r="Q153" i="167" s="1"/>
  <c r="R153" i="167"/>
  <c r="U153" i="167"/>
  <c r="W153" i="167"/>
  <c r="X153" i="167" s="1"/>
  <c r="Z153" i="167"/>
  <c r="AA153" i="167" s="1"/>
  <c r="AF153" i="167"/>
  <c r="AH153" i="167"/>
  <c r="AO153" i="167"/>
  <c r="AP153" i="167"/>
  <c r="AQ153" i="167"/>
  <c r="AR153" i="167"/>
  <c r="B154" i="167"/>
  <c r="C154" i="167"/>
  <c r="D154" i="167"/>
  <c r="E154" i="167"/>
  <c r="L154" i="167" s="1"/>
  <c r="G154" i="167"/>
  <c r="H154" i="167"/>
  <c r="I154" i="167"/>
  <c r="J154" i="167"/>
  <c r="K154" i="167"/>
  <c r="AN154" i="167" s="1"/>
  <c r="M154" i="167"/>
  <c r="N154" i="167"/>
  <c r="O154" i="167"/>
  <c r="P154" i="167"/>
  <c r="Q154" i="167" a="1"/>
  <c r="Q154" i="167" s="1"/>
  <c r="R154" i="167"/>
  <c r="U154" i="167"/>
  <c r="W154" i="167"/>
  <c r="X154" i="167" s="1"/>
  <c r="Z154" i="167"/>
  <c r="AF154" i="167"/>
  <c r="AH154" i="167"/>
  <c r="AO154" i="167"/>
  <c r="AP154" i="167"/>
  <c r="AQ154" i="167"/>
  <c r="AR154" i="167"/>
  <c r="B155" i="167"/>
  <c r="C155" i="167"/>
  <c r="D155" i="167"/>
  <c r="E155" i="167"/>
  <c r="L155" i="167" s="1"/>
  <c r="G155" i="167"/>
  <c r="H155" i="167"/>
  <c r="I155" i="167"/>
  <c r="J155" i="167"/>
  <c r="K155" i="167"/>
  <c r="AN155" i="167" s="1"/>
  <c r="M155" i="167"/>
  <c r="N155" i="167"/>
  <c r="O155" i="167"/>
  <c r="P155" i="167"/>
  <c r="Q155" i="167" a="1"/>
  <c r="Q155" i="167" s="1"/>
  <c r="R155" i="167"/>
  <c r="U155" i="167"/>
  <c r="W155" i="167"/>
  <c r="X155" i="167" s="1"/>
  <c r="Z155" i="167"/>
  <c r="AF155" i="167"/>
  <c r="AH155" i="167"/>
  <c r="AO155" i="167"/>
  <c r="AP155" i="167"/>
  <c r="AQ155" i="167"/>
  <c r="AR155" i="167"/>
  <c r="B156" i="167"/>
  <c r="C156" i="167"/>
  <c r="D156" i="167"/>
  <c r="E156" i="167"/>
  <c r="L156" i="167" s="1"/>
  <c r="G156" i="167"/>
  <c r="H156" i="167"/>
  <c r="I156" i="167"/>
  <c r="J156" i="167"/>
  <c r="K156" i="167"/>
  <c r="AN156" i="167" s="1"/>
  <c r="M156" i="167"/>
  <c r="N156" i="167"/>
  <c r="O156" i="167"/>
  <c r="P156" i="167"/>
  <c r="Q156" i="167" a="1"/>
  <c r="Q156" i="167" s="1"/>
  <c r="R156" i="167"/>
  <c r="U156" i="167"/>
  <c r="W156" i="167"/>
  <c r="X156" i="167" s="1"/>
  <c r="Z156" i="167"/>
  <c r="AD156" i="167" s="1"/>
  <c r="AF156" i="167"/>
  <c r="AH156" i="167"/>
  <c r="AO156" i="167"/>
  <c r="AP156" i="167"/>
  <c r="AQ156" i="167"/>
  <c r="AR156" i="167"/>
  <c r="B157" i="167"/>
  <c r="C157" i="167"/>
  <c r="D157" i="167"/>
  <c r="E157" i="167"/>
  <c r="L157" i="167" s="1"/>
  <c r="G157" i="167"/>
  <c r="H157" i="167"/>
  <c r="I157" i="167"/>
  <c r="J157" i="167"/>
  <c r="K157" i="167"/>
  <c r="AN157" i="167" s="1"/>
  <c r="M157" i="167"/>
  <c r="N157" i="167"/>
  <c r="O157" i="167"/>
  <c r="P157" i="167"/>
  <c r="Q157" i="167" a="1"/>
  <c r="Q157" i="167" s="1"/>
  <c r="R157" i="167"/>
  <c r="U157" i="167"/>
  <c r="W157" i="167"/>
  <c r="X157" i="167" s="1"/>
  <c r="Z157" i="167"/>
  <c r="AF157" i="167"/>
  <c r="AH157" i="167"/>
  <c r="AO157" i="167"/>
  <c r="AP157" i="167"/>
  <c r="AQ157" i="167"/>
  <c r="AR157" i="167"/>
  <c r="B158" i="167"/>
  <c r="C158" i="167"/>
  <c r="D158" i="167"/>
  <c r="L158" i="167"/>
  <c r="G158" i="167"/>
  <c r="H158" i="167"/>
  <c r="I158" i="167"/>
  <c r="J158" i="167"/>
  <c r="K158" i="167"/>
  <c r="AN158" i="167" s="1"/>
  <c r="N158" i="167"/>
  <c r="O158" i="167"/>
  <c r="P158" i="167"/>
  <c r="Q158" i="167" a="1"/>
  <c r="Q158" i="167" s="1"/>
  <c r="R158" i="167"/>
  <c r="U158" i="167"/>
  <c r="W158" i="167"/>
  <c r="X158" i="167" s="1"/>
  <c r="Z158" i="167"/>
  <c r="AA158" i="167" s="1"/>
  <c r="AF158" i="167"/>
  <c r="AH158" i="167"/>
  <c r="AO158" i="167"/>
  <c r="AP158" i="167"/>
  <c r="AQ158" i="167"/>
  <c r="AR158" i="167"/>
  <c r="D159" i="167"/>
  <c r="L159" i="167"/>
  <c r="F159" i="167"/>
  <c r="G159" i="167"/>
  <c r="H159" i="167"/>
  <c r="I159" i="167"/>
  <c r="J159" i="167"/>
  <c r="K159" i="167"/>
  <c r="AN159" i="167" s="1"/>
  <c r="M159" i="167"/>
  <c r="N159" i="167"/>
  <c r="O159" i="167"/>
  <c r="P159" i="167"/>
  <c r="Q159" i="167" a="1"/>
  <c r="Q159" i="167" s="1"/>
  <c r="R159" i="167"/>
  <c r="U159" i="167"/>
  <c r="W159" i="167"/>
  <c r="X159" i="167" s="1"/>
  <c r="Z159" i="167"/>
  <c r="AA159" i="167" s="1"/>
  <c r="AF159" i="167"/>
  <c r="AH159" i="167"/>
  <c r="AO159" i="167"/>
  <c r="AP159" i="167"/>
  <c r="AQ159" i="167"/>
  <c r="AR159" i="167"/>
  <c r="B160" i="167"/>
  <c r="C160" i="167"/>
  <c r="D160" i="167"/>
  <c r="E160" i="167"/>
  <c r="L160" i="167" s="1"/>
  <c r="F160" i="167"/>
  <c r="G160" i="167"/>
  <c r="H160" i="167"/>
  <c r="I160" i="167"/>
  <c r="J160" i="167"/>
  <c r="K160" i="167"/>
  <c r="AN160" i="167" s="1"/>
  <c r="M160" i="167"/>
  <c r="N160" i="167"/>
  <c r="O160" i="167"/>
  <c r="P160" i="167"/>
  <c r="Q160" i="167" a="1"/>
  <c r="Q160" i="167" s="1"/>
  <c r="R160" i="167"/>
  <c r="U160" i="167"/>
  <c r="W160" i="167"/>
  <c r="X160" i="167" s="1"/>
  <c r="Z160" i="167"/>
  <c r="AD160" i="167" s="1"/>
  <c r="AF160" i="167"/>
  <c r="AH160" i="167"/>
  <c r="AO160" i="167"/>
  <c r="AP160" i="167"/>
  <c r="AQ160" i="167"/>
  <c r="AR160" i="167"/>
  <c r="B161" i="167"/>
  <c r="C161" i="167"/>
  <c r="D161" i="167"/>
  <c r="E161" i="167"/>
  <c r="L161" i="167" s="1"/>
  <c r="F161" i="167"/>
  <c r="G161" i="167"/>
  <c r="H161" i="167"/>
  <c r="I161" i="167"/>
  <c r="J161" i="167"/>
  <c r="K161" i="167"/>
  <c r="AN161" i="167" s="1"/>
  <c r="M161" i="167"/>
  <c r="N161" i="167"/>
  <c r="O161" i="167"/>
  <c r="P161" i="167"/>
  <c r="Q161" i="167" a="1"/>
  <c r="Q161" i="167" s="1"/>
  <c r="R161" i="167"/>
  <c r="U161" i="167"/>
  <c r="W161" i="167"/>
  <c r="X161" i="167" s="1"/>
  <c r="Z161" i="167"/>
  <c r="AA161" i="167" s="1"/>
  <c r="AF161" i="167"/>
  <c r="AH161" i="167"/>
  <c r="AO161" i="167"/>
  <c r="AP161" i="167"/>
  <c r="AQ161" i="167"/>
  <c r="AR161" i="167"/>
  <c r="B162" i="167"/>
  <c r="C162" i="167"/>
  <c r="D162" i="167"/>
  <c r="E162" i="167"/>
  <c r="L162" i="167" s="1"/>
  <c r="F162" i="167"/>
  <c r="G162" i="167"/>
  <c r="H162" i="167"/>
  <c r="I162" i="167"/>
  <c r="J162" i="167"/>
  <c r="K162" i="167"/>
  <c r="AN162" i="167" s="1"/>
  <c r="M162" i="167"/>
  <c r="N162" i="167"/>
  <c r="O162" i="167"/>
  <c r="P162" i="167"/>
  <c r="Q162" i="167" a="1"/>
  <c r="Q162" i="167" s="1"/>
  <c r="R162" i="167"/>
  <c r="U162" i="167"/>
  <c r="W162" i="167"/>
  <c r="X162" i="167" s="1"/>
  <c r="Z162" i="167"/>
  <c r="AA162" i="167" s="1"/>
  <c r="AF162" i="167"/>
  <c r="AH162" i="167"/>
  <c r="AO162" i="167"/>
  <c r="AP162" i="167"/>
  <c r="AQ162" i="167"/>
  <c r="AR162" i="167"/>
  <c r="B163" i="167"/>
  <c r="C163" i="167"/>
  <c r="D163" i="167"/>
  <c r="E163" i="167"/>
  <c r="L163" i="167" s="1"/>
  <c r="F163" i="167"/>
  <c r="G163" i="167"/>
  <c r="H163" i="167"/>
  <c r="I163" i="167"/>
  <c r="J163" i="167"/>
  <c r="K163" i="167"/>
  <c r="AN163" i="167" s="1"/>
  <c r="M163" i="167"/>
  <c r="N163" i="167"/>
  <c r="O163" i="167"/>
  <c r="P163" i="167"/>
  <c r="Q163" i="167" a="1"/>
  <c r="Q163" i="167" s="1"/>
  <c r="R163" i="167"/>
  <c r="U163" i="167"/>
  <c r="W163" i="167"/>
  <c r="X163" i="167" s="1"/>
  <c r="Z163" i="167"/>
  <c r="AA163" i="167" s="1"/>
  <c r="AF163" i="167"/>
  <c r="AH163" i="167"/>
  <c r="AO163" i="167"/>
  <c r="AP163" i="167"/>
  <c r="AQ163" i="167"/>
  <c r="AR163" i="167"/>
  <c r="B164" i="167"/>
  <c r="C164" i="167"/>
  <c r="D164" i="167"/>
  <c r="E164" i="167"/>
  <c r="L164" i="167" s="1"/>
  <c r="F164" i="167"/>
  <c r="G164" i="167"/>
  <c r="H164" i="167"/>
  <c r="I164" i="167"/>
  <c r="J164" i="167"/>
  <c r="K164" i="167"/>
  <c r="AN164" i="167" s="1"/>
  <c r="M164" i="167"/>
  <c r="N164" i="167"/>
  <c r="O164" i="167"/>
  <c r="P164" i="167"/>
  <c r="Q164" i="167" a="1"/>
  <c r="Q164" i="167" s="1"/>
  <c r="R164" i="167"/>
  <c r="U164" i="167"/>
  <c r="V164" i="167"/>
  <c r="W164" i="167"/>
  <c r="X164" i="167" s="1"/>
  <c r="Z164" i="167"/>
  <c r="AF164" i="167"/>
  <c r="AH164" i="167"/>
  <c r="AO164" i="167"/>
  <c r="AP164" i="167"/>
  <c r="AQ164" i="167"/>
  <c r="AR164" i="167"/>
  <c r="B165" i="167"/>
  <c r="C165" i="167"/>
  <c r="D165" i="167"/>
  <c r="E165" i="167"/>
  <c r="L165" i="167" s="1"/>
  <c r="F165" i="167"/>
  <c r="G165" i="167"/>
  <c r="H165" i="167"/>
  <c r="I165" i="167"/>
  <c r="J165" i="167"/>
  <c r="K165" i="167"/>
  <c r="AN165" i="167" s="1"/>
  <c r="M165" i="167"/>
  <c r="N165" i="167"/>
  <c r="O165" i="167"/>
  <c r="P165" i="167"/>
  <c r="Q165" i="167" a="1"/>
  <c r="Q165" i="167" s="1"/>
  <c r="R165" i="167"/>
  <c r="U165" i="167"/>
  <c r="V165" i="167"/>
  <c r="W165" i="167"/>
  <c r="X165" i="167" s="1"/>
  <c r="Z165" i="167"/>
  <c r="AD165" i="167" s="1"/>
  <c r="AF165" i="167"/>
  <c r="AH165" i="167"/>
  <c r="AO165" i="167"/>
  <c r="AP165" i="167"/>
  <c r="AQ165" i="167"/>
  <c r="AR165" i="167"/>
  <c r="AS5" i="167"/>
  <c r="AR5" i="167"/>
  <c r="AQ5" i="167"/>
  <c r="AP5" i="167"/>
  <c r="AO5" i="167"/>
  <c r="AH5" i="167"/>
  <c r="AF5" i="167"/>
  <c r="Z5" i="167"/>
  <c r="W5" i="167"/>
  <c r="U5" i="167"/>
  <c r="R5" i="167"/>
  <c r="Q5" i="167" a="1"/>
  <c r="Q5" i="167" s="1"/>
  <c r="P5" i="167"/>
  <c r="O5" i="167"/>
  <c r="N5" i="167"/>
  <c r="M5" i="167"/>
  <c r="K5" i="167"/>
  <c r="J5" i="167"/>
  <c r="I5" i="167"/>
  <c r="H5" i="167"/>
  <c r="G5" i="167"/>
  <c r="E5" i="167"/>
  <c r="D5" i="167"/>
  <c r="C5" i="167"/>
  <c r="B5" i="167"/>
  <c r="AM123" i="167" l="1"/>
  <c r="AM119" i="167"/>
  <c r="AM87" i="167"/>
  <c r="AM75" i="167"/>
  <c r="AM63" i="167"/>
  <c r="AM51" i="167"/>
  <c r="AM39" i="167"/>
  <c r="AM35" i="167"/>
  <c r="AM154" i="167"/>
  <c r="AM146" i="167"/>
  <c r="AM158" i="167"/>
  <c r="AM126" i="167"/>
  <c r="AM107" i="167"/>
  <c r="AM102" i="167"/>
  <c r="AM90" i="167"/>
  <c r="AM66" i="167"/>
  <c r="AM58" i="167"/>
  <c r="AM46" i="167"/>
  <c r="AM34" i="167"/>
  <c r="AM30" i="167"/>
  <c r="AM26" i="167"/>
  <c r="AM22" i="167"/>
  <c r="AM18" i="167"/>
  <c r="AM14" i="167"/>
  <c r="AM10" i="167"/>
  <c r="AM6" i="167"/>
  <c r="AM118" i="167"/>
  <c r="AM98" i="167"/>
  <c r="AM82" i="167"/>
  <c r="AM78" i="167"/>
  <c r="AM70" i="167"/>
  <c r="AM62" i="167"/>
  <c r="AM50" i="167"/>
  <c r="AM153" i="167"/>
  <c r="AM145" i="167"/>
  <c r="AM137" i="167"/>
  <c r="AM103" i="167"/>
  <c r="AM94" i="167"/>
  <c r="AM74" i="167"/>
  <c r="AM54" i="167"/>
  <c r="AM42" i="167"/>
  <c r="AM38" i="167"/>
  <c r="AM5" i="167"/>
  <c r="AM157" i="167"/>
  <c r="AM149" i="167"/>
  <c r="AM141" i="167"/>
  <c r="AM133" i="167"/>
  <c r="AM129" i="167"/>
  <c r="AM124" i="167"/>
  <c r="AM120" i="167"/>
  <c r="AM85" i="167"/>
  <c r="AM73" i="167"/>
  <c r="AM61" i="167"/>
  <c r="AM41" i="167"/>
  <c r="AM29" i="167"/>
  <c r="AM21" i="167"/>
  <c r="AM17" i="167"/>
  <c r="AM9" i="167"/>
  <c r="AM91" i="167"/>
  <c r="AM114" i="167"/>
  <c r="AM110" i="167"/>
  <c r="AM106" i="167"/>
  <c r="AM125" i="167"/>
  <c r="AM117" i="167"/>
  <c r="AM109" i="167"/>
  <c r="AM101" i="167"/>
  <c r="AM89" i="167"/>
  <c r="AM77" i="167"/>
  <c r="AM69" i="167"/>
  <c r="AM57" i="167"/>
  <c r="AM53" i="167"/>
  <c r="AM45" i="167"/>
  <c r="AM33" i="167"/>
  <c r="AM156" i="167"/>
  <c r="AM152" i="167"/>
  <c r="AM148" i="167"/>
  <c r="AM140" i="167"/>
  <c r="AM136" i="167"/>
  <c r="AM132" i="167"/>
  <c r="AM128" i="167"/>
  <c r="AM160" i="167"/>
  <c r="AM122" i="167"/>
  <c r="AM121" i="167"/>
  <c r="AM113" i="167"/>
  <c r="AM105" i="167"/>
  <c r="AM93" i="167"/>
  <c r="AM81" i="167"/>
  <c r="AM65" i="167"/>
  <c r="AM49" i="167"/>
  <c r="AM37" i="167"/>
  <c r="AM25" i="167"/>
  <c r="AM13" i="167"/>
  <c r="AM144" i="167"/>
  <c r="AM64" i="167"/>
  <c r="AM52" i="167"/>
  <c r="AM48" i="167"/>
  <c r="AM44" i="167"/>
  <c r="AM40" i="167"/>
  <c r="AM36" i="167"/>
  <c r="AM32" i="167"/>
  <c r="AM28" i="167"/>
  <c r="AM24" i="167"/>
  <c r="AM20" i="167"/>
  <c r="AM16" i="167"/>
  <c r="AM12" i="167"/>
  <c r="AM8" i="167"/>
  <c r="AM112" i="167"/>
  <c r="AM104" i="167"/>
  <c r="AM88" i="167"/>
  <c r="AM80" i="167"/>
  <c r="AM72" i="167"/>
  <c r="AM68" i="167"/>
  <c r="AM155" i="167"/>
  <c r="AM147" i="167"/>
  <c r="AM143" i="167"/>
  <c r="AM135" i="167"/>
  <c r="AM131" i="167"/>
  <c r="AM127" i="167"/>
  <c r="AM116" i="167"/>
  <c r="AM108" i="167"/>
  <c r="AM100" i="167"/>
  <c r="AM92" i="167"/>
  <c r="AM84" i="167"/>
  <c r="AM76" i="167"/>
  <c r="AM60" i="167"/>
  <c r="AM56" i="167"/>
  <c r="AM151" i="167"/>
  <c r="AM139" i="167"/>
  <c r="AM71" i="167"/>
  <c r="AM67" i="167"/>
  <c r="AM47" i="167"/>
  <c r="AM31" i="167"/>
  <c r="AM27" i="167"/>
  <c r="AM23" i="167"/>
  <c r="AM19" i="167"/>
  <c r="AM15" i="167"/>
  <c r="AM11" i="167"/>
  <c r="AM7" i="167"/>
  <c r="AM115" i="167"/>
  <c r="AM111" i="167"/>
  <c r="AM83" i="167"/>
  <c r="AM79" i="167"/>
  <c r="AM59" i="167"/>
  <c r="AM55" i="167"/>
  <c r="AM43" i="167"/>
  <c r="AM165" i="167"/>
  <c r="AM150" i="167"/>
  <c r="AM142" i="167"/>
  <c r="AM134" i="167"/>
  <c r="AM130" i="167"/>
  <c r="AE165" i="167"/>
  <c r="AE160" i="167"/>
  <c r="AE97" i="167"/>
  <c r="AE61" i="167"/>
  <c r="AE59" i="167"/>
  <c r="AE57" i="167"/>
  <c r="AE53" i="167"/>
  <c r="AE13" i="167"/>
  <c r="AE156" i="167"/>
  <c r="AE151" i="167"/>
  <c r="AE127" i="167"/>
  <c r="AE111" i="167"/>
  <c r="AE99" i="167"/>
  <c r="AE87" i="167"/>
  <c r="AE51" i="167"/>
  <c r="AE25" i="167"/>
  <c r="AE11" i="167"/>
  <c r="AE144" i="167"/>
  <c r="AE104" i="167"/>
  <c r="AE146" i="167"/>
  <c r="AE81" i="167"/>
  <c r="AE69" i="167"/>
  <c r="AE35" i="167"/>
  <c r="AE9" i="167"/>
  <c r="AE136" i="167"/>
  <c r="AE74" i="167"/>
  <c r="AE40" i="167"/>
  <c r="AE28" i="167"/>
  <c r="AE14" i="167"/>
  <c r="AE129" i="167"/>
  <c r="AE143" i="167"/>
  <c r="AE79" i="167"/>
  <c r="AE47" i="167"/>
  <c r="AE33" i="167"/>
  <c r="AE91" i="167"/>
  <c r="AE122" i="167"/>
  <c r="AE84" i="167"/>
  <c r="AE72" i="167"/>
  <c r="AE133" i="167"/>
  <c r="AE77" i="167"/>
  <c r="AE45" i="167"/>
  <c r="AE19" i="167"/>
  <c r="AE128" i="167"/>
  <c r="AE112" i="167"/>
  <c r="AE88" i="167"/>
  <c r="AE50" i="167"/>
  <c r="AE36" i="167"/>
  <c r="AE24" i="167"/>
  <c r="AE96" i="167"/>
  <c r="AE147" i="167"/>
  <c r="AE119" i="167"/>
  <c r="AE43" i="167"/>
  <c r="AE17" i="167"/>
  <c r="AE140" i="167"/>
  <c r="AE80" i="167"/>
  <c r="AE68" i="167"/>
  <c r="AE48" i="167"/>
  <c r="AE22" i="167"/>
  <c r="AE8" i="167"/>
  <c r="AD134" i="167"/>
  <c r="AD20" i="167"/>
  <c r="AA53" i="167"/>
  <c r="AD34" i="167"/>
  <c r="AD92" i="167"/>
  <c r="AD163" i="167"/>
  <c r="AA36" i="167"/>
  <c r="AA48" i="167"/>
  <c r="AA96" i="167"/>
  <c r="AA80" i="167"/>
  <c r="AD113" i="167"/>
  <c r="AA35" i="167"/>
  <c r="AD26" i="167"/>
  <c r="AD37" i="167"/>
  <c r="AD161" i="167"/>
  <c r="AA129" i="167"/>
  <c r="AD54" i="167"/>
  <c r="AD130" i="167"/>
  <c r="AD90" i="167"/>
  <c r="AA84" i="167"/>
  <c r="AA133" i="167"/>
  <c r="AA104" i="167"/>
  <c r="AA61" i="167"/>
  <c r="AA160" i="167"/>
  <c r="AA151" i="167"/>
  <c r="AA112" i="167"/>
  <c r="AA79" i="167"/>
  <c r="AA68" i="167"/>
  <c r="AA19" i="167"/>
  <c r="AD7" i="167"/>
  <c r="AD52" i="167"/>
  <c r="AA47" i="167"/>
  <c r="AD15" i="167"/>
  <c r="AD159" i="167"/>
  <c r="AD131" i="167"/>
  <c r="AA72" i="167"/>
  <c r="AD139" i="167"/>
  <c r="AD73" i="167"/>
  <c r="AD41" i="167"/>
  <c r="AD107" i="167"/>
  <c r="AA91" i="167"/>
  <c r="AD60" i="167"/>
  <c r="AA51" i="167"/>
  <c r="AA156" i="167"/>
  <c r="AD142" i="167"/>
  <c r="AD138" i="167"/>
  <c r="AD56" i="167"/>
  <c r="AD158" i="167"/>
  <c r="AD135" i="167"/>
  <c r="AA59" i="167"/>
  <c r="AD148" i="167"/>
  <c r="AA147" i="167"/>
  <c r="AA146" i="167"/>
  <c r="AD137" i="167"/>
  <c r="AA128" i="167"/>
  <c r="AD124" i="167"/>
  <c r="AD123" i="167"/>
  <c r="AD118" i="167"/>
  <c r="AD86" i="167"/>
  <c r="AD85" i="167"/>
  <c r="AD27" i="167"/>
  <c r="AA127" i="167"/>
  <c r="AD108" i="167"/>
  <c r="AD101" i="167"/>
  <c r="AD100" i="167"/>
  <c r="AD31" i="167"/>
  <c r="AD103" i="167"/>
  <c r="AA103" i="167"/>
  <c r="AD121" i="167"/>
  <c r="AA121" i="167"/>
  <c r="AD162" i="167"/>
  <c r="AD152" i="167"/>
  <c r="AA152" i="167"/>
  <c r="AD117" i="167"/>
  <c r="AA117" i="167"/>
  <c r="AA109" i="167"/>
  <c r="AD109" i="167"/>
  <c r="AA82" i="167"/>
  <c r="AD82" i="167"/>
  <c r="AD55" i="167"/>
  <c r="AA55" i="167"/>
  <c r="AA50" i="167"/>
  <c r="AA42" i="167"/>
  <c r="AD42" i="167"/>
  <c r="AD157" i="167"/>
  <c r="AA157" i="167"/>
  <c r="AA77" i="167"/>
  <c r="AA74" i="167"/>
  <c r="AA99" i="167"/>
  <c r="AD154" i="167"/>
  <c r="AA154" i="167"/>
  <c r="AA136" i="167"/>
  <c r="AD70" i="167"/>
  <c r="AA65" i="167"/>
  <c r="AD65" i="167"/>
  <c r="AD63" i="167"/>
  <c r="AA155" i="167"/>
  <c r="AD155" i="167"/>
  <c r="AA122" i="167"/>
  <c r="AD89" i="167"/>
  <c r="AA89" i="167"/>
  <c r="AA29" i="167"/>
  <c r="AD29" i="167"/>
  <c r="AD78" i="167"/>
  <c r="AA43" i="167"/>
  <c r="AA17" i="167"/>
  <c r="AA11" i="167"/>
  <c r="AA8" i="167"/>
  <c r="AD120" i="167"/>
  <c r="AA33" i="167"/>
  <c r="AD16" i="167"/>
  <c r="AD10" i="167"/>
  <c r="AA88" i="167"/>
  <c r="AA87" i="167"/>
  <c r="AD49" i="167"/>
  <c r="AD23" i="167"/>
  <c r="AD32" i="167"/>
  <c r="AA28" i="167"/>
  <c r="AA9" i="167"/>
  <c r="AD12" i="167"/>
  <c r="AA57" i="167"/>
  <c r="AA22" i="167"/>
  <c r="AD164" i="167"/>
  <c r="AA164" i="167"/>
  <c r="AA125" i="167"/>
  <c r="AD125" i="167"/>
  <c r="AA98" i="167"/>
  <c r="AD98" i="167"/>
  <c r="AA145" i="167"/>
  <c r="AD145" i="167"/>
  <c r="AA149" i="167"/>
  <c r="AD149" i="167"/>
  <c r="AA106" i="167"/>
  <c r="AD106" i="167"/>
  <c r="AA165" i="167"/>
  <c r="AD153" i="167"/>
  <c r="AD150" i="167"/>
  <c r="AA144" i="167"/>
  <c r="AA141" i="167"/>
  <c r="AD141" i="167"/>
  <c r="AA140" i="167"/>
  <c r="AA93" i="167"/>
  <c r="AD93" i="167"/>
  <c r="AD132" i="167"/>
  <c r="AA132" i="167"/>
  <c r="AA115" i="167"/>
  <c r="AD115" i="167"/>
  <c r="AA111" i="167"/>
  <c r="AD83" i="167"/>
  <c r="AA83" i="167"/>
  <c r="AD105" i="167"/>
  <c r="AA105" i="167"/>
  <c r="AA119" i="167"/>
  <c r="AD126" i="167"/>
  <c r="AA126" i="167"/>
  <c r="AA95" i="167"/>
  <c r="AD95" i="167"/>
  <c r="AD75" i="167"/>
  <c r="AA75" i="167"/>
  <c r="AA66" i="167"/>
  <c r="AD66" i="167"/>
  <c r="AA71" i="167"/>
  <c r="AD71" i="167"/>
  <c r="AD58" i="167"/>
  <c r="AA58" i="167"/>
  <c r="AD102" i="167"/>
  <c r="AA67" i="167"/>
  <c r="AD67" i="167"/>
  <c r="AD116" i="167"/>
  <c r="AA116" i="167"/>
  <c r="AD114" i="167"/>
  <c r="AD94" i="167"/>
  <c r="AA94" i="167"/>
  <c r="AD64" i="167"/>
  <c r="AA64" i="167"/>
  <c r="AA143" i="167"/>
  <c r="AA110" i="167"/>
  <c r="AD110" i="167"/>
  <c r="AA76" i="167"/>
  <c r="AD76" i="167"/>
  <c r="AA97" i="167"/>
  <c r="AA81" i="167"/>
  <c r="AA62" i="167"/>
  <c r="AD62" i="167"/>
  <c r="AA45" i="167"/>
  <c r="AA25" i="167"/>
  <c r="AA69" i="167"/>
  <c r="AA30" i="167"/>
  <c r="AD30" i="167"/>
  <c r="AD46" i="167"/>
  <c r="AA44" i="167"/>
  <c r="AD44" i="167"/>
  <c r="AA39" i="167"/>
  <c r="AD39" i="167"/>
  <c r="AA24" i="167"/>
  <c r="AD21" i="167"/>
  <c r="AA21" i="167"/>
  <c r="AA6" i="167"/>
  <c r="AD6" i="167"/>
  <c r="AA40" i="167"/>
  <c r="AD38" i="167"/>
  <c r="AD18" i="167"/>
  <c r="AA14" i="167"/>
  <c r="AA13" i="167"/>
  <c r="AE164" i="167" l="1"/>
  <c r="AE66" i="167"/>
  <c r="AE83" i="167"/>
  <c r="AE150" i="167"/>
  <c r="AE49" i="167"/>
  <c r="AE29" i="167"/>
  <c r="AE62" i="167"/>
  <c r="AE6" i="167"/>
  <c r="AE71" i="167"/>
  <c r="AE105" i="167"/>
  <c r="AE32" i="167"/>
  <c r="AE70" i="167"/>
  <c r="AE41" i="167"/>
  <c r="AE161" i="167"/>
  <c r="AE163" i="167"/>
  <c r="AE64" i="167"/>
  <c r="AE125" i="167"/>
  <c r="AE23" i="167"/>
  <c r="AE78" i="167"/>
  <c r="AE121" i="167"/>
  <c r="AE73" i="167"/>
  <c r="AE37" i="167"/>
  <c r="AE34" i="167"/>
  <c r="AE148" i="167"/>
  <c r="AE139" i="167"/>
  <c r="AE26" i="167"/>
  <c r="AE55" i="167"/>
  <c r="AE21" i="167"/>
  <c r="AE94" i="167"/>
  <c r="AE153" i="167"/>
  <c r="AE82" i="167"/>
  <c r="AE92" i="167"/>
  <c r="AE20" i="167"/>
  <c r="AE154" i="167"/>
  <c r="AE10" i="167"/>
  <c r="AE109" i="167"/>
  <c r="AE134" i="167"/>
  <c r="AE116" i="167"/>
  <c r="AE95" i="167"/>
  <c r="AE16" i="167"/>
  <c r="AE103" i="167"/>
  <c r="AE86" i="167"/>
  <c r="AE142" i="167"/>
  <c r="AE15" i="167"/>
  <c r="AE31" i="167"/>
  <c r="AE118" i="167"/>
  <c r="AE39" i="167"/>
  <c r="AE75" i="167"/>
  <c r="AE106" i="167"/>
  <c r="AE89" i="167"/>
  <c r="AE85" i="167"/>
  <c r="AE158" i="167"/>
  <c r="AE138" i="167"/>
  <c r="AE159" i="167"/>
  <c r="AE44" i="167"/>
  <c r="AE76" i="167"/>
  <c r="AE67" i="167"/>
  <c r="AE132" i="167"/>
  <c r="AE149" i="167"/>
  <c r="AE155" i="167"/>
  <c r="AE93" i="167"/>
  <c r="AE120" i="167"/>
  <c r="AE117" i="167"/>
  <c r="AE100" i="167"/>
  <c r="AE123" i="167"/>
  <c r="AE52" i="167"/>
  <c r="AE90" i="167"/>
  <c r="AE27" i="167"/>
  <c r="AE135" i="167"/>
  <c r="AE56" i="167"/>
  <c r="AE131" i="167"/>
  <c r="AE113" i="167"/>
  <c r="AE18" i="167"/>
  <c r="AE46" i="167"/>
  <c r="AE110" i="167"/>
  <c r="AE102" i="167"/>
  <c r="AE126" i="167"/>
  <c r="AE145" i="167"/>
  <c r="AE12" i="167"/>
  <c r="AE63" i="167"/>
  <c r="AE157" i="167"/>
  <c r="AE101" i="167"/>
  <c r="AE124" i="167"/>
  <c r="AE60" i="167"/>
  <c r="AE7" i="167"/>
  <c r="AE130" i="167"/>
  <c r="AE108" i="167"/>
  <c r="AE54" i="167"/>
  <c r="AE114" i="167"/>
  <c r="AE115" i="167"/>
  <c r="AE38" i="167"/>
  <c r="AE30" i="167"/>
  <c r="AE65" i="167"/>
  <c r="AE42" i="167"/>
  <c r="AE152" i="167"/>
  <c r="AE58" i="167"/>
  <c r="AE141" i="167"/>
  <c r="AE98" i="167"/>
  <c r="AE162" i="167"/>
  <c r="AE137" i="167"/>
  <c r="AE107" i="167"/>
  <c r="C466" i="180" l="1"/>
  <c r="C465" i="180"/>
  <c r="C464" i="180"/>
  <c r="C463" i="180"/>
  <c r="C462" i="180"/>
  <c r="C461" i="180"/>
  <c r="C460" i="180"/>
  <c r="C459" i="180"/>
  <c r="C458" i="180"/>
  <c r="C457" i="180"/>
  <c r="C456" i="180"/>
  <c r="C455" i="180"/>
  <c r="C454" i="180"/>
  <c r="C453" i="180"/>
  <c r="C452" i="180"/>
  <c r="C451" i="180"/>
  <c r="C450" i="180"/>
  <c r="C449" i="180"/>
  <c r="C448" i="180"/>
  <c r="C447" i="180"/>
  <c r="C446" i="180"/>
  <c r="C445" i="180"/>
  <c r="C444" i="180"/>
  <c r="C443" i="180"/>
  <c r="C442" i="180"/>
  <c r="C441" i="180"/>
  <c r="C440" i="180"/>
  <c r="C439" i="180"/>
  <c r="C438" i="180"/>
  <c r="C437" i="180"/>
  <c r="C436" i="180"/>
  <c r="C435" i="180"/>
  <c r="C434" i="180"/>
  <c r="C433" i="180"/>
  <c r="C432" i="180"/>
  <c r="C431" i="180"/>
  <c r="C430" i="180"/>
  <c r="C429" i="180"/>
  <c r="C428" i="180"/>
  <c r="C427" i="180"/>
  <c r="C426" i="180"/>
  <c r="C425" i="180"/>
  <c r="C424" i="180"/>
  <c r="C423" i="180"/>
  <c r="C422" i="180"/>
  <c r="C421" i="180"/>
  <c r="C420" i="180"/>
  <c r="C419" i="180"/>
  <c r="C418" i="180"/>
  <c r="C417" i="180"/>
  <c r="C416" i="180"/>
  <c r="C415" i="180"/>
  <c r="C414" i="180"/>
  <c r="C413" i="180"/>
  <c r="C412" i="180"/>
  <c r="C411" i="180"/>
  <c r="C410" i="180"/>
  <c r="C409" i="180"/>
  <c r="C408" i="180"/>
  <c r="C407" i="180"/>
  <c r="C406" i="180"/>
  <c r="C405" i="180"/>
  <c r="C404" i="180"/>
  <c r="C403" i="180"/>
  <c r="C402" i="180"/>
  <c r="C401" i="180"/>
  <c r="C400" i="180"/>
  <c r="C399" i="180"/>
  <c r="C398" i="180"/>
  <c r="C397" i="180"/>
  <c r="C396" i="180"/>
  <c r="C395" i="180"/>
  <c r="C394" i="180"/>
  <c r="C393" i="180"/>
  <c r="C392" i="180"/>
  <c r="C391" i="180"/>
  <c r="C390" i="180"/>
  <c r="C389" i="180"/>
  <c r="C388" i="180"/>
  <c r="C387" i="180"/>
  <c r="C386" i="180"/>
  <c r="C385" i="180"/>
  <c r="C384" i="180"/>
  <c r="C383" i="180"/>
  <c r="C382" i="180"/>
  <c r="C381" i="180"/>
  <c r="C380" i="180"/>
  <c r="C379" i="180"/>
  <c r="C378" i="180"/>
  <c r="C377" i="180"/>
  <c r="C376" i="180"/>
  <c r="C375" i="180"/>
  <c r="C374" i="180"/>
  <c r="C373" i="180"/>
  <c r="C372" i="180"/>
  <c r="C371" i="180"/>
  <c r="C370" i="180"/>
  <c r="C369" i="180"/>
  <c r="C368" i="180"/>
  <c r="C367" i="180"/>
  <c r="C366" i="180"/>
  <c r="C365" i="180"/>
  <c r="C364" i="180"/>
  <c r="C363" i="180"/>
  <c r="C362" i="180"/>
  <c r="C361" i="180"/>
  <c r="C360" i="180"/>
  <c r="C359" i="180"/>
  <c r="C358" i="180"/>
  <c r="C357" i="180"/>
  <c r="C356" i="180"/>
  <c r="C355" i="180"/>
  <c r="C354" i="180"/>
  <c r="C353" i="180"/>
  <c r="C352" i="180"/>
  <c r="C351" i="180"/>
  <c r="C350" i="180"/>
  <c r="C349" i="180"/>
  <c r="C348" i="180"/>
  <c r="C347" i="180"/>
  <c r="C346" i="180"/>
  <c r="C345" i="180"/>
  <c r="C344" i="180"/>
  <c r="C343" i="180"/>
  <c r="C342" i="180"/>
  <c r="C341" i="180"/>
  <c r="C340" i="180"/>
  <c r="C339" i="180"/>
  <c r="C338" i="180"/>
  <c r="C337" i="180"/>
  <c r="C336" i="180"/>
  <c r="C335" i="180"/>
  <c r="C334" i="180"/>
  <c r="C333" i="180"/>
  <c r="C332" i="180"/>
  <c r="C331" i="180"/>
  <c r="C330" i="180"/>
  <c r="C329" i="180"/>
  <c r="C328" i="180"/>
  <c r="C327" i="180"/>
  <c r="C326" i="180"/>
  <c r="C325" i="180"/>
  <c r="C324" i="180"/>
  <c r="C323" i="180"/>
  <c r="C322" i="180"/>
  <c r="C321" i="180"/>
  <c r="C320" i="180"/>
  <c r="C319" i="180"/>
  <c r="C318" i="180"/>
  <c r="C317" i="180"/>
  <c r="C316" i="180"/>
  <c r="C315" i="180"/>
  <c r="AZ314" i="180"/>
  <c r="AX314" i="180"/>
  <c r="AU314" i="180"/>
  <c r="AT314" i="180"/>
  <c r="AS314" i="180"/>
  <c r="AR314" i="180"/>
  <c r="AQ314" i="180"/>
  <c r="AP314" i="180"/>
  <c r="AO314" i="180"/>
  <c r="AK314" i="180"/>
  <c r="AH314" i="180"/>
  <c r="AG314" i="180"/>
  <c r="AF314" i="180"/>
  <c r="Z314" i="180"/>
  <c r="AD314" i="180" s="1"/>
  <c r="AE314" i="180" s="1"/>
  <c r="Y314" i="180"/>
  <c r="W314" i="180"/>
  <c r="X314" i="180" s="1"/>
  <c r="V314" i="180"/>
  <c r="U314" i="180"/>
  <c r="T314" i="180"/>
  <c r="S314" i="180"/>
  <c r="R314" i="180"/>
  <c r="Q314" i="180" a="1"/>
  <c r="Q314" i="180" s="1"/>
  <c r="P314" i="180"/>
  <c r="O314" i="180"/>
  <c r="N314" i="180"/>
  <c r="M314" i="180"/>
  <c r="J314" i="180"/>
  <c r="I314" i="180"/>
  <c r="H314" i="180"/>
  <c r="G314" i="180"/>
  <c r="F314" i="180"/>
  <c r="E314" i="180"/>
  <c r="L314" i="180" s="1"/>
  <c r="D314" i="180"/>
  <c r="C314" i="180"/>
  <c r="B314" i="180"/>
  <c r="AZ313" i="180"/>
  <c r="AX313" i="180"/>
  <c r="AU313" i="180"/>
  <c r="AT313" i="180"/>
  <c r="AS313" i="180"/>
  <c r="AR313" i="180"/>
  <c r="AQ313" i="180"/>
  <c r="AP313" i="180"/>
  <c r="AO313" i="180"/>
  <c r="AK313" i="180"/>
  <c r="AH313" i="180"/>
  <c r="AG313" i="180"/>
  <c r="AF313" i="180"/>
  <c r="Z313" i="180"/>
  <c r="AD313" i="180" s="1"/>
  <c r="AE313" i="180" s="1"/>
  <c r="Y313" i="180"/>
  <c r="AC313" i="180" s="1"/>
  <c r="W313" i="180"/>
  <c r="X313" i="180" s="1"/>
  <c r="V313" i="180"/>
  <c r="U313" i="180"/>
  <c r="T313" i="180"/>
  <c r="S313" i="180"/>
  <c r="R313" i="180"/>
  <c r="Q313" i="180" a="1"/>
  <c r="Q313" i="180" s="1"/>
  <c r="P313" i="180"/>
  <c r="O313" i="180"/>
  <c r="N313" i="180"/>
  <c r="M313" i="180"/>
  <c r="J313" i="180"/>
  <c r="I313" i="180"/>
  <c r="H313" i="180"/>
  <c r="G313" i="180"/>
  <c r="F313" i="180"/>
  <c r="E313" i="180"/>
  <c r="L313" i="180" s="1"/>
  <c r="D313" i="180"/>
  <c r="C313" i="180"/>
  <c r="B313" i="180"/>
  <c r="AZ312" i="180"/>
  <c r="AX312" i="180"/>
  <c r="AU312" i="180"/>
  <c r="AT312" i="180"/>
  <c r="AS312" i="180"/>
  <c r="AR312" i="180"/>
  <c r="AQ312" i="180"/>
  <c r="AP312" i="180"/>
  <c r="AO312" i="180"/>
  <c r="AK312" i="180"/>
  <c r="AH312" i="180"/>
  <c r="AG312" i="180"/>
  <c r="AF312" i="180"/>
  <c r="Z312" i="180"/>
  <c r="AD312" i="180" s="1"/>
  <c r="AE312" i="180" s="1"/>
  <c r="Y312" i="180"/>
  <c r="W312" i="180"/>
  <c r="X312" i="180" s="1"/>
  <c r="V312" i="180"/>
  <c r="U312" i="180"/>
  <c r="T312" i="180"/>
  <c r="S312" i="180"/>
  <c r="R312" i="180"/>
  <c r="Q312" i="180" a="1"/>
  <c r="Q312" i="180" s="1"/>
  <c r="P312" i="180"/>
  <c r="O312" i="180"/>
  <c r="N312" i="180"/>
  <c r="M312" i="180"/>
  <c r="J312" i="180"/>
  <c r="I312" i="180"/>
  <c r="H312" i="180"/>
  <c r="G312" i="180"/>
  <c r="F312" i="180"/>
  <c r="E312" i="180"/>
  <c r="L312" i="180" s="1"/>
  <c r="D312" i="180"/>
  <c r="C312" i="180"/>
  <c r="B312" i="180"/>
  <c r="AZ311" i="180"/>
  <c r="AX311" i="180"/>
  <c r="AU311" i="180"/>
  <c r="AT311" i="180"/>
  <c r="AS311" i="180"/>
  <c r="AR311" i="180"/>
  <c r="AQ311" i="180"/>
  <c r="AP311" i="180"/>
  <c r="AO311" i="180"/>
  <c r="AK311" i="180"/>
  <c r="AH311" i="180"/>
  <c r="AG311" i="180"/>
  <c r="AF311" i="180"/>
  <c r="Z311" i="180"/>
  <c r="AD311" i="180" s="1"/>
  <c r="AE311" i="180" s="1"/>
  <c r="Y311" i="180"/>
  <c r="AC311" i="180" s="1"/>
  <c r="W311" i="180"/>
  <c r="X311" i="180" s="1"/>
  <c r="V311" i="180"/>
  <c r="U311" i="180"/>
  <c r="T311" i="180"/>
  <c r="S311" i="180"/>
  <c r="R311" i="180"/>
  <c r="Q311" i="180" a="1"/>
  <c r="Q311" i="180" s="1"/>
  <c r="P311" i="180"/>
  <c r="O311" i="180"/>
  <c r="N311" i="180"/>
  <c r="M311" i="180"/>
  <c r="J311" i="180"/>
  <c r="I311" i="180"/>
  <c r="H311" i="180"/>
  <c r="G311" i="180"/>
  <c r="F311" i="180"/>
  <c r="E311" i="180"/>
  <c r="L311" i="180" s="1"/>
  <c r="D311" i="180"/>
  <c r="C311" i="180"/>
  <c r="B311" i="180"/>
  <c r="AZ310" i="180"/>
  <c r="AX310" i="180"/>
  <c r="AU310" i="180"/>
  <c r="AT310" i="180"/>
  <c r="AS310" i="180"/>
  <c r="AR310" i="180"/>
  <c r="AQ310" i="180"/>
  <c r="AP310" i="180"/>
  <c r="AO310" i="180"/>
  <c r="AK310" i="180"/>
  <c r="AH310" i="180"/>
  <c r="AG310" i="180"/>
  <c r="AF310" i="180"/>
  <c r="Z310" i="180"/>
  <c r="Y310" i="180"/>
  <c r="W310" i="180"/>
  <c r="X310" i="180" s="1"/>
  <c r="V310" i="180"/>
  <c r="U310" i="180"/>
  <c r="T310" i="180"/>
  <c r="S310" i="180"/>
  <c r="R310" i="180"/>
  <c r="Q310" i="180" a="1"/>
  <c r="Q310" i="180" s="1"/>
  <c r="P310" i="180"/>
  <c r="O310" i="180"/>
  <c r="N310" i="180"/>
  <c r="M310" i="180"/>
  <c r="J310" i="180"/>
  <c r="I310" i="180"/>
  <c r="H310" i="180"/>
  <c r="G310" i="180"/>
  <c r="F310" i="180"/>
  <c r="E310" i="180"/>
  <c r="L310" i="180" s="1"/>
  <c r="D310" i="180"/>
  <c r="C310" i="180"/>
  <c r="B310" i="180"/>
  <c r="AZ309" i="180"/>
  <c r="AX309" i="180"/>
  <c r="AU309" i="180"/>
  <c r="AT309" i="180"/>
  <c r="AS309" i="180"/>
  <c r="AR309" i="180"/>
  <c r="AQ309" i="180"/>
  <c r="AP309" i="180"/>
  <c r="AO309" i="180"/>
  <c r="AK309" i="180"/>
  <c r="AH309" i="180"/>
  <c r="AG309" i="180"/>
  <c r="AF309" i="180"/>
  <c r="Z309" i="180"/>
  <c r="AD309" i="180" s="1"/>
  <c r="AE309" i="180" s="1"/>
  <c r="Y309" i="180"/>
  <c r="W309" i="180"/>
  <c r="X309" i="180" s="1"/>
  <c r="V309" i="180"/>
  <c r="U309" i="180"/>
  <c r="T309" i="180"/>
  <c r="S309" i="180"/>
  <c r="R309" i="180"/>
  <c r="Q309" i="180" a="1"/>
  <c r="Q309" i="180" s="1"/>
  <c r="P309" i="180"/>
  <c r="O309" i="180"/>
  <c r="N309" i="180"/>
  <c r="M309" i="180"/>
  <c r="J309" i="180"/>
  <c r="I309" i="180"/>
  <c r="H309" i="180"/>
  <c r="G309" i="180"/>
  <c r="F309" i="180"/>
  <c r="E309" i="180"/>
  <c r="L309" i="180" s="1"/>
  <c r="D309" i="180"/>
  <c r="C309" i="180"/>
  <c r="B309" i="180"/>
  <c r="AZ308" i="180"/>
  <c r="AX308" i="180"/>
  <c r="AU308" i="180"/>
  <c r="AT308" i="180"/>
  <c r="AS308" i="180"/>
  <c r="AR308" i="180"/>
  <c r="AQ308" i="180"/>
  <c r="AP308" i="180"/>
  <c r="AO308" i="180"/>
  <c r="AK308" i="180"/>
  <c r="AH308" i="180"/>
  <c r="AG308" i="180"/>
  <c r="AF308" i="180"/>
  <c r="Z308" i="180"/>
  <c r="AD308" i="180" s="1"/>
  <c r="AE308" i="180" s="1"/>
  <c r="Y308" i="180"/>
  <c r="AC308" i="180" s="1"/>
  <c r="W308" i="180"/>
  <c r="X308" i="180" s="1"/>
  <c r="V308" i="180"/>
  <c r="U308" i="180"/>
  <c r="T308" i="180"/>
  <c r="S308" i="180"/>
  <c r="R308" i="180"/>
  <c r="Q308" i="180" a="1"/>
  <c r="Q308" i="180" s="1"/>
  <c r="P308" i="180"/>
  <c r="O308" i="180"/>
  <c r="N308" i="180"/>
  <c r="M308" i="180"/>
  <c r="J308" i="180"/>
  <c r="I308" i="180"/>
  <c r="H308" i="180"/>
  <c r="G308" i="180"/>
  <c r="F308" i="180"/>
  <c r="E308" i="180"/>
  <c r="L308" i="180" s="1"/>
  <c r="D308" i="180"/>
  <c r="C308" i="180"/>
  <c r="B308" i="180"/>
  <c r="AZ307" i="180"/>
  <c r="AX307" i="180"/>
  <c r="AU307" i="180"/>
  <c r="AT307" i="180"/>
  <c r="AS307" i="180"/>
  <c r="AR307" i="180"/>
  <c r="AQ307" i="180"/>
  <c r="AP307" i="180"/>
  <c r="AO307" i="180"/>
  <c r="AK307" i="180"/>
  <c r="AH307" i="180"/>
  <c r="AG307" i="180"/>
  <c r="AF307" i="180"/>
  <c r="Z307" i="180"/>
  <c r="AD307" i="180" s="1"/>
  <c r="AE307" i="180" s="1"/>
  <c r="Y307" i="180"/>
  <c r="AC307" i="180" s="1"/>
  <c r="W307" i="180"/>
  <c r="X307" i="180" s="1"/>
  <c r="V307" i="180"/>
  <c r="U307" i="180"/>
  <c r="T307" i="180"/>
  <c r="S307" i="180"/>
  <c r="R307" i="180"/>
  <c r="Q307" i="180" a="1"/>
  <c r="Q307" i="180" s="1"/>
  <c r="P307" i="180"/>
  <c r="O307" i="180"/>
  <c r="N307" i="180"/>
  <c r="M307" i="180"/>
  <c r="J307" i="180"/>
  <c r="I307" i="180"/>
  <c r="H307" i="180"/>
  <c r="G307" i="180"/>
  <c r="F307" i="180"/>
  <c r="E307" i="180"/>
  <c r="L307" i="180" s="1"/>
  <c r="D307" i="180"/>
  <c r="C307" i="180"/>
  <c r="B307" i="180"/>
  <c r="AZ306" i="180"/>
  <c r="AX306" i="180"/>
  <c r="AU306" i="180"/>
  <c r="AT306" i="180"/>
  <c r="AS306" i="180"/>
  <c r="AR306" i="180"/>
  <c r="AQ306" i="180"/>
  <c r="AP306" i="180"/>
  <c r="AO306" i="180"/>
  <c r="AK306" i="180"/>
  <c r="AH306" i="180"/>
  <c r="AG306" i="180"/>
  <c r="AF306" i="180"/>
  <c r="Z306" i="180"/>
  <c r="Y306" i="180"/>
  <c r="AC306" i="180" s="1"/>
  <c r="W306" i="180"/>
  <c r="X306" i="180" s="1"/>
  <c r="V306" i="180"/>
  <c r="U306" i="180"/>
  <c r="T306" i="180"/>
  <c r="S306" i="180"/>
  <c r="R306" i="180"/>
  <c r="Q306" i="180" a="1"/>
  <c r="Q306" i="180" s="1"/>
  <c r="P306" i="180"/>
  <c r="O306" i="180"/>
  <c r="N306" i="180"/>
  <c r="M306" i="180"/>
  <c r="J306" i="180"/>
  <c r="I306" i="180"/>
  <c r="H306" i="180"/>
  <c r="G306" i="180"/>
  <c r="F306" i="180"/>
  <c r="E306" i="180"/>
  <c r="L306" i="180" s="1"/>
  <c r="D306" i="180"/>
  <c r="C306" i="180"/>
  <c r="B306" i="180"/>
  <c r="AZ305" i="180"/>
  <c r="AX305" i="180"/>
  <c r="AU305" i="180"/>
  <c r="AT305" i="180"/>
  <c r="AS305" i="180"/>
  <c r="AR305" i="180"/>
  <c r="AQ305" i="180"/>
  <c r="AP305" i="180"/>
  <c r="AO305" i="180"/>
  <c r="AK305" i="180"/>
  <c r="AH305" i="180"/>
  <c r="AG305" i="180"/>
  <c r="AF305" i="180"/>
  <c r="Z305" i="180"/>
  <c r="AD305" i="180" s="1"/>
  <c r="AE305" i="180" s="1"/>
  <c r="Y305" i="180"/>
  <c r="AC305" i="180" s="1"/>
  <c r="W305" i="180"/>
  <c r="X305" i="180" s="1"/>
  <c r="V305" i="180"/>
  <c r="U305" i="180"/>
  <c r="T305" i="180"/>
  <c r="S305" i="180"/>
  <c r="R305" i="180"/>
  <c r="Q305" i="180" a="1"/>
  <c r="Q305" i="180" s="1"/>
  <c r="P305" i="180"/>
  <c r="O305" i="180"/>
  <c r="N305" i="180"/>
  <c r="M305" i="180"/>
  <c r="J305" i="180"/>
  <c r="I305" i="180"/>
  <c r="H305" i="180"/>
  <c r="G305" i="180"/>
  <c r="F305" i="180"/>
  <c r="E305" i="180"/>
  <c r="L305" i="180" s="1"/>
  <c r="D305" i="180"/>
  <c r="C305" i="180"/>
  <c r="B305" i="180"/>
  <c r="AZ304" i="180"/>
  <c r="AX304" i="180"/>
  <c r="AU304" i="180"/>
  <c r="AT304" i="180"/>
  <c r="AS304" i="180"/>
  <c r="AR304" i="180"/>
  <c r="AQ304" i="180"/>
  <c r="AP304" i="180"/>
  <c r="AO304" i="180"/>
  <c r="AK304" i="180"/>
  <c r="AH304" i="180"/>
  <c r="AG304" i="180"/>
  <c r="AF304" i="180"/>
  <c r="Z304" i="180"/>
  <c r="AD304" i="180" s="1"/>
  <c r="AE304" i="180" s="1"/>
  <c r="Y304" i="180"/>
  <c r="AC304" i="180" s="1"/>
  <c r="W304" i="180"/>
  <c r="X304" i="180" s="1"/>
  <c r="V304" i="180"/>
  <c r="U304" i="180"/>
  <c r="T304" i="180"/>
  <c r="S304" i="180"/>
  <c r="R304" i="180"/>
  <c r="Q304" i="180" a="1"/>
  <c r="Q304" i="180" s="1"/>
  <c r="P304" i="180"/>
  <c r="O304" i="180"/>
  <c r="N304" i="180"/>
  <c r="M304" i="180"/>
  <c r="J304" i="180"/>
  <c r="I304" i="180"/>
  <c r="H304" i="180"/>
  <c r="G304" i="180"/>
  <c r="F304" i="180"/>
  <c r="E304" i="180"/>
  <c r="L304" i="180" s="1"/>
  <c r="D304" i="180"/>
  <c r="C304" i="180"/>
  <c r="B304" i="180"/>
  <c r="AZ303" i="180"/>
  <c r="AX303" i="180"/>
  <c r="AU303" i="180"/>
  <c r="AT303" i="180"/>
  <c r="AS303" i="180"/>
  <c r="AR303" i="180"/>
  <c r="AQ303" i="180"/>
  <c r="AP303" i="180"/>
  <c r="AO303" i="180"/>
  <c r="AK303" i="180"/>
  <c r="AH303" i="180"/>
  <c r="AG303" i="180"/>
  <c r="AF303" i="180"/>
  <c r="Z303" i="180"/>
  <c r="AD303" i="180" s="1"/>
  <c r="AE303" i="180" s="1"/>
  <c r="Y303" i="180"/>
  <c r="AC303" i="180" s="1"/>
  <c r="W303" i="180"/>
  <c r="X303" i="180" s="1"/>
  <c r="V303" i="180"/>
  <c r="U303" i="180"/>
  <c r="T303" i="180"/>
  <c r="S303" i="180"/>
  <c r="R303" i="180"/>
  <c r="Q303" i="180" a="1"/>
  <c r="Q303" i="180" s="1"/>
  <c r="P303" i="180"/>
  <c r="O303" i="180"/>
  <c r="N303" i="180"/>
  <c r="M303" i="180"/>
  <c r="J303" i="180"/>
  <c r="I303" i="180"/>
  <c r="H303" i="180"/>
  <c r="G303" i="180"/>
  <c r="F303" i="180"/>
  <c r="E303" i="180"/>
  <c r="L303" i="180" s="1"/>
  <c r="D303" i="180"/>
  <c r="C303" i="180"/>
  <c r="B303" i="180"/>
  <c r="AZ302" i="180"/>
  <c r="AX302" i="180"/>
  <c r="AU302" i="180"/>
  <c r="AT302" i="180"/>
  <c r="AS302" i="180"/>
  <c r="AR302" i="180"/>
  <c r="AQ302" i="180"/>
  <c r="AP302" i="180"/>
  <c r="AO302" i="180"/>
  <c r="AK302" i="180"/>
  <c r="AH302" i="180"/>
  <c r="AG302" i="180"/>
  <c r="AF302" i="180"/>
  <c r="Z302" i="180"/>
  <c r="AD302" i="180" s="1"/>
  <c r="AE302" i="180" s="1"/>
  <c r="Y302" i="180"/>
  <c r="AC302" i="180" s="1"/>
  <c r="W302" i="180"/>
  <c r="X302" i="180" s="1"/>
  <c r="V302" i="180"/>
  <c r="U302" i="180"/>
  <c r="T302" i="180"/>
  <c r="S302" i="180"/>
  <c r="R302" i="180"/>
  <c r="Q302" i="180" a="1"/>
  <c r="Q302" i="180" s="1"/>
  <c r="P302" i="180"/>
  <c r="O302" i="180"/>
  <c r="N302" i="180"/>
  <c r="M302" i="180"/>
  <c r="J302" i="180"/>
  <c r="I302" i="180"/>
  <c r="H302" i="180"/>
  <c r="G302" i="180"/>
  <c r="F302" i="180"/>
  <c r="E302" i="180"/>
  <c r="L302" i="180" s="1"/>
  <c r="D302" i="180"/>
  <c r="C302" i="180"/>
  <c r="B302" i="180"/>
  <c r="AZ301" i="180"/>
  <c r="AX301" i="180"/>
  <c r="AU301" i="180"/>
  <c r="AT301" i="180"/>
  <c r="AS301" i="180"/>
  <c r="AR301" i="180"/>
  <c r="AQ301" i="180"/>
  <c r="AP301" i="180"/>
  <c r="AO301" i="180"/>
  <c r="AK301" i="180"/>
  <c r="AH301" i="180"/>
  <c r="AG301" i="180"/>
  <c r="AF301" i="180"/>
  <c r="Z301" i="180"/>
  <c r="Y301" i="180"/>
  <c r="AC301" i="180" s="1"/>
  <c r="W301" i="180"/>
  <c r="X301" i="180" s="1"/>
  <c r="V301" i="180"/>
  <c r="U301" i="180"/>
  <c r="T301" i="180"/>
  <c r="S301" i="180"/>
  <c r="R301" i="180"/>
  <c r="Q301" i="180" a="1"/>
  <c r="Q301" i="180" s="1"/>
  <c r="P301" i="180"/>
  <c r="O301" i="180"/>
  <c r="N301" i="180"/>
  <c r="M301" i="180"/>
  <c r="J301" i="180"/>
  <c r="I301" i="180"/>
  <c r="H301" i="180"/>
  <c r="G301" i="180"/>
  <c r="F301" i="180"/>
  <c r="E301" i="180"/>
  <c r="L301" i="180" s="1"/>
  <c r="D301" i="180"/>
  <c r="C301" i="180"/>
  <c r="B301" i="180"/>
  <c r="AZ300" i="180"/>
  <c r="AX300" i="180"/>
  <c r="AU300" i="180"/>
  <c r="AT300" i="180"/>
  <c r="AS300" i="180"/>
  <c r="AR300" i="180"/>
  <c r="AQ300" i="180"/>
  <c r="AP300" i="180"/>
  <c r="AO300" i="180"/>
  <c r="AK300" i="180"/>
  <c r="AH300" i="180"/>
  <c r="AG300" i="180"/>
  <c r="AF300" i="180"/>
  <c r="Z300" i="180"/>
  <c r="Y300" i="180"/>
  <c r="AC300" i="180" s="1"/>
  <c r="W300" i="180"/>
  <c r="X300" i="180" s="1"/>
  <c r="V300" i="180"/>
  <c r="U300" i="180"/>
  <c r="T300" i="180"/>
  <c r="S300" i="180"/>
  <c r="R300" i="180"/>
  <c r="Q300" i="180" a="1"/>
  <c r="Q300" i="180" s="1"/>
  <c r="P300" i="180"/>
  <c r="O300" i="180"/>
  <c r="N300" i="180"/>
  <c r="M300" i="180"/>
  <c r="J300" i="180"/>
  <c r="I300" i="180"/>
  <c r="H300" i="180"/>
  <c r="G300" i="180"/>
  <c r="F300" i="180"/>
  <c r="E300" i="180"/>
  <c r="L300" i="180" s="1"/>
  <c r="D300" i="180"/>
  <c r="C300" i="180"/>
  <c r="B300" i="180"/>
  <c r="AZ299" i="180"/>
  <c r="AX299" i="180"/>
  <c r="AU299" i="180"/>
  <c r="AT299" i="180"/>
  <c r="AS299" i="180"/>
  <c r="AR299" i="180"/>
  <c r="AQ299" i="180"/>
  <c r="AP299" i="180"/>
  <c r="AO299" i="180"/>
  <c r="AK299" i="180"/>
  <c r="AH299" i="180"/>
  <c r="AG299" i="180"/>
  <c r="AF299" i="180"/>
  <c r="Z299" i="180"/>
  <c r="AD299" i="180" s="1"/>
  <c r="AE299" i="180" s="1"/>
  <c r="Y299" i="180"/>
  <c r="W299" i="180"/>
  <c r="X299" i="180" s="1"/>
  <c r="U299" i="180"/>
  <c r="T299" i="180"/>
  <c r="S299" i="180"/>
  <c r="R299" i="180"/>
  <c r="Q299" i="180" a="1"/>
  <c r="Q299" i="180" s="1"/>
  <c r="P299" i="180"/>
  <c r="O299" i="180"/>
  <c r="N299" i="180"/>
  <c r="M299" i="180"/>
  <c r="J299" i="180"/>
  <c r="I299" i="180"/>
  <c r="H299" i="180"/>
  <c r="G299" i="180"/>
  <c r="E299" i="180"/>
  <c r="L299" i="180" s="1"/>
  <c r="D299" i="180"/>
  <c r="C299" i="180"/>
  <c r="B299" i="180"/>
  <c r="AZ298" i="180"/>
  <c r="AX298" i="180"/>
  <c r="AU298" i="180"/>
  <c r="AT298" i="180"/>
  <c r="AS298" i="180"/>
  <c r="AR298" i="180"/>
  <c r="AQ298" i="180"/>
  <c r="AP298" i="180"/>
  <c r="AO298" i="180"/>
  <c r="AK298" i="180"/>
  <c r="AH298" i="180"/>
  <c r="AG298" i="180"/>
  <c r="AF298" i="180"/>
  <c r="Z298" i="180"/>
  <c r="Y298" i="180"/>
  <c r="AC298" i="180" s="1"/>
  <c r="W298" i="180"/>
  <c r="X298" i="180" s="1"/>
  <c r="U298" i="180"/>
  <c r="T298" i="180"/>
  <c r="S298" i="180"/>
  <c r="R298" i="180"/>
  <c r="Q298" i="180" a="1"/>
  <c r="Q298" i="180" s="1"/>
  <c r="P298" i="180"/>
  <c r="O298" i="180"/>
  <c r="N298" i="180"/>
  <c r="M298" i="180"/>
  <c r="J298" i="180"/>
  <c r="I298" i="180"/>
  <c r="H298" i="180"/>
  <c r="G298" i="180"/>
  <c r="E298" i="180"/>
  <c r="L298" i="180" s="1"/>
  <c r="D298" i="180"/>
  <c r="C298" i="180"/>
  <c r="B298" i="180"/>
  <c r="AZ297" i="180"/>
  <c r="AX297" i="180"/>
  <c r="AU297" i="180"/>
  <c r="AT297" i="180"/>
  <c r="AS297" i="180"/>
  <c r="AR297" i="180"/>
  <c r="AQ297" i="180"/>
  <c r="AP297" i="180"/>
  <c r="AO297" i="180"/>
  <c r="AK297" i="180"/>
  <c r="AH297" i="180"/>
  <c r="AG297" i="180"/>
  <c r="AF297" i="180"/>
  <c r="Z297" i="180"/>
  <c r="AD297" i="180" s="1"/>
  <c r="AE297" i="180" s="1"/>
  <c r="Y297" i="180"/>
  <c r="W297" i="180"/>
  <c r="X297" i="180" s="1"/>
  <c r="U297" i="180"/>
  <c r="T297" i="180"/>
  <c r="S297" i="180"/>
  <c r="R297" i="180"/>
  <c r="Q297" i="180" a="1"/>
  <c r="Q297" i="180" s="1"/>
  <c r="P297" i="180"/>
  <c r="O297" i="180"/>
  <c r="N297" i="180"/>
  <c r="M297" i="180"/>
  <c r="J297" i="180"/>
  <c r="I297" i="180"/>
  <c r="H297" i="180"/>
  <c r="G297" i="180"/>
  <c r="E297" i="180"/>
  <c r="L297" i="180" s="1"/>
  <c r="D297" i="180"/>
  <c r="C297" i="180"/>
  <c r="B297" i="180"/>
  <c r="AZ296" i="180"/>
  <c r="AX296" i="180"/>
  <c r="AU296" i="180"/>
  <c r="AT296" i="180"/>
  <c r="AS296" i="180"/>
  <c r="AR296" i="180"/>
  <c r="AQ296" i="180"/>
  <c r="AP296" i="180"/>
  <c r="AO296" i="180"/>
  <c r="AK296" i="180"/>
  <c r="AH296" i="180"/>
  <c r="AG296" i="180"/>
  <c r="AF296" i="180"/>
  <c r="Z296" i="180"/>
  <c r="Y296" i="180"/>
  <c r="AC296" i="180" s="1"/>
  <c r="W296" i="180"/>
  <c r="X296" i="180" s="1"/>
  <c r="U296" i="180"/>
  <c r="T296" i="180"/>
  <c r="S296" i="180"/>
  <c r="R296" i="180"/>
  <c r="Q296" i="180" a="1"/>
  <c r="Q296" i="180" s="1"/>
  <c r="P296" i="180"/>
  <c r="O296" i="180"/>
  <c r="N296" i="180"/>
  <c r="M296" i="180"/>
  <c r="J296" i="180"/>
  <c r="I296" i="180"/>
  <c r="H296" i="180"/>
  <c r="G296" i="180"/>
  <c r="E296" i="180"/>
  <c r="L296" i="180" s="1"/>
  <c r="D296" i="180"/>
  <c r="C296" i="180"/>
  <c r="B296" i="180"/>
  <c r="AZ295" i="180"/>
  <c r="AX295" i="180"/>
  <c r="AU295" i="180"/>
  <c r="AT295" i="180"/>
  <c r="AS295" i="180"/>
  <c r="AR295" i="180"/>
  <c r="AQ295" i="180"/>
  <c r="AP295" i="180"/>
  <c r="AO295" i="180"/>
  <c r="AK295" i="180"/>
  <c r="AH295" i="180"/>
  <c r="AG295" i="180"/>
  <c r="AF295" i="180"/>
  <c r="Z295" i="180"/>
  <c r="AD295" i="180" s="1"/>
  <c r="AE295" i="180" s="1"/>
  <c r="Y295" i="180"/>
  <c r="AC295" i="180" s="1"/>
  <c r="W295" i="180"/>
  <c r="X295" i="180" s="1"/>
  <c r="U295" i="180"/>
  <c r="T295" i="180"/>
  <c r="S295" i="180"/>
  <c r="R295" i="180"/>
  <c r="Q295" i="180" a="1"/>
  <c r="Q295" i="180" s="1"/>
  <c r="P295" i="180"/>
  <c r="O295" i="180"/>
  <c r="N295" i="180"/>
  <c r="M295" i="180"/>
  <c r="J295" i="180"/>
  <c r="I295" i="180"/>
  <c r="H295" i="180"/>
  <c r="G295" i="180"/>
  <c r="E295" i="180"/>
  <c r="L295" i="180" s="1"/>
  <c r="D295" i="180"/>
  <c r="C295" i="180"/>
  <c r="B295" i="180"/>
  <c r="AZ294" i="180"/>
  <c r="AX294" i="180"/>
  <c r="AU294" i="180"/>
  <c r="AT294" i="180"/>
  <c r="AS294" i="180"/>
  <c r="AR294" i="180"/>
  <c r="AQ294" i="180"/>
  <c r="AP294" i="180"/>
  <c r="AO294" i="180"/>
  <c r="AK294" i="180"/>
  <c r="AH294" i="180"/>
  <c r="AG294" i="180"/>
  <c r="AF294" i="180"/>
  <c r="Z294" i="180"/>
  <c r="AD294" i="180" s="1"/>
  <c r="AE294" i="180" s="1"/>
  <c r="Y294" i="180"/>
  <c r="AC294" i="180" s="1"/>
  <c r="W294" i="180"/>
  <c r="X294" i="180" s="1"/>
  <c r="U294" i="180"/>
  <c r="T294" i="180"/>
  <c r="S294" i="180"/>
  <c r="R294" i="180"/>
  <c r="Q294" i="180" a="1"/>
  <c r="Q294" i="180" s="1"/>
  <c r="P294" i="180"/>
  <c r="O294" i="180"/>
  <c r="N294" i="180"/>
  <c r="M294" i="180"/>
  <c r="J294" i="180"/>
  <c r="I294" i="180"/>
  <c r="H294" i="180"/>
  <c r="G294" i="180"/>
  <c r="E294" i="180"/>
  <c r="L294" i="180" s="1"/>
  <c r="D294" i="180"/>
  <c r="C294" i="180"/>
  <c r="B294" i="180"/>
  <c r="AZ293" i="180"/>
  <c r="AX293" i="180"/>
  <c r="AU293" i="180"/>
  <c r="AT293" i="180"/>
  <c r="AS293" i="180"/>
  <c r="AR293" i="180"/>
  <c r="AQ293" i="180"/>
  <c r="AP293" i="180"/>
  <c r="AO293" i="180"/>
  <c r="AK293" i="180"/>
  <c r="AH293" i="180"/>
  <c r="AG293" i="180"/>
  <c r="AF293" i="180"/>
  <c r="Z293" i="180"/>
  <c r="Y293" i="180"/>
  <c r="AC293" i="180" s="1"/>
  <c r="W293" i="180"/>
  <c r="X293" i="180" s="1"/>
  <c r="U293" i="180"/>
  <c r="T293" i="180"/>
  <c r="S293" i="180"/>
  <c r="R293" i="180"/>
  <c r="Q293" i="180" a="1"/>
  <c r="Q293" i="180" s="1"/>
  <c r="P293" i="180"/>
  <c r="O293" i="180"/>
  <c r="N293" i="180"/>
  <c r="M293" i="180"/>
  <c r="J293" i="180"/>
  <c r="I293" i="180"/>
  <c r="H293" i="180"/>
  <c r="G293" i="180"/>
  <c r="E293" i="180"/>
  <c r="L293" i="180" s="1"/>
  <c r="D293" i="180"/>
  <c r="C293" i="180"/>
  <c r="B293" i="180"/>
  <c r="AZ292" i="180"/>
  <c r="AX292" i="180"/>
  <c r="AU292" i="180"/>
  <c r="AT292" i="180"/>
  <c r="AS292" i="180"/>
  <c r="AR292" i="180"/>
  <c r="AQ292" i="180"/>
  <c r="AP292" i="180"/>
  <c r="AO292" i="180"/>
  <c r="AK292" i="180"/>
  <c r="AH292" i="180"/>
  <c r="AG292" i="180"/>
  <c r="AF292" i="180"/>
  <c r="Z292" i="180"/>
  <c r="AD292" i="180" s="1"/>
  <c r="AE292" i="180" s="1"/>
  <c r="Y292" i="180"/>
  <c r="AC292" i="180" s="1"/>
  <c r="W292" i="180"/>
  <c r="X292" i="180" s="1"/>
  <c r="U292" i="180"/>
  <c r="T292" i="180"/>
  <c r="S292" i="180"/>
  <c r="R292" i="180"/>
  <c r="Q292" i="180" a="1"/>
  <c r="Q292" i="180" s="1"/>
  <c r="P292" i="180"/>
  <c r="O292" i="180"/>
  <c r="N292" i="180"/>
  <c r="M292" i="180"/>
  <c r="J292" i="180"/>
  <c r="I292" i="180"/>
  <c r="H292" i="180"/>
  <c r="G292" i="180"/>
  <c r="E292" i="180"/>
  <c r="L292" i="180" s="1"/>
  <c r="D292" i="180"/>
  <c r="C292" i="180"/>
  <c r="B292" i="180"/>
  <c r="AZ291" i="180"/>
  <c r="AX291" i="180"/>
  <c r="AU291" i="180"/>
  <c r="AT291" i="180"/>
  <c r="AS291" i="180"/>
  <c r="AR291" i="180"/>
  <c r="AQ291" i="180"/>
  <c r="AP291" i="180"/>
  <c r="AO291" i="180"/>
  <c r="AK291" i="180"/>
  <c r="AH291" i="180"/>
  <c r="AG291" i="180"/>
  <c r="AF291" i="180"/>
  <c r="Z291" i="180"/>
  <c r="AD291" i="180" s="1"/>
  <c r="AE291" i="180" s="1"/>
  <c r="Y291" i="180"/>
  <c r="AC291" i="180" s="1"/>
  <c r="W291" i="180"/>
  <c r="X291" i="180" s="1"/>
  <c r="U291" i="180"/>
  <c r="T291" i="180"/>
  <c r="S291" i="180"/>
  <c r="R291" i="180"/>
  <c r="Q291" i="180" a="1"/>
  <c r="Q291" i="180" s="1"/>
  <c r="P291" i="180"/>
  <c r="O291" i="180"/>
  <c r="N291" i="180"/>
  <c r="M291" i="180"/>
  <c r="J291" i="180"/>
  <c r="I291" i="180"/>
  <c r="H291" i="180"/>
  <c r="G291" i="180"/>
  <c r="E291" i="180"/>
  <c r="L291" i="180" s="1"/>
  <c r="D291" i="180"/>
  <c r="C291" i="180"/>
  <c r="B291" i="180"/>
  <c r="AZ290" i="180"/>
  <c r="AX290" i="180"/>
  <c r="AU290" i="180"/>
  <c r="AT290" i="180"/>
  <c r="AS290" i="180"/>
  <c r="AR290" i="180"/>
  <c r="AQ290" i="180"/>
  <c r="AP290" i="180"/>
  <c r="AO290" i="180"/>
  <c r="AK290" i="180"/>
  <c r="AH290" i="180"/>
  <c r="AG290" i="180"/>
  <c r="AF290" i="180"/>
  <c r="Z290" i="180"/>
  <c r="AD290" i="180" s="1"/>
  <c r="AE290" i="180" s="1"/>
  <c r="Y290" i="180"/>
  <c r="AC290" i="180" s="1"/>
  <c r="W290" i="180"/>
  <c r="X290" i="180" s="1"/>
  <c r="U290" i="180"/>
  <c r="T290" i="180"/>
  <c r="S290" i="180"/>
  <c r="R290" i="180"/>
  <c r="Q290" i="180" a="1"/>
  <c r="Q290" i="180" s="1"/>
  <c r="P290" i="180"/>
  <c r="O290" i="180"/>
  <c r="N290" i="180"/>
  <c r="M290" i="180"/>
  <c r="J290" i="180"/>
  <c r="I290" i="180"/>
  <c r="H290" i="180"/>
  <c r="G290" i="180"/>
  <c r="E290" i="180"/>
  <c r="L290" i="180" s="1"/>
  <c r="D290" i="180"/>
  <c r="C290" i="180"/>
  <c r="B290" i="180"/>
  <c r="AZ289" i="180"/>
  <c r="AX289" i="180"/>
  <c r="AU289" i="180"/>
  <c r="AT289" i="180"/>
  <c r="AS289" i="180"/>
  <c r="AR289" i="180"/>
  <c r="AQ289" i="180"/>
  <c r="AP289" i="180"/>
  <c r="AO289" i="180"/>
  <c r="AK289" i="180"/>
  <c r="AH289" i="180"/>
  <c r="AG289" i="180"/>
  <c r="AF289" i="180"/>
  <c r="Z289" i="180"/>
  <c r="Y289" i="180"/>
  <c r="AC289" i="180" s="1"/>
  <c r="W289" i="180"/>
  <c r="X289" i="180" s="1"/>
  <c r="U289" i="180"/>
  <c r="T289" i="180"/>
  <c r="S289" i="180"/>
  <c r="R289" i="180"/>
  <c r="Q289" i="180" a="1"/>
  <c r="Q289" i="180" s="1"/>
  <c r="P289" i="180"/>
  <c r="O289" i="180"/>
  <c r="N289" i="180"/>
  <c r="M289" i="180"/>
  <c r="J289" i="180"/>
  <c r="I289" i="180"/>
  <c r="H289" i="180"/>
  <c r="G289" i="180"/>
  <c r="E289" i="180"/>
  <c r="L289" i="180" s="1"/>
  <c r="D289" i="180"/>
  <c r="C289" i="180"/>
  <c r="B289" i="180"/>
  <c r="AZ288" i="180"/>
  <c r="AX288" i="180"/>
  <c r="AU288" i="180"/>
  <c r="AT288" i="180"/>
  <c r="AS288" i="180"/>
  <c r="AR288" i="180"/>
  <c r="AQ288" i="180"/>
  <c r="AP288" i="180"/>
  <c r="AO288" i="180"/>
  <c r="AK288" i="180"/>
  <c r="AH288" i="180"/>
  <c r="AG288" i="180"/>
  <c r="AF288" i="180"/>
  <c r="Z288" i="180"/>
  <c r="AD288" i="180" s="1"/>
  <c r="AE288" i="180" s="1"/>
  <c r="Y288" i="180"/>
  <c r="AC288" i="180" s="1"/>
  <c r="W288" i="180"/>
  <c r="X288" i="180" s="1"/>
  <c r="U288" i="180"/>
  <c r="T288" i="180"/>
  <c r="S288" i="180"/>
  <c r="R288" i="180"/>
  <c r="Q288" i="180" a="1"/>
  <c r="Q288" i="180" s="1"/>
  <c r="P288" i="180"/>
  <c r="O288" i="180"/>
  <c r="N288" i="180"/>
  <c r="M288" i="180"/>
  <c r="J288" i="180"/>
  <c r="I288" i="180"/>
  <c r="H288" i="180"/>
  <c r="G288" i="180"/>
  <c r="E288" i="180"/>
  <c r="L288" i="180" s="1"/>
  <c r="D288" i="180"/>
  <c r="C288" i="180"/>
  <c r="B288" i="180"/>
  <c r="AZ287" i="180"/>
  <c r="AX287" i="180"/>
  <c r="AU287" i="180"/>
  <c r="AT287" i="180"/>
  <c r="AS287" i="180"/>
  <c r="AR287" i="180"/>
  <c r="AQ287" i="180"/>
  <c r="AP287" i="180"/>
  <c r="AO287" i="180"/>
  <c r="AK287" i="180"/>
  <c r="AH287" i="180"/>
  <c r="AG287" i="180"/>
  <c r="AF287" i="180"/>
  <c r="Z287" i="180"/>
  <c r="AD287" i="180" s="1"/>
  <c r="AE287" i="180" s="1"/>
  <c r="Y287" i="180"/>
  <c r="AC287" i="180" s="1"/>
  <c r="W287" i="180"/>
  <c r="X287" i="180" s="1"/>
  <c r="U287" i="180"/>
  <c r="T287" i="180"/>
  <c r="S287" i="180"/>
  <c r="R287" i="180"/>
  <c r="Q287" i="180" a="1"/>
  <c r="Q287" i="180" s="1"/>
  <c r="P287" i="180"/>
  <c r="O287" i="180"/>
  <c r="N287" i="180"/>
  <c r="M287" i="180"/>
  <c r="J287" i="180"/>
  <c r="I287" i="180"/>
  <c r="H287" i="180"/>
  <c r="G287" i="180"/>
  <c r="E287" i="180"/>
  <c r="L287" i="180" s="1"/>
  <c r="D287" i="180"/>
  <c r="C287" i="180"/>
  <c r="B287" i="180"/>
  <c r="AZ286" i="180"/>
  <c r="AX286" i="180"/>
  <c r="AU286" i="180"/>
  <c r="AT286" i="180"/>
  <c r="AS286" i="180"/>
  <c r="AR286" i="180"/>
  <c r="AQ286" i="180"/>
  <c r="AP286" i="180"/>
  <c r="AO286" i="180"/>
  <c r="AK286" i="180"/>
  <c r="AH286" i="180"/>
  <c r="AG286" i="180"/>
  <c r="AF286" i="180"/>
  <c r="Z286" i="180"/>
  <c r="Y286" i="180"/>
  <c r="W286" i="180"/>
  <c r="X286" i="180" s="1"/>
  <c r="U286" i="180"/>
  <c r="T286" i="180"/>
  <c r="S286" i="180"/>
  <c r="R286" i="180"/>
  <c r="Q286" i="180" a="1"/>
  <c r="Q286" i="180" s="1"/>
  <c r="P286" i="180"/>
  <c r="O286" i="180"/>
  <c r="N286" i="180"/>
  <c r="M286" i="180"/>
  <c r="J286" i="180"/>
  <c r="I286" i="180"/>
  <c r="H286" i="180"/>
  <c r="G286" i="180"/>
  <c r="E286" i="180"/>
  <c r="L286" i="180" s="1"/>
  <c r="D286" i="180"/>
  <c r="C286" i="180"/>
  <c r="B286" i="180"/>
  <c r="AZ285" i="180"/>
  <c r="AX285" i="180"/>
  <c r="AU285" i="180"/>
  <c r="AT285" i="180"/>
  <c r="AS285" i="180"/>
  <c r="AR285" i="180"/>
  <c r="AQ285" i="180"/>
  <c r="AP285" i="180"/>
  <c r="AO285" i="180"/>
  <c r="AK285" i="180"/>
  <c r="AH285" i="180"/>
  <c r="AG285" i="180"/>
  <c r="AF285" i="180"/>
  <c r="Z285" i="180"/>
  <c r="W285" i="180"/>
  <c r="X285" i="180" s="1"/>
  <c r="U285" i="180"/>
  <c r="T285" i="180"/>
  <c r="S285" i="180"/>
  <c r="R285" i="180"/>
  <c r="Q285" i="180" a="1"/>
  <c r="Q285" i="180" s="1"/>
  <c r="P285" i="180"/>
  <c r="O285" i="180"/>
  <c r="N285" i="180"/>
  <c r="M285" i="180"/>
  <c r="J285" i="180"/>
  <c r="I285" i="180"/>
  <c r="H285" i="180"/>
  <c r="G285" i="180"/>
  <c r="E285" i="180"/>
  <c r="L285" i="180" s="1"/>
  <c r="D285" i="180"/>
  <c r="C285" i="180"/>
  <c r="B285" i="180"/>
  <c r="AZ284" i="180"/>
  <c r="AX284" i="180"/>
  <c r="AS284" i="180"/>
  <c r="AR284" i="180"/>
  <c r="AQ284" i="180"/>
  <c r="AP284" i="180"/>
  <c r="AO284" i="180"/>
  <c r="AK284" i="180"/>
  <c r="AH284" i="180"/>
  <c r="AG284" i="180"/>
  <c r="AF284" i="180"/>
  <c r="Z284" i="180"/>
  <c r="AD284" i="180" s="1"/>
  <c r="AE284" i="180" s="1"/>
  <c r="W284" i="180"/>
  <c r="X284" i="180" s="1"/>
  <c r="U284" i="180"/>
  <c r="T284" i="180"/>
  <c r="S284" i="180"/>
  <c r="R284" i="180"/>
  <c r="Q284" i="180" a="1"/>
  <c r="Q284" i="180" s="1"/>
  <c r="P284" i="180"/>
  <c r="O284" i="180"/>
  <c r="N284" i="180"/>
  <c r="M284" i="180"/>
  <c r="J284" i="180"/>
  <c r="I284" i="180"/>
  <c r="H284" i="180"/>
  <c r="G284" i="180"/>
  <c r="E284" i="180"/>
  <c r="L284" i="180" s="1"/>
  <c r="D284" i="180"/>
  <c r="C284" i="180"/>
  <c r="B284" i="180"/>
  <c r="AZ283" i="180"/>
  <c r="AX283" i="180"/>
  <c r="AU283" i="180"/>
  <c r="AT283" i="180"/>
  <c r="AS283" i="180"/>
  <c r="AR283" i="180"/>
  <c r="AQ283" i="180"/>
  <c r="AP283" i="180"/>
  <c r="AO283" i="180"/>
  <c r="AK283" i="180"/>
  <c r="AH283" i="180"/>
  <c r="AG283" i="180"/>
  <c r="AF283" i="180"/>
  <c r="Z283" i="180"/>
  <c r="AD283" i="180" s="1"/>
  <c r="AE283" i="180" s="1"/>
  <c r="W283" i="180"/>
  <c r="X283" i="180" s="1"/>
  <c r="V283" i="180"/>
  <c r="U283" i="180"/>
  <c r="T283" i="180"/>
  <c r="S283" i="180"/>
  <c r="R283" i="180"/>
  <c r="Q283" i="180" a="1"/>
  <c r="Q283" i="180" s="1"/>
  <c r="P283" i="180"/>
  <c r="O283" i="180"/>
  <c r="N283" i="180"/>
  <c r="M283" i="180"/>
  <c r="K283" i="180"/>
  <c r="AN283" i="180" s="1"/>
  <c r="J283" i="180"/>
  <c r="I283" i="180"/>
  <c r="H283" i="180"/>
  <c r="G283" i="180"/>
  <c r="F283" i="180"/>
  <c r="E283" i="180"/>
  <c r="L283" i="180" s="1"/>
  <c r="D283" i="180"/>
  <c r="C283" i="180"/>
  <c r="B283" i="180"/>
  <c r="AZ282" i="180"/>
  <c r="AX282" i="180"/>
  <c r="AT282" i="180"/>
  <c r="AS282" i="180"/>
  <c r="AR282" i="180"/>
  <c r="AQ282" i="180"/>
  <c r="AP282" i="180"/>
  <c r="AO282" i="180"/>
  <c r="AK282" i="180"/>
  <c r="AH282" i="180"/>
  <c r="AG282" i="180"/>
  <c r="AF282" i="180"/>
  <c r="Z282" i="180"/>
  <c r="AD282" i="180" s="1"/>
  <c r="AE282" i="180" s="1"/>
  <c r="W282" i="180"/>
  <c r="X282" i="180" s="1"/>
  <c r="U282" i="180"/>
  <c r="T282" i="180"/>
  <c r="S282" i="180"/>
  <c r="R282" i="180"/>
  <c r="Q282" i="180" a="1"/>
  <c r="Q282" i="180" s="1"/>
  <c r="P282" i="180"/>
  <c r="O282" i="180"/>
  <c r="N282" i="180"/>
  <c r="M282" i="180"/>
  <c r="J282" i="180"/>
  <c r="I282" i="180"/>
  <c r="H282" i="180"/>
  <c r="G282" i="180"/>
  <c r="E282" i="180"/>
  <c r="L282" i="180" s="1"/>
  <c r="D282" i="180"/>
  <c r="C282" i="180"/>
  <c r="B282" i="180"/>
  <c r="AZ281" i="180"/>
  <c r="AX281" i="180"/>
  <c r="AU281" i="180"/>
  <c r="AS281" i="180"/>
  <c r="AR281" i="180"/>
  <c r="AQ281" i="180"/>
  <c r="AP281" i="180"/>
  <c r="AO281" i="180"/>
  <c r="AK281" i="180"/>
  <c r="AH281" i="180"/>
  <c r="AG281" i="180"/>
  <c r="AF281" i="180"/>
  <c r="Z281" i="180"/>
  <c r="AD281" i="180" s="1"/>
  <c r="AE281" i="180" s="1"/>
  <c r="W281" i="180"/>
  <c r="X281" i="180" s="1"/>
  <c r="U281" i="180"/>
  <c r="T281" i="180"/>
  <c r="S281" i="180"/>
  <c r="R281" i="180"/>
  <c r="Q281" i="180" a="1"/>
  <c r="Q281" i="180" s="1"/>
  <c r="P281" i="180"/>
  <c r="O281" i="180"/>
  <c r="N281" i="180"/>
  <c r="M281" i="180"/>
  <c r="J281" i="180"/>
  <c r="I281" i="180"/>
  <c r="H281" i="180"/>
  <c r="G281" i="180"/>
  <c r="E281" i="180"/>
  <c r="L281" i="180" s="1"/>
  <c r="D281" i="180"/>
  <c r="C281" i="180"/>
  <c r="B281" i="180"/>
  <c r="AZ280" i="180"/>
  <c r="AX280" i="180"/>
  <c r="AS280" i="180"/>
  <c r="AR280" i="180"/>
  <c r="AQ280" i="180"/>
  <c r="AP280" i="180"/>
  <c r="AO280" i="180"/>
  <c r="AK280" i="180"/>
  <c r="AH280" i="180"/>
  <c r="AG280" i="180"/>
  <c r="AF280" i="180"/>
  <c r="Z280" i="180"/>
  <c r="AD280" i="180" s="1"/>
  <c r="AE280" i="180" s="1"/>
  <c r="W280" i="180"/>
  <c r="X280" i="180" s="1"/>
  <c r="U280" i="180"/>
  <c r="T280" i="180"/>
  <c r="S280" i="180"/>
  <c r="R280" i="180"/>
  <c r="Q280" i="180" a="1"/>
  <c r="Q280" i="180" s="1"/>
  <c r="P280" i="180"/>
  <c r="O280" i="180"/>
  <c r="N280" i="180"/>
  <c r="M280" i="180"/>
  <c r="J280" i="180"/>
  <c r="I280" i="180"/>
  <c r="H280" i="180"/>
  <c r="G280" i="180"/>
  <c r="E280" i="180"/>
  <c r="L280" i="180" s="1"/>
  <c r="D280" i="180"/>
  <c r="C280" i="180"/>
  <c r="B280" i="180"/>
  <c r="AZ279" i="180"/>
  <c r="AX279" i="180"/>
  <c r="AS279" i="180"/>
  <c r="AR279" i="180"/>
  <c r="AQ279" i="180"/>
  <c r="AP279" i="180"/>
  <c r="AO279" i="180"/>
  <c r="AK279" i="180"/>
  <c r="AH279" i="180"/>
  <c r="AG279" i="180"/>
  <c r="AF279" i="180"/>
  <c r="Z279" i="180"/>
  <c r="AD279" i="180" s="1"/>
  <c r="AE279" i="180" s="1"/>
  <c r="W279" i="180"/>
  <c r="X279" i="180" s="1"/>
  <c r="U279" i="180"/>
  <c r="T279" i="180"/>
  <c r="S279" i="180"/>
  <c r="R279" i="180"/>
  <c r="Q279" i="180" a="1"/>
  <c r="Q279" i="180" s="1"/>
  <c r="P279" i="180"/>
  <c r="O279" i="180"/>
  <c r="N279" i="180"/>
  <c r="M279" i="180"/>
  <c r="J279" i="180"/>
  <c r="I279" i="180"/>
  <c r="H279" i="180"/>
  <c r="G279" i="180"/>
  <c r="E279" i="180"/>
  <c r="L279" i="180" s="1"/>
  <c r="D279" i="180"/>
  <c r="C279" i="180"/>
  <c r="B279" i="180"/>
  <c r="AZ278" i="180"/>
  <c r="AX278" i="180"/>
  <c r="AS278" i="180"/>
  <c r="AR278" i="180"/>
  <c r="AQ278" i="180"/>
  <c r="AP278" i="180"/>
  <c r="AO278" i="180"/>
  <c r="AK278" i="180"/>
  <c r="AH278" i="180"/>
  <c r="AG278" i="180"/>
  <c r="AF278" i="180"/>
  <c r="Z278" i="180"/>
  <c r="AD278" i="180" s="1"/>
  <c r="AE278" i="180" s="1"/>
  <c r="W278" i="180"/>
  <c r="X278" i="180" s="1"/>
  <c r="U278" i="180"/>
  <c r="T278" i="180"/>
  <c r="S278" i="180"/>
  <c r="R278" i="180"/>
  <c r="Q278" i="180" a="1"/>
  <c r="Q278" i="180" s="1"/>
  <c r="P278" i="180"/>
  <c r="O278" i="180"/>
  <c r="N278" i="180"/>
  <c r="M278" i="180"/>
  <c r="J278" i="180"/>
  <c r="I278" i="180"/>
  <c r="H278" i="180"/>
  <c r="G278" i="180"/>
  <c r="E278" i="180"/>
  <c r="L278" i="180" s="1"/>
  <c r="D278" i="180"/>
  <c r="C278" i="180"/>
  <c r="B278" i="180"/>
  <c r="AZ277" i="180"/>
  <c r="AX277" i="180"/>
  <c r="AS277" i="180"/>
  <c r="AR277" i="180"/>
  <c r="AQ277" i="180"/>
  <c r="AP277" i="180"/>
  <c r="AO277" i="180"/>
  <c r="AK277" i="180"/>
  <c r="AH277" i="180"/>
  <c r="AG277" i="180"/>
  <c r="AF277" i="180"/>
  <c r="Z277" i="180"/>
  <c r="AD277" i="180" s="1"/>
  <c r="AE277" i="180" s="1"/>
  <c r="W277" i="180"/>
  <c r="X277" i="180" s="1"/>
  <c r="U277" i="180"/>
  <c r="T277" i="180"/>
  <c r="S277" i="180"/>
  <c r="R277" i="180"/>
  <c r="Q277" i="180" a="1"/>
  <c r="Q277" i="180" s="1"/>
  <c r="P277" i="180"/>
  <c r="O277" i="180"/>
  <c r="N277" i="180"/>
  <c r="M277" i="180"/>
  <c r="J277" i="180"/>
  <c r="I277" i="180"/>
  <c r="H277" i="180"/>
  <c r="G277" i="180"/>
  <c r="E277" i="180"/>
  <c r="L277" i="180" s="1"/>
  <c r="D277" i="180"/>
  <c r="C277" i="180"/>
  <c r="B277" i="180"/>
  <c r="AZ276" i="180"/>
  <c r="AX276" i="180"/>
  <c r="AS276" i="180"/>
  <c r="AR276" i="180"/>
  <c r="AQ276" i="180"/>
  <c r="AP276" i="180"/>
  <c r="AO276" i="180"/>
  <c r="AK276" i="180"/>
  <c r="AH276" i="180"/>
  <c r="AG276" i="180"/>
  <c r="AF276" i="180"/>
  <c r="Z276" i="180"/>
  <c r="AD276" i="180" s="1"/>
  <c r="AE276" i="180" s="1"/>
  <c r="W276" i="180"/>
  <c r="X276" i="180" s="1"/>
  <c r="U276" i="180"/>
  <c r="T276" i="180"/>
  <c r="S276" i="180"/>
  <c r="R276" i="180"/>
  <c r="Q276" i="180" a="1"/>
  <c r="Q276" i="180" s="1"/>
  <c r="P276" i="180"/>
  <c r="O276" i="180"/>
  <c r="N276" i="180"/>
  <c r="M276" i="180"/>
  <c r="J276" i="180"/>
  <c r="I276" i="180"/>
  <c r="H276" i="180"/>
  <c r="G276" i="180"/>
  <c r="E276" i="180"/>
  <c r="L276" i="180" s="1"/>
  <c r="D276" i="180"/>
  <c r="C276" i="180"/>
  <c r="B276" i="180"/>
  <c r="AZ275" i="180"/>
  <c r="AX275" i="180"/>
  <c r="AS275" i="180"/>
  <c r="AR275" i="180"/>
  <c r="AQ275" i="180"/>
  <c r="AP275" i="180"/>
  <c r="AO275" i="180"/>
  <c r="AK275" i="180"/>
  <c r="AH275" i="180"/>
  <c r="AG275" i="180"/>
  <c r="AF275" i="180"/>
  <c r="Z275" i="180"/>
  <c r="AD275" i="180" s="1"/>
  <c r="AE275" i="180" s="1"/>
  <c r="W275" i="180"/>
  <c r="X275" i="180" s="1"/>
  <c r="U275" i="180"/>
  <c r="T275" i="180"/>
  <c r="S275" i="180"/>
  <c r="R275" i="180"/>
  <c r="Q275" i="180" a="1"/>
  <c r="Q275" i="180" s="1"/>
  <c r="P275" i="180"/>
  <c r="O275" i="180"/>
  <c r="N275" i="180"/>
  <c r="M275" i="180"/>
  <c r="J275" i="180"/>
  <c r="I275" i="180"/>
  <c r="H275" i="180"/>
  <c r="G275" i="180"/>
  <c r="E275" i="180"/>
  <c r="L275" i="180" s="1"/>
  <c r="D275" i="180"/>
  <c r="C275" i="180"/>
  <c r="B275" i="180"/>
  <c r="AZ274" i="180"/>
  <c r="AX274" i="180"/>
  <c r="AS274" i="180"/>
  <c r="AR274" i="180"/>
  <c r="AQ274" i="180"/>
  <c r="AP274" i="180"/>
  <c r="AO274" i="180"/>
  <c r="AK274" i="180"/>
  <c r="AH274" i="180"/>
  <c r="AG274" i="180"/>
  <c r="AF274" i="180"/>
  <c r="Z274" i="180"/>
  <c r="W274" i="180"/>
  <c r="X274" i="180" s="1"/>
  <c r="U274" i="180"/>
  <c r="T274" i="180"/>
  <c r="S274" i="180"/>
  <c r="R274" i="180"/>
  <c r="Q274" i="180" a="1"/>
  <c r="Q274" i="180" s="1"/>
  <c r="P274" i="180"/>
  <c r="O274" i="180"/>
  <c r="N274" i="180"/>
  <c r="M274" i="180"/>
  <c r="J274" i="180"/>
  <c r="I274" i="180"/>
  <c r="H274" i="180"/>
  <c r="G274" i="180"/>
  <c r="E274" i="180"/>
  <c r="L274" i="180" s="1"/>
  <c r="D274" i="180"/>
  <c r="C274" i="180"/>
  <c r="B274" i="180"/>
  <c r="AZ273" i="180"/>
  <c r="AX273" i="180"/>
  <c r="AS273" i="180"/>
  <c r="AR273" i="180"/>
  <c r="AQ273" i="180"/>
  <c r="AP273" i="180"/>
  <c r="AO273" i="180"/>
  <c r="AK273" i="180"/>
  <c r="AH273" i="180"/>
  <c r="AG273" i="180"/>
  <c r="AF273" i="180"/>
  <c r="Z273" i="180"/>
  <c r="AD273" i="180" s="1"/>
  <c r="AE273" i="180" s="1"/>
  <c r="W273" i="180"/>
  <c r="X273" i="180" s="1"/>
  <c r="U273" i="180"/>
  <c r="T273" i="180"/>
  <c r="S273" i="180"/>
  <c r="R273" i="180"/>
  <c r="Q273" i="180" a="1"/>
  <c r="Q273" i="180" s="1"/>
  <c r="P273" i="180"/>
  <c r="O273" i="180"/>
  <c r="N273" i="180"/>
  <c r="M273" i="180"/>
  <c r="J273" i="180"/>
  <c r="I273" i="180"/>
  <c r="H273" i="180"/>
  <c r="G273" i="180"/>
  <c r="E273" i="180"/>
  <c r="L273" i="180" s="1"/>
  <c r="D273" i="180"/>
  <c r="C273" i="180"/>
  <c r="B273" i="180"/>
  <c r="AZ272" i="180"/>
  <c r="AX272" i="180"/>
  <c r="AS272" i="180"/>
  <c r="AR272" i="180"/>
  <c r="AQ272" i="180"/>
  <c r="AP272" i="180"/>
  <c r="AO272" i="180"/>
  <c r="AK272" i="180"/>
  <c r="AH272" i="180"/>
  <c r="AG272" i="180"/>
  <c r="AF272" i="180"/>
  <c r="Z272" i="180"/>
  <c r="AD272" i="180" s="1"/>
  <c r="AE272" i="180" s="1"/>
  <c r="W272" i="180"/>
  <c r="X272" i="180" s="1"/>
  <c r="U272" i="180"/>
  <c r="T272" i="180"/>
  <c r="S272" i="180"/>
  <c r="R272" i="180"/>
  <c r="Q272" i="180" a="1"/>
  <c r="Q272" i="180" s="1"/>
  <c r="P272" i="180"/>
  <c r="O272" i="180"/>
  <c r="N272" i="180"/>
  <c r="M272" i="180"/>
  <c r="J272" i="180"/>
  <c r="I272" i="180"/>
  <c r="H272" i="180"/>
  <c r="G272" i="180"/>
  <c r="E272" i="180"/>
  <c r="L272" i="180" s="1"/>
  <c r="D272" i="180"/>
  <c r="C272" i="180"/>
  <c r="B272" i="180"/>
  <c r="AZ271" i="180"/>
  <c r="AX271" i="180"/>
  <c r="AS271" i="180"/>
  <c r="AR271" i="180"/>
  <c r="AQ271" i="180"/>
  <c r="AP271" i="180"/>
  <c r="AO271" i="180"/>
  <c r="AK271" i="180"/>
  <c r="AH271" i="180"/>
  <c r="AG271" i="180"/>
  <c r="AF271" i="180"/>
  <c r="Z271" i="180"/>
  <c r="AD271" i="180" s="1"/>
  <c r="AE271" i="180" s="1"/>
  <c r="W271" i="180"/>
  <c r="X271" i="180" s="1"/>
  <c r="U271" i="180"/>
  <c r="T271" i="180"/>
  <c r="S271" i="180"/>
  <c r="R271" i="180"/>
  <c r="Q271" i="180" a="1"/>
  <c r="Q271" i="180" s="1"/>
  <c r="P271" i="180"/>
  <c r="O271" i="180"/>
  <c r="N271" i="180"/>
  <c r="M271" i="180"/>
  <c r="J271" i="180"/>
  <c r="I271" i="180"/>
  <c r="H271" i="180"/>
  <c r="G271" i="180"/>
  <c r="E271" i="180"/>
  <c r="L271" i="180" s="1"/>
  <c r="D271" i="180"/>
  <c r="C271" i="180"/>
  <c r="B271" i="180"/>
  <c r="AZ270" i="180"/>
  <c r="AX270" i="180"/>
  <c r="AS270" i="180"/>
  <c r="AR270" i="180"/>
  <c r="AQ270" i="180"/>
  <c r="AP270" i="180"/>
  <c r="AO270" i="180"/>
  <c r="AK270" i="180"/>
  <c r="AH270" i="180"/>
  <c r="AG270" i="180"/>
  <c r="AF270" i="180"/>
  <c r="Z270" i="180"/>
  <c r="AD270" i="180" s="1"/>
  <c r="AE270" i="180" s="1"/>
  <c r="W270" i="180"/>
  <c r="X270" i="180" s="1"/>
  <c r="U270" i="180"/>
  <c r="T270" i="180"/>
  <c r="S270" i="180"/>
  <c r="R270" i="180"/>
  <c r="Q270" i="180" a="1"/>
  <c r="Q270" i="180" s="1"/>
  <c r="P270" i="180"/>
  <c r="O270" i="180"/>
  <c r="N270" i="180"/>
  <c r="M270" i="180"/>
  <c r="J270" i="180"/>
  <c r="I270" i="180"/>
  <c r="H270" i="180"/>
  <c r="G270" i="180"/>
  <c r="E270" i="180"/>
  <c r="L270" i="180" s="1"/>
  <c r="D270" i="180"/>
  <c r="C270" i="180"/>
  <c r="B270" i="180"/>
  <c r="AZ269" i="180"/>
  <c r="AX269" i="180"/>
  <c r="AS269" i="180"/>
  <c r="AR269" i="180"/>
  <c r="AQ269" i="180"/>
  <c r="AP269" i="180"/>
  <c r="AO269" i="180"/>
  <c r="AK269" i="180"/>
  <c r="AH269" i="180"/>
  <c r="AG269" i="180"/>
  <c r="AF269" i="180"/>
  <c r="Z269" i="180"/>
  <c r="AD269" i="180" s="1"/>
  <c r="AE269" i="180" s="1"/>
  <c r="W269" i="180"/>
  <c r="X269" i="180" s="1"/>
  <c r="U269" i="180"/>
  <c r="T269" i="180"/>
  <c r="S269" i="180"/>
  <c r="R269" i="180"/>
  <c r="Q269" i="180" a="1"/>
  <c r="Q269" i="180" s="1"/>
  <c r="P269" i="180"/>
  <c r="O269" i="180"/>
  <c r="N269" i="180"/>
  <c r="M269" i="180"/>
  <c r="J269" i="180"/>
  <c r="I269" i="180"/>
  <c r="H269" i="180"/>
  <c r="G269" i="180"/>
  <c r="E269" i="180"/>
  <c r="L269" i="180" s="1"/>
  <c r="D269" i="180"/>
  <c r="C269" i="180"/>
  <c r="B269" i="180"/>
  <c r="AZ268" i="180"/>
  <c r="AX268" i="180"/>
  <c r="AS268" i="180"/>
  <c r="AR268" i="180"/>
  <c r="AQ268" i="180"/>
  <c r="AP268" i="180"/>
  <c r="AO268" i="180"/>
  <c r="AK268" i="180"/>
  <c r="AH268" i="180"/>
  <c r="AG268" i="180"/>
  <c r="AF268" i="180"/>
  <c r="Z268" i="180"/>
  <c r="AD268" i="180" s="1"/>
  <c r="AE268" i="180" s="1"/>
  <c r="W268" i="180"/>
  <c r="X268" i="180" s="1"/>
  <c r="U268" i="180"/>
  <c r="T268" i="180"/>
  <c r="S268" i="180"/>
  <c r="R268" i="180"/>
  <c r="Q268" i="180" a="1"/>
  <c r="Q268" i="180" s="1"/>
  <c r="P268" i="180"/>
  <c r="O268" i="180"/>
  <c r="N268" i="180"/>
  <c r="M268" i="180"/>
  <c r="J268" i="180"/>
  <c r="I268" i="180"/>
  <c r="H268" i="180"/>
  <c r="G268" i="180"/>
  <c r="E268" i="180"/>
  <c r="L268" i="180" s="1"/>
  <c r="D268" i="180"/>
  <c r="C268" i="180"/>
  <c r="B268" i="180"/>
  <c r="AZ267" i="180"/>
  <c r="AX267" i="180"/>
  <c r="AS267" i="180"/>
  <c r="AR267" i="180"/>
  <c r="AQ267" i="180"/>
  <c r="AP267" i="180"/>
  <c r="AO267" i="180"/>
  <c r="AK267" i="180"/>
  <c r="AH267" i="180"/>
  <c r="AG267" i="180"/>
  <c r="AF267" i="180"/>
  <c r="Z267" i="180"/>
  <c r="AD267" i="180" s="1"/>
  <c r="AE267" i="180" s="1"/>
  <c r="W267" i="180"/>
  <c r="X267" i="180" s="1"/>
  <c r="U267" i="180"/>
  <c r="T267" i="180"/>
  <c r="S267" i="180"/>
  <c r="R267" i="180"/>
  <c r="Q267" i="180" a="1"/>
  <c r="Q267" i="180" s="1"/>
  <c r="P267" i="180"/>
  <c r="O267" i="180"/>
  <c r="N267" i="180"/>
  <c r="M267" i="180"/>
  <c r="J267" i="180"/>
  <c r="I267" i="180"/>
  <c r="H267" i="180"/>
  <c r="G267" i="180"/>
  <c r="E267" i="180"/>
  <c r="L267" i="180" s="1"/>
  <c r="D267" i="180"/>
  <c r="C267" i="180"/>
  <c r="B267" i="180"/>
  <c r="AZ266" i="180"/>
  <c r="AX266" i="180"/>
  <c r="AS266" i="180"/>
  <c r="AR266" i="180"/>
  <c r="AQ266" i="180"/>
  <c r="AP266" i="180"/>
  <c r="AO266" i="180"/>
  <c r="AK266" i="180"/>
  <c r="AH266" i="180"/>
  <c r="AG266" i="180"/>
  <c r="AF266" i="180"/>
  <c r="Z266" i="180"/>
  <c r="AD266" i="180" s="1"/>
  <c r="AE266" i="180" s="1"/>
  <c r="W266" i="180"/>
  <c r="X266" i="180" s="1"/>
  <c r="U266" i="180"/>
  <c r="T266" i="180"/>
  <c r="S266" i="180"/>
  <c r="R266" i="180"/>
  <c r="Q266" i="180" a="1"/>
  <c r="Q266" i="180" s="1"/>
  <c r="P266" i="180"/>
  <c r="O266" i="180"/>
  <c r="N266" i="180"/>
  <c r="M266" i="180"/>
  <c r="J266" i="180"/>
  <c r="I266" i="180"/>
  <c r="H266" i="180"/>
  <c r="G266" i="180"/>
  <c r="E266" i="180"/>
  <c r="L266" i="180" s="1"/>
  <c r="D266" i="180"/>
  <c r="C266" i="180"/>
  <c r="B266" i="180"/>
  <c r="AZ265" i="180"/>
  <c r="AX265" i="180"/>
  <c r="AS265" i="180"/>
  <c r="AR265" i="180"/>
  <c r="AQ265" i="180"/>
  <c r="AP265" i="180"/>
  <c r="AO265" i="180"/>
  <c r="AK265" i="180"/>
  <c r="AH265" i="180"/>
  <c r="AG265" i="180"/>
  <c r="AF265" i="180"/>
  <c r="Z265" i="180"/>
  <c r="AD265" i="180" s="1"/>
  <c r="AE265" i="180" s="1"/>
  <c r="W265" i="180"/>
  <c r="X265" i="180" s="1"/>
  <c r="U265" i="180"/>
  <c r="T265" i="180"/>
  <c r="S265" i="180"/>
  <c r="R265" i="180"/>
  <c r="Q265" i="180" a="1"/>
  <c r="Q265" i="180" s="1"/>
  <c r="P265" i="180"/>
  <c r="O265" i="180"/>
  <c r="N265" i="180"/>
  <c r="M265" i="180"/>
  <c r="J265" i="180"/>
  <c r="I265" i="180"/>
  <c r="H265" i="180"/>
  <c r="G265" i="180"/>
  <c r="E265" i="180"/>
  <c r="L265" i="180" s="1"/>
  <c r="D265" i="180"/>
  <c r="C265" i="180"/>
  <c r="B265" i="180"/>
  <c r="AZ264" i="180"/>
  <c r="AX264" i="180"/>
  <c r="AS264" i="180"/>
  <c r="AR264" i="180"/>
  <c r="AQ264" i="180"/>
  <c r="AP264" i="180"/>
  <c r="AO264" i="180"/>
  <c r="AK264" i="180"/>
  <c r="AH264" i="180"/>
  <c r="AG264" i="180"/>
  <c r="AF264" i="180"/>
  <c r="Z264" i="180"/>
  <c r="AD264" i="180" s="1"/>
  <c r="AE264" i="180" s="1"/>
  <c r="W264" i="180"/>
  <c r="X264" i="180" s="1"/>
  <c r="U264" i="180"/>
  <c r="T264" i="180"/>
  <c r="S264" i="180"/>
  <c r="R264" i="180"/>
  <c r="Q264" i="180" a="1"/>
  <c r="Q264" i="180" s="1"/>
  <c r="P264" i="180"/>
  <c r="O264" i="180"/>
  <c r="N264" i="180"/>
  <c r="M264" i="180"/>
  <c r="J264" i="180"/>
  <c r="I264" i="180"/>
  <c r="H264" i="180"/>
  <c r="G264" i="180"/>
  <c r="E264" i="180"/>
  <c r="L264" i="180" s="1"/>
  <c r="D264" i="180"/>
  <c r="C264" i="180"/>
  <c r="B264" i="180"/>
  <c r="AZ263" i="180"/>
  <c r="AX263" i="180"/>
  <c r="AS263" i="180"/>
  <c r="AR263" i="180"/>
  <c r="AQ263" i="180"/>
  <c r="AP263" i="180"/>
  <c r="AO263" i="180"/>
  <c r="AK263" i="180"/>
  <c r="AH263" i="180"/>
  <c r="AG263" i="180"/>
  <c r="AF263" i="180"/>
  <c r="Z263" i="180"/>
  <c r="AD263" i="180" s="1"/>
  <c r="AE263" i="180" s="1"/>
  <c r="W263" i="180"/>
  <c r="X263" i="180" s="1"/>
  <c r="U263" i="180"/>
  <c r="T263" i="180"/>
  <c r="S263" i="180"/>
  <c r="R263" i="180"/>
  <c r="Q263" i="180" a="1"/>
  <c r="Q263" i="180" s="1"/>
  <c r="P263" i="180"/>
  <c r="O263" i="180"/>
  <c r="N263" i="180"/>
  <c r="M263" i="180"/>
  <c r="J263" i="180"/>
  <c r="I263" i="180"/>
  <c r="H263" i="180"/>
  <c r="G263" i="180"/>
  <c r="E263" i="180"/>
  <c r="L263" i="180" s="1"/>
  <c r="D263" i="180"/>
  <c r="C263" i="180"/>
  <c r="B263" i="180"/>
  <c r="AZ262" i="180"/>
  <c r="AX262" i="180"/>
  <c r="AS262" i="180"/>
  <c r="AR262" i="180"/>
  <c r="AQ262" i="180"/>
  <c r="AP262" i="180"/>
  <c r="AO262" i="180"/>
  <c r="AK262" i="180"/>
  <c r="AH262" i="180"/>
  <c r="AG262" i="180"/>
  <c r="AF262" i="180"/>
  <c r="Z262" i="180"/>
  <c r="AD262" i="180" s="1"/>
  <c r="AE262" i="180" s="1"/>
  <c r="W262" i="180"/>
  <c r="X262" i="180" s="1"/>
  <c r="U262" i="180"/>
  <c r="T262" i="180"/>
  <c r="S262" i="180"/>
  <c r="R262" i="180"/>
  <c r="Q262" i="180" a="1"/>
  <c r="Q262" i="180" s="1"/>
  <c r="P262" i="180"/>
  <c r="O262" i="180"/>
  <c r="N262" i="180"/>
  <c r="M262" i="180"/>
  <c r="J262" i="180"/>
  <c r="I262" i="180"/>
  <c r="H262" i="180"/>
  <c r="G262" i="180"/>
  <c r="E262" i="180"/>
  <c r="L262" i="180" s="1"/>
  <c r="D262" i="180"/>
  <c r="C262" i="180"/>
  <c r="B262" i="180"/>
  <c r="AZ261" i="180"/>
  <c r="AX261" i="180"/>
  <c r="AS261" i="180"/>
  <c r="AR261" i="180"/>
  <c r="AQ261" i="180"/>
  <c r="AP261" i="180"/>
  <c r="AO261" i="180"/>
  <c r="AK261" i="180"/>
  <c r="AH261" i="180"/>
  <c r="AG261" i="180"/>
  <c r="AF261" i="180"/>
  <c r="Z261" i="180"/>
  <c r="AD261" i="180" s="1"/>
  <c r="AE261" i="180" s="1"/>
  <c r="W261" i="180"/>
  <c r="X261" i="180" s="1"/>
  <c r="U261" i="180"/>
  <c r="T261" i="180"/>
  <c r="S261" i="180"/>
  <c r="R261" i="180"/>
  <c r="Q261" i="180" a="1"/>
  <c r="Q261" i="180" s="1"/>
  <c r="P261" i="180"/>
  <c r="O261" i="180"/>
  <c r="N261" i="180"/>
  <c r="M261" i="180"/>
  <c r="J261" i="180"/>
  <c r="I261" i="180"/>
  <c r="H261" i="180"/>
  <c r="G261" i="180"/>
  <c r="E261" i="180"/>
  <c r="L261" i="180" s="1"/>
  <c r="D261" i="180"/>
  <c r="C261" i="180"/>
  <c r="B261" i="180"/>
  <c r="AZ260" i="180"/>
  <c r="AX260" i="180"/>
  <c r="AS260" i="180"/>
  <c r="AR260" i="180"/>
  <c r="AQ260" i="180"/>
  <c r="AP260" i="180"/>
  <c r="AO260" i="180"/>
  <c r="AK260" i="180"/>
  <c r="AH260" i="180"/>
  <c r="AG260" i="180"/>
  <c r="AF260" i="180"/>
  <c r="Z260" i="180"/>
  <c r="AD260" i="180" s="1"/>
  <c r="AE260" i="180" s="1"/>
  <c r="W260" i="180"/>
  <c r="X260" i="180" s="1"/>
  <c r="U260" i="180"/>
  <c r="T260" i="180"/>
  <c r="S260" i="180"/>
  <c r="R260" i="180"/>
  <c r="Q260" i="180" a="1"/>
  <c r="Q260" i="180" s="1"/>
  <c r="P260" i="180"/>
  <c r="O260" i="180"/>
  <c r="N260" i="180"/>
  <c r="M260" i="180"/>
  <c r="J260" i="180"/>
  <c r="I260" i="180"/>
  <c r="H260" i="180"/>
  <c r="G260" i="180"/>
  <c r="E260" i="180"/>
  <c r="L260" i="180" s="1"/>
  <c r="D260" i="180"/>
  <c r="C260" i="180"/>
  <c r="B260" i="180"/>
  <c r="AZ259" i="180"/>
  <c r="AX259" i="180"/>
  <c r="AS259" i="180"/>
  <c r="AR259" i="180"/>
  <c r="AQ259" i="180"/>
  <c r="AP259" i="180"/>
  <c r="AO259" i="180"/>
  <c r="AK259" i="180"/>
  <c r="AH259" i="180"/>
  <c r="AG259" i="180"/>
  <c r="AF259" i="180"/>
  <c r="Z259" i="180"/>
  <c r="AD259" i="180" s="1"/>
  <c r="AE259" i="180" s="1"/>
  <c r="W259" i="180"/>
  <c r="X259" i="180" s="1"/>
  <c r="U259" i="180"/>
  <c r="T259" i="180"/>
  <c r="S259" i="180"/>
  <c r="R259" i="180"/>
  <c r="Q259" i="180" a="1"/>
  <c r="Q259" i="180" s="1"/>
  <c r="P259" i="180"/>
  <c r="O259" i="180"/>
  <c r="N259" i="180"/>
  <c r="M259" i="180"/>
  <c r="J259" i="180"/>
  <c r="I259" i="180"/>
  <c r="H259" i="180"/>
  <c r="G259" i="180"/>
  <c r="E259" i="180"/>
  <c r="L259" i="180" s="1"/>
  <c r="D259" i="180"/>
  <c r="C259" i="180"/>
  <c r="B259" i="180"/>
  <c r="AZ258" i="180"/>
  <c r="AX258" i="180"/>
  <c r="AS258" i="180"/>
  <c r="AR258" i="180"/>
  <c r="AQ258" i="180"/>
  <c r="AP258" i="180"/>
  <c r="AO258" i="180"/>
  <c r="AK258" i="180"/>
  <c r="AH258" i="180"/>
  <c r="AG258" i="180"/>
  <c r="AF258" i="180"/>
  <c r="Z258" i="180"/>
  <c r="W258" i="180"/>
  <c r="X258" i="180" s="1"/>
  <c r="U258" i="180"/>
  <c r="T258" i="180"/>
  <c r="S258" i="180"/>
  <c r="R258" i="180"/>
  <c r="Q258" i="180" a="1"/>
  <c r="Q258" i="180" s="1"/>
  <c r="P258" i="180"/>
  <c r="O258" i="180"/>
  <c r="N258" i="180"/>
  <c r="M258" i="180"/>
  <c r="J258" i="180"/>
  <c r="I258" i="180"/>
  <c r="H258" i="180"/>
  <c r="G258" i="180"/>
  <c r="E258" i="180"/>
  <c r="L258" i="180" s="1"/>
  <c r="D258" i="180"/>
  <c r="C258" i="180"/>
  <c r="B258" i="180"/>
  <c r="AZ257" i="180"/>
  <c r="AX257" i="180"/>
  <c r="AS257" i="180"/>
  <c r="AR257" i="180"/>
  <c r="AQ257" i="180"/>
  <c r="AP257" i="180"/>
  <c r="AO257" i="180"/>
  <c r="AK257" i="180"/>
  <c r="AH257" i="180"/>
  <c r="AG257" i="180"/>
  <c r="AF257" i="180"/>
  <c r="Z257" i="180"/>
  <c r="AD257" i="180" s="1"/>
  <c r="AE257" i="180" s="1"/>
  <c r="W257" i="180"/>
  <c r="X257" i="180" s="1"/>
  <c r="U257" i="180"/>
  <c r="T257" i="180"/>
  <c r="S257" i="180"/>
  <c r="R257" i="180"/>
  <c r="Q257" i="180" a="1"/>
  <c r="Q257" i="180" s="1"/>
  <c r="P257" i="180"/>
  <c r="O257" i="180"/>
  <c r="N257" i="180"/>
  <c r="M257" i="180"/>
  <c r="J257" i="180"/>
  <c r="I257" i="180"/>
  <c r="H257" i="180"/>
  <c r="G257" i="180"/>
  <c r="E257" i="180"/>
  <c r="L257" i="180" s="1"/>
  <c r="D257" i="180"/>
  <c r="C257" i="180"/>
  <c r="B257" i="180"/>
  <c r="AZ256" i="180"/>
  <c r="AX256" i="180"/>
  <c r="AS256" i="180"/>
  <c r="AR256" i="180"/>
  <c r="AQ256" i="180"/>
  <c r="AP256" i="180"/>
  <c r="AO256" i="180"/>
  <c r="AK256" i="180"/>
  <c r="AH256" i="180"/>
  <c r="AG256" i="180"/>
  <c r="AF256" i="180"/>
  <c r="Z256" i="180"/>
  <c r="W256" i="180"/>
  <c r="X256" i="180" s="1"/>
  <c r="U256" i="180"/>
  <c r="T256" i="180"/>
  <c r="S256" i="180"/>
  <c r="R256" i="180"/>
  <c r="Q256" i="180" a="1"/>
  <c r="Q256" i="180" s="1"/>
  <c r="P256" i="180"/>
  <c r="O256" i="180"/>
  <c r="N256" i="180"/>
  <c r="M256" i="180"/>
  <c r="J256" i="180"/>
  <c r="I256" i="180"/>
  <c r="H256" i="180"/>
  <c r="G256" i="180"/>
  <c r="E256" i="180"/>
  <c r="L256" i="180" s="1"/>
  <c r="D256" i="180"/>
  <c r="C256" i="180"/>
  <c r="B256" i="180"/>
  <c r="AZ255" i="180"/>
  <c r="AX255" i="180"/>
  <c r="AS255" i="180"/>
  <c r="AR255" i="180"/>
  <c r="AQ255" i="180"/>
  <c r="AP255" i="180"/>
  <c r="AO255" i="180"/>
  <c r="AK255" i="180"/>
  <c r="AH255" i="180"/>
  <c r="AG255" i="180"/>
  <c r="AF255" i="180"/>
  <c r="Z255" i="180"/>
  <c r="W255" i="180"/>
  <c r="X255" i="180" s="1"/>
  <c r="U255" i="180"/>
  <c r="T255" i="180"/>
  <c r="S255" i="180"/>
  <c r="R255" i="180"/>
  <c r="Q255" i="180" a="1"/>
  <c r="Q255" i="180" s="1"/>
  <c r="P255" i="180"/>
  <c r="O255" i="180"/>
  <c r="N255" i="180"/>
  <c r="M255" i="180"/>
  <c r="J255" i="180"/>
  <c r="I255" i="180"/>
  <c r="H255" i="180"/>
  <c r="G255" i="180"/>
  <c r="E255" i="180"/>
  <c r="L255" i="180" s="1"/>
  <c r="D255" i="180"/>
  <c r="C255" i="180"/>
  <c r="B255" i="180"/>
  <c r="AZ254" i="180"/>
  <c r="AX254" i="180"/>
  <c r="AS254" i="180"/>
  <c r="AR254" i="180"/>
  <c r="AQ254" i="180"/>
  <c r="AP254" i="180"/>
  <c r="AO254" i="180"/>
  <c r="AK254" i="180"/>
  <c r="AH254" i="180"/>
  <c r="AG254" i="180"/>
  <c r="AF254" i="180"/>
  <c r="Z254" i="180"/>
  <c r="AD254" i="180" s="1"/>
  <c r="AE254" i="180" s="1"/>
  <c r="W254" i="180"/>
  <c r="X254" i="180" s="1"/>
  <c r="U254" i="180"/>
  <c r="T254" i="180"/>
  <c r="S254" i="180"/>
  <c r="R254" i="180"/>
  <c r="Q254" i="180" a="1"/>
  <c r="Q254" i="180" s="1"/>
  <c r="P254" i="180"/>
  <c r="O254" i="180"/>
  <c r="N254" i="180"/>
  <c r="M254" i="180"/>
  <c r="J254" i="180"/>
  <c r="I254" i="180"/>
  <c r="H254" i="180"/>
  <c r="G254" i="180"/>
  <c r="E254" i="180"/>
  <c r="L254" i="180" s="1"/>
  <c r="D254" i="180"/>
  <c r="C254" i="180"/>
  <c r="B254" i="180"/>
  <c r="AZ253" i="180"/>
  <c r="AX253" i="180"/>
  <c r="AS253" i="180"/>
  <c r="AR253" i="180"/>
  <c r="AQ253" i="180"/>
  <c r="AP253" i="180"/>
  <c r="AO253" i="180"/>
  <c r="AK253" i="180"/>
  <c r="AH253" i="180"/>
  <c r="AG253" i="180"/>
  <c r="AF253" i="180"/>
  <c r="Z253" i="180"/>
  <c r="AA253" i="180" s="1"/>
  <c r="W253" i="180"/>
  <c r="X253" i="180" s="1"/>
  <c r="U253" i="180"/>
  <c r="T253" i="180"/>
  <c r="S253" i="180"/>
  <c r="R253" i="180"/>
  <c r="Q253" i="180" a="1"/>
  <c r="Q253" i="180" s="1"/>
  <c r="P253" i="180"/>
  <c r="O253" i="180"/>
  <c r="N253" i="180"/>
  <c r="M253" i="180"/>
  <c r="J253" i="180"/>
  <c r="I253" i="180"/>
  <c r="H253" i="180"/>
  <c r="G253" i="180"/>
  <c r="E253" i="180"/>
  <c r="L253" i="180" s="1"/>
  <c r="D253" i="180"/>
  <c r="C253" i="180"/>
  <c r="B253" i="180"/>
  <c r="AZ252" i="180"/>
  <c r="AX252" i="180"/>
  <c r="AS252" i="180"/>
  <c r="AR252" i="180"/>
  <c r="AQ252" i="180"/>
  <c r="AP252" i="180"/>
  <c r="AO252" i="180"/>
  <c r="AK252" i="180"/>
  <c r="AH252" i="180"/>
  <c r="AG252" i="180"/>
  <c r="AF252" i="180"/>
  <c r="Z252" i="180"/>
  <c r="W252" i="180"/>
  <c r="X252" i="180" s="1"/>
  <c r="U252" i="180"/>
  <c r="T252" i="180"/>
  <c r="S252" i="180"/>
  <c r="R252" i="180"/>
  <c r="Q252" i="180" a="1"/>
  <c r="Q252" i="180" s="1"/>
  <c r="P252" i="180"/>
  <c r="O252" i="180"/>
  <c r="N252" i="180"/>
  <c r="M252" i="180"/>
  <c r="J252" i="180"/>
  <c r="I252" i="180"/>
  <c r="H252" i="180"/>
  <c r="G252" i="180"/>
  <c r="E252" i="180"/>
  <c r="L252" i="180" s="1"/>
  <c r="D252" i="180"/>
  <c r="C252" i="180"/>
  <c r="B252" i="180"/>
  <c r="AZ251" i="180"/>
  <c r="AX251" i="180"/>
  <c r="AS251" i="180"/>
  <c r="AR251" i="180"/>
  <c r="AQ251" i="180"/>
  <c r="AP251" i="180"/>
  <c r="AO251" i="180"/>
  <c r="AK251" i="180"/>
  <c r="AH251" i="180"/>
  <c r="AG251" i="180"/>
  <c r="AF251" i="180"/>
  <c r="Z251" i="180"/>
  <c r="W251" i="180"/>
  <c r="X251" i="180" s="1"/>
  <c r="U251" i="180"/>
  <c r="T251" i="180"/>
  <c r="S251" i="180"/>
  <c r="R251" i="180"/>
  <c r="Q251" i="180" a="1"/>
  <c r="Q251" i="180" s="1"/>
  <c r="P251" i="180"/>
  <c r="O251" i="180"/>
  <c r="N251" i="180"/>
  <c r="M251" i="180"/>
  <c r="J251" i="180"/>
  <c r="I251" i="180"/>
  <c r="H251" i="180"/>
  <c r="G251" i="180"/>
  <c r="E251" i="180"/>
  <c r="L251" i="180" s="1"/>
  <c r="D251" i="180"/>
  <c r="C251" i="180"/>
  <c r="B251" i="180"/>
  <c r="AZ250" i="180"/>
  <c r="AX250" i="180"/>
  <c r="AS250" i="180"/>
  <c r="AR250" i="180"/>
  <c r="AQ250" i="180"/>
  <c r="AP250" i="180"/>
  <c r="AO250" i="180"/>
  <c r="AK250" i="180"/>
  <c r="AH250" i="180"/>
  <c r="AG250" i="180"/>
  <c r="AF250" i="180"/>
  <c r="Z250" i="180"/>
  <c r="AD250" i="180" s="1"/>
  <c r="AE250" i="180" s="1"/>
  <c r="W250" i="180"/>
  <c r="X250" i="180" s="1"/>
  <c r="U250" i="180"/>
  <c r="T250" i="180"/>
  <c r="S250" i="180"/>
  <c r="R250" i="180"/>
  <c r="Q250" i="180" a="1"/>
  <c r="Q250" i="180" s="1"/>
  <c r="P250" i="180"/>
  <c r="O250" i="180"/>
  <c r="N250" i="180"/>
  <c r="M250" i="180"/>
  <c r="K250" i="180"/>
  <c r="AN250" i="180" s="1"/>
  <c r="J250" i="180"/>
  <c r="I250" i="180"/>
  <c r="H250" i="180"/>
  <c r="G250" i="180"/>
  <c r="E250" i="180"/>
  <c r="L250" i="180" s="1"/>
  <c r="D250" i="180"/>
  <c r="C250" i="180"/>
  <c r="B250" i="180"/>
  <c r="AZ249" i="180"/>
  <c r="AX249" i="180"/>
  <c r="AS249" i="180"/>
  <c r="AR249" i="180"/>
  <c r="AQ249" i="180"/>
  <c r="AP249" i="180"/>
  <c r="AO249" i="180"/>
  <c r="AK249" i="180"/>
  <c r="AH249" i="180"/>
  <c r="AG249" i="180"/>
  <c r="AF249" i="180"/>
  <c r="Z249" i="180"/>
  <c r="W249" i="180"/>
  <c r="X249" i="180" s="1"/>
  <c r="U249" i="180"/>
  <c r="T249" i="180"/>
  <c r="S249" i="180"/>
  <c r="R249" i="180"/>
  <c r="Q249" i="180" a="1"/>
  <c r="Q249" i="180" s="1"/>
  <c r="P249" i="180"/>
  <c r="O249" i="180"/>
  <c r="N249" i="180"/>
  <c r="M249" i="180"/>
  <c r="J249" i="180"/>
  <c r="I249" i="180"/>
  <c r="H249" i="180"/>
  <c r="G249" i="180"/>
  <c r="E249" i="180"/>
  <c r="L249" i="180" s="1"/>
  <c r="D249" i="180"/>
  <c r="C249" i="180"/>
  <c r="B249" i="180"/>
  <c r="AZ248" i="180"/>
  <c r="AX248" i="180"/>
  <c r="AS248" i="180"/>
  <c r="AR248" i="180"/>
  <c r="AQ248" i="180"/>
  <c r="AP248" i="180"/>
  <c r="AO248" i="180"/>
  <c r="AK248" i="180"/>
  <c r="AH248" i="180"/>
  <c r="AG248" i="180"/>
  <c r="AF248" i="180"/>
  <c r="Z248" i="180"/>
  <c r="AD248" i="180" s="1"/>
  <c r="AE248" i="180" s="1"/>
  <c r="W248" i="180"/>
  <c r="X248" i="180" s="1"/>
  <c r="U248" i="180"/>
  <c r="T248" i="180"/>
  <c r="S248" i="180"/>
  <c r="R248" i="180"/>
  <c r="Q248" i="180" a="1"/>
  <c r="Q248" i="180" s="1"/>
  <c r="P248" i="180"/>
  <c r="O248" i="180"/>
  <c r="N248" i="180"/>
  <c r="M248" i="180"/>
  <c r="J248" i="180"/>
  <c r="I248" i="180"/>
  <c r="H248" i="180"/>
  <c r="G248" i="180"/>
  <c r="E248" i="180"/>
  <c r="L248" i="180" s="1"/>
  <c r="D248" i="180"/>
  <c r="C248" i="180"/>
  <c r="B248" i="180"/>
  <c r="AZ247" i="180"/>
  <c r="AX247" i="180"/>
  <c r="AS247" i="180"/>
  <c r="AR247" i="180"/>
  <c r="AQ247" i="180"/>
  <c r="AP247" i="180"/>
  <c r="AO247" i="180"/>
  <c r="AK247" i="180"/>
  <c r="AH247" i="180"/>
  <c r="AG247" i="180"/>
  <c r="AF247" i="180"/>
  <c r="Z247" i="180"/>
  <c r="AD247" i="180" s="1"/>
  <c r="AE247" i="180" s="1"/>
  <c r="W247" i="180"/>
  <c r="X247" i="180" s="1"/>
  <c r="U247" i="180"/>
  <c r="T247" i="180"/>
  <c r="S247" i="180"/>
  <c r="R247" i="180"/>
  <c r="Q247" i="180" a="1"/>
  <c r="Q247" i="180" s="1"/>
  <c r="P247" i="180"/>
  <c r="O247" i="180"/>
  <c r="N247" i="180"/>
  <c r="M247" i="180"/>
  <c r="J247" i="180"/>
  <c r="I247" i="180"/>
  <c r="H247" i="180"/>
  <c r="G247" i="180"/>
  <c r="E247" i="180"/>
  <c r="L247" i="180" s="1"/>
  <c r="D247" i="180"/>
  <c r="C247" i="180"/>
  <c r="B247" i="180"/>
  <c r="AZ246" i="180"/>
  <c r="AX246" i="180"/>
  <c r="AS246" i="180"/>
  <c r="AR246" i="180"/>
  <c r="AQ246" i="180"/>
  <c r="AP246" i="180"/>
  <c r="AO246" i="180"/>
  <c r="AK246" i="180"/>
  <c r="AH246" i="180"/>
  <c r="AG246" i="180"/>
  <c r="AF246" i="180"/>
  <c r="Z246" i="180"/>
  <c r="W246" i="180"/>
  <c r="X246" i="180" s="1"/>
  <c r="U246" i="180"/>
  <c r="T246" i="180"/>
  <c r="S246" i="180"/>
  <c r="R246" i="180"/>
  <c r="Q246" i="180" a="1"/>
  <c r="Q246" i="180" s="1"/>
  <c r="P246" i="180"/>
  <c r="O246" i="180"/>
  <c r="N246" i="180"/>
  <c r="M246" i="180"/>
  <c r="K246" i="180"/>
  <c r="AN246" i="180" s="1"/>
  <c r="J246" i="180"/>
  <c r="I246" i="180"/>
  <c r="H246" i="180"/>
  <c r="G246" i="180"/>
  <c r="E246" i="180"/>
  <c r="L246" i="180" s="1"/>
  <c r="D246" i="180"/>
  <c r="C246" i="180"/>
  <c r="B246" i="180"/>
  <c r="AZ245" i="180"/>
  <c r="AX245" i="180"/>
  <c r="AS245" i="180"/>
  <c r="AR245" i="180"/>
  <c r="AQ245" i="180"/>
  <c r="AP245" i="180"/>
  <c r="AO245" i="180"/>
  <c r="AK245" i="180"/>
  <c r="AH245" i="180"/>
  <c r="AG245" i="180"/>
  <c r="AF245" i="180"/>
  <c r="Z245" i="180"/>
  <c r="AD245" i="180" s="1"/>
  <c r="AE245" i="180" s="1"/>
  <c r="W245" i="180"/>
  <c r="X245" i="180" s="1"/>
  <c r="U245" i="180"/>
  <c r="T245" i="180"/>
  <c r="S245" i="180"/>
  <c r="R245" i="180"/>
  <c r="Q245" i="180" a="1"/>
  <c r="Q245" i="180" s="1"/>
  <c r="P245" i="180"/>
  <c r="O245" i="180"/>
  <c r="N245" i="180"/>
  <c r="M245" i="180"/>
  <c r="K245" i="180"/>
  <c r="AN245" i="180" s="1"/>
  <c r="J245" i="180"/>
  <c r="I245" i="180"/>
  <c r="H245" i="180"/>
  <c r="G245" i="180"/>
  <c r="E245" i="180"/>
  <c r="L245" i="180" s="1"/>
  <c r="D245" i="180"/>
  <c r="C245" i="180"/>
  <c r="B245" i="180"/>
  <c r="AZ244" i="180"/>
  <c r="AX244" i="180"/>
  <c r="AS244" i="180"/>
  <c r="AR244" i="180"/>
  <c r="AQ244" i="180"/>
  <c r="AP244" i="180"/>
  <c r="AO244" i="180"/>
  <c r="AK244" i="180"/>
  <c r="AH244" i="180"/>
  <c r="AG244" i="180"/>
  <c r="AF244" i="180"/>
  <c r="Z244" i="180"/>
  <c r="AD244" i="180" s="1"/>
  <c r="AE244" i="180" s="1"/>
  <c r="W244" i="180"/>
  <c r="X244" i="180" s="1"/>
  <c r="U244" i="180"/>
  <c r="T244" i="180"/>
  <c r="S244" i="180"/>
  <c r="R244" i="180"/>
  <c r="Q244" i="180" a="1"/>
  <c r="Q244" i="180" s="1"/>
  <c r="P244" i="180"/>
  <c r="O244" i="180"/>
  <c r="N244" i="180"/>
  <c r="M244" i="180"/>
  <c r="K244" i="180"/>
  <c r="AN244" i="180" s="1"/>
  <c r="J244" i="180"/>
  <c r="I244" i="180"/>
  <c r="H244" i="180"/>
  <c r="G244" i="180"/>
  <c r="E244" i="180"/>
  <c r="L244" i="180" s="1"/>
  <c r="D244" i="180"/>
  <c r="C244" i="180"/>
  <c r="B244" i="180"/>
  <c r="AZ243" i="180"/>
  <c r="AX243" i="180"/>
  <c r="AS243" i="180"/>
  <c r="AR243" i="180"/>
  <c r="AQ243" i="180"/>
  <c r="AP243" i="180"/>
  <c r="AO243" i="180"/>
  <c r="AK243" i="180"/>
  <c r="AH243" i="180"/>
  <c r="AG243" i="180"/>
  <c r="AF243" i="180"/>
  <c r="Z243" i="180"/>
  <c r="AD243" i="180" s="1"/>
  <c r="AE243" i="180" s="1"/>
  <c r="W243" i="180"/>
  <c r="X243" i="180" s="1"/>
  <c r="U243" i="180"/>
  <c r="T243" i="180"/>
  <c r="S243" i="180"/>
  <c r="R243" i="180"/>
  <c r="Q243" i="180" a="1"/>
  <c r="Q243" i="180" s="1"/>
  <c r="P243" i="180"/>
  <c r="O243" i="180"/>
  <c r="N243" i="180"/>
  <c r="M243" i="180"/>
  <c r="K243" i="180"/>
  <c r="AN243" i="180" s="1"/>
  <c r="J243" i="180"/>
  <c r="I243" i="180"/>
  <c r="H243" i="180"/>
  <c r="G243" i="180"/>
  <c r="E243" i="180"/>
  <c r="L243" i="180" s="1"/>
  <c r="D243" i="180"/>
  <c r="C243" i="180"/>
  <c r="B243" i="180"/>
  <c r="AZ242" i="180"/>
  <c r="AX242" i="180"/>
  <c r="AS242" i="180"/>
  <c r="AR242" i="180"/>
  <c r="AQ242" i="180"/>
  <c r="AP242" i="180"/>
  <c r="AO242" i="180"/>
  <c r="AK242" i="180"/>
  <c r="AH242" i="180"/>
  <c r="AG242" i="180"/>
  <c r="AF242" i="180"/>
  <c r="Z242" i="180"/>
  <c r="AA242" i="180" s="1"/>
  <c r="W242" i="180"/>
  <c r="X242" i="180" s="1"/>
  <c r="U242" i="180"/>
  <c r="T242" i="180"/>
  <c r="S242" i="180"/>
  <c r="R242" i="180"/>
  <c r="Q242" i="180" a="1"/>
  <c r="Q242" i="180" s="1"/>
  <c r="P242" i="180"/>
  <c r="O242" i="180"/>
  <c r="N242" i="180"/>
  <c r="M242" i="180"/>
  <c r="K242" i="180"/>
  <c r="AN242" i="180" s="1"/>
  <c r="J242" i="180"/>
  <c r="I242" i="180"/>
  <c r="H242" i="180"/>
  <c r="G242" i="180"/>
  <c r="E242" i="180"/>
  <c r="L242" i="180" s="1"/>
  <c r="D242" i="180"/>
  <c r="C242" i="180"/>
  <c r="B242" i="180"/>
  <c r="AZ241" i="180"/>
  <c r="AX241" i="180"/>
  <c r="AS241" i="180"/>
  <c r="AR241" i="180"/>
  <c r="AQ241" i="180"/>
  <c r="AP241" i="180"/>
  <c r="AO241" i="180"/>
  <c r="AK241" i="180"/>
  <c r="AH241" i="180"/>
  <c r="AG241" i="180"/>
  <c r="AF241" i="180"/>
  <c r="Z241" i="180"/>
  <c r="AD241" i="180" s="1"/>
  <c r="AE241" i="180" s="1"/>
  <c r="W241" i="180"/>
  <c r="X241" i="180" s="1"/>
  <c r="U241" i="180"/>
  <c r="T241" i="180"/>
  <c r="S241" i="180"/>
  <c r="R241" i="180"/>
  <c r="Q241" i="180" a="1"/>
  <c r="Q241" i="180" s="1"/>
  <c r="P241" i="180"/>
  <c r="O241" i="180"/>
  <c r="N241" i="180"/>
  <c r="M241" i="180"/>
  <c r="K241" i="180"/>
  <c r="AN241" i="180" s="1"/>
  <c r="J241" i="180"/>
  <c r="I241" i="180"/>
  <c r="H241" i="180"/>
  <c r="G241" i="180"/>
  <c r="E241" i="180"/>
  <c r="L241" i="180" s="1"/>
  <c r="D241" i="180"/>
  <c r="C241" i="180"/>
  <c r="B241" i="180"/>
  <c r="AZ240" i="180"/>
  <c r="AX240" i="180"/>
  <c r="AS240" i="180"/>
  <c r="AR240" i="180"/>
  <c r="AQ240" i="180"/>
  <c r="AP240" i="180"/>
  <c r="AO240" i="180"/>
  <c r="AK240" i="180"/>
  <c r="AH240" i="180"/>
  <c r="AG240" i="180"/>
  <c r="AF240" i="180"/>
  <c r="Z240" i="180"/>
  <c r="AD240" i="180" s="1"/>
  <c r="AE240" i="180" s="1"/>
  <c r="W240" i="180"/>
  <c r="X240" i="180" s="1"/>
  <c r="U240" i="180"/>
  <c r="T240" i="180"/>
  <c r="S240" i="180"/>
  <c r="R240" i="180"/>
  <c r="Q240" i="180" a="1"/>
  <c r="Q240" i="180" s="1"/>
  <c r="P240" i="180"/>
  <c r="O240" i="180"/>
  <c r="N240" i="180"/>
  <c r="M240" i="180"/>
  <c r="J240" i="180"/>
  <c r="I240" i="180"/>
  <c r="H240" i="180"/>
  <c r="G240" i="180"/>
  <c r="E240" i="180"/>
  <c r="L240" i="180" s="1"/>
  <c r="D240" i="180"/>
  <c r="C240" i="180"/>
  <c r="B240" i="180"/>
  <c r="AZ239" i="180"/>
  <c r="AX239" i="180"/>
  <c r="AS239" i="180"/>
  <c r="AR239" i="180"/>
  <c r="AQ239" i="180"/>
  <c r="AP239" i="180"/>
  <c r="AO239" i="180"/>
  <c r="AK239" i="180"/>
  <c r="AH239" i="180"/>
  <c r="AG239" i="180"/>
  <c r="AF239" i="180"/>
  <c r="Z239" i="180"/>
  <c r="W239" i="180"/>
  <c r="X239" i="180" s="1"/>
  <c r="U239" i="180"/>
  <c r="T239" i="180"/>
  <c r="S239" i="180"/>
  <c r="R239" i="180"/>
  <c r="Q239" i="180" a="1"/>
  <c r="Q239" i="180" s="1"/>
  <c r="P239" i="180"/>
  <c r="O239" i="180"/>
  <c r="N239" i="180"/>
  <c r="M239" i="180"/>
  <c r="J239" i="180"/>
  <c r="I239" i="180"/>
  <c r="H239" i="180"/>
  <c r="G239" i="180"/>
  <c r="E239" i="180"/>
  <c r="L239" i="180" s="1"/>
  <c r="D239" i="180"/>
  <c r="C239" i="180"/>
  <c r="B239" i="180"/>
  <c r="AZ238" i="180"/>
  <c r="AX238" i="180"/>
  <c r="AS238" i="180"/>
  <c r="AR238" i="180"/>
  <c r="AQ238" i="180"/>
  <c r="AP238" i="180"/>
  <c r="AO238" i="180"/>
  <c r="AK238" i="180"/>
  <c r="AH238" i="180"/>
  <c r="AG238" i="180"/>
  <c r="AF238" i="180"/>
  <c r="Z238" i="180"/>
  <c r="W238" i="180"/>
  <c r="X238" i="180" s="1"/>
  <c r="U238" i="180"/>
  <c r="T238" i="180"/>
  <c r="S238" i="180"/>
  <c r="R238" i="180"/>
  <c r="Q238" i="180" a="1"/>
  <c r="Q238" i="180" s="1"/>
  <c r="P238" i="180"/>
  <c r="O238" i="180"/>
  <c r="N238" i="180"/>
  <c r="M238" i="180"/>
  <c r="K238" i="180"/>
  <c r="AN238" i="180" s="1"/>
  <c r="J238" i="180"/>
  <c r="I238" i="180"/>
  <c r="H238" i="180"/>
  <c r="G238" i="180"/>
  <c r="E238" i="180"/>
  <c r="L238" i="180" s="1"/>
  <c r="D238" i="180"/>
  <c r="C238" i="180"/>
  <c r="B238" i="180"/>
  <c r="AZ237" i="180"/>
  <c r="AX237" i="180"/>
  <c r="AS237" i="180"/>
  <c r="AR237" i="180"/>
  <c r="AQ237" i="180"/>
  <c r="AP237" i="180"/>
  <c r="AO237" i="180"/>
  <c r="AK237" i="180"/>
  <c r="AH237" i="180"/>
  <c r="AG237" i="180"/>
  <c r="AF237" i="180"/>
  <c r="Z237" i="180"/>
  <c r="AD237" i="180" s="1"/>
  <c r="AE237" i="180" s="1"/>
  <c r="W237" i="180"/>
  <c r="X237" i="180" s="1"/>
  <c r="U237" i="180"/>
  <c r="T237" i="180"/>
  <c r="S237" i="180"/>
  <c r="R237" i="180"/>
  <c r="Q237" i="180" a="1"/>
  <c r="Q237" i="180" s="1"/>
  <c r="P237" i="180"/>
  <c r="O237" i="180"/>
  <c r="N237" i="180"/>
  <c r="M237" i="180"/>
  <c r="K237" i="180"/>
  <c r="AN237" i="180" s="1"/>
  <c r="J237" i="180"/>
  <c r="I237" i="180"/>
  <c r="H237" i="180"/>
  <c r="G237" i="180"/>
  <c r="E237" i="180"/>
  <c r="L237" i="180" s="1"/>
  <c r="D237" i="180"/>
  <c r="C237" i="180"/>
  <c r="B237" i="180"/>
  <c r="AZ236" i="180"/>
  <c r="AX236" i="180"/>
  <c r="AS236" i="180"/>
  <c r="AR236" i="180"/>
  <c r="AQ236" i="180"/>
  <c r="AP236" i="180"/>
  <c r="AO236" i="180"/>
  <c r="AK236" i="180"/>
  <c r="AH236" i="180"/>
  <c r="AG236" i="180"/>
  <c r="AF236" i="180"/>
  <c r="Z236" i="180"/>
  <c r="W236" i="180"/>
  <c r="X236" i="180" s="1"/>
  <c r="U236" i="180"/>
  <c r="T236" i="180"/>
  <c r="S236" i="180"/>
  <c r="R236" i="180"/>
  <c r="Q236" i="180" a="1"/>
  <c r="Q236" i="180" s="1"/>
  <c r="P236" i="180"/>
  <c r="O236" i="180"/>
  <c r="N236" i="180"/>
  <c r="M236" i="180"/>
  <c r="K236" i="180"/>
  <c r="AN236" i="180" s="1"/>
  <c r="J236" i="180"/>
  <c r="I236" i="180"/>
  <c r="H236" i="180"/>
  <c r="G236" i="180"/>
  <c r="E236" i="180"/>
  <c r="L236" i="180" s="1"/>
  <c r="D236" i="180"/>
  <c r="C236" i="180"/>
  <c r="B236" i="180"/>
  <c r="AZ235" i="180"/>
  <c r="AX235" i="180"/>
  <c r="AS235" i="180"/>
  <c r="AR235" i="180"/>
  <c r="AQ235" i="180"/>
  <c r="AP235" i="180"/>
  <c r="AO235" i="180"/>
  <c r="AK235" i="180"/>
  <c r="AH235" i="180"/>
  <c r="AG235" i="180"/>
  <c r="AF235" i="180"/>
  <c r="Z235" i="180"/>
  <c r="AD235" i="180" s="1"/>
  <c r="AE235" i="180" s="1"/>
  <c r="W235" i="180"/>
  <c r="X235" i="180" s="1"/>
  <c r="U235" i="180"/>
  <c r="T235" i="180"/>
  <c r="S235" i="180"/>
  <c r="R235" i="180"/>
  <c r="Q235" i="180" a="1"/>
  <c r="Q235" i="180" s="1"/>
  <c r="P235" i="180"/>
  <c r="O235" i="180"/>
  <c r="N235" i="180"/>
  <c r="M235" i="180"/>
  <c r="K235" i="180"/>
  <c r="AN235" i="180" s="1"/>
  <c r="J235" i="180"/>
  <c r="I235" i="180"/>
  <c r="H235" i="180"/>
  <c r="G235" i="180"/>
  <c r="E235" i="180"/>
  <c r="L235" i="180" s="1"/>
  <c r="D235" i="180"/>
  <c r="C235" i="180"/>
  <c r="B235" i="180"/>
  <c r="AZ234" i="180"/>
  <c r="AX234" i="180"/>
  <c r="AS234" i="180"/>
  <c r="AR234" i="180"/>
  <c r="AQ234" i="180"/>
  <c r="AP234" i="180"/>
  <c r="AO234" i="180"/>
  <c r="AK234" i="180"/>
  <c r="AH234" i="180"/>
  <c r="AG234" i="180"/>
  <c r="AF234" i="180"/>
  <c r="Z234" i="180"/>
  <c r="AD234" i="180" s="1"/>
  <c r="AE234" i="180" s="1"/>
  <c r="W234" i="180"/>
  <c r="X234" i="180" s="1"/>
  <c r="U234" i="180"/>
  <c r="T234" i="180"/>
  <c r="S234" i="180"/>
  <c r="R234" i="180"/>
  <c r="Q234" i="180" a="1"/>
  <c r="Q234" i="180" s="1"/>
  <c r="P234" i="180"/>
  <c r="O234" i="180"/>
  <c r="N234" i="180"/>
  <c r="M234" i="180"/>
  <c r="K234" i="180"/>
  <c r="AN234" i="180" s="1"/>
  <c r="J234" i="180"/>
  <c r="I234" i="180"/>
  <c r="H234" i="180"/>
  <c r="G234" i="180"/>
  <c r="E234" i="180"/>
  <c r="L234" i="180" s="1"/>
  <c r="D234" i="180"/>
  <c r="C234" i="180"/>
  <c r="B234" i="180"/>
  <c r="AZ233" i="180"/>
  <c r="AX233" i="180"/>
  <c r="AS233" i="180"/>
  <c r="AR233" i="180"/>
  <c r="AQ233" i="180"/>
  <c r="AP233" i="180"/>
  <c r="AO233" i="180"/>
  <c r="AK233" i="180"/>
  <c r="AH233" i="180"/>
  <c r="AG233" i="180"/>
  <c r="AF233" i="180"/>
  <c r="Z233" i="180"/>
  <c r="W233" i="180"/>
  <c r="X233" i="180" s="1"/>
  <c r="U233" i="180"/>
  <c r="T233" i="180"/>
  <c r="S233" i="180"/>
  <c r="R233" i="180"/>
  <c r="Q233" i="180" a="1"/>
  <c r="Q233" i="180" s="1"/>
  <c r="P233" i="180"/>
  <c r="O233" i="180"/>
  <c r="N233" i="180"/>
  <c r="M233" i="180"/>
  <c r="K233" i="180"/>
  <c r="AN233" i="180" s="1"/>
  <c r="J233" i="180"/>
  <c r="I233" i="180"/>
  <c r="H233" i="180"/>
  <c r="G233" i="180"/>
  <c r="E233" i="180"/>
  <c r="L233" i="180" s="1"/>
  <c r="D233" i="180"/>
  <c r="C233" i="180"/>
  <c r="B233" i="180"/>
  <c r="AZ232" i="180"/>
  <c r="AX232" i="180"/>
  <c r="AS232" i="180"/>
  <c r="AR232" i="180"/>
  <c r="AQ232" i="180"/>
  <c r="AP232" i="180"/>
  <c r="AO232" i="180"/>
  <c r="AK232" i="180"/>
  <c r="AH232" i="180"/>
  <c r="AG232" i="180"/>
  <c r="AF232" i="180"/>
  <c r="Z232" i="180"/>
  <c r="AD232" i="180" s="1"/>
  <c r="AE232" i="180" s="1"/>
  <c r="W232" i="180"/>
  <c r="X232" i="180" s="1"/>
  <c r="U232" i="180"/>
  <c r="T232" i="180"/>
  <c r="S232" i="180"/>
  <c r="R232" i="180"/>
  <c r="Q232" i="180" a="1"/>
  <c r="Q232" i="180" s="1"/>
  <c r="P232" i="180"/>
  <c r="O232" i="180"/>
  <c r="N232" i="180"/>
  <c r="M232" i="180"/>
  <c r="K232" i="180"/>
  <c r="AN232" i="180" s="1"/>
  <c r="J232" i="180"/>
  <c r="I232" i="180"/>
  <c r="H232" i="180"/>
  <c r="G232" i="180"/>
  <c r="E232" i="180"/>
  <c r="L232" i="180" s="1"/>
  <c r="D232" i="180"/>
  <c r="C232" i="180"/>
  <c r="B232" i="180"/>
  <c r="AZ231" i="180"/>
  <c r="AX231" i="180"/>
  <c r="AS231" i="180"/>
  <c r="AR231" i="180"/>
  <c r="AQ231" i="180"/>
  <c r="AP231" i="180"/>
  <c r="AO231" i="180"/>
  <c r="AK231" i="180"/>
  <c r="AH231" i="180"/>
  <c r="AG231" i="180"/>
  <c r="AF231" i="180"/>
  <c r="Z231" i="180"/>
  <c r="AD231" i="180" s="1"/>
  <c r="AE231" i="180" s="1"/>
  <c r="W231" i="180"/>
  <c r="X231" i="180" s="1"/>
  <c r="U231" i="180"/>
  <c r="T231" i="180"/>
  <c r="S231" i="180"/>
  <c r="R231" i="180"/>
  <c r="Q231" i="180" a="1"/>
  <c r="Q231" i="180" s="1"/>
  <c r="P231" i="180"/>
  <c r="O231" i="180"/>
  <c r="N231" i="180"/>
  <c r="M231" i="180"/>
  <c r="K231" i="180"/>
  <c r="AN231" i="180" s="1"/>
  <c r="J231" i="180"/>
  <c r="I231" i="180"/>
  <c r="H231" i="180"/>
  <c r="G231" i="180"/>
  <c r="E231" i="180"/>
  <c r="L231" i="180" s="1"/>
  <c r="D231" i="180"/>
  <c r="C231" i="180"/>
  <c r="B231" i="180"/>
  <c r="AZ230" i="180"/>
  <c r="AX230" i="180"/>
  <c r="AS230" i="180"/>
  <c r="AR230" i="180"/>
  <c r="AQ230" i="180"/>
  <c r="AP230" i="180"/>
  <c r="AO230" i="180"/>
  <c r="AK230" i="180"/>
  <c r="AH230" i="180"/>
  <c r="AG230" i="180"/>
  <c r="AF230" i="180"/>
  <c r="Z230" i="180"/>
  <c r="W230" i="180"/>
  <c r="X230" i="180" s="1"/>
  <c r="U230" i="180"/>
  <c r="T230" i="180"/>
  <c r="S230" i="180"/>
  <c r="R230" i="180"/>
  <c r="Q230" i="180" a="1"/>
  <c r="Q230" i="180" s="1"/>
  <c r="P230" i="180"/>
  <c r="O230" i="180"/>
  <c r="N230" i="180"/>
  <c r="M230" i="180"/>
  <c r="K230" i="180"/>
  <c r="AN230" i="180" s="1"/>
  <c r="J230" i="180"/>
  <c r="I230" i="180"/>
  <c r="H230" i="180"/>
  <c r="G230" i="180"/>
  <c r="E230" i="180"/>
  <c r="L230" i="180" s="1"/>
  <c r="D230" i="180"/>
  <c r="C230" i="180"/>
  <c r="B230" i="180"/>
  <c r="AZ229" i="180"/>
  <c r="AX229" i="180"/>
  <c r="AS229" i="180"/>
  <c r="AR229" i="180"/>
  <c r="AQ229" i="180"/>
  <c r="AP229" i="180"/>
  <c r="AO229" i="180"/>
  <c r="AK229" i="180"/>
  <c r="AH229" i="180"/>
  <c r="AG229" i="180"/>
  <c r="AF229" i="180"/>
  <c r="Z229" i="180"/>
  <c r="AD229" i="180" s="1"/>
  <c r="AE229" i="180" s="1"/>
  <c r="W229" i="180"/>
  <c r="X229" i="180" s="1"/>
  <c r="U229" i="180"/>
  <c r="T229" i="180"/>
  <c r="S229" i="180"/>
  <c r="R229" i="180"/>
  <c r="Q229" i="180" a="1"/>
  <c r="Q229" i="180" s="1"/>
  <c r="P229" i="180"/>
  <c r="O229" i="180"/>
  <c r="N229" i="180"/>
  <c r="M229" i="180"/>
  <c r="K229" i="180"/>
  <c r="AN229" i="180" s="1"/>
  <c r="J229" i="180"/>
  <c r="I229" i="180"/>
  <c r="H229" i="180"/>
  <c r="G229" i="180"/>
  <c r="E229" i="180"/>
  <c r="L229" i="180" s="1"/>
  <c r="D229" i="180"/>
  <c r="C229" i="180"/>
  <c r="B229" i="180"/>
  <c r="AZ228" i="180"/>
  <c r="AX228" i="180"/>
  <c r="AS228" i="180"/>
  <c r="AR228" i="180"/>
  <c r="AQ228" i="180"/>
  <c r="AP228" i="180"/>
  <c r="AO228" i="180"/>
  <c r="AK228" i="180"/>
  <c r="AH228" i="180"/>
  <c r="AG228" i="180"/>
  <c r="AF228" i="180"/>
  <c r="Z228" i="180"/>
  <c r="AD228" i="180" s="1"/>
  <c r="AE228" i="180" s="1"/>
  <c r="W228" i="180"/>
  <c r="X228" i="180" s="1"/>
  <c r="U228" i="180"/>
  <c r="T228" i="180"/>
  <c r="S228" i="180"/>
  <c r="R228" i="180"/>
  <c r="Q228" i="180" a="1"/>
  <c r="Q228" i="180" s="1"/>
  <c r="P228" i="180"/>
  <c r="O228" i="180"/>
  <c r="N228" i="180"/>
  <c r="M228" i="180"/>
  <c r="K228" i="180"/>
  <c r="AN228" i="180" s="1"/>
  <c r="J228" i="180"/>
  <c r="I228" i="180"/>
  <c r="H228" i="180"/>
  <c r="G228" i="180"/>
  <c r="E228" i="180"/>
  <c r="L228" i="180" s="1"/>
  <c r="D228" i="180"/>
  <c r="C228" i="180"/>
  <c r="B228" i="180"/>
  <c r="AZ227" i="180"/>
  <c r="AX227" i="180"/>
  <c r="AS227" i="180"/>
  <c r="AR227" i="180"/>
  <c r="AQ227" i="180"/>
  <c r="AP227" i="180"/>
  <c r="AO227" i="180"/>
  <c r="AK227" i="180"/>
  <c r="AH227" i="180"/>
  <c r="AG227" i="180"/>
  <c r="AF227" i="180"/>
  <c r="Z227" i="180"/>
  <c r="AD227" i="180" s="1"/>
  <c r="AE227" i="180" s="1"/>
  <c r="W227" i="180"/>
  <c r="X227" i="180" s="1"/>
  <c r="U227" i="180"/>
  <c r="T227" i="180"/>
  <c r="S227" i="180"/>
  <c r="R227" i="180"/>
  <c r="Q227" i="180" a="1"/>
  <c r="Q227" i="180" s="1"/>
  <c r="P227" i="180"/>
  <c r="O227" i="180"/>
  <c r="N227" i="180"/>
  <c r="M227" i="180"/>
  <c r="K227" i="180"/>
  <c r="AN227" i="180" s="1"/>
  <c r="J227" i="180"/>
  <c r="I227" i="180"/>
  <c r="H227" i="180"/>
  <c r="G227" i="180"/>
  <c r="E227" i="180"/>
  <c r="L227" i="180" s="1"/>
  <c r="D227" i="180"/>
  <c r="C227" i="180"/>
  <c r="B227" i="180"/>
  <c r="AZ226" i="180"/>
  <c r="AX226" i="180"/>
  <c r="AS226" i="180"/>
  <c r="AR226" i="180"/>
  <c r="AQ226" i="180"/>
  <c r="AP226" i="180"/>
  <c r="AO226" i="180"/>
  <c r="AK226" i="180"/>
  <c r="AH226" i="180"/>
  <c r="AG226" i="180"/>
  <c r="AF226" i="180"/>
  <c r="Z226" i="180"/>
  <c r="AD226" i="180" s="1"/>
  <c r="AE226" i="180" s="1"/>
  <c r="W226" i="180"/>
  <c r="X226" i="180" s="1"/>
  <c r="U226" i="180"/>
  <c r="T226" i="180"/>
  <c r="S226" i="180"/>
  <c r="R226" i="180"/>
  <c r="Q226" i="180" a="1"/>
  <c r="Q226" i="180" s="1"/>
  <c r="P226" i="180"/>
  <c r="O226" i="180"/>
  <c r="N226" i="180"/>
  <c r="M226" i="180"/>
  <c r="K226" i="180"/>
  <c r="AN226" i="180" s="1"/>
  <c r="J226" i="180"/>
  <c r="I226" i="180"/>
  <c r="H226" i="180"/>
  <c r="G226" i="180"/>
  <c r="E226" i="180"/>
  <c r="L226" i="180" s="1"/>
  <c r="D226" i="180"/>
  <c r="C226" i="180"/>
  <c r="B226" i="180"/>
  <c r="AZ225" i="180"/>
  <c r="AX225" i="180"/>
  <c r="AS225" i="180"/>
  <c r="AR225" i="180"/>
  <c r="AQ225" i="180"/>
  <c r="AP225" i="180"/>
  <c r="AO225" i="180"/>
  <c r="AK225" i="180"/>
  <c r="AH225" i="180"/>
  <c r="AG225" i="180"/>
  <c r="AF225" i="180"/>
  <c r="Z225" i="180"/>
  <c r="W225" i="180"/>
  <c r="X225" i="180" s="1"/>
  <c r="U225" i="180"/>
  <c r="T225" i="180"/>
  <c r="S225" i="180"/>
  <c r="R225" i="180"/>
  <c r="Q225" i="180" a="1"/>
  <c r="Q225" i="180" s="1"/>
  <c r="P225" i="180"/>
  <c r="O225" i="180"/>
  <c r="N225" i="180"/>
  <c r="M225" i="180"/>
  <c r="K225" i="180"/>
  <c r="AN225" i="180" s="1"/>
  <c r="J225" i="180"/>
  <c r="I225" i="180"/>
  <c r="H225" i="180"/>
  <c r="G225" i="180"/>
  <c r="E225" i="180"/>
  <c r="L225" i="180" s="1"/>
  <c r="D225" i="180"/>
  <c r="C225" i="180"/>
  <c r="B225" i="180"/>
  <c r="AZ224" i="180"/>
  <c r="AX224" i="180"/>
  <c r="AS224" i="180"/>
  <c r="AR224" i="180"/>
  <c r="AQ224" i="180"/>
  <c r="AP224" i="180"/>
  <c r="AO224" i="180"/>
  <c r="AK224" i="180"/>
  <c r="AH224" i="180"/>
  <c r="AG224" i="180"/>
  <c r="AF224" i="180"/>
  <c r="Z224" i="180"/>
  <c r="AD224" i="180" s="1"/>
  <c r="AE224" i="180" s="1"/>
  <c r="W224" i="180"/>
  <c r="X224" i="180" s="1"/>
  <c r="U224" i="180"/>
  <c r="T224" i="180"/>
  <c r="S224" i="180"/>
  <c r="R224" i="180"/>
  <c r="Q224" i="180" a="1"/>
  <c r="Q224" i="180" s="1"/>
  <c r="P224" i="180"/>
  <c r="O224" i="180"/>
  <c r="N224" i="180"/>
  <c r="M224" i="180"/>
  <c r="K224" i="180"/>
  <c r="AN224" i="180" s="1"/>
  <c r="J224" i="180"/>
  <c r="I224" i="180"/>
  <c r="H224" i="180"/>
  <c r="G224" i="180"/>
  <c r="E224" i="180"/>
  <c r="L224" i="180" s="1"/>
  <c r="D224" i="180"/>
  <c r="C224" i="180"/>
  <c r="B224" i="180"/>
  <c r="AZ223" i="180"/>
  <c r="AX223" i="180"/>
  <c r="AS223" i="180"/>
  <c r="AR223" i="180"/>
  <c r="AQ223" i="180"/>
  <c r="AP223" i="180"/>
  <c r="AO223" i="180"/>
  <c r="AK223" i="180"/>
  <c r="AH223" i="180"/>
  <c r="AG223" i="180"/>
  <c r="AF223" i="180"/>
  <c r="Z223" i="180"/>
  <c r="AD223" i="180" s="1"/>
  <c r="AE223" i="180" s="1"/>
  <c r="W223" i="180"/>
  <c r="X223" i="180" s="1"/>
  <c r="U223" i="180"/>
  <c r="T223" i="180"/>
  <c r="S223" i="180"/>
  <c r="R223" i="180"/>
  <c r="Q223" i="180" a="1"/>
  <c r="Q223" i="180" s="1"/>
  <c r="P223" i="180"/>
  <c r="O223" i="180"/>
  <c r="N223" i="180"/>
  <c r="M223" i="180"/>
  <c r="K223" i="180"/>
  <c r="AN223" i="180" s="1"/>
  <c r="J223" i="180"/>
  <c r="I223" i="180"/>
  <c r="H223" i="180"/>
  <c r="G223" i="180"/>
  <c r="E223" i="180"/>
  <c r="L223" i="180" s="1"/>
  <c r="D223" i="180"/>
  <c r="C223" i="180"/>
  <c r="B223" i="180"/>
  <c r="AZ222" i="180"/>
  <c r="AX222" i="180"/>
  <c r="AS222" i="180"/>
  <c r="AR222" i="180"/>
  <c r="AQ222" i="180"/>
  <c r="AP222" i="180"/>
  <c r="AO222" i="180"/>
  <c r="AK222" i="180"/>
  <c r="AH222" i="180"/>
  <c r="AG222" i="180"/>
  <c r="AF222" i="180"/>
  <c r="Z222" i="180"/>
  <c r="AD222" i="180" s="1"/>
  <c r="AE222" i="180" s="1"/>
  <c r="W222" i="180"/>
  <c r="X222" i="180" s="1"/>
  <c r="U222" i="180"/>
  <c r="T222" i="180"/>
  <c r="S222" i="180"/>
  <c r="R222" i="180"/>
  <c r="Q222" i="180" a="1"/>
  <c r="Q222" i="180" s="1"/>
  <c r="P222" i="180"/>
  <c r="O222" i="180"/>
  <c r="N222" i="180"/>
  <c r="M222" i="180"/>
  <c r="K222" i="180"/>
  <c r="AN222" i="180" s="1"/>
  <c r="J222" i="180"/>
  <c r="I222" i="180"/>
  <c r="H222" i="180"/>
  <c r="G222" i="180"/>
  <c r="E222" i="180"/>
  <c r="L222" i="180" s="1"/>
  <c r="D222" i="180"/>
  <c r="C222" i="180"/>
  <c r="B222" i="180"/>
  <c r="AZ221" i="180"/>
  <c r="AX221" i="180"/>
  <c r="AS221" i="180"/>
  <c r="AR221" i="180"/>
  <c r="AQ221" i="180"/>
  <c r="AP221" i="180"/>
  <c r="AO221" i="180"/>
  <c r="AK221" i="180"/>
  <c r="AH221" i="180"/>
  <c r="AG221" i="180"/>
  <c r="AF221" i="180"/>
  <c r="Z221" i="180"/>
  <c r="AD221" i="180" s="1"/>
  <c r="AE221" i="180" s="1"/>
  <c r="W221" i="180"/>
  <c r="X221" i="180" s="1"/>
  <c r="U221" i="180"/>
  <c r="T221" i="180"/>
  <c r="S221" i="180"/>
  <c r="R221" i="180"/>
  <c r="Q221" i="180" a="1"/>
  <c r="Q221" i="180" s="1"/>
  <c r="P221" i="180"/>
  <c r="O221" i="180"/>
  <c r="N221" i="180"/>
  <c r="M221" i="180"/>
  <c r="K221" i="180"/>
  <c r="AN221" i="180" s="1"/>
  <c r="J221" i="180"/>
  <c r="I221" i="180"/>
  <c r="H221" i="180"/>
  <c r="G221" i="180"/>
  <c r="E221" i="180"/>
  <c r="L221" i="180" s="1"/>
  <c r="D221" i="180"/>
  <c r="C221" i="180"/>
  <c r="B221" i="180"/>
  <c r="AZ220" i="180"/>
  <c r="AX220" i="180"/>
  <c r="AS220" i="180"/>
  <c r="AR220" i="180"/>
  <c r="AQ220" i="180"/>
  <c r="AP220" i="180"/>
  <c r="AO220" i="180"/>
  <c r="AK220" i="180"/>
  <c r="AH220" i="180"/>
  <c r="AG220" i="180"/>
  <c r="AF220" i="180"/>
  <c r="Z220" i="180"/>
  <c r="AD220" i="180" s="1"/>
  <c r="AE220" i="180" s="1"/>
  <c r="W220" i="180"/>
  <c r="X220" i="180" s="1"/>
  <c r="U220" i="180"/>
  <c r="T220" i="180"/>
  <c r="S220" i="180"/>
  <c r="R220" i="180"/>
  <c r="Q220" i="180" a="1"/>
  <c r="Q220" i="180" s="1"/>
  <c r="P220" i="180"/>
  <c r="O220" i="180"/>
  <c r="N220" i="180"/>
  <c r="M220" i="180"/>
  <c r="K220" i="180"/>
  <c r="AN220" i="180" s="1"/>
  <c r="J220" i="180"/>
  <c r="I220" i="180"/>
  <c r="H220" i="180"/>
  <c r="G220" i="180"/>
  <c r="E220" i="180"/>
  <c r="L220" i="180" s="1"/>
  <c r="D220" i="180"/>
  <c r="C220" i="180"/>
  <c r="B220" i="180"/>
  <c r="AZ219" i="180"/>
  <c r="AX219" i="180"/>
  <c r="AS219" i="180"/>
  <c r="AR219" i="180"/>
  <c r="AQ219" i="180"/>
  <c r="AP219" i="180"/>
  <c r="AO219" i="180"/>
  <c r="AK219" i="180"/>
  <c r="AH219" i="180"/>
  <c r="AG219" i="180"/>
  <c r="AF219" i="180"/>
  <c r="Z219" i="180"/>
  <c r="AD219" i="180" s="1"/>
  <c r="AE219" i="180" s="1"/>
  <c r="W219" i="180"/>
  <c r="X219" i="180" s="1"/>
  <c r="U219" i="180"/>
  <c r="T219" i="180"/>
  <c r="S219" i="180"/>
  <c r="R219" i="180"/>
  <c r="Q219" i="180" a="1"/>
  <c r="Q219" i="180" s="1"/>
  <c r="P219" i="180"/>
  <c r="O219" i="180"/>
  <c r="N219" i="180"/>
  <c r="M219" i="180"/>
  <c r="K219" i="180"/>
  <c r="AN219" i="180" s="1"/>
  <c r="J219" i="180"/>
  <c r="I219" i="180"/>
  <c r="H219" i="180"/>
  <c r="G219" i="180"/>
  <c r="E219" i="180"/>
  <c r="L219" i="180" s="1"/>
  <c r="D219" i="180"/>
  <c r="C219" i="180"/>
  <c r="B219" i="180"/>
  <c r="AZ218" i="180"/>
  <c r="AX218" i="180"/>
  <c r="AS218" i="180"/>
  <c r="AR218" i="180"/>
  <c r="AQ218" i="180"/>
  <c r="AP218" i="180"/>
  <c r="AO218" i="180"/>
  <c r="AK218" i="180"/>
  <c r="AH218" i="180"/>
  <c r="AG218" i="180"/>
  <c r="AF218" i="180"/>
  <c r="Z218" i="180"/>
  <c r="AD218" i="180" s="1"/>
  <c r="AE218" i="180" s="1"/>
  <c r="W218" i="180"/>
  <c r="X218" i="180" s="1"/>
  <c r="U218" i="180"/>
  <c r="T218" i="180"/>
  <c r="S218" i="180"/>
  <c r="R218" i="180"/>
  <c r="Q218" i="180" a="1"/>
  <c r="Q218" i="180" s="1"/>
  <c r="P218" i="180"/>
  <c r="O218" i="180"/>
  <c r="N218" i="180"/>
  <c r="M218" i="180"/>
  <c r="K218" i="180"/>
  <c r="AN218" i="180" s="1"/>
  <c r="J218" i="180"/>
  <c r="I218" i="180"/>
  <c r="H218" i="180"/>
  <c r="G218" i="180"/>
  <c r="E218" i="180"/>
  <c r="L218" i="180" s="1"/>
  <c r="D218" i="180"/>
  <c r="C218" i="180"/>
  <c r="B218" i="180"/>
  <c r="AZ217" i="180"/>
  <c r="AX217" i="180"/>
  <c r="AS217" i="180"/>
  <c r="AR217" i="180"/>
  <c r="AQ217" i="180"/>
  <c r="AP217" i="180"/>
  <c r="AO217" i="180"/>
  <c r="AK217" i="180"/>
  <c r="AH217" i="180"/>
  <c r="AG217" i="180"/>
  <c r="AF217" i="180"/>
  <c r="Z217" i="180"/>
  <c r="AD217" i="180" s="1"/>
  <c r="AE217" i="180" s="1"/>
  <c r="W217" i="180"/>
  <c r="X217" i="180" s="1"/>
  <c r="U217" i="180"/>
  <c r="T217" i="180"/>
  <c r="S217" i="180"/>
  <c r="R217" i="180"/>
  <c r="Q217" i="180" a="1"/>
  <c r="Q217" i="180" s="1"/>
  <c r="P217" i="180"/>
  <c r="O217" i="180"/>
  <c r="N217" i="180"/>
  <c r="M217" i="180"/>
  <c r="K217" i="180"/>
  <c r="AN217" i="180" s="1"/>
  <c r="J217" i="180"/>
  <c r="I217" i="180"/>
  <c r="H217" i="180"/>
  <c r="G217" i="180"/>
  <c r="E217" i="180"/>
  <c r="L217" i="180" s="1"/>
  <c r="D217" i="180"/>
  <c r="C217" i="180"/>
  <c r="B217" i="180"/>
  <c r="AZ216" i="180"/>
  <c r="AX216" i="180"/>
  <c r="AS216" i="180"/>
  <c r="AR216" i="180"/>
  <c r="AQ216" i="180"/>
  <c r="AP216" i="180"/>
  <c r="AO216" i="180"/>
  <c r="AK216" i="180"/>
  <c r="AH216" i="180"/>
  <c r="AG216" i="180"/>
  <c r="AF216" i="180"/>
  <c r="Z216" i="180"/>
  <c r="AD216" i="180" s="1"/>
  <c r="AE216" i="180" s="1"/>
  <c r="W216" i="180"/>
  <c r="X216" i="180" s="1"/>
  <c r="U216" i="180"/>
  <c r="T216" i="180"/>
  <c r="S216" i="180"/>
  <c r="R216" i="180"/>
  <c r="Q216" i="180" a="1"/>
  <c r="Q216" i="180" s="1"/>
  <c r="P216" i="180"/>
  <c r="O216" i="180"/>
  <c r="N216" i="180"/>
  <c r="M216" i="180"/>
  <c r="J216" i="180"/>
  <c r="I216" i="180"/>
  <c r="H216" i="180"/>
  <c r="G216" i="180"/>
  <c r="E216" i="180"/>
  <c r="L216" i="180" s="1"/>
  <c r="D216" i="180"/>
  <c r="C216" i="180"/>
  <c r="B216" i="180"/>
  <c r="AZ215" i="180"/>
  <c r="AX215" i="180"/>
  <c r="AS215" i="180"/>
  <c r="AR215" i="180"/>
  <c r="AQ215" i="180"/>
  <c r="AP215" i="180"/>
  <c r="AO215" i="180"/>
  <c r="AK215" i="180"/>
  <c r="AH215" i="180"/>
  <c r="AG215" i="180"/>
  <c r="AF215" i="180"/>
  <c r="Z215" i="180"/>
  <c r="AD215" i="180" s="1"/>
  <c r="AE215" i="180" s="1"/>
  <c r="W215" i="180"/>
  <c r="X215" i="180" s="1"/>
  <c r="U215" i="180"/>
  <c r="T215" i="180"/>
  <c r="S215" i="180"/>
  <c r="R215" i="180"/>
  <c r="Q215" i="180" a="1"/>
  <c r="Q215" i="180" s="1"/>
  <c r="P215" i="180"/>
  <c r="O215" i="180"/>
  <c r="N215" i="180"/>
  <c r="M215" i="180"/>
  <c r="K215" i="180"/>
  <c r="AN215" i="180" s="1"/>
  <c r="J215" i="180"/>
  <c r="I215" i="180"/>
  <c r="H215" i="180"/>
  <c r="G215" i="180"/>
  <c r="E215" i="180"/>
  <c r="L215" i="180" s="1"/>
  <c r="D215" i="180"/>
  <c r="C215" i="180"/>
  <c r="B215" i="180"/>
  <c r="AZ214" i="180"/>
  <c r="AX214" i="180"/>
  <c r="AS214" i="180"/>
  <c r="AR214" i="180"/>
  <c r="AQ214" i="180"/>
  <c r="AP214" i="180"/>
  <c r="AO214" i="180"/>
  <c r="AK214" i="180"/>
  <c r="AH214" i="180"/>
  <c r="AG214" i="180"/>
  <c r="AF214" i="180"/>
  <c r="Z214" i="180"/>
  <c r="AD214" i="180" s="1"/>
  <c r="AE214" i="180" s="1"/>
  <c r="W214" i="180"/>
  <c r="X214" i="180" s="1"/>
  <c r="U214" i="180"/>
  <c r="T214" i="180"/>
  <c r="S214" i="180"/>
  <c r="R214" i="180"/>
  <c r="Q214" i="180" a="1"/>
  <c r="Q214" i="180" s="1"/>
  <c r="P214" i="180"/>
  <c r="O214" i="180"/>
  <c r="N214" i="180"/>
  <c r="M214" i="180"/>
  <c r="K214" i="180"/>
  <c r="AN214" i="180" s="1"/>
  <c r="J214" i="180"/>
  <c r="I214" i="180"/>
  <c r="H214" i="180"/>
  <c r="G214" i="180"/>
  <c r="E214" i="180"/>
  <c r="L214" i="180" s="1"/>
  <c r="D214" i="180"/>
  <c r="C214" i="180"/>
  <c r="B214" i="180"/>
  <c r="AZ213" i="180"/>
  <c r="AX213" i="180"/>
  <c r="AS213" i="180"/>
  <c r="AR213" i="180"/>
  <c r="AQ213" i="180"/>
  <c r="AP213" i="180"/>
  <c r="AO213" i="180"/>
  <c r="AK213" i="180"/>
  <c r="AH213" i="180"/>
  <c r="AG213" i="180"/>
  <c r="AF213" i="180"/>
  <c r="Z213" i="180"/>
  <c r="AA213" i="180" s="1"/>
  <c r="W213" i="180"/>
  <c r="X213" i="180" s="1"/>
  <c r="U213" i="180"/>
  <c r="T213" i="180"/>
  <c r="S213" i="180"/>
  <c r="R213" i="180"/>
  <c r="Q213" i="180" a="1"/>
  <c r="Q213" i="180" s="1"/>
  <c r="P213" i="180"/>
  <c r="O213" i="180"/>
  <c r="N213" i="180"/>
  <c r="M213" i="180"/>
  <c r="J213" i="180"/>
  <c r="I213" i="180"/>
  <c r="H213" i="180"/>
  <c r="G213" i="180"/>
  <c r="E213" i="180"/>
  <c r="L213" i="180" s="1"/>
  <c r="D213" i="180"/>
  <c r="C213" i="180"/>
  <c r="B213" i="180"/>
  <c r="AZ212" i="180"/>
  <c r="AX212" i="180"/>
  <c r="AS212" i="180"/>
  <c r="AR212" i="180"/>
  <c r="AQ212" i="180"/>
  <c r="AP212" i="180"/>
  <c r="AO212" i="180"/>
  <c r="AK212" i="180"/>
  <c r="AH212" i="180"/>
  <c r="AG212" i="180"/>
  <c r="AF212" i="180"/>
  <c r="Z212" i="180"/>
  <c r="AA212" i="180" s="1"/>
  <c r="W212" i="180"/>
  <c r="X212" i="180" s="1"/>
  <c r="U212" i="180"/>
  <c r="T212" i="180"/>
  <c r="S212" i="180"/>
  <c r="R212" i="180"/>
  <c r="Q212" i="180" a="1"/>
  <c r="Q212" i="180" s="1"/>
  <c r="P212" i="180"/>
  <c r="O212" i="180"/>
  <c r="N212" i="180"/>
  <c r="M212" i="180"/>
  <c r="K212" i="180"/>
  <c r="AN212" i="180" s="1"/>
  <c r="J212" i="180"/>
  <c r="I212" i="180"/>
  <c r="H212" i="180"/>
  <c r="G212" i="180"/>
  <c r="E212" i="180"/>
  <c r="L212" i="180" s="1"/>
  <c r="D212" i="180"/>
  <c r="C212" i="180"/>
  <c r="B212" i="180"/>
  <c r="AZ211" i="180"/>
  <c r="AX211" i="180"/>
  <c r="AS211" i="180"/>
  <c r="AR211" i="180"/>
  <c r="AQ211" i="180"/>
  <c r="AP211" i="180"/>
  <c r="AO211" i="180"/>
  <c r="AK211" i="180"/>
  <c r="AH211" i="180"/>
  <c r="AG211" i="180"/>
  <c r="AF211" i="180"/>
  <c r="Z211" i="180"/>
  <c r="AA211" i="180" s="1"/>
  <c r="W211" i="180"/>
  <c r="X211" i="180" s="1"/>
  <c r="U211" i="180"/>
  <c r="T211" i="180"/>
  <c r="S211" i="180"/>
  <c r="R211" i="180"/>
  <c r="Q211" i="180" a="1"/>
  <c r="Q211" i="180" s="1"/>
  <c r="P211" i="180"/>
  <c r="O211" i="180"/>
  <c r="N211" i="180"/>
  <c r="M211" i="180"/>
  <c r="K211" i="180"/>
  <c r="AN211" i="180" s="1"/>
  <c r="J211" i="180"/>
  <c r="I211" i="180"/>
  <c r="H211" i="180"/>
  <c r="G211" i="180"/>
  <c r="E211" i="180"/>
  <c r="L211" i="180" s="1"/>
  <c r="D211" i="180"/>
  <c r="C211" i="180"/>
  <c r="B211" i="180"/>
  <c r="AZ210" i="180"/>
  <c r="AX210" i="180"/>
  <c r="AS210" i="180"/>
  <c r="AR210" i="180"/>
  <c r="AQ210" i="180"/>
  <c r="AP210" i="180"/>
  <c r="AO210" i="180"/>
  <c r="AK210" i="180"/>
  <c r="AH210" i="180"/>
  <c r="AG210" i="180"/>
  <c r="AF210" i="180"/>
  <c r="Z210" i="180"/>
  <c r="W210" i="180"/>
  <c r="X210" i="180" s="1"/>
  <c r="U210" i="180"/>
  <c r="T210" i="180"/>
  <c r="S210" i="180"/>
  <c r="R210" i="180"/>
  <c r="Q210" i="180" a="1"/>
  <c r="Q210" i="180" s="1"/>
  <c r="P210" i="180"/>
  <c r="O210" i="180"/>
  <c r="N210" i="180"/>
  <c r="M210" i="180"/>
  <c r="K210" i="180"/>
  <c r="AN210" i="180" s="1"/>
  <c r="J210" i="180"/>
  <c r="I210" i="180"/>
  <c r="H210" i="180"/>
  <c r="G210" i="180"/>
  <c r="E210" i="180"/>
  <c r="L210" i="180" s="1"/>
  <c r="D210" i="180"/>
  <c r="C210" i="180"/>
  <c r="B210" i="180"/>
  <c r="AZ209" i="180"/>
  <c r="AX209" i="180"/>
  <c r="AS209" i="180"/>
  <c r="AR209" i="180"/>
  <c r="AQ209" i="180"/>
  <c r="AP209" i="180"/>
  <c r="AO209" i="180"/>
  <c r="AK209" i="180"/>
  <c r="AH209" i="180"/>
  <c r="AG209" i="180"/>
  <c r="AF209" i="180"/>
  <c r="Z209" i="180"/>
  <c r="W209" i="180"/>
  <c r="X209" i="180" s="1"/>
  <c r="U209" i="180"/>
  <c r="T209" i="180"/>
  <c r="S209" i="180"/>
  <c r="R209" i="180"/>
  <c r="Q209" i="180" a="1"/>
  <c r="Q209" i="180" s="1"/>
  <c r="P209" i="180"/>
  <c r="O209" i="180"/>
  <c r="N209" i="180"/>
  <c r="M209" i="180"/>
  <c r="K209" i="180"/>
  <c r="AN209" i="180" s="1"/>
  <c r="J209" i="180"/>
  <c r="I209" i="180"/>
  <c r="H209" i="180"/>
  <c r="G209" i="180"/>
  <c r="E209" i="180"/>
  <c r="L209" i="180" s="1"/>
  <c r="D209" i="180"/>
  <c r="C209" i="180"/>
  <c r="B209" i="180"/>
  <c r="AZ208" i="180"/>
  <c r="AX208" i="180"/>
  <c r="AS208" i="180"/>
  <c r="AR208" i="180"/>
  <c r="AQ208" i="180"/>
  <c r="AP208" i="180"/>
  <c r="AO208" i="180"/>
  <c r="AK208" i="180"/>
  <c r="AH208" i="180"/>
  <c r="AG208" i="180"/>
  <c r="AF208" i="180"/>
  <c r="Z208" i="180"/>
  <c r="W208" i="180"/>
  <c r="X208" i="180" s="1"/>
  <c r="U208" i="180"/>
  <c r="T208" i="180"/>
  <c r="S208" i="180"/>
  <c r="R208" i="180"/>
  <c r="Q208" i="180" a="1"/>
  <c r="Q208" i="180" s="1"/>
  <c r="P208" i="180"/>
  <c r="O208" i="180"/>
  <c r="N208" i="180"/>
  <c r="M208" i="180"/>
  <c r="K208" i="180"/>
  <c r="AN208" i="180" s="1"/>
  <c r="J208" i="180"/>
  <c r="I208" i="180"/>
  <c r="H208" i="180"/>
  <c r="G208" i="180"/>
  <c r="E208" i="180"/>
  <c r="L208" i="180" s="1"/>
  <c r="D208" i="180"/>
  <c r="C208" i="180"/>
  <c r="B208" i="180"/>
  <c r="AZ207" i="180"/>
  <c r="AX207" i="180"/>
  <c r="AS207" i="180"/>
  <c r="AR207" i="180"/>
  <c r="AQ207" i="180"/>
  <c r="AP207" i="180"/>
  <c r="AO207" i="180"/>
  <c r="AK207" i="180"/>
  <c r="AH207" i="180"/>
  <c r="AG207" i="180"/>
  <c r="AF207" i="180"/>
  <c r="Z207" i="180"/>
  <c r="AD207" i="180" s="1"/>
  <c r="AE207" i="180" s="1"/>
  <c r="W207" i="180"/>
  <c r="X207" i="180" s="1"/>
  <c r="U207" i="180"/>
  <c r="T207" i="180"/>
  <c r="S207" i="180"/>
  <c r="R207" i="180"/>
  <c r="Q207" i="180" a="1"/>
  <c r="Q207" i="180" s="1"/>
  <c r="P207" i="180"/>
  <c r="O207" i="180"/>
  <c r="N207" i="180"/>
  <c r="M207" i="180"/>
  <c r="J207" i="180"/>
  <c r="I207" i="180"/>
  <c r="H207" i="180"/>
  <c r="G207" i="180"/>
  <c r="E207" i="180"/>
  <c r="L207" i="180" s="1"/>
  <c r="D207" i="180"/>
  <c r="C207" i="180"/>
  <c r="B207" i="180"/>
  <c r="AZ206" i="180"/>
  <c r="AX206" i="180"/>
  <c r="AS206" i="180"/>
  <c r="AR206" i="180"/>
  <c r="AQ206" i="180"/>
  <c r="AP206" i="180"/>
  <c r="AO206" i="180"/>
  <c r="AK206" i="180"/>
  <c r="AH206" i="180"/>
  <c r="AG206" i="180"/>
  <c r="AF206" i="180"/>
  <c r="Z206" i="180"/>
  <c r="AA206" i="180" s="1"/>
  <c r="W206" i="180"/>
  <c r="X206" i="180" s="1"/>
  <c r="U206" i="180"/>
  <c r="T206" i="180"/>
  <c r="S206" i="180"/>
  <c r="R206" i="180"/>
  <c r="Q206" i="180" a="1"/>
  <c r="Q206" i="180" s="1"/>
  <c r="P206" i="180"/>
  <c r="O206" i="180"/>
  <c r="N206" i="180"/>
  <c r="M206" i="180"/>
  <c r="K206" i="180"/>
  <c r="AN206" i="180" s="1"/>
  <c r="J206" i="180"/>
  <c r="I206" i="180"/>
  <c r="H206" i="180"/>
  <c r="G206" i="180"/>
  <c r="E206" i="180"/>
  <c r="L206" i="180" s="1"/>
  <c r="D206" i="180"/>
  <c r="C206" i="180"/>
  <c r="B206" i="180"/>
  <c r="AZ205" i="180"/>
  <c r="AX205" i="180"/>
  <c r="AS205" i="180"/>
  <c r="AR205" i="180"/>
  <c r="AQ205" i="180"/>
  <c r="AP205" i="180"/>
  <c r="AO205" i="180"/>
  <c r="AK205" i="180"/>
  <c r="AH205" i="180"/>
  <c r="AG205" i="180"/>
  <c r="AF205" i="180"/>
  <c r="Z205" i="180"/>
  <c r="W205" i="180"/>
  <c r="X205" i="180" s="1"/>
  <c r="U205" i="180"/>
  <c r="T205" i="180"/>
  <c r="S205" i="180"/>
  <c r="R205" i="180"/>
  <c r="Q205" i="180" a="1"/>
  <c r="Q205" i="180" s="1"/>
  <c r="P205" i="180"/>
  <c r="O205" i="180"/>
  <c r="N205" i="180"/>
  <c r="M205" i="180"/>
  <c r="K205" i="180"/>
  <c r="AN205" i="180" s="1"/>
  <c r="J205" i="180"/>
  <c r="I205" i="180"/>
  <c r="H205" i="180"/>
  <c r="G205" i="180"/>
  <c r="E205" i="180"/>
  <c r="L205" i="180" s="1"/>
  <c r="D205" i="180"/>
  <c r="C205" i="180"/>
  <c r="B205" i="180"/>
  <c r="AZ204" i="180"/>
  <c r="AX204" i="180"/>
  <c r="AS204" i="180"/>
  <c r="AR204" i="180"/>
  <c r="AQ204" i="180"/>
  <c r="AP204" i="180"/>
  <c r="AO204" i="180"/>
  <c r="AK204" i="180"/>
  <c r="AH204" i="180"/>
  <c r="AG204" i="180"/>
  <c r="AF204" i="180"/>
  <c r="Z204" i="180"/>
  <c r="AD204" i="180" s="1"/>
  <c r="AE204" i="180" s="1"/>
  <c r="W204" i="180"/>
  <c r="X204" i="180" s="1"/>
  <c r="U204" i="180"/>
  <c r="T204" i="180"/>
  <c r="S204" i="180"/>
  <c r="R204" i="180"/>
  <c r="Q204" i="180" a="1"/>
  <c r="Q204" i="180" s="1"/>
  <c r="P204" i="180"/>
  <c r="O204" i="180"/>
  <c r="N204" i="180"/>
  <c r="M204" i="180"/>
  <c r="K204" i="180"/>
  <c r="AN204" i="180" s="1"/>
  <c r="J204" i="180"/>
  <c r="I204" i="180"/>
  <c r="H204" i="180"/>
  <c r="G204" i="180"/>
  <c r="E204" i="180"/>
  <c r="L204" i="180" s="1"/>
  <c r="D204" i="180"/>
  <c r="C204" i="180"/>
  <c r="B204" i="180"/>
  <c r="AZ203" i="180"/>
  <c r="AX203" i="180"/>
  <c r="AS203" i="180"/>
  <c r="AR203" i="180"/>
  <c r="AQ203" i="180"/>
  <c r="AP203" i="180"/>
  <c r="AO203" i="180"/>
  <c r="AK203" i="180"/>
  <c r="AH203" i="180"/>
  <c r="AG203" i="180"/>
  <c r="AF203" i="180"/>
  <c r="Z203" i="180"/>
  <c r="AA203" i="180" s="1"/>
  <c r="W203" i="180"/>
  <c r="X203" i="180" s="1"/>
  <c r="U203" i="180"/>
  <c r="T203" i="180"/>
  <c r="S203" i="180"/>
  <c r="R203" i="180"/>
  <c r="Q203" i="180" a="1"/>
  <c r="Q203" i="180" s="1"/>
  <c r="P203" i="180"/>
  <c r="O203" i="180"/>
  <c r="N203" i="180"/>
  <c r="M203" i="180"/>
  <c r="K203" i="180"/>
  <c r="AN203" i="180" s="1"/>
  <c r="J203" i="180"/>
  <c r="I203" i="180"/>
  <c r="H203" i="180"/>
  <c r="G203" i="180"/>
  <c r="E203" i="180"/>
  <c r="L203" i="180" s="1"/>
  <c r="D203" i="180"/>
  <c r="C203" i="180"/>
  <c r="B203" i="180"/>
  <c r="AZ202" i="180"/>
  <c r="AX202" i="180"/>
  <c r="AS202" i="180"/>
  <c r="AR202" i="180"/>
  <c r="AQ202" i="180"/>
  <c r="AP202" i="180"/>
  <c r="AO202" i="180"/>
  <c r="AK202" i="180"/>
  <c r="AH202" i="180"/>
  <c r="AG202" i="180"/>
  <c r="AF202" i="180"/>
  <c r="Z202" i="180"/>
  <c r="W202" i="180"/>
  <c r="X202" i="180" s="1"/>
  <c r="U202" i="180"/>
  <c r="T202" i="180"/>
  <c r="S202" i="180"/>
  <c r="R202" i="180"/>
  <c r="Q202" i="180" a="1"/>
  <c r="Q202" i="180" s="1"/>
  <c r="P202" i="180"/>
  <c r="O202" i="180"/>
  <c r="N202" i="180"/>
  <c r="M202" i="180"/>
  <c r="J202" i="180"/>
  <c r="I202" i="180"/>
  <c r="H202" i="180"/>
  <c r="G202" i="180"/>
  <c r="E202" i="180"/>
  <c r="L202" i="180" s="1"/>
  <c r="D202" i="180"/>
  <c r="C202" i="180"/>
  <c r="B202" i="180"/>
  <c r="AZ201" i="180"/>
  <c r="AX201" i="180"/>
  <c r="AS201" i="180"/>
  <c r="AR201" i="180"/>
  <c r="AQ201" i="180"/>
  <c r="AP201" i="180"/>
  <c r="AO201" i="180"/>
  <c r="AK201" i="180"/>
  <c r="AH201" i="180"/>
  <c r="AG201" i="180"/>
  <c r="AF201" i="180"/>
  <c r="Z201" i="180"/>
  <c r="AD201" i="180" s="1"/>
  <c r="AE201" i="180" s="1"/>
  <c r="W201" i="180"/>
  <c r="X201" i="180" s="1"/>
  <c r="U201" i="180"/>
  <c r="T201" i="180"/>
  <c r="S201" i="180"/>
  <c r="R201" i="180"/>
  <c r="Q201" i="180" a="1"/>
  <c r="Q201" i="180" s="1"/>
  <c r="P201" i="180"/>
  <c r="O201" i="180"/>
  <c r="N201" i="180"/>
  <c r="M201" i="180"/>
  <c r="K201" i="180"/>
  <c r="AN201" i="180" s="1"/>
  <c r="J201" i="180"/>
  <c r="I201" i="180"/>
  <c r="H201" i="180"/>
  <c r="G201" i="180"/>
  <c r="E201" i="180"/>
  <c r="L201" i="180" s="1"/>
  <c r="D201" i="180"/>
  <c r="C201" i="180"/>
  <c r="B201" i="180"/>
  <c r="AZ200" i="180"/>
  <c r="AX200" i="180"/>
  <c r="AS200" i="180"/>
  <c r="AR200" i="180"/>
  <c r="AQ200" i="180"/>
  <c r="AP200" i="180"/>
  <c r="AO200" i="180"/>
  <c r="AK200" i="180"/>
  <c r="AH200" i="180"/>
  <c r="AG200" i="180"/>
  <c r="AF200" i="180"/>
  <c r="Z200" i="180"/>
  <c r="AA200" i="180" s="1"/>
  <c r="W200" i="180"/>
  <c r="X200" i="180" s="1"/>
  <c r="U200" i="180"/>
  <c r="T200" i="180"/>
  <c r="S200" i="180"/>
  <c r="R200" i="180"/>
  <c r="Q200" i="180" a="1"/>
  <c r="Q200" i="180" s="1"/>
  <c r="P200" i="180"/>
  <c r="O200" i="180"/>
  <c r="N200" i="180"/>
  <c r="M200" i="180"/>
  <c r="K200" i="180"/>
  <c r="AN200" i="180" s="1"/>
  <c r="J200" i="180"/>
  <c r="I200" i="180"/>
  <c r="H200" i="180"/>
  <c r="G200" i="180"/>
  <c r="E200" i="180"/>
  <c r="L200" i="180" s="1"/>
  <c r="D200" i="180"/>
  <c r="C200" i="180"/>
  <c r="B200" i="180"/>
  <c r="AZ199" i="180"/>
  <c r="AX199" i="180"/>
  <c r="AS199" i="180"/>
  <c r="AR199" i="180"/>
  <c r="AQ199" i="180"/>
  <c r="AP199" i="180"/>
  <c r="AO199" i="180"/>
  <c r="AK199" i="180"/>
  <c r="AH199" i="180"/>
  <c r="AG199" i="180"/>
  <c r="AF199" i="180"/>
  <c r="Z199" i="180"/>
  <c r="W199" i="180"/>
  <c r="X199" i="180" s="1"/>
  <c r="U199" i="180"/>
  <c r="T199" i="180"/>
  <c r="S199" i="180"/>
  <c r="R199" i="180"/>
  <c r="Q199" i="180" a="1"/>
  <c r="Q199" i="180" s="1"/>
  <c r="P199" i="180"/>
  <c r="O199" i="180"/>
  <c r="N199" i="180"/>
  <c r="M199" i="180"/>
  <c r="K199" i="180"/>
  <c r="AN199" i="180" s="1"/>
  <c r="J199" i="180"/>
  <c r="I199" i="180"/>
  <c r="H199" i="180"/>
  <c r="G199" i="180"/>
  <c r="E199" i="180"/>
  <c r="L199" i="180" s="1"/>
  <c r="D199" i="180"/>
  <c r="C199" i="180"/>
  <c r="B199" i="180"/>
  <c r="AZ198" i="180"/>
  <c r="AX198" i="180"/>
  <c r="AS198" i="180"/>
  <c r="AR198" i="180"/>
  <c r="AQ198" i="180"/>
  <c r="AP198" i="180"/>
  <c r="AO198" i="180"/>
  <c r="AK198" i="180"/>
  <c r="AH198" i="180"/>
  <c r="AG198" i="180"/>
  <c r="AF198" i="180"/>
  <c r="Z198" i="180"/>
  <c r="AD198" i="180" s="1"/>
  <c r="AE198" i="180" s="1"/>
  <c r="W198" i="180"/>
  <c r="X198" i="180" s="1"/>
  <c r="U198" i="180"/>
  <c r="T198" i="180"/>
  <c r="S198" i="180"/>
  <c r="R198" i="180"/>
  <c r="Q198" i="180" a="1"/>
  <c r="Q198" i="180" s="1"/>
  <c r="P198" i="180"/>
  <c r="O198" i="180"/>
  <c r="N198" i="180"/>
  <c r="M198" i="180"/>
  <c r="K198" i="180"/>
  <c r="AN198" i="180" s="1"/>
  <c r="J198" i="180"/>
  <c r="I198" i="180"/>
  <c r="H198" i="180"/>
  <c r="G198" i="180"/>
  <c r="E198" i="180"/>
  <c r="L198" i="180" s="1"/>
  <c r="D198" i="180"/>
  <c r="C198" i="180"/>
  <c r="B198" i="180"/>
  <c r="AZ197" i="180"/>
  <c r="AX197" i="180"/>
  <c r="AS197" i="180"/>
  <c r="AR197" i="180"/>
  <c r="AQ197" i="180"/>
  <c r="AP197" i="180"/>
  <c r="AO197" i="180"/>
  <c r="AK197" i="180"/>
  <c r="AH197" i="180"/>
  <c r="AG197" i="180"/>
  <c r="AF197" i="180"/>
  <c r="Z197" i="180"/>
  <c r="AD197" i="180" s="1"/>
  <c r="AE197" i="180" s="1"/>
  <c r="W197" i="180"/>
  <c r="X197" i="180" s="1"/>
  <c r="U197" i="180"/>
  <c r="T197" i="180"/>
  <c r="S197" i="180"/>
  <c r="R197" i="180"/>
  <c r="Q197" i="180" a="1"/>
  <c r="Q197" i="180" s="1"/>
  <c r="P197" i="180"/>
  <c r="O197" i="180"/>
  <c r="N197" i="180"/>
  <c r="M197" i="180"/>
  <c r="J197" i="180"/>
  <c r="I197" i="180"/>
  <c r="H197" i="180"/>
  <c r="G197" i="180"/>
  <c r="E197" i="180"/>
  <c r="L197" i="180" s="1"/>
  <c r="D197" i="180"/>
  <c r="C197" i="180"/>
  <c r="B197" i="180"/>
  <c r="AZ196" i="180"/>
  <c r="AX196" i="180"/>
  <c r="AS196" i="180"/>
  <c r="AR196" i="180"/>
  <c r="AQ196" i="180"/>
  <c r="AP196" i="180"/>
  <c r="AO196" i="180"/>
  <c r="AK196" i="180"/>
  <c r="AH196" i="180"/>
  <c r="AG196" i="180"/>
  <c r="AF196" i="180"/>
  <c r="Z196" i="180"/>
  <c r="AA196" i="180" s="1"/>
  <c r="W196" i="180"/>
  <c r="X196" i="180" s="1"/>
  <c r="U196" i="180"/>
  <c r="T196" i="180"/>
  <c r="S196" i="180"/>
  <c r="R196" i="180"/>
  <c r="Q196" i="180" a="1"/>
  <c r="Q196" i="180" s="1"/>
  <c r="P196" i="180"/>
  <c r="O196" i="180"/>
  <c r="N196" i="180"/>
  <c r="M196" i="180"/>
  <c r="K196" i="180"/>
  <c r="AN196" i="180" s="1"/>
  <c r="J196" i="180"/>
  <c r="I196" i="180"/>
  <c r="H196" i="180"/>
  <c r="G196" i="180"/>
  <c r="E196" i="180"/>
  <c r="L196" i="180" s="1"/>
  <c r="D196" i="180"/>
  <c r="C196" i="180"/>
  <c r="B196" i="180"/>
  <c r="AZ195" i="180"/>
  <c r="AX195" i="180"/>
  <c r="AS195" i="180"/>
  <c r="AR195" i="180"/>
  <c r="AQ195" i="180"/>
  <c r="AP195" i="180"/>
  <c r="AO195" i="180"/>
  <c r="AK195" i="180"/>
  <c r="AH195" i="180"/>
  <c r="AG195" i="180"/>
  <c r="AF195" i="180"/>
  <c r="Z195" i="180"/>
  <c r="AD195" i="180" s="1"/>
  <c r="AE195" i="180" s="1"/>
  <c r="W195" i="180"/>
  <c r="X195" i="180" s="1"/>
  <c r="U195" i="180"/>
  <c r="T195" i="180"/>
  <c r="S195" i="180"/>
  <c r="R195" i="180"/>
  <c r="Q195" i="180" a="1"/>
  <c r="Q195" i="180" s="1"/>
  <c r="P195" i="180"/>
  <c r="O195" i="180"/>
  <c r="N195" i="180"/>
  <c r="M195" i="180"/>
  <c r="K195" i="180"/>
  <c r="AN195" i="180" s="1"/>
  <c r="J195" i="180"/>
  <c r="I195" i="180"/>
  <c r="H195" i="180"/>
  <c r="G195" i="180"/>
  <c r="E195" i="180"/>
  <c r="L195" i="180" s="1"/>
  <c r="D195" i="180"/>
  <c r="C195" i="180"/>
  <c r="B195" i="180"/>
  <c r="AZ194" i="180"/>
  <c r="AX194" i="180"/>
  <c r="AS194" i="180"/>
  <c r="AR194" i="180"/>
  <c r="AQ194" i="180"/>
  <c r="AP194" i="180"/>
  <c r="AO194" i="180"/>
  <c r="AK194" i="180"/>
  <c r="AH194" i="180"/>
  <c r="AG194" i="180"/>
  <c r="AF194" i="180"/>
  <c r="Z194" i="180"/>
  <c r="W194" i="180"/>
  <c r="X194" i="180" s="1"/>
  <c r="U194" i="180"/>
  <c r="T194" i="180"/>
  <c r="S194" i="180"/>
  <c r="R194" i="180"/>
  <c r="Q194" i="180" a="1"/>
  <c r="Q194" i="180" s="1"/>
  <c r="P194" i="180"/>
  <c r="O194" i="180"/>
  <c r="N194" i="180"/>
  <c r="M194" i="180"/>
  <c r="K194" i="180"/>
  <c r="AN194" i="180" s="1"/>
  <c r="J194" i="180"/>
  <c r="I194" i="180"/>
  <c r="H194" i="180"/>
  <c r="G194" i="180"/>
  <c r="E194" i="180"/>
  <c r="L194" i="180" s="1"/>
  <c r="D194" i="180"/>
  <c r="C194" i="180"/>
  <c r="B194" i="180"/>
  <c r="AZ193" i="180"/>
  <c r="AX193" i="180"/>
  <c r="AS193" i="180"/>
  <c r="AR193" i="180"/>
  <c r="AQ193" i="180"/>
  <c r="AP193" i="180"/>
  <c r="AO193" i="180"/>
  <c r="AK193" i="180"/>
  <c r="AH193" i="180"/>
  <c r="AG193" i="180"/>
  <c r="AF193" i="180"/>
  <c r="Z193" i="180"/>
  <c r="AD193" i="180" s="1"/>
  <c r="AE193" i="180" s="1"/>
  <c r="W193" i="180"/>
  <c r="X193" i="180" s="1"/>
  <c r="U193" i="180"/>
  <c r="T193" i="180"/>
  <c r="S193" i="180"/>
  <c r="R193" i="180"/>
  <c r="Q193" i="180" a="1"/>
  <c r="Q193" i="180" s="1"/>
  <c r="P193" i="180"/>
  <c r="O193" i="180"/>
  <c r="N193" i="180"/>
  <c r="M193" i="180"/>
  <c r="K193" i="180"/>
  <c r="AN193" i="180" s="1"/>
  <c r="J193" i="180"/>
  <c r="I193" i="180"/>
  <c r="H193" i="180"/>
  <c r="G193" i="180"/>
  <c r="E193" i="180"/>
  <c r="L193" i="180" s="1"/>
  <c r="D193" i="180"/>
  <c r="C193" i="180"/>
  <c r="B193" i="180"/>
  <c r="AZ192" i="180"/>
  <c r="AX192" i="180"/>
  <c r="AS192" i="180"/>
  <c r="AR192" i="180"/>
  <c r="AQ192" i="180"/>
  <c r="AP192" i="180"/>
  <c r="AO192" i="180"/>
  <c r="AK192" i="180"/>
  <c r="AH192" i="180"/>
  <c r="AG192" i="180"/>
  <c r="AF192" i="180"/>
  <c r="Z192" i="180"/>
  <c r="AD192" i="180" s="1"/>
  <c r="AE192" i="180" s="1"/>
  <c r="W192" i="180"/>
  <c r="X192" i="180" s="1"/>
  <c r="U192" i="180"/>
  <c r="T192" i="180"/>
  <c r="S192" i="180"/>
  <c r="R192" i="180"/>
  <c r="Q192" i="180" a="1"/>
  <c r="Q192" i="180" s="1"/>
  <c r="P192" i="180"/>
  <c r="O192" i="180"/>
  <c r="N192" i="180"/>
  <c r="M192" i="180"/>
  <c r="K192" i="180"/>
  <c r="AN192" i="180" s="1"/>
  <c r="J192" i="180"/>
  <c r="I192" i="180"/>
  <c r="H192" i="180"/>
  <c r="G192" i="180"/>
  <c r="E192" i="180"/>
  <c r="L192" i="180" s="1"/>
  <c r="D192" i="180"/>
  <c r="C192" i="180"/>
  <c r="B192" i="180"/>
  <c r="AZ191" i="180"/>
  <c r="AX191" i="180"/>
  <c r="AS191" i="180"/>
  <c r="AR191" i="180"/>
  <c r="AQ191" i="180"/>
  <c r="AP191" i="180"/>
  <c r="AO191" i="180"/>
  <c r="AK191" i="180"/>
  <c r="AH191" i="180"/>
  <c r="AG191" i="180"/>
  <c r="AF191" i="180"/>
  <c r="Z191" i="180"/>
  <c r="AA191" i="180" s="1"/>
  <c r="W191" i="180"/>
  <c r="X191" i="180" s="1"/>
  <c r="U191" i="180"/>
  <c r="T191" i="180"/>
  <c r="S191" i="180"/>
  <c r="R191" i="180"/>
  <c r="Q191" i="180" a="1"/>
  <c r="Q191" i="180" s="1"/>
  <c r="P191" i="180"/>
  <c r="O191" i="180"/>
  <c r="N191" i="180"/>
  <c r="M191" i="180"/>
  <c r="K191" i="180"/>
  <c r="AN191" i="180" s="1"/>
  <c r="J191" i="180"/>
  <c r="I191" i="180"/>
  <c r="H191" i="180"/>
  <c r="G191" i="180"/>
  <c r="E191" i="180"/>
  <c r="L191" i="180" s="1"/>
  <c r="D191" i="180"/>
  <c r="C191" i="180"/>
  <c r="B191" i="180"/>
  <c r="AZ190" i="180"/>
  <c r="AX190" i="180"/>
  <c r="AS190" i="180"/>
  <c r="AR190" i="180"/>
  <c r="AQ190" i="180"/>
  <c r="AP190" i="180"/>
  <c r="AO190" i="180"/>
  <c r="AK190" i="180"/>
  <c r="AH190" i="180"/>
  <c r="AG190" i="180"/>
  <c r="AF190" i="180"/>
  <c r="Z190" i="180"/>
  <c r="W190" i="180"/>
  <c r="X190" i="180" s="1"/>
  <c r="U190" i="180"/>
  <c r="T190" i="180"/>
  <c r="S190" i="180"/>
  <c r="R190" i="180"/>
  <c r="Q190" i="180" a="1"/>
  <c r="Q190" i="180" s="1"/>
  <c r="P190" i="180"/>
  <c r="O190" i="180"/>
  <c r="N190" i="180"/>
  <c r="M190" i="180"/>
  <c r="K190" i="180"/>
  <c r="AN190" i="180" s="1"/>
  <c r="J190" i="180"/>
  <c r="I190" i="180"/>
  <c r="H190" i="180"/>
  <c r="G190" i="180"/>
  <c r="E190" i="180"/>
  <c r="L190" i="180" s="1"/>
  <c r="D190" i="180"/>
  <c r="C190" i="180"/>
  <c r="B190" i="180"/>
  <c r="AZ189" i="180"/>
  <c r="AX189" i="180"/>
  <c r="AS189" i="180"/>
  <c r="AR189" i="180"/>
  <c r="AQ189" i="180"/>
  <c r="AP189" i="180"/>
  <c r="AO189" i="180"/>
  <c r="AK189" i="180"/>
  <c r="AH189" i="180"/>
  <c r="AG189" i="180"/>
  <c r="AF189" i="180"/>
  <c r="Z189" i="180"/>
  <c r="AD189" i="180" s="1"/>
  <c r="AE189" i="180" s="1"/>
  <c r="W189" i="180"/>
  <c r="X189" i="180" s="1"/>
  <c r="U189" i="180"/>
  <c r="T189" i="180"/>
  <c r="S189" i="180"/>
  <c r="R189" i="180"/>
  <c r="Q189" i="180" a="1"/>
  <c r="Q189" i="180" s="1"/>
  <c r="P189" i="180"/>
  <c r="O189" i="180"/>
  <c r="N189" i="180"/>
  <c r="M189" i="180"/>
  <c r="K189" i="180"/>
  <c r="AN189" i="180" s="1"/>
  <c r="J189" i="180"/>
  <c r="I189" i="180"/>
  <c r="H189" i="180"/>
  <c r="G189" i="180"/>
  <c r="E189" i="180"/>
  <c r="L189" i="180" s="1"/>
  <c r="D189" i="180"/>
  <c r="C189" i="180"/>
  <c r="B189" i="180"/>
  <c r="AZ188" i="180"/>
  <c r="AX188" i="180"/>
  <c r="AS188" i="180"/>
  <c r="AR188" i="180"/>
  <c r="AQ188" i="180"/>
  <c r="AP188" i="180"/>
  <c r="AO188" i="180"/>
  <c r="AK188" i="180"/>
  <c r="AH188" i="180"/>
  <c r="AG188" i="180"/>
  <c r="AF188" i="180"/>
  <c r="Z188" i="180"/>
  <c r="W188" i="180"/>
  <c r="X188" i="180" s="1"/>
  <c r="U188" i="180"/>
  <c r="T188" i="180"/>
  <c r="S188" i="180"/>
  <c r="R188" i="180"/>
  <c r="Q188" i="180" a="1"/>
  <c r="Q188" i="180" s="1"/>
  <c r="P188" i="180"/>
  <c r="O188" i="180"/>
  <c r="N188" i="180"/>
  <c r="M188" i="180"/>
  <c r="K188" i="180"/>
  <c r="AN188" i="180" s="1"/>
  <c r="J188" i="180"/>
  <c r="I188" i="180"/>
  <c r="H188" i="180"/>
  <c r="G188" i="180"/>
  <c r="E188" i="180"/>
  <c r="L188" i="180" s="1"/>
  <c r="D188" i="180"/>
  <c r="C188" i="180"/>
  <c r="B188" i="180"/>
  <c r="AZ187" i="180"/>
  <c r="AX187" i="180"/>
  <c r="AS187" i="180"/>
  <c r="AR187" i="180"/>
  <c r="AQ187" i="180"/>
  <c r="AP187" i="180"/>
  <c r="AO187" i="180"/>
  <c r="AK187" i="180"/>
  <c r="AH187" i="180"/>
  <c r="AG187" i="180"/>
  <c r="AF187" i="180"/>
  <c r="Z187" i="180"/>
  <c r="AD187" i="180" s="1"/>
  <c r="AE187" i="180" s="1"/>
  <c r="W187" i="180"/>
  <c r="X187" i="180" s="1"/>
  <c r="U187" i="180"/>
  <c r="T187" i="180"/>
  <c r="S187" i="180"/>
  <c r="R187" i="180"/>
  <c r="Q187" i="180" a="1"/>
  <c r="Q187" i="180" s="1"/>
  <c r="P187" i="180"/>
  <c r="O187" i="180"/>
  <c r="N187" i="180"/>
  <c r="M187" i="180"/>
  <c r="K187" i="180"/>
  <c r="AN187" i="180" s="1"/>
  <c r="J187" i="180"/>
  <c r="I187" i="180"/>
  <c r="H187" i="180"/>
  <c r="G187" i="180"/>
  <c r="E187" i="180"/>
  <c r="L187" i="180" s="1"/>
  <c r="D187" i="180"/>
  <c r="C187" i="180"/>
  <c r="B187" i="180"/>
  <c r="AZ186" i="180"/>
  <c r="AX186" i="180"/>
  <c r="AS186" i="180"/>
  <c r="AR186" i="180"/>
  <c r="AQ186" i="180"/>
  <c r="AP186" i="180"/>
  <c r="AO186" i="180"/>
  <c r="AK186" i="180"/>
  <c r="AH186" i="180"/>
  <c r="AG186" i="180"/>
  <c r="AF186" i="180"/>
  <c r="Z186" i="180"/>
  <c r="AD186" i="180" s="1"/>
  <c r="AE186" i="180" s="1"/>
  <c r="W186" i="180"/>
  <c r="X186" i="180" s="1"/>
  <c r="U186" i="180"/>
  <c r="T186" i="180"/>
  <c r="S186" i="180"/>
  <c r="R186" i="180"/>
  <c r="Q186" i="180" a="1"/>
  <c r="Q186" i="180" s="1"/>
  <c r="P186" i="180"/>
  <c r="O186" i="180"/>
  <c r="N186" i="180"/>
  <c r="M186" i="180"/>
  <c r="K186" i="180"/>
  <c r="AN186" i="180" s="1"/>
  <c r="J186" i="180"/>
  <c r="I186" i="180"/>
  <c r="H186" i="180"/>
  <c r="G186" i="180"/>
  <c r="E186" i="180"/>
  <c r="L186" i="180" s="1"/>
  <c r="D186" i="180"/>
  <c r="C186" i="180"/>
  <c r="B186" i="180"/>
  <c r="AZ185" i="180"/>
  <c r="AX185" i="180"/>
  <c r="AS185" i="180"/>
  <c r="AR185" i="180"/>
  <c r="AQ185" i="180"/>
  <c r="AP185" i="180"/>
  <c r="AO185" i="180"/>
  <c r="AK185" i="180"/>
  <c r="AH185" i="180"/>
  <c r="AG185" i="180"/>
  <c r="AF185" i="180"/>
  <c r="Z185" i="180"/>
  <c r="AA185" i="180" s="1"/>
  <c r="W185" i="180"/>
  <c r="X185" i="180" s="1"/>
  <c r="U185" i="180"/>
  <c r="T185" i="180"/>
  <c r="S185" i="180"/>
  <c r="R185" i="180"/>
  <c r="Q185" i="180" a="1"/>
  <c r="Q185" i="180" s="1"/>
  <c r="P185" i="180"/>
  <c r="O185" i="180"/>
  <c r="N185" i="180"/>
  <c r="M185" i="180"/>
  <c r="K185" i="180"/>
  <c r="AN185" i="180" s="1"/>
  <c r="J185" i="180"/>
  <c r="I185" i="180"/>
  <c r="H185" i="180"/>
  <c r="G185" i="180"/>
  <c r="E185" i="180"/>
  <c r="L185" i="180" s="1"/>
  <c r="D185" i="180"/>
  <c r="C185" i="180"/>
  <c r="B185" i="180"/>
  <c r="AZ184" i="180"/>
  <c r="AX184" i="180"/>
  <c r="AS184" i="180"/>
  <c r="AR184" i="180"/>
  <c r="AQ184" i="180"/>
  <c r="AP184" i="180"/>
  <c r="AO184" i="180"/>
  <c r="AK184" i="180"/>
  <c r="AH184" i="180"/>
  <c r="AG184" i="180"/>
  <c r="AF184" i="180"/>
  <c r="Z184" i="180"/>
  <c r="W184" i="180"/>
  <c r="X184" i="180" s="1"/>
  <c r="U184" i="180"/>
  <c r="T184" i="180"/>
  <c r="S184" i="180"/>
  <c r="R184" i="180"/>
  <c r="Q184" i="180" a="1"/>
  <c r="Q184" i="180" s="1"/>
  <c r="P184" i="180"/>
  <c r="O184" i="180"/>
  <c r="N184" i="180"/>
  <c r="M184" i="180"/>
  <c r="J184" i="180"/>
  <c r="I184" i="180"/>
  <c r="H184" i="180"/>
  <c r="G184" i="180"/>
  <c r="E184" i="180"/>
  <c r="L184" i="180" s="1"/>
  <c r="D184" i="180"/>
  <c r="C184" i="180"/>
  <c r="B184" i="180"/>
  <c r="AZ183" i="180"/>
  <c r="AX183" i="180"/>
  <c r="AS183" i="180"/>
  <c r="AR183" i="180"/>
  <c r="AQ183" i="180"/>
  <c r="AP183" i="180"/>
  <c r="AO183" i="180"/>
  <c r="AK183" i="180"/>
  <c r="AH183" i="180"/>
  <c r="AG183" i="180"/>
  <c r="AF183" i="180"/>
  <c r="Z183" i="180"/>
  <c r="AD183" i="180" s="1"/>
  <c r="AE183" i="180" s="1"/>
  <c r="W183" i="180"/>
  <c r="X183" i="180" s="1"/>
  <c r="U183" i="180"/>
  <c r="T183" i="180"/>
  <c r="S183" i="180"/>
  <c r="R183" i="180"/>
  <c r="Q183" i="180" a="1"/>
  <c r="Q183" i="180" s="1"/>
  <c r="P183" i="180"/>
  <c r="O183" i="180"/>
  <c r="N183" i="180"/>
  <c r="M183" i="180"/>
  <c r="K183" i="180"/>
  <c r="AN183" i="180" s="1"/>
  <c r="J183" i="180"/>
  <c r="I183" i="180"/>
  <c r="H183" i="180"/>
  <c r="G183" i="180"/>
  <c r="E183" i="180"/>
  <c r="L183" i="180" s="1"/>
  <c r="D183" i="180"/>
  <c r="C183" i="180"/>
  <c r="B183" i="180"/>
  <c r="AZ182" i="180"/>
  <c r="AX182" i="180"/>
  <c r="AS182" i="180"/>
  <c r="AR182" i="180"/>
  <c r="AQ182" i="180"/>
  <c r="AP182" i="180"/>
  <c r="AO182" i="180"/>
  <c r="AK182" i="180"/>
  <c r="AH182" i="180"/>
  <c r="AG182" i="180"/>
  <c r="AF182" i="180"/>
  <c r="Z182" i="180"/>
  <c r="W182" i="180"/>
  <c r="X182" i="180" s="1"/>
  <c r="U182" i="180"/>
  <c r="T182" i="180"/>
  <c r="S182" i="180"/>
  <c r="R182" i="180"/>
  <c r="Q182" i="180" a="1"/>
  <c r="Q182" i="180" s="1"/>
  <c r="P182" i="180"/>
  <c r="O182" i="180"/>
  <c r="N182" i="180"/>
  <c r="M182" i="180"/>
  <c r="K182" i="180"/>
  <c r="AN182" i="180" s="1"/>
  <c r="J182" i="180"/>
  <c r="I182" i="180"/>
  <c r="H182" i="180"/>
  <c r="G182" i="180"/>
  <c r="E182" i="180"/>
  <c r="L182" i="180" s="1"/>
  <c r="D182" i="180"/>
  <c r="C182" i="180"/>
  <c r="B182" i="180"/>
  <c r="AZ181" i="180"/>
  <c r="AX181" i="180"/>
  <c r="AS181" i="180"/>
  <c r="AR181" i="180"/>
  <c r="AQ181" i="180"/>
  <c r="AP181" i="180"/>
  <c r="AO181" i="180"/>
  <c r="AK181" i="180"/>
  <c r="AH181" i="180"/>
  <c r="AG181" i="180"/>
  <c r="AF181" i="180"/>
  <c r="Z181" i="180"/>
  <c r="AD181" i="180" s="1"/>
  <c r="AE181" i="180" s="1"/>
  <c r="W181" i="180"/>
  <c r="X181" i="180" s="1"/>
  <c r="U181" i="180"/>
  <c r="T181" i="180"/>
  <c r="S181" i="180"/>
  <c r="R181" i="180"/>
  <c r="Q181" i="180" a="1"/>
  <c r="Q181" i="180" s="1"/>
  <c r="P181" i="180"/>
  <c r="O181" i="180"/>
  <c r="N181" i="180"/>
  <c r="M181" i="180"/>
  <c r="J181" i="180"/>
  <c r="I181" i="180"/>
  <c r="H181" i="180"/>
  <c r="G181" i="180"/>
  <c r="E181" i="180"/>
  <c r="L181" i="180" s="1"/>
  <c r="D181" i="180"/>
  <c r="C181" i="180"/>
  <c r="B181" i="180"/>
  <c r="AZ180" i="180"/>
  <c r="AX180" i="180"/>
  <c r="AS180" i="180"/>
  <c r="AR180" i="180"/>
  <c r="AQ180" i="180"/>
  <c r="AP180" i="180"/>
  <c r="AO180" i="180"/>
  <c r="AK180" i="180"/>
  <c r="AH180" i="180"/>
  <c r="AG180" i="180"/>
  <c r="AF180" i="180"/>
  <c r="Z180" i="180"/>
  <c r="AD180" i="180" s="1"/>
  <c r="AE180" i="180" s="1"/>
  <c r="W180" i="180"/>
  <c r="X180" i="180" s="1"/>
  <c r="U180" i="180"/>
  <c r="T180" i="180"/>
  <c r="S180" i="180"/>
  <c r="R180" i="180"/>
  <c r="Q180" i="180" a="1"/>
  <c r="Q180" i="180" s="1"/>
  <c r="P180" i="180"/>
  <c r="O180" i="180"/>
  <c r="N180" i="180"/>
  <c r="M180" i="180"/>
  <c r="K180" i="180"/>
  <c r="AN180" i="180" s="1"/>
  <c r="J180" i="180"/>
  <c r="I180" i="180"/>
  <c r="H180" i="180"/>
  <c r="G180" i="180"/>
  <c r="E180" i="180"/>
  <c r="L180" i="180" s="1"/>
  <c r="D180" i="180"/>
  <c r="C180" i="180"/>
  <c r="B180" i="180"/>
  <c r="AZ179" i="180"/>
  <c r="AX179" i="180"/>
  <c r="AS179" i="180"/>
  <c r="AR179" i="180"/>
  <c r="AQ179" i="180"/>
  <c r="AP179" i="180"/>
  <c r="AO179" i="180"/>
  <c r="AK179" i="180"/>
  <c r="AH179" i="180"/>
  <c r="AG179" i="180"/>
  <c r="AF179" i="180"/>
  <c r="Z179" i="180"/>
  <c r="AD179" i="180" s="1"/>
  <c r="AE179" i="180" s="1"/>
  <c r="W179" i="180"/>
  <c r="X179" i="180" s="1"/>
  <c r="U179" i="180"/>
  <c r="T179" i="180"/>
  <c r="S179" i="180"/>
  <c r="R179" i="180"/>
  <c r="Q179" i="180" a="1"/>
  <c r="Q179" i="180" s="1"/>
  <c r="P179" i="180"/>
  <c r="O179" i="180"/>
  <c r="N179" i="180"/>
  <c r="M179" i="180"/>
  <c r="J179" i="180"/>
  <c r="I179" i="180"/>
  <c r="H179" i="180"/>
  <c r="G179" i="180"/>
  <c r="E179" i="180"/>
  <c r="L179" i="180" s="1"/>
  <c r="D179" i="180"/>
  <c r="C179" i="180"/>
  <c r="B179" i="180"/>
  <c r="AZ178" i="180"/>
  <c r="AX178" i="180"/>
  <c r="AS178" i="180"/>
  <c r="AR178" i="180"/>
  <c r="AQ178" i="180"/>
  <c r="AP178" i="180"/>
  <c r="AO178" i="180"/>
  <c r="AK178" i="180"/>
  <c r="AH178" i="180"/>
  <c r="AG178" i="180"/>
  <c r="AF178" i="180"/>
  <c r="Z178" i="180"/>
  <c r="AA178" i="180" s="1"/>
  <c r="W178" i="180"/>
  <c r="X178" i="180" s="1"/>
  <c r="U178" i="180"/>
  <c r="T178" i="180"/>
  <c r="S178" i="180"/>
  <c r="R178" i="180"/>
  <c r="Q178" i="180" a="1"/>
  <c r="Q178" i="180" s="1"/>
  <c r="P178" i="180"/>
  <c r="O178" i="180"/>
  <c r="N178" i="180"/>
  <c r="M178" i="180"/>
  <c r="J178" i="180"/>
  <c r="I178" i="180"/>
  <c r="H178" i="180"/>
  <c r="G178" i="180"/>
  <c r="E178" i="180"/>
  <c r="L178" i="180" s="1"/>
  <c r="D178" i="180"/>
  <c r="C178" i="180"/>
  <c r="B178" i="180"/>
  <c r="AZ177" i="180"/>
  <c r="AX177" i="180"/>
  <c r="AS177" i="180"/>
  <c r="AR177" i="180"/>
  <c r="AQ177" i="180"/>
  <c r="AP177" i="180"/>
  <c r="AO177" i="180"/>
  <c r="AK177" i="180"/>
  <c r="AH177" i="180"/>
  <c r="AG177" i="180"/>
  <c r="AF177" i="180"/>
  <c r="Z177" i="180"/>
  <c r="AA177" i="180" s="1"/>
  <c r="W177" i="180"/>
  <c r="X177" i="180" s="1"/>
  <c r="U177" i="180"/>
  <c r="T177" i="180"/>
  <c r="S177" i="180"/>
  <c r="R177" i="180"/>
  <c r="Q177" i="180" a="1"/>
  <c r="Q177" i="180" s="1"/>
  <c r="P177" i="180"/>
  <c r="O177" i="180"/>
  <c r="N177" i="180"/>
  <c r="M177" i="180"/>
  <c r="J177" i="180"/>
  <c r="I177" i="180"/>
  <c r="H177" i="180"/>
  <c r="G177" i="180"/>
  <c r="E177" i="180"/>
  <c r="L177" i="180" s="1"/>
  <c r="D177" i="180"/>
  <c r="C177" i="180"/>
  <c r="B177" i="180"/>
  <c r="AZ176" i="180"/>
  <c r="AX176" i="180"/>
  <c r="AS176" i="180"/>
  <c r="AR176" i="180"/>
  <c r="AQ176" i="180"/>
  <c r="AP176" i="180"/>
  <c r="AO176" i="180"/>
  <c r="AK176" i="180"/>
  <c r="AH176" i="180"/>
  <c r="AG176" i="180"/>
  <c r="AF176" i="180"/>
  <c r="Z176" i="180"/>
  <c r="W176" i="180"/>
  <c r="X176" i="180" s="1"/>
  <c r="U176" i="180"/>
  <c r="T176" i="180"/>
  <c r="S176" i="180"/>
  <c r="R176" i="180"/>
  <c r="Q176" i="180" a="1"/>
  <c r="Q176" i="180" s="1"/>
  <c r="P176" i="180"/>
  <c r="O176" i="180"/>
  <c r="N176" i="180"/>
  <c r="M176" i="180"/>
  <c r="K176" i="180"/>
  <c r="AN176" i="180" s="1"/>
  <c r="J176" i="180"/>
  <c r="I176" i="180"/>
  <c r="H176" i="180"/>
  <c r="G176" i="180"/>
  <c r="E176" i="180"/>
  <c r="L176" i="180" s="1"/>
  <c r="D176" i="180"/>
  <c r="C176" i="180"/>
  <c r="B176" i="180"/>
  <c r="AZ175" i="180"/>
  <c r="AX175" i="180"/>
  <c r="AS175" i="180"/>
  <c r="AR175" i="180"/>
  <c r="AQ175" i="180"/>
  <c r="AP175" i="180"/>
  <c r="AO175" i="180"/>
  <c r="AK175" i="180"/>
  <c r="AH175" i="180"/>
  <c r="AG175" i="180"/>
  <c r="AF175" i="180"/>
  <c r="Z175" i="180"/>
  <c r="AA175" i="180" s="1"/>
  <c r="W175" i="180"/>
  <c r="X175" i="180" s="1"/>
  <c r="U175" i="180"/>
  <c r="T175" i="180"/>
  <c r="S175" i="180"/>
  <c r="R175" i="180"/>
  <c r="Q175" i="180" a="1"/>
  <c r="Q175" i="180" s="1"/>
  <c r="P175" i="180"/>
  <c r="O175" i="180"/>
  <c r="N175" i="180"/>
  <c r="M175" i="180"/>
  <c r="J175" i="180"/>
  <c r="I175" i="180"/>
  <c r="H175" i="180"/>
  <c r="G175" i="180"/>
  <c r="E175" i="180"/>
  <c r="L175" i="180" s="1"/>
  <c r="D175" i="180"/>
  <c r="C175" i="180"/>
  <c r="B175" i="180"/>
  <c r="AZ174" i="180"/>
  <c r="AX174" i="180"/>
  <c r="AS174" i="180"/>
  <c r="AR174" i="180"/>
  <c r="AQ174" i="180"/>
  <c r="AP174" i="180"/>
  <c r="AO174" i="180"/>
  <c r="AK174" i="180"/>
  <c r="AH174" i="180"/>
  <c r="AG174" i="180"/>
  <c r="AF174" i="180"/>
  <c r="Z174" i="180"/>
  <c r="AA174" i="180" s="1"/>
  <c r="W174" i="180"/>
  <c r="X174" i="180" s="1"/>
  <c r="U174" i="180"/>
  <c r="T174" i="180"/>
  <c r="S174" i="180"/>
  <c r="R174" i="180"/>
  <c r="Q174" i="180" a="1"/>
  <c r="Q174" i="180" s="1"/>
  <c r="P174" i="180"/>
  <c r="O174" i="180"/>
  <c r="N174" i="180"/>
  <c r="M174" i="180"/>
  <c r="J174" i="180"/>
  <c r="I174" i="180"/>
  <c r="H174" i="180"/>
  <c r="G174" i="180"/>
  <c r="E174" i="180"/>
  <c r="L174" i="180" s="1"/>
  <c r="D174" i="180"/>
  <c r="C174" i="180"/>
  <c r="B174" i="180"/>
  <c r="AZ173" i="180"/>
  <c r="AX173" i="180"/>
  <c r="AS173" i="180"/>
  <c r="AR173" i="180"/>
  <c r="AQ173" i="180"/>
  <c r="AP173" i="180"/>
  <c r="AO173" i="180"/>
  <c r="AK173" i="180"/>
  <c r="AH173" i="180"/>
  <c r="AG173" i="180"/>
  <c r="AF173" i="180"/>
  <c r="Z173" i="180"/>
  <c r="AA173" i="180" s="1"/>
  <c r="W173" i="180"/>
  <c r="X173" i="180" s="1"/>
  <c r="U173" i="180"/>
  <c r="T173" i="180"/>
  <c r="S173" i="180"/>
  <c r="R173" i="180"/>
  <c r="Q173" i="180" a="1"/>
  <c r="Q173" i="180" s="1"/>
  <c r="P173" i="180"/>
  <c r="O173" i="180"/>
  <c r="N173" i="180"/>
  <c r="M173" i="180"/>
  <c r="K173" i="180"/>
  <c r="AN173" i="180" s="1"/>
  <c r="J173" i="180"/>
  <c r="I173" i="180"/>
  <c r="H173" i="180"/>
  <c r="G173" i="180"/>
  <c r="E173" i="180"/>
  <c r="L173" i="180" s="1"/>
  <c r="D173" i="180"/>
  <c r="C173" i="180"/>
  <c r="B173" i="180"/>
  <c r="AZ172" i="180"/>
  <c r="AX172" i="180"/>
  <c r="AS172" i="180"/>
  <c r="AR172" i="180"/>
  <c r="AQ172" i="180"/>
  <c r="AP172" i="180"/>
  <c r="AO172" i="180"/>
  <c r="AK172" i="180"/>
  <c r="AH172" i="180"/>
  <c r="AG172" i="180"/>
  <c r="AF172" i="180"/>
  <c r="Z172" i="180"/>
  <c r="AA172" i="180" s="1"/>
  <c r="W172" i="180"/>
  <c r="X172" i="180" s="1"/>
  <c r="U172" i="180"/>
  <c r="T172" i="180"/>
  <c r="S172" i="180"/>
  <c r="R172" i="180"/>
  <c r="Q172" i="180" a="1"/>
  <c r="Q172" i="180" s="1"/>
  <c r="P172" i="180"/>
  <c r="O172" i="180"/>
  <c r="N172" i="180"/>
  <c r="M172" i="180"/>
  <c r="K172" i="180"/>
  <c r="AN172" i="180" s="1"/>
  <c r="J172" i="180"/>
  <c r="I172" i="180"/>
  <c r="H172" i="180"/>
  <c r="G172" i="180"/>
  <c r="E172" i="180"/>
  <c r="L172" i="180" s="1"/>
  <c r="D172" i="180"/>
  <c r="C172" i="180"/>
  <c r="B172" i="180"/>
  <c r="AZ171" i="180"/>
  <c r="AX171" i="180"/>
  <c r="AS171" i="180"/>
  <c r="AR171" i="180"/>
  <c r="AQ171" i="180"/>
  <c r="AP171" i="180"/>
  <c r="AO171" i="180"/>
  <c r="AK171" i="180"/>
  <c r="AH171" i="180"/>
  <c r="AG171" i="180"/>
  <c r="AF171" i="180"/>
  <c r="Z171" i="180"/>
  <c r="AA171" i="180" s="1"/>
  <c r="W171" i="180"/>
  <c r="X171" i="180" s="1"/>
  <c r="U171" i="180"/>
  <c r="T171" i="180"/>
  <c r="S171" i="180"/>
  <c r="R171" i="180"/>
  <c r="Q171" i="180" a="1"/>
  <c r="Q171" i="180" s="1"/>
  <c r="P171" i="180"/>
  <c r="O171" i="180"/>
  <c r="N171" i="180"/>
  <c r="M171" i="180"/>
  <c r="K171" i="180"/>
  <c r="AN171" i="180" s="1"/>
  <c r="J171" i="180"/>
  <c r="I171" i="180"/>
  <c r="H171" i="180"/>
  <c r="G171" i="180"/>
  <c r="E171" i="180"/>
  <c r="L171" i="180" s="1"/>
  <c r="D171" i="180"/>
  <c r="C171" i="180"/>
  <c r="B171" i="180"/>
  <c r="AZ170" i="180"/>
  <c r="AX170" i="180"/>
  <c r="AS170" i="180"/>
  <c r="AR170" i="180"/>
  <c r="AQ170" i="180"/>
  <c r="AP170" i="180"/>
  <c r="AO170" i="180"/>
  <c r="AK170" i="180"/>
  <c r="AH170" i="180"/>
  <c r="AG170" i="180"/>
  <c r="AF170" i="180"/>
  <c r="Z170" i="180"/>
  <c r="AA170" i="180" s="1"/>
  <c r="W170" i="180"/>
  <c r="X170" i="180" s="1"/>
  <c r="U170" i="180"/>
  <c r="T170" i="180"/>
  <c r="S170" i="180"/>
  <c r="R170" i="180"/>
  <c r="Q170" i="180" a="1"/>
  <c r="Q170" i="180" s="1"/>
  <c r="P170" i="180"/>
  <c r="O170" i="180"/>
  <c r="N170" i="180"/>
  <c r="M170" i="180"/>
  <c r="K170" i="180"/>
  <c r="AN170" i="180" s="1"/>
  <c r="J170" i="180"/>
  <c r="I170" i="180"/>
  <c r="H170" i="180"/>
  <c r="G170" i="180"/>
  <c r="E170" i="180"/>
  <c r="L170" i="180" s="1"/>
  <c r="D170" i="180"/>
  <c r="C170" i="180"/>
  <c r="B170" i="180"/>
  <c r="AZ169" i="180"/>
  <c r="AX169" i="180"/>
  <c r="AS169" i="180"/>
  <c r="AR169" i="180"/>
  <c r="AQ169" i="180"/>
  <c r="AP169" i="180"/>
  <c r="AO169" i="180"/>
  <c r="AK169" i="180"/>
  <c r="AH169" i="180"/>
  <c r="AG169" i="180"/>
  <c r="AF169" i="180"/>
  <c r="Z169" i="180"/>
  <c r="W169" i="180"/>
  <c r="X169" i="180" s="1"/>
  <c r="U169" i="180"/>
  <c r="T169" i="180"/>
  <c r="S169" i="180"/>
  <c r="R169" i="180"/>
  <c r="Q169" i="180" a="1"/>
  <c r="Q169" i="180" s="1"/>
  <c r="P169" i="180"/>
  <c r="O169" i="180"/>
  <c r="N169" i="180"/>
  <c r="M169" i="180"/>
  <c r="J169" i="180"/>
  <c r="I169" i="180"/>
  <c r="H169" i="180"/>
  <c r="G169" i="180"/>
  <c r="E169" i="180"/>
  <c r="L169" i="180" s="1"/>
  <c r="D169" i="180"/>
  <c r="C169" i="180"/>
  <c r="B169" i="180"/>
  <c r="AZ168" i="180"/>
  <c r="AX168" i="180"/>
  <c r="AS168" i="180"/>
  <c r="AR168" i="180"/>
  <c r="AQ168" i="180"/>
  <c r="AP168" i="180"/>
  <c r="AO168" i="180"/>
  <c r="AK168" i="180"/>
  <c r="AH168" i="180"/>
  <c r="AG168" i="180"/>
  <c r="AF168" i="180"/>
  <c r="Z168" i="180"/>
  <c r="AA168" i="180" s="1"/>
  <c r="W168" i="180"/>
  <c r="X168" i="180" s="1"/>
  <c r="U168" i="180"/>
  <c r="T168" i="180"/>
  <c r="S168" i="180"/>
  <c r="R168" i="180"/>
  <c r="Q168" i="180" a="1"/>
  <c r="Q168" i="180" s="1"/>
  <c r="P168" i="180"/>
  <c r="O168" i="180"/>
  <c r="N168" i="180"/>
  <c r="M168" i="180"/>
  <c r="K168" i="180"/>
  <c r="AN168" i="180" s="1"/>
  <c r="J168" i="180"/>
  <c r="I168" i="180"/>
  <c r="H168" i="180"/>
  <c r="G168" i="180"/>
  <c r="E168" i="180"/>
  <c r="L168" i="180" s="1"/>
  <c r="D168" i="180"/>
  <c r="C168" i="180"/>
  <c r="B168" i="180"/>
  <c r="AZ167" i="180"/>
  <c r="AX167" i="180"/>
  <c r="AS167" i="180"/>
  <c r="AR167" i="180"/>
  <c r="AQ167" i="180"/>
  <c r="AP167" i="180"/>
  <c r="AO167" i="180"/>
  <c r="AK167" i="180"/>
  <c r="AH167" i="180"/>
  <c r="AG167" i="180"/>
  <c r="AF167" i="180"/>
  <c r="Z167" i="180"/>
  <c r="AA167" i="180" s="1"/>
  <c r="W167" i="180"/>
  <c r="X167" i="180" s="1"/>
  <c r="U167" i="180"/>
  <c r="T167" i="180"/>
  <c r="S167" i="180"/>
  <c r="R167" i="180"/>
  <c r="Q167" i="180" a="1"/>
  <c r="Q167" i="180" s="1"/>
  <c r="P167" i="180"/>
  <c r="O167" i="180"/>
  <c r="N167" i="180"/>
  <c r="M167" i="180"/>
  <c r="K167" i="180"/>
  <c r="AN167" i="180" s="1"/>
  <c r="J167" i="180"/>
  <c r="I167" i="180"/>
  <c r="H167" i="180"/>
  <c r="G167" i="180"/>
  <c r="E167" i="180"/>
  <c r="L167" i="180" s="1"/>
  <c r="D167" i="180"/>
  <c r="C167" i="180"/>
  <c r="B167" i="180"/>
  <c r="AZ166" i="180"/>
  <c r="AX166" i="180"/>
  <c r="AS166" i="180"/>
  <c r="AR166" i="180"/>
  <c r="AQ166" i="180"/>
  <c r="AP166" i="180"/>
  <c r="AO166" i="180"/>
  <c r="AK166" i="180"/>
  <c r="AH166" i="180"/>
  <c r="AG166" i="180"/>
  <c r="AF166" i="180"/>
  <c r="Z166" i="180"/>
  <c r="AA166" i="180" s="1"/>
  <c r="W166" i="180"/>
  <c r="X166" i="180" s="1"/>
  <c r="U166" i="180"/>
  <c r="T166" i="180"/>
  <c r="S166" i="180"/>
  <c r="R166" i="180"/>
  <c r="Q166" i="180" a="1"/>
  <c r="Q166" i="180" s="1"/>
  <c r="P166" i="180"/>
  <c r="O166" i="180"/>
  <c r="N166" i="180"/>
  <c r="M166" i="180"/>
  <c r="K166" i="180"/>
  <c r="AN166" i="180" s="1"/>
  <c r="J166" i="180"/>
  <c r="I166" i="180"/>
  <c r="H166" i="180"/>
  <c r="G166" i="180"/>
  <c r="E166" i="180"/>
  <c r="L166" i="180" s="1"/>
  <c r="D166" i="180"/>
  <c r="C166" i="180"/>
  <c r="B166" i="180"/>
  <c r="AZ165" i="180"/>
  <c r="AX165" i="180"/>
  <c r="AS165" i="180"/>
  <c r="AR165" i="180"/>
  <c r="AQ165" i="180"/>
  <c r="AP165" i="180"/>
  <c r="AO165" i="180"/>
  <c r="AK165" i="180"/>
  <c r="AH165" i="180"/>
  <c r="AG165" i="180"/>
  <c r="AF165" i="180"/>
  <c r="Z165" i="180"/>
  <c r="AA165" i="180" s="1"/>
  <c r="W165" i="180"/>
  <c r="X165" i="180" s="1"/>
  <c r="U165" i="180"/>
  <c r="T165" i="180"/>
  <c r="S165" i="180"/>
  <c r="R165" i="180"/>
  <c r="Q165" i="180" a="1"/>
  <c r="Q165" i="180" s="1"/>
  <c r="P165" i="180"/>
  <c r="O165" i="180"/>
  <c r="N165" i="180"/>
  <c r="M165" i="180"/>
  <c r="K165" i="180"/>
  <c r="AN165" i="180" s="1"/>
  <c r="J165" i="180"/>
  <c r="I165" i="180"/>
  <c r="H165" i="180"/>
  <c r="G165" i="180"/>
  <c r="E165" i="180"/>
  <c r="L165" i="180" s="1"/>
  <c r="D165" i="180"/>
  <c r="C165" i="180"/>
  <c r="B165" i="180"/>
  <c r="AZ164" i="180"/>
  <c r="AX164" i="180"/>
  <c r="AS164" i="180"/>
  <c r="AR164" i="180"/>
  <c r="AQ164" i="180"/>
  <c r="AP164" i="180"/>
  <c r="AO164" i="180"/>
  <c r="AK164" i="180"/>
  <c r="AH164" i="180"/>
  <c r="AG164" i="180"/>
  <c r="AF164" i="180"/>
  <c r="Z164" i="180"/>
  <c r="AA164" i="180" s="1"/>
  <c r="W164" i="180"/>
  <c r="X164" i="180" s="1"/>
  <c r="U164" i="180"/>
  <c r="T164" i="180"/>
  <c r="S164" i="180"/>
  <c r="R164" i="180"/>
  <c r="Q164" i="180" a="1"/>
  <c r="Q164" i="180" s="1"/>
  <c r="P164" i="180"/>
  <c r="O164" i="180"/>
  <c r="N164" i="180"/>
  <c r="M164" i="180"/>
  <c r="K164" i="180"/>
  <c r="AN164" i="180" s="1"/>
  <c r="J164" i="180"/>
  <c r="I164" i="180"/>
  <c r="H164" i="180"/>
  <c r="G164" i="180"/>
  <c r="E164" i="180"/>
  <c r="L164" i="180" s="1"/>
  <c r="D164" i="180"/>
  <c r="C164" i="180"/>
  <c r="B164" i="180"/>
  <c r="AZ163" i="180"/>
  <c r="AX163" i="180"/>
  <c r="AS163" i="180"/>
  <c r="AR163" i="180"/>
  <c r="AQ163" i="180"/>
  <c r="AP163" i="180"/>
  <c r="AO163" i="180"/>
  <c r="AK163" i="180"/>
  <c r="AH163" i="180"/>
  <c r="AG163" i="180"/>
  <c r="AF163" i="180"/>
  <c r="Z163" i="180"/>
  <c r="AA163" i="180" s="1"/>
  <c r="W163" i="180"/>
  <c r="X163" i="180" s="1"/>
  <c r="U163" i="180"/>
  <c r="T163" i="180"/>
  <c r="S163" i="180"/>
  <c r="R163" i="180"/>
  <c r="Q163" i="180" a="1"/>
  <c r="Q163" i="180" s="1"/>
  <c r="P163" i="180"/>
  <c r="O163" i="180"/>
  <c r="N163" i="180"/>
  <c r="M163" i="180"/>
  <c r="J163" i="180"/>
  <c r="I163" i="180"/>
  <c r="H163" i="180"/>
  <c r="G163" i="180"/>
  <c r="E163" i="180"/>
  <c r="L163" i="180" s="1"/>
  <c r="D163" i="180"/>
  <c r="C163" i="180"/>
  <c r="B163" i="180"/>
  <c r="AZ162" i="180"/>
  <c r="AX162" i="180"/>
  <c r="AS162" i="180"/>
  <c r="AR162" i="180"/>
  <c r="AQ162" i="180"/>
  <c r="AP162" i="180"/>
  <c r="AO162" i="180"/>
  <c r="AK162" i="180"/>
  <c r="AH162" i="180"/>
  <c r="AG162" i="180"/>
  <c r="AF162" i="180"/>
  <c r="Z162" i="180"/>
  <c r="AA162" i="180" s="1"/>
  <c r="W162" i="180"/>
  <c r="X162" i="180" s="1"/>
  <c r="U162" i="180"/>
  <c r="T162" i="180"/>
  <c r="S162" i="180"/>
  <c r="R162" i="180"/>
  <c r="Q162" i="180" a="1"/>
  <c r="Q162" i="180" s="1"/>
  <c r="P162" i="180"/>
  <c r="O162" i="180"/>
  <c r="N162" i="180"/>
  <c r="M162" i="180"/>
  <c r="K162" i="180"/>
  <c r="AN162" i="180" s="1"/>
  <c r="J162" i="180"/>
  <c r="I162" i="180"/>
  <c r="H162" i="180"/>
  <c r="G162" i="180"/>
  <c r="E162" i="180"/>
  <c r="L162" i="180" s="1"/>
  <c r="D162" i="180"/>
  <c r="C162" i="180"/>
  <c r="B162" i="180"/>
  <c r="AZ161" i="180"/>
  <c r="AX161" i="180"/>
  <c r="AS161" i="180"/>
  <c r="AR161" i="180"/>
  <c r="AQ161" i="180"/>
  <c r="AP161" i="180"/>
  <c r="AO161" i="180"/>
  <c r="AK161" i="180"/>
  <c r="AH161" i="180"/>
  <c r="AG161" i="180"/>
  <c r="AF161" i="180"/>
  <c r="Z161" i="180"/>
  <c r="AA161" i="180" s="1"/>
  <c r="W161" i="180"/>
  <c r="X161" i="180" s="1"/>
  <c r="U161" i="180"/>
  <c r="T161" i="180"/>
  <c r="S161" i="180"/>
  <c r="R161" i="180"/>
  <c r="Q161" i="180" a="1"/>
  <c r="Q161" i="180" s="1"/>
  <c r="P161" i="180"/>
  <c r="O161" i="180"/>
  <c r="N161" i="180"/>
  <c r="M161" i="180"/>
  <c r="J161" i="180"/>
  <c r="I161" i="180"/>
  <c r="H161" i="180"/>
  <c r="G161" i="180"/>
  <c r="E161" i="180"/>
  <c r="L161" i="180" s="1"/>
  <c r="D161" i="180"/>
  <c r="C161" i="180"/>
  <c r="B161" i="180"/>
  <c r="AZ160" i="180"/>
  <c r="AX160" i="180"/>
  <c r="AS160" i="180"/>
  <c r="AR160" i="180"/>
  <c r="AQ160" i="180"/>
  <c r="AP160" i="180"/>
  <c r="AO160" i="180"/>
  <c r="AK160" i="180"/>
  <c r="AH160" i="180"/>
  <c r="AG160" i="180"/>
  <c r="AF160" i="180"/>
  <c r="Z160" i="180"/>
  <c r="AA160" i="180" s="1"/>
  <c r="W160" i="180"/>
  <c r="X160" i="180" s="1"/>
  <c r="U160" i="180"/>
  <c r="T160" i="180"/>
  <c r="S160" i="180"/>
  <c r="R160" i="180"/>
  <c r="Q160" i="180" a="1"/>
  <c r="Q160" i="180" s="1"/>
  <c r="P160" i="180"/>
  <c r="O160" i="180"/>
  <c r="N160" i="180"/>
  <c r="M160" i="180"/>
  <c r="K160" i="180"/>
  <c r="AN160" i="180" s="1"/>
  <c r="J160" i="180"/>
  <c r="I160" i="180"/>
  <c r="H160" i="180"/>
  <c r="G160" i="180"/>
  <c r="E160" i="180"/>
  <c r="L160" i="180" s="1"/>
  <c r="D160" i="180"/>
  <c r="C160" i="180"/>
  <c r="B160" i="180"/>
  <c r="AZ159" i="180"/>
  <c r="AX159" i="180"/>
  <c r="AS159" i="180"/>
  <c r="AR159" i="180"/>
  <c r="AQ159" i="180"/>
  <c r="AP159" i="180"/>
  <c r="AO159" i="180"/>
  <c r="AK159" i="180"/>
  <c r="AH159" i="180"/>
  <c r="AG159" i="180"/>
  <c r="AF159" i="180"/>
  <c r="Z159" i="180"/>
  <c r="AA159" i="180" s="1"/>
  <c r="W159" i="180"/>
  <c r="X159" i="180" s="1"/>
  <c r="U159" i="180"/>
  <c r="T159" i="180"/>
  <c r="S159" i="180"/>
  <c r="R159" i="180"/>
  <c r="Q159" i="180" a="1"/>
  <c r="Q159" i="180" s="1"/>
  <c r="P159" i="180"/>
  <c r="O159" i="180"/>
  <c r="N159" i="180"/>
  <c r="M159" i="180"/>
  <c r="K159" i="180"/>
  <c r="AN159" i="180" s="1"/>
  <c r="J159" i="180"/>
  <c r="I159" i="180"/>
  <c r="H159" i="180"/>
  <c r="G159" i="180"/>
  <c r="E159" i="180"/>
  <c r="L159" i="180" s="1"/>
  <c r="D159" i="180"/>
  <c r="C159" i="180"/>
  <c r="B159" i="180"/>
  <c r="AZ158" i="180"/>
  <c r="AX158" i="180"/>
  <c r="AS158" i="180"/>
  <c r="AR158" i="180"/>
  <c r="AQ158" i="180"/>
  <c r="AP158" i="180"/>
  <c r="AO158" i="180"/>
  <c r="AK158" i="180"/>
  <c r="AH158" i="180"/>
  <c r="AG158" i="180"/>
  <c r="AF158" i="180"/>
  <c r="Z158" i="180"/>
  <c r="AA158" i="180" s="1"/>
  <c r="W158" i="180"/>
  <c r="X158" i="180" s="1"/>
  <c r="U158" i="180"/>
  <c r="T158" i="180"/>
  <c r="S158" i="180"/>
  <c r="R158" i="180"/>
  <c r="Q158" i="180" a="1"/>
  <c r="Q158" i="180" s="1"/>
  <c r="P158" i="180"/>
  <c r="O158" i="180"/>
  <c r="N158" i="180"/>
  <c r="M158" i="180"/>
  <c r="J158" i="180"/>
  <c r="I158" i="180"/>
  <c r="H158" i="180"/>
  <c r="G158" i="180"/>
  <c r="E158" i="180"/>
  <c r="L158" i="180" s="1"/>
  <c r="D158" i="180"/>
  <c r="C158" i="180"/>
  <c r="B158" i="180"/>
  <c r="AZ157" i="180"/>
  <c r="AX157" i="180"/>
  <c r="AS157" i="180"/>
  <c r="AR157" i="180"/>
  <c r="AQ157" i="180"/>
  <c r="AP157" i="180"/>
  <c r="AO157" i="180"/>
  <c r="AK157" i="180"/>
  <c r="AH157" i="180"/>
  <c r="AG157" i="180"/>
  <c r="AF157" i="180"/>
  <c r="Z157" i="180"/>
  <c r="AA157" i="180" s="1"/>
  <c r="W157" i="180"/>
  <c r="X157" i="180" s="1"/>
  <c r="U157" i="180"/>
  <c r="T157" i="180"/>
  <c r="S157" i="180"/>
  <c r="R157" i="180"/>
  <c r="Q157" i="180" a="1"/>
  <c r="Q157" i="180" s="1"/>
  <c r="P157" i="180"/>
  <c r="O157" i="180"/>
  <c r="N157" i="180"/>
  <c r="M157" i="180"/>
  <c r="J157" i="180"/>
  <c r="I157" i="180"/>
  <c r="H157" i="180"/>
  <c r="G157" i="180"/>
  <c r="E157" i="180"/>
  <c r="L157" i="180" s="1"/>
  <c r="D157" i="180"/>
  <c r="C157" i="180"/>
  <c r="B157" i="180"/>
  <c r="AZ156" i="180"/>
  <c r="AX156" i="180"/>
  <c r="AS156" i="180"/>
  <c r="AR156" i="180"/>
  <c r="AQ156" i="180"/>
  <c r="AP156" i="180"/>
  <c r="AO156" i="180"/>
  <c r="AK156" i="180"/>
  <c r="AH156" i="180"/>
  <c r="AG156" i="180"/>
  <c r="AF156" i="180"/>
  <c r="Z156" i="180"/>
  <c r="AA156" i="180" s="1"/>
  <c r="W156" i="180"/>
  <c r="X156" i="180" s="1"/>
  <c r="U156" i="180"/>
  <c r="T156" i="180"/>
  <c r="S156" i="180"/>
  <c r="R156" i="180"/>
  <c r="Q156" i="180" a="1"/>
  <c r="Q156" i="180" s="1"/>
  <c r="P156" i="180"/>
  <c r="O156" i="180"/>
  <c r="N156" i="180"/>
  <c r="M156" i="180"/>
  <c r="K156" i="180"/>
  <c r="AN156" i="180" s="1"/>
  <c r="J156" i="180"/>
  <c r="I156" i="180"/>
  <c r="H156" i="180"/>
  <c r="G156" i="180"/>
  <c r="E156" i="180"/>
  <c r="L156" i="180" s="1"/>
  <c r="D156" i="180"/>
  <c r="C156" i="180"/>
  <c r="B156" i="180"/>
  <c r="AZ155" i="180"/>
  <c r="AX155" i="180"/>
  <c r="AS155" i="180"/>
  <c r="AR155" i="180"/>
  <c r="AQ155" i="180"/>
  <c r="AP155" i="180"/>
  <c r="AO155" i="180"/>
  <c r="AK155" i="180"/>
  <c r="AH155" i="180"/>
  <c r="AG155" i="180"/>
  <c r="AF155" i="180"/>
  <c r="Z155" i="180"/>
  <c r="W155" i="180"/>
  <c r="X155" i="180" s="1"/>
  <c r="U155" i="180"/>
  <c r="T155" i="180"/>
  <c r="S155" i="180"/>
  <c r="R155" i="180"/>
  <c r="Q155" i="180" a="1"/>
  <c r="Q155" i="180" s="1"/>
  <c r="P155" i="180"/>
  <c r="O155" i="180"/>
  <c r="N155" i="180"/>
  <c r="M155" i="180"/>
  <c r="J155" i="180"/>
  <c r="I155" i="180"/>
  <c r="H155" i="180"/>
  <c r="G155" i="180"/>
  <c r="E155" i="180"/>
  <c r="L155" i="180" s="1"/>
  <c r="D155" i="180"/>
  <c r="C155" i="180"/>
  <c r="B155" i="180"/>
  <c r="AZ154" i="180"/>
  <c r="AX154" i="180"/>
  <c r="AS154" i="180"/>
  <c r="AR154" i="180"/>
  <c r="AQ154" i="180"/>
  <c r="AP154" i="180"/>
  <c r="AO154" i="180"/>
  <c r="AK154" i="180"/>
  <c r="AH154" i="180"/>
  <c r="AG154" i="180"/>
  <c r="AF154" i="180"/>
  <c r="Z154" i="180"/>
  <c r="AA154" i="180" s="1"/>
  <c r="W154" i="180"/>
  <c r="X154" i="180" s="1"/>
  <c r="U154" i="180"/>
  <c r="T154" i="180"/>
  <c r="S154" i="180"/>
  <c r="R154" i="180"/>
  <c r="Q154" i="180" a="1"/>
  <c r="Q154" i="180" s="1"/>
  <c r="P154" i="180"/>
  <c r="O154" i="180"/>
  <c r="N154" i="180"/>
  <c r="M154" i="180"/>
  <c r="J154" i="180"/>
  <c r="I154" i="180"/>
  <c r="H154" i="180"/>
  <c r="G154" i="180"/>
  <c r="E154" i="180"/>
  <c r="L154" i="180" s="1"/>
  <c r="D154" i="180"/>
  <c r="C154" i="180"/>
  <c r="B154" i="180"/>
  <c r="AZ153" i="180"/>
  <c r="AX153" i="180"/>
  <c r="AS153" i="180"/>
  <c r="AR153" i="180"/>
  <c r="AQ153" i="180"/>
  <c r="AP153" i="180"/>
  <c r="AO153" i="180"/>
  <c r="AK153" i="180"/>
  <c r="AH153" i="180"/>
  <c r="AG153" i="180"/>
  <c r="AF153" i="180"/>
  <c r="Z153" i="180"/>
  <c r="W153" i="180"/>
  <c r="X153" i="180" s="1"/>
  <c r="U153" i="180"/>
  <c r="T153" i="180"/>
  <c r="S153" i="180"/>
  <c r="R153" i="180"/>
  <c r="Q153" i="180" a="1"/>
  <c r="Q153" i="180" s="1"/>
  <c r="P153" i="180"/>
  <c r="O153" i="180"/>
  <c r="N153" i="180"/>
  <c r="M153" i="180"/>
  <c r="J153" i="180"/>
  <c r="I153" i="180"/>
  <c r="H153" i="180"/>
  <c r="G153" i="180"/>
  <c r="E153" i="180"/>
  <c r="L153" i="180" s="1"/>
  <c r="D153" i="180"/>
  <c r="C153" i="180"/>
  <c r="B153" i="180"/>
  <c r="AZ152" i="180"/>
  <c r="AX152" i="180"/>
  <c r="AS152" i="180"/>
  <c r="AR152" i="180"/>
  <c r="AQ152" i="180"/>
  <c r="AP152" i="180"/>
  <c r="AO152" i="180"/>
  <c r="AK152" i="180"/>
  <c r="AH152" i="180"/>
  <c r="AG152" i="180"/>
  <c r="AF152" i="180"/>
  <c r="Z152" i="180"/>
  <c r="W152" i="180"/>
  <c r="X152" i="180" s="1"/>
  <c r="U152" i="180"/>
  <c r="T152" i="180"/>
  <c r="S152" i="180"/>
  <c r="R152" i="180"/>
  <c r="Q152" i="180" a="1"/>
  <c r="Q152" i="180" s="1"/>
  <c r="P152" i="180"/>
  <c r="O152" i="180"/>
  <c r="N152" i="180"/>
  <c r="M152" i="180"/>
  <c r="J152" i="180"/>
  <c r="I152" i="180"/>
  <c r="H152" i="180"/>
  <c r="G152" i="180"/>
  <c r="E152" i="180"/>
  <c r="L152" i="180" s="1"/>
  <c r="D152" i="180"/>
  <c r="C152" i="180"/>
  <c r="B152" i="180"/>
  <c r="AZ151" i="180"/>
  <c r="AX151" i="180"/>
  <c r="AS151" i="180"/>
  <c r="AR151" i="180"/>
  <c r="AQ151" i="180"/>
  <c r="AP151" i="180"/>
  <c r="AO151" i="180"/>
  <c r="AK151" i="180"/>
  <c r="AH151" i="180"/>
  <c r="AG151" i="180"/>
  <c r="AF151" i="180"/>
  <c r="Z151" i="180"/>
  <c r="AA151" i="180" s="1"/>
  <c r="W151" i="180"/>
  <c r="X151" i="180" s="1"/>
  <c r="U151" i="180"/>
  <c r="T151" i="180"/>
  <c r="S151" i="180"/>
  <c r="R151" i="180"/>
  <c r="Q151" i="180" a="1"/>
  <c r="Q151" i="180" s="1"/>
  <c r="P151" i="180"/>
  <c r="O151" i="180"/>
  <c r="N151" i="180"/>
  <c r="M151" i="180"/>
  <c r="K151" i="180"/>
  <c r="AN151" i="180" s="1"/>
  <c r="J151" i="180"/>
  <c r="I151" i="180"/>
  <c r="H151" i="180"/>
  <c r="G151" i="180"/>
  <c r="E151" i="180"/>
  <c r="L151" i="180" s="1"/>
  <c r="D151" i="180"/>
  <c r="C151" i="180"/>
  <c r="B151" i="180"/>
  <c r="AZ150" i="180"/>
  <c r="AX150" i="180"/>
  <c r="AS150" i="180"/>
  <c r="AR150" i="180"/>
  <c r="AQ150" i="180"/>
  <c r="AP150" i="180"/>
  <c r="AO150" i="180"/>
  <c r="AK150" i="180"/>
  <c r="AH150" i="180"/>
  <c r="AG150" i="180"/>
  <c r="AF150" i="180"/>
  <c r="Z150" i="180"/>
  <c r="W150" i="180"/>
  <c r="X150" i="180" s="1"/>
  <c r="U150" i="180"/>
  <c r="T150" i="180"/>
  <c r="S150" i="180"/>
  <c r="R150" i="180"/>
  <c r="Q150" i="180" a="1"/>
  <c r="Q150" i="180" s="1"/>
  <c r="P150" i="180"/>
  <c r="O150" i="180"/>
  <c r="N150" i="180"/>
  <c r="M150" i="180"/>
  <c r="J150" i="180"/>
  <c r="I150" i="180"/>
  <c r="H150" i="180"/>
  <c r="G150" i="180"/>
  <c r="E150" i="180"/>
  <c r="L150" i="180" s="1"/>
  <c r="D150" i="180"/>
  <c r="C150" i="180"/>
  <c r="B150" i="180"/>
  <c r="AZ149" i="180"/>
  <c r="AX149" i="180"/>
  <c r="AS149" i="180"/>
  <c r="AR149" i="180"/>
  <c r="AQ149" i="180"/>
  <c r="AP149" i="180"/>
  <c r="AO149" i="180"/>
  <c r="AK149" i="180"/>
  <c r="AH149" i="180"/>
  <c r="AG149" i="180"/>
  <c r="AF149" i="180"/>
  <c r="Z149" i="180"/>
  <c r="W149" i="180"/>
  <c r="X149" i="180" s="1"/>
  <c r="U149" i="180"/>
  <c r="T149" i="180"/>
  <c r="S149" i="180"/>
  <c r="R149" i="180"/>
  <c r="Q149" i="180" a="1"/>
  <c r="Q149" i="180" s="1"/>
  <c r="P149" i="180"/>
  <c r="O149" i="180"/>
  <c r="N149" i="180"/>
  <c r="M149" i="180"/>
  <c r="J149" i="180"/>
  <c r="I149" i="180"/>
  <c r="H149" i="180"/>
  <c r="G149" i="180"/>
  <c r="E149" i="180"/>
  <c r="L149" i="180" s="1"/>
  <c r="D149" i="180"/>
  <c r="C149" i="180"/>
  <c r="B149" i="180"/>
  <c r="AZ148" i="180"/>
  <c r="AX148" i="180"/>
  <c r="AS148" i="180"/>
  <c r="AR148" i="180"/>
  <c r="AQ148" i="180"/>
  <c r="AP148" i="180"/>
  <c r="AO148" i="180"/>
  <c r="AK148" i="180"/>
  <c r="AH148" i="180"/>
  <c r="AG148" i="180"/>
  <c r="AF148" i="180"/>
  <c r="Z148" i="180"/>
  <c r="AA148" i="180" s="1"/>
  <c r="W148" i="180"/>
  <c r="X148" i="180" s="1"/>
  <c r="U148" i="180"/>
  <c r="T148" i="180"/>
  <c r="S148" i="180"/>
  <c r="R148" i="180"/>
  <c r="Q148" i="180" a="1"/>
  <c r="Q148" i="180" s="1"/>
  <c r="P148" i="180"/>
  <c r="O148" i="180"/>
  <c r="N148" i="180"/>
  <c r="M148" i="180"/>
  <c r="J148" i="180"/>
  <c r="I148" i="180"/>
  <c r="H148" i="180"/>
  <c r="G148" i="180"/>
  <c r="E148" i="180"/>
  <c r="L148" i="180" s="1"/>
  <c r="D148" i="180"/>
  <c r="C148" i="180"/>
  <c r="B148" i="180"/>
  <c r="AZ147" i="180"/>
  <c r="AX147" i="180"/>
  <c r="AS147" i="180"/>
  <c r="AR147" i="180"/>
  <c r="AQ147" i="180"/>
  <c r="AP147" i="180"/>
  <c r="AO147" i="180"/>
  <c r="AK147" i="180"/>
  <c r="AH147" i="180"/>
  <c r="AG147" i="180"/>
  <c r="AF147" i="180"/>
  <c r="Z147" i="180"/>
  <c r="W147" i="180"/>
  <c r="X147" i="180" s="1"/>
  <c r="U147" i="180"/>
  <c r="T147" i="180"/>
  <c r="S147" i="180"/>
  <c r="R147" i="180"/>
  <c r="Q147" i="180" a="1"/>
  <c r="Q147" i="180" s="1"/>
  <c r="P147" i="180"/>
  <c r="O147" i="180"/>
  <c r="N147" i="180"/>
  <c r="M147" i="180"/>
  <c r="K147" i="180"/>
  <c r="AN147" i="180" s="1"/>
  <c r="J147" i="180"/>
  <c r="I147" i="180"/>
  <c r="H147" i="180"/>
  <c r="G147" i="180"/>
  <c r="E147" i="180"/>
  <c r="L147" i="180" s="1"/>
  <c r="D147" i="180"/>
  <c r="C147" i="180"/>
  <c r="B147" i="180"/>
  <c r="AZ146" i="180"/>
  <c r="AX146" i="180"/>
  <c r="AS146" i="180"/>
  <c r="AR146" i="180"/>
  <c r="AQ146" i="180"/>
  <c r="AP146" i="180"/>
  <c r="AO146" i="180"/>
  <c r="AK146" i="180"/>
  <c r="AH146" i="180"/>
  <c r="AG146" i="180"/>
  <c r="AF146" i="180"/>
  <c r="Z146" i="180"/>
  <c r="AD146" i="180" s="1"/>
  <c r="AE146" i="180" s="1"/>
  <c r="W146" i="180"/>
  <c r="X146" i="180" s="1"/>
  <c r="U146" i="180"/>
  <c r="T146" i="180"/>
  <c r="S146" i="180"/>
  <c r="R146" i="180"/>
  <c r="Q146" i="180" a="1"/>
  <c r="Q146" i="180" s="1"/>
  <c r="P146" i="180"/>
  <c r="O146" i="180"/>
  <c r="N146" i="180"/>
  <c r="M146" i="180"/>
  <c r="K146" i="180"/>
  <c r="AN146" i="180" s="1"/>
  <c r="J146" i="180"/>
  <c r="I146" i="180"/>
  <c r="H146" i="180"/>
  <c r="G146" i="180"/>
  <c r="E146" i="180"/>
  <c r="L146" i="180" s="1"/>
  <c r="D146" i="180"/>
  <c r="C146" i="180"/>
  <c r="B146" i="180"/>
  <c r="AZ145" i="180"/>
  <c r="AX145" i="180"/>
  <c r="AS145" i="180"/>
  <c r="AR145" i="180"/>
  <c r="AQ145" i="180"/>
  <c r="AP145" i="180"/>
  <c r="AO145" i="180"/>
  <c r="AK145" i="180"/>
  <c r="AH145" i="180"/>
  <c r="AG145" i="180"/>
  <c r="AF145" i="180"/>
  <c r="Z145" i="180"/>
  <c r="AD145" i="180" s="1"/>
  <c r="AE145" i="180" s="1"/>
  <c r="W145" i="180"/>
  <c r="X145" i="180" s="1"/>
  <c r="U145" i="180"/>
  <c r="T145" i="180"/>
  <c r="S145" i="180"/>
  <c r="R145" i="180"/>
  <c r="Q145" i="180" a="1"/>
  <c r="Q145" i="180" s="1"/>
  <c r="P145" i="180"/>
  <c r="O145" i="180"/>
  <c r="N145" i="180"/>
  <c r="M145" i="180"/>
  <c r="J145" i="180"/>
  <c r="I145" i="180"/>
  <c r="H145" i="180"/>
  <c r="G145" i="180"/>
  <c r="E145" i="180"/>
  <c r="L145" i="180" s="1"/>
  <c r="D145" i="180"/>
  <c r="C145" i="180"/>
  <c r="B145" i="180"/>
  <c r="AZ144" i="180"/>
  <c r="AX144" i="180"/>
  <c r="AS144" i="180"/>
  <c r="AR144" i="180"/>
  <c r="AQ144" i="180"/>
  <c r="AP144" i="180"/>
  <c r="AO144" i="180"/>
  <c r="AK144" i="180"/>
  <c r="AH144" i="180"/>
  <c r="AG144" i="180"/>
  <c r="AF144" i="180"/>
  <c r="Z144" i="180"/>
  <c r="AA144" i="180" s="1"/>
  <c r="W144" i="180"/>
  <c r="X144" i="180" s="1"/>
  <c r="U144" i="180"/>
  <c r="T144" i="180"/>
  <c r="S144" i="180"/>
  <c r="R144" i="180"/>
  <c r="Q144" i="180" a="1"/>
  <c r="Q144" i="180" s="1"/>
  <c r="P144" i="180"/>
  <c r="O144" i="180"/>
  <c r="N144" i="180"/>
  <c r="M144" i="180"/>
  <c r="K144" i="180"/>
  <c r="AN144" i="180" s="1"/>
  <c r="J144" i="180"/>
  <c r="I144" i="180"/>
  <c r="H144" i="180"/>
  <c r="G144" i="180"/>
  <c r="E144" i="180"/>
  <c r="L144" i="180" s="1"/>
  <c r="D144" i="180"/>
  <c r="C144" i="180"/>
  <c r="B144" i="180"/>
  <c r="AZ143" i="180"/>
  <c r="AX143" i="180"/>
  <c r="AS143" i="180"/>
  <c r="AR143" i="180"/>
  <c r="AQ143" i="180"/>
  <c r="AP143" i="180"/>
  <c r="AO143" i="180"/>
  <c r="AK143" i="180"/>
  <c r="AH143" i="180"/>
  <c r="AG143" i="180"/>
  <c r="AF143" i="180"/>
  <c r="Z143" i="180"/>
  <c r="AA143" i="180" s="1"/>
  <c r="W143" i="180"/>
  <c r="X143" i="180" s="1"/>
  <c r="U143" i="180"/>
  <c r="T143" i="180"/>
  <c r="S143" i="180"/>
  <c r="R143" i="180"/>
  <c r="Q143" i="180" a="1"/>
  <c r="Q143" i="180" s="1"/>
  <c r="P143" i="180"/>
  <c r="O143" i="180"/>
  <c r="N143" i="180"/>
  <c r="M143" i="180"/>
  <c r="J143" i="180"/>
  <c r="I143" i="180"/>
  <c r="H143" i="180"/>
  <c r="G143" i="180"/>
  <c r="E143" i="180"/>
  <c r="L143" i="180" s="1"/>
  <c r="D143" i="180"/>
  <c r="C143" i="180"/>
  <c r="B143" i="180"/>
  <c r="AZ142" i="180"/>
  <c r="AX142" i="180"/>
  <c r="AS142" i="180"/>
  <c r="AR142" i="180"/>
  <c r="AQ142" i="180"/>
  <c r="AP142" i="180"/>
  <c r="AO142" i="180"/>
  <c r="AK142" i="180"/>
  <c r="AH142" i="180"/>
  <c r="AG142" i="180"/>
  <c r="AF142" i="180"/>
  <c r="Z142" i="180"/>
  <c r="AD142" i="180" s="1"/>
  <c r="AE142" i="180" s="1"/>
  <c r="W142" i="180"/>
  <c r="X142" i="180" s="1"/>
  <c r="U142" i="180"/>
  <c r="T142" i="180"/>
  <c r="S142" i="180"/>
  <c r="R142" i="180"/>
  <c r="Q142" i="180" a="1"/>
  <c r="Q142" i="180" s="1"/>
  <c r="P142" i="180"/>
  <c r="O142" i="180"/>
  <c r="N142" i="180"/>
  <c r="M142" i="180"/>
  <c r="K142" i="180"/>
  <c r="AN142" i="180" s="1"/>
  <c r="J142" i="180"/>
  <c r="I142" i="180"/>
  <c r="H142" i="180"/>
  <c r="G142" i="180"/>
  <c r="E142" i="180"/>
  <c r="L142" i="180" s="1"/>
  <c r="D142" i="180"/>
  <c r="C142" i="180"/>
  <c r="B142" i="180"/>
  <c r="AZ141" i="180"/>
  <c r="AX141" i="180"/>
  <c r="AS141" i="180"/>
  <c r="AR141" i="180"/>
  <c r="AQ141" i="180"/>
  <c r="AP141" i="180"/>
  <c r="AO141" i="180"/>
  <c r="AK141" i="180"/>
  <c r="AH141" i="180"/>
  <c r="AG141" i="180"/>
  <c r="AF141" i="180"/>
  <c r="Z141" i="180"/>
  <c r="AD141" i="180" s="1"/>
  <c r="AE141" i="180" s="1"/>
  <c r="W141" i="180"/>
  <c r="X141" i="180" s="1"/>
  <c r="U141" i="180"/>
  <c r="T141" i="180"/>
  <c r="S141" i="180"/>
  <c r="R141" i="180"/>
  <c r="Q141" i="180" a="1"/>
  <c r="Q141" i="180" s="1"/>
  <c r="P141" i="180"/>
  <c r="O141" i="180"/>
  <c r="N141" i="180"/>
  <c r="M141" i="180"/>
  <c r="K141" i="180"/>
  <c r="AN141" i="180" s="1"/>
  <c r="J141" i="180"/>
  <c r="I141" i="180"/>
  <c r="H141" i="180"/>
  <c r="G141" i="180"/>
  <c r="E141" i="180"/>
  <c r="L141" i="180" s="1"/>
  <c r="D141" i="180"/>
  <c r="C141" i="180"/>
  <c r="B141" i="180"/>
  <c r="AZ140" i="180"/>
  <c r="AX140" i="180"/>
  <c r="AS140" i="180"/>
  <c r="AR140" i="180"/>
  <c r="AQ140" i="180"/>
  <c r="AP140" i="180"/>
  <c r="AO140" i="180"/>
  <c r="AK140" i="180"/>
  <c r="AH140" i="180"/>
  <c r="AG140" i="180"/>
  <c r="AF140" i="180"/>
  <c r="Z140" i="180"/>
  <c r="W140" i="180"/>
  <c r="X140" i="180" s="1"/>
  <c r="U140" i="180"/>
  <c r="T140" i="180"/>
  <c r="S140" i="180"/>
  <c r="R140" i="180"/>
  <c r="Q140" i="180" a="1"/>
  <c r="Q140" i="180" s="1"/>
  <c r="P140" i="180"/>
  <c r="O140" i="180"/>
  <c r="N140" i="180"/>
  <c r="M140" i="180"/>
  <c r="K140" i="180"/>
  <c r="AN140" i="180" s="1"/>
  <c r="J140" i="180"/>
  <c r="I140" i="180"/>
  <c r="H140" i="180"/>
  <c r="G140" i="180"/>
  <c r="E140" i="180"/>
  <c r="L140" i="180" s="1"/>
  <c r="D140" i="180"/>
  <c r="C140" i="180"/>
  <c r="B140" i="180"/>
  <c r="AZ139" i="180"/>
  <c r="AX139" i="180"/>
  <c r="AS139" i="180"/>
  <c r="AR139" i="180"/>
  <c r="AQ139" i="180"/>
  <c r="AP139" i="180"/>
  <c r="AO139" i="180"/>
  <c r="AK139" i="180"/>
  <c r="AH139" i="180"/>
  <c r="AG139" i="180"/>
  <c r="AF139" i="180"/>
  <c r="Z139" i="180"/>
  <c r="AA139" i="180" s="1"/>
  <c r="W139" i="180"/>
  <c r="X139" i="180" s="1"/>
  <c r="U139" i="180"/>
  <c r="T139" i="180"/>
  <c r="S139" i="180"/>
  <c r="R139" i="180"/>
  <c r="Q139" i="180" a="1"/>
  <c r="Q139" i="180" s="1"/>
  <c r="P139" i="180"/>
  <c r="O139" i="180"/>
  <c r="N139" i="180"/>
  <c r="M139" i="180"/>
  <c r="K139" i="180"/>
  <c r="AN139" i="180" s="1"/>
  <c r="J139" i="180"/>
  <c r="I139" i="180"/>
  <c r="H139" i="180"/>
  <c r="G139" i="180"/>
  <c r="E139" i="180"/>
  <c r="L139" i="180" s="1"/>
  <c r="D139" i="180"/>
  <c r="C139" i="180"/>
  <c r="B139" i="180"/>
  <c r="AZ138" i="180"/>
  <c r="AX138" i="180"/>
  <c r="AS138" i="180"/>
  <c r="AR138" i="180"/>
  <c r="AQ138" i="180"/>
  <c r="AP138" i="180"/>
  <c r="AO138" i="180"/>
  <c r="AK138" i="180"/>
  <c r="AH138" i="180"/>
  <c r="AG138" i="180"/>
  <c r="AF138" i="180"/>
  <c r="Z138" i="180"/>
  <c r="AD138" i="180" s="1"/>
  <c r="AE138" i="180" s="1"/>
  <c r="W138" i="180"/>
  <c r="X138" i="180" s="1"/>
  <c r="U138" i="180"/>
  <c r="T138" i="180"/>
  <c r="S138" i="180"/>
  <c r="R138" i="180"/>
  <c r="Q138" i="180" a="1"/>
  <c r="Q138" i="180" s="1"/>
  <c r="P138" i="180"/>
  <c r="O138" i="180"/>
  <c r="N138" i="180"/>
  <c r="M138" i="180"/>
  <c r="K138" i="180"/>
  <c r="AN138" i="180" s="1"/>
  <c r="J138" i="180"/>
  <c r="I138" i="180"/>
  <c r="H138" i="180"/>
  <c r="G138" i="180"/>
  <c r="E138" i="180"/>
  <c r="L138" i="180" s="1"/>
  <c r="D138" i="180"/>
  <c r="C138" i="180"/>
  <c r="B138" i="180"/>
  <c r="AZ137" i="180"/>
  <c r="AX137" i="180"/>
  <c r="AS137" i="180"/>
  <c r="AR137" i="180"/>
  <c r="AQ137" i="180"/>
  <c r="AP137" i="180"/>
  <c r="AO137" i="180"/>
  <c r="AK137" i="180"/>
  <c r="AH137" i="180"/>
  <c r="AG137" i="180"/>
  <c r="AF137" i="180"/>
  <c r="Z137" i="180"/>
  <c r="AD137" i="180" s="1"/>
  <c r="AE137" i="180" s="1"/>
  <c r="W137" i="180"/>
  <c r="X137" i="180" s="1"/>
  <c r="U137" i="180"/>
  <c r="T137" i="180"/>
  <c r="S137" i="180"/>
  <c r="R137" i="180"/>
  <c r="Q137" i="180" a="1"/>
  <c r="Q137" i="180" s="1"/>
  <c r="P137" i="180"/>
  <c r="O137" i="180"/>
  <c r="N137" i="180"/>
  <c r="M137" i="180"/>
  <c r="K137" i="180"/>
  <c r="AN137" i="180" s="1"/>
  <c r="J137" i="180"/>
  <c r="I137" i="180"/>
  <c r="H137" i="180"/>
  <c r="G137" i="180"/>
  <c r="E137" i="180"/>
  <c r="L137" i="180" s="1"/>
  <c r="D137" i="180"/>
  <c r="C137" i="180"/>
  <c r="B137" i="180"/>
  <c r="AZ136" i="180"/>
  <c r="AX136" i="180"/>
  <c r="AS136" i="180"/>
  <c r="AR136" i="180"/>
  <c r="AQ136" i="180"/>
  <c r="AP136" i="180"/>
  <c r="AO136" i="180"/>
  <c r="AK136" i="180"/>
  <c r="AH136" i="180"/>
  <c r="AG136" i="180"/>
  <c r="AF136" i="180"/>
  <c r="Z136" i="180"/>
  <c r="W136" i="180"/>
  <c r="X136" i="180" s="1"/>
  <c r="U136" i="180"/>
  <c r="T136" i="180"/>
  <c r="S136" i="180"/>
  <c r="R136" i="180"/>
  <c r="Q136" i="180" a="1"/>
  <c r="Q136" i="180" s="1"/>
  <c r="P136" i="180"/>
  <c r="O136" i="180"/>
  <c r="N136" i="180"/>
  <c r="M136" i="180"/>
  <c r="K136" i="180"/>
  <c r="AN136" i="180" s="1"/>
  <c r="J136" i="180"/>
  <c r="I136" i="180"/>
  <c r="H136" i="180"/>
  <c r="G136" i="180"/>
  <c r="E136" i="180"/>
  <c r="L136" i="180" s="1"/>
  <c r="D136" i="180"/>
  <c r="C136" i="180"/>
  <c r="B136" i="180"/>
  <c r="AZ135" i="180"/>
  <c r="AX135" i="180"/>
  <c r="AS135" i="180"/>
  <c r="AR135" i="180"/>
  <c r="AQ135" i="180"/>
  <c r="AP135" i="180"/>
  <c r="AO135" i="180"/>
  <c r="AK135" i="180"/>
  <c r="AH135" i="180"/>
  <c r="AG135" i="180"/>
  <c r="AF135" i="180"/>
  <c r="Z135" i="180"/>
  <c r="W135" i="180"/>
  <c r="X135" i="180" s="1"/>
  <c r="U135" i="180"/>
  <c r="T135" i="180"/>
  <c r="S135" i="180"/>
  <c r="R135" i="180"/>
  <c r="Q135" i="180" a="1"/>
  <c r="Q135" i="180" s="1"/>
  <c r="P135" i="180"/>
  <c r="O135" i="180"/>
  <c r="N135" i="180"/>
  <c r="M135" i="180"/>
  <c r="K135" i="180"/>
  <c r="AN135" i="180" s="1"/>
  <c r="J135" i="180"/>
  <c r="I135" i="180"/>
  <c r="H135" i="180"/>
  <c r="G135" i="180"/>
  <c r="E135" i="180"/>
  <c r="L135" i="180" s="1"/>
  <c r="D135" i="180"/>
  <c r="C135" i="180"/>
  <c r="B135" i="180"/>
  <c r="AZ134" i="180"/>
  <c r="AX134" i="180"/>
  <c r="AS134" i="180"/>
  <c r="AR134" i="180"/>
  <c r="AQ134" i="180"/>
  <c r="AP134" i="180"/>
  <c r="AO134" i="180"/>
  <c r="AK134" i="180"/>
  <c r="AH134" i="180"/>
  <c r="AG134" i="180"/>
  <c r="AF134" i="180"/>
  <c r="Z134" i="180"/>
  <c r="W134" i="180"/>
  <c r="X134" i="180" s="1"/>
  <c r="U134" i="180"/>
  <c r="T134" i="180"/>
  <c r="S134" i="180"/>
  <c r="R134" i="180"/>
  <c r="Q134" i="180" a="1"/>
  <c r="Q134" i="180" s="1"/>
  <c r="P134" i="180"/>
  <c r="O134" i="180"/>
  <c r="N134" i="180"/>
  <c r="M134" i="180"/>
  <c r="K134" i="180"/>
  <c r="AN134" i="180" s="1"/>
  <c r="J134" i="180"/>
  <c r="I134" i="180"/>
  <c r="H134" i="180"/>
  <c r="G134" i="180"/>
  <c r="E134" i="180"/>
  <c r="L134" i="180" s="1"/>
  <c r="D134" i="180"/>
  <c r="C134" i="180"/>
  <c r="B134" i="180"/>
  <c r="AZ133" i="180"/>
  <c r="AX133" i="180"/>
  <c r="AS133" i="180"/>
  <c r="AR133" i="180"/>
  <c r="AQ133" i="180"/>
  <c r="AP133" i="180"/>
  <c r="AO133" i="180"/>
  <c r="AK133" i="180"/>
  <c r="AH133" i="180"/>
  <c r="AG133" i="180"/>
  <c r="AF133" i="180"/>
  <c r="Z133" i="180"/>
  <c r="AD133" i="180" s="1"/>
  <c r="AE133" i="180" s="1"/>
  <c r="W133" i="180"/>
  <c r="X133" i="180" s="1"/>
  <c r="U133" i="180"/>
  <c r="T133" i="180"/>
  <c r="S133" i="180"/>
  <c r="R133" i="180"/>
  <c r="Q133" i="180" a="1"/>
  <c r="Q133" i="180" s="1"/>
  <c r="P133" i="180"/>
  <c r="O133" i="180"/>
  <c r="N133" i="180"/>
  <c r="M133" i="180"/>
  <c r="K133" i="180"/>
  <c r="AN133" i="180" s="1"/>
  <c r="J133" i="180"/>
  <c r="I133" i="180"/>
  <c r="H133" i="180"/>
  <c r="G133" i="180"/>
  <c r="E133" i="180"/>
  <c r="L133" i="180" s="1"/>
  <c r="D133" i="180"/>
  <c r="C133" i="180"/>
  <c r="B133" i="180"/>
  <c r="AZ132" i="180"/>
  <c r="AX132" i="180"/>
  <c r="AS132" i="180"/>
  <c r="AR132" i="180"/>
  <c r="AQ132" i="180"/>
  <c r="AP132" i="180"/>
  <c r="AO132" i="180"/>
  <c r="AK132" i="180"/>
  <c r="AH132" i="180"/>
  <c r="AG132" i="180"/>
  <c r="AF132" i="180"/>
  <c r="Z132" i="180"/>
  <c r="AA132" i="180" s="1"/>
  <c r="W132" i="180"/>
  <c r="X132" i="180" s="1"/>
  <c r="U132" i="180"/>
  <c r="T132" i="180"/>
  <c r="S132" i="180"/>
  <c r="R132" i="180"/>
  <c r="Q132" i="180" a="1"/>
  <c r="Q132" i="180" s="1"/>
  <c r="P132" i="180"/>
  <c r="O132" i="180"/>
  <c r="N132" i="180"/>
  <c r="M132" i="180"/>
  <c r="K132" i="180"/>
  <c r="AN132" i="180" s="1"/>
  <c r="J132" i="180"/>
  <c r="I132" i="180"/>
  <c r="H132" i="180"/>
  <c r="G132" i="180"/>
  <c r="E132" i="180"/>
  <c r="L132" i="180" s="1"/>
  <c r="D132" i="180"/>
  <c r="C132" i="180"/>
  <c r="B132" i="180"/>
  <c r="AZ131" i="180"/>
  <c r="AX131" i="180"/>
  <c r="AS131" i="180"/>
  <c r="AR131" i="180"/>
  <c r="AQ131" i="180"/>
  <c r="AP131" i="180"/>
  <c r="AO131" i="180"/>
  <c r="AK131" i="180"/>
  <c r="AH131" i="180"/>
  <c r="AG131" i="180"/>
  <c r="AF131" i="180"/>
  <c r="Z131" i="180"/>
  <c r="AA131" i="180" s="1"/>
  <c r="W131" i="180"/>
  <c r="X131" i="180" s="1"/>
  <c r="U131" i="180"/>
  <c r="T131" i="180"/>
  <c r="S131" i="180"/>
  <c r="R131" i="180"/>
  <c r="Q131" i="180" a="1"/>
  <c r="Q131" i="180" s="1"/>
  <c r="P131" i="180"/>
  <c r="O131" i="180"/>
  <c r="N131" i="180"/>
  <c r="M131" i="180"/>
  <c r="K131" i="180"/>
  <c r="AN131" i="180" s="1"/>
  <c r="J131" i="180"/>
  <c r="I131" i="180"/>
  <c r="H131" i="180"/>
  <c r="G131" i="180"/>
  <c r="E131" i="180"/>
  <c r="L131" i="180" s="1"/>
  <c r="D131" i="180"/>
  <c r="C131" i="180"/>
  <c r="B131" i="180"/>
  <c r="AZ130" i="180"/>
  <c r="AX130" i="180"/>
  <c r="AS130" i="180"/>
  <c r="AR130" i="180"/>
  <c r="AQ130" i="180"/>
  <c r="AP130" i="180"/>
  <c r="AO130" i="180"/>
  <c r="AK130" i="180"/>
  <c r="AH130" i="180"/>
  <c r="AG130" i="180"/>
  <c r="AF130" i="180"/>
  <c r="Z130" i="180"/>
  <c r="AD130" i="180" s="1"/>
  <c r="AE130" i="180" s="1"/>
  <c r="W130" i="180"/>
  <c r="X130" i="180" s="1"/>
  <c r="U130" i="180"/>
  <c r="T130" i="180"/>
  <c r="S130" i="180"/>
  <c r="R130" i="180"/>
  <c r="Q130" i="180" a="1"/>
  <c r="Q130" i="180" s="1"/>
  <c r="P130" i="180"/>
  <c r="O130" i="180"/>
  <c r="N130" i="180"/>
  <c r="M130" i="180"/>
  <c r="K130" i="180"/>
  <c r="AN130" i="180" s="1"/>
  <c r="J130" i="180"/>
  <c r="I130" i="180"/>
  <c r="H130" i="180"/>
  <c r="G130" i="180"/>
  <c r="E130" i="180"/>
  <c r="L130" i="180" s="1"/>
  <c r="D130" i="180"/>
  <c r="C130" i="180"/>
  <c r="B130" i="180"/>
  <c r="AZ129" i="180"/>
  <c r="AX129" i="180"/>
  <c r="AS129" i="180"/>
  <c r="AR129" i="180"/>
  <c r="AQ129" i="180"/>
  <c r="AP129" i="180"/>
  <c r="AO129" i="180"/>
  <c r="AK129" i="180"/>
  <c r="AH129" i="180"/>
  <c r="AG129" i="180"/>
  <c r="AF129" i="180"/>
  <c r="Z129" i="180"/>
  <c r="AD129" i="180" s="1"/>
  <c r="AE129" i="180" s="1"/>
  <c r="W129" i="180"/>
  <c r="X129" i="180" s="1"/>
  <c r="U129" i="180"/>
  <c r="T129" i="180"/>
  <c r="S129" i="180"/>
  <c r="R129" i="180"/>
  <c r="Q129" i="180" a="1"/>
  <c r="Q129" i="180" s="1"/>
  <c r="P129" i="180"/>
  <c r="O129" i="180"/>
  <c r="N129" i="180"/>
  <c r="M129" i="180"/>
  <c r="K129" i="180"/>
  <c r="AN129" i="180" s="1"/>
  <c r="J129" i="180"/>
  <c r="I129" i="180"/>
  <c r="H129" i="180"/>
  <c r="G129" i="180"/>
  <c r="E129" i="180"/>
  <c r="L129" i="180" s="1"/>
  <c r="D129" i="180"/>
  <c r="C129" i="180"/>
  <c r="B129" i="180"/>
  <c r="AZ128" i="180"/>
  <c r="AX128" i="180"/>
  <c r="AS128" i="180"/>
  <c r="AR128" i="180"/>
  <c r="AQ128" i="180"/>
  <c r="AP128" i="180"/>
  <c r="AO128" i="180"/>
  <c r="AK128" i="180"/>
  <c r="AH128" i="180"/>
  <c r="AG128" i="180"/>
  <c r="AF128" i="180"/>
  <c r="Z128" i="180"/>
  <c r="AA128" i="180" s="1"/>
  <c r="W128" i="180"/>
  <c r="X128" i="180" s="1"/>
  <c r="U128" i="180"/>
  <c r="T128" i="180"/>
  <c r="S128" i="180"/>
  <c r="R128" i="180"/>
  <c r="Q128" i="180" a="1"/>
  <c r="Q128" i="180" s="1"/>
  <c r="P128" i="180"/>
  <c r="O128" i="180"/>
  <c r="N128" i="180"/>
  <c r="M128" i="180"/>
  <c r="K128" i="180"/>
  <c r="AN128" i="180" s="1"/>
  <c r="J128" i="180"/>
  <c r="I128" i="180"/>
  <c r="H128" i="180"/>
  <c r="G128" i="180"/>
  <c r="E128" i="180"/>
  <c r="L128" i="180" s="1"/>
  <c r="D128" i="180"/>
  <c r="C128" i="180"/>
  <c r="B128" i="180"/>
  <c r="AZ127" i="180"/>
  <c r="AX127" i="180"/>
  <c r="AS127" i="180"/>
  <c r="AR127" i="180"/>
  <c r="AQ127" i="180"/>
  <c r="AP127" i="180"/>
  <c r="AO127" i="180"/>
  <c r="AK127" i="180"/>
  <c r="AH127" i="180"/>
  <c r="AG127" i="180"/>
  <c r="AF127" i="180"/>
  <c r="Z127" i="180"/>
  <c r="AA127" i="180" s="1"/>
  <c r="W127" i="180"/>
  <c r="X127" i="180" s="1"/>
  <c r="U127" i="180"/>
  <c r="T127" i="180"/>
  <c r="S127" i="180"/>
  <c r="R127" i="180"/>
  <c r="Q127" i="180" a="1"/>
  <c r="Q127" i="180" s="1"/>
  <c r="P127" i="180"/>
  <c r="O127" i="180"/>
  <c r="N127" i="180"/>
  <c r="M127" i="180"/>
  <c r="K127" i="180"/>
  <c r="AN127" i="180" s="1"/>
  <c r="J127" i="180"/>
  <c r="I127" i="180"/>
  <c r="H127" i="180"/>
  <c r="G127" i="180"/>
  <c r="E127" i="180"/>
  <c r="L127" i="180" s="1"/>
  <c r="D127" i="180"/>
  <c r="C127" i="180"/>
  <c r="B127" i="180"/>
  <c r="AZ126" i="180"/>
  <c r="AX126" i="180"/>
  <c r="AS126" i="180"/>
  <c r="AR126" i="180"/>
  <c r="AQ126" i="180"/>
  <c r="AP126" i="180"/>
  <c r="AO126" i="180"/>
  <c r="AK126" i="180"/>
  <c r="AH126" i="180"/>
  <c r="AG126" i="180"/>
  <c r="AF126" i="180"/>
  <c r="Z126" i="180"/>
  <c r="AD126" i="180" s="1"/>
  <c r="AE126" i="180" s="1"/>
  <c r="W126" i="180"/>
  <c r="X126" i="180" s="1"/>
  <c r="U126" i="180"/>
  <c r="T126" i="180"/>
  <c r="S126" i="180"/>
  <c r="R126" i="180"/>
  <c r="Q126" i="180" a="1"/>
  <c r="Q126" i="180" s="1"/>
  <c r="P126" i="180"/>
  <c r="O126" i="180"/>
  <c r="N126" i="180"/>
  <c r="M126" i="180"/>
  <c r="K126" i="180"/>
  <c r="AN126" i="180" s="1"/>
  <c r="J126" i="180"/>
  <c r="I126" i="180"/>
  <c r="H126" i="180"/>
  <c r="G126" i="180"/>
  <c r="E126" i="180"/>
  <c r="L126" i="180" s="1"/>
  <c r="D126" i="180"/>
  <c r="C126" i="180"/>
  <c r="B126" i="180"/>
  <c r="AZ125" i="180"/>
  <c r="AX125" i="180"/>
  <c r="AS125" i="180"/>
  <c r="AR125" i="180"/>
  <c r="AQ125" i="180"/>
  <c r="AP125" i="180"/>
  <c r="AO125" i="180"/>
  <c r="AK125" i="180"/>
  <c r="AH125" i="180"/>
  <c r="AG125" i="180"/>
  <c r="AF125" i="180"/>
  <c r="Z125" i="180"/>
  <c r="AD125" i="180" s="1"/>
  <c r="AE125" i="180" s="1"/>
  <c r="W125" i="180"/>
  <c r="X125" i="180" s="1"/>
  <c r="U125" i="180"/>
  <c r="T125" i="180"/>
  <c r="S125" i="180"/>
  <c r="R125" i="180"/>
  <c r="Q125" i="180" a="1"/>
  <c r="Q125" i="180" s="1"/>
  <c r="P125" i="180"/>
  <c r="O125" i="180"/>
  <c r="N125" i="180"/>
  <c r="M125" i="180"/>
  <c r="K125" i="180"/>
  <c r="AN125" i="180" s="1"/>
  <c r="J125" i="180"/>
  <c r="I125" i="180"/>
  <c r="H125" i="180"/>
  <c r="G125" i="180"/>
  <c r="E125" i="180"/>
  <c r="L125" i="180" s="1"/>
  <c r="D125" i="180"/>
  <c r="C125" i="180"/>
  <c r="B125" i="180"/>
  <c r="AZ124" i="180"/>
  <c r="AX124" i="180"/>
  <c r="AS124" i="180"/>
  <c r="AR124" i="180"/>
  <c r="AQ124" i="180"/>
  <c r="AP124" i="180"/>
  <c r="AO124" i="180"/>
  <c r="AK124" i="180"/>
  <c r="AH124" i="180"/>
  <c r="AG124" i="180"/>
  <c r="AF124" i="180"/>
  <c r="Z124" i="180"/>
  <c r="AA124" i="180" s="1"/>
  <c r="W124" i="180"/>
  <c r="X124" i="180" s="1"/>
  <c r="U124" i="180"/>
  <c r="T124" i="180"/>
  <c r="S124" i="180"/>
  <c r="R124" i="180"/>
  <c r="Q124" i="180" a="1"/>
  <c r="Q124" i="180" s="1"/>
  <c r="P124" i="180"/>
  <c r="O124" i="180"/>
  <c r="N124" i="180"/>
  <c r="M124" i="180"/>
  <c r="J124" i="180"/>
  <c r="I124" i="180"/>
  <c r="H124" i="180"/>
  <c r="G124" i="180"/>
  <c r="E124" i="180"/>
  <c r="L124" i="180" s="1"/>
  <c r="D124" i="180"/>
  <c r="C124" i="180"/>
  <c r="B124" i="180"/>
  <c r="AZ123" i="180"/>
  <c r="AX123" i="180"/>
  <c r="AS123" i="180"/>
  <c r="AR123" i="180"/>
  <c r="AQ123" i="180"/>
  <c r="AP123" i="180"/>
  <c r="AO123" i="180"/>
  <c r="AK123" i="180"/>
  <c r="AH123" i="180"/>
  <c r="AG123" i="180"/>
  <c r="AF123" i="180"/>
  <c r="Z123" i="180"/>
  <c r="W123" i="180"/>
  <c r="X123" i="180" s="1"/>
  <c r="U123" i="180"/>
  <c r="T123" i="180"/>
  <c r="S123" i="180"/>
  <c r="R123" i="180"/>
  <c r="Q123" i="180" a="1"/>
  <c r="Q123" i="180" s="1"/>
  <c r="P123" i="180"/>
  <c r="O123" i="180"/>
  <c r="N123" i="180"/>
  <c r="M123" i="180"/>
  <c r="K123" i="180"/>
  <c r="AN123" i="180" s="1"/>
  <c r="J123" i="180"/>
  <c r="I123" i="180"/>
  <c r="H123" i="180"/>
  <c r="G123" i="180"/>
  <c r="E123" i="180"/>
  <c r="L123" i="180" s="1"/>
  <c r="D123" i="180"/>
  <c r="C123" i="180"/>
  <c r="B123" i="180"/>
  <c r="AZ122" i="180"/>
  <c r="AX122" i="180"/>
  <c r="AS122" i="180"/>
  <c r="AR122" i="180"/>
  <c r="AQ122" i="180"/>
  <c r="AP122" i="180"/>
  <c r="AO122" i="180"/>
  <c r="AK122" i="180"/>
  <c r="AH122" i="180"/>
  <c r="AG122" i="180"/>
  <c r="AF122" i="180"/>
  <c r="Z122" i="180"/>
  <c r="W122" i="180"/>
  <c r="X122" i="180" s="1"/>
  <c r="U122" i="180"/>
  <c r="T122" i="180"/>
  <c r="S122" i="180"/>
  <c r="R122" i="180"/>
  <c r="Q122" i="180" a="1"/>
  <c r="Q122" i="180" s="1"/>
  <c r="P122" i="180"/>
  <c r="O122" i="180"/>
  <c r="N122" i="180"/>
  <c r="M122" i="180"/>
  <c r="K122" i="180"/>
  <c r="AN122" i="180" s="1"/>
  <c r="J122" i="180"/>
  <c r="I122" i="180"/>
  <c r="H122" i="180"/>
  <c r="G122" i="180"/>
  <c r="E122" i="180"/>
  <c r="L122" i="180" s="1"/>
  <c r="D122" i="180"/>
  <c r="C122" i="180"/>
  <c r="B122" i="180"/>
  <c r="AZ121" i="180"/>
  <c r="AX121" i="180"/>
  <c r="AS121" i="180"/>
  <c r="AR121" i="180"/>
  <c r="AQ121" i="180"/>
  <c r="AP121" i="180"/>
  <c r="AO121" i="180"/>
  <c r="AK121" i="180"/>
  <c r="AH121" i="180"/>
  <c r="AG121" i="180"/>
  <c r="AF121" i="180"/>
  <c r="Z121" i="180"/>
  <c r="AD121" i="180" s="1"/>
  <c r="AE121" i="180" s="1"/>
  <c r="W121" i="180"/>
  <c r="X121" i="180" s="1"/>
  <c r="U121" i="180"/>
  <c r="T121" i="180"/>
  <c r="S121" i="180"/>
  <c r="R121" i="180"/>
  <c r="Q121" i="180" a="1"/>
  <c r="Q121" i="180" s="1"/>
  <c r="P121" i="180"/>
  <c r="O121" i="180"/>
  <c r="N121" i="180"/>
  <c r="M121" i="180"/>
  <c r="K121" i="180"/>
  <c r="AN121" i="180" s="1"/>
  <c r="J121" i="180"/>
  <c r="I121" i="180"/>
  <c r="H121" i="180"/>
  <c r="G121" i="180"/>
  <c r="E121" i="180"/>
  <c r="L121" i="180" s="1"/>
  <c r="D121" i="180"/>
  <c r="C121" i="180"/>
  <c r="B121" i="180"/>
  <c r="AZ120" i="180"/>
  <c r="AX120" i="180"/>
  <c r="AS120" i="180"/>
  <c r="AR120" i="180"/>
  <c r="AQ120" i="180"/>
  <c r="AP120" i="180"/>
  <c r="AO120" i="180"/>
  <c r="AK120" i="180"/>
  <c r="AH120" i="180"/>
  <c r="AG120" i="180"/>
  <c r="AF120" i="180"/>
  <c r="Z120" i="180"/>
  <c r="W120" i="180"/>
  <c r="X120" i="180" s="1"/>
  <c r="U120" i="180"/>
  <c r="T120" i="180"/>
  <c r="S120" i="180"/>
  <c r="R120" i="180"/>
  <c r="Q120" i="180" a="1"/>
  <c r="Q120" i="180" s="1"/>
  <c r="P120" i="180"/>
  <c r="O120" i="180"/>
  <c r="N120" i="180"/>
  <c r="M120" i="180"/>
  <c r="K120" i="180"/>
  <c r="AN120" i="180" s="1"/>
  <c r="J120" i="180"/>
  <c r="I120" i="180"/>
  <c r="H120" i="180"/>
  <c r="G120" i="180"/>
  <c r="E120" i="180"/>
  <c r="L120" i="180" s="1"/>
  <c r="D120" i="180"/>
  <c r="C120" i="180"/>
  <c r="B120" i="180"/>
  <c r="AZ119" i="180"/>
  <c r="AX119" i="180"/>
  <c r="AS119" i="180"/>
  <c r="AR119" i="180"/>
  <c r="AQ119" i="180"/>
  <c r="AP119" i="180"/>
  <c r="AO119" i="180"/>
  <c r="AK119" i="180"/>
  <c r="AH119" i="180"/>
  <c r="AG119" i="180"/>
  <c r="AF119" i="180"/>
  <c r="Z119" i="180"/>
  <c r="AA119" i="180" s="1"/>
  <c r="W119" i="180"/>
  <c r="X119" i="180" s="1"/>
  <c r="U119" i="180"/>
  <c r="T119" i="180"/>
  <c r="S119" i="180"/>
  <c r="R119" i="180"/>
  <c r="Q119" i="180" a="1"/>
  <c r="Q119" i="180" s="1"/>
  <c r="P119" i="180"/>
  <c r="O119" i="180"/>
  <c r="N119" i="180"/>
  <c r="M119" i="180"/>
  <c r="K119" i="180"/>
  <c r="AN119" i="180" s="1"/>
  <c r="J119" i="180"/>
  <c r="I119" i="180"/>
  <c r="H119" i="180"/>
  <c r="G119" i="180"/>
  <c r="E119" i="180"/>
  <c r="L119" i="180" s="1"/>
  <c r="D119" i="180"/>
  <c r="C119" i="180"/>
  <c r="B119" i="180"/>
  <c r="AZ118" i="180"/>
  <c r="AX118" i="180"/>
  <c r="AS118" i="180"/>
  <c r="AR118" i="180"/>
  <c r="AQ118" i="180"/>
  <c r="AP118" i="180"/>
  <c r="AO118" i="180"/>
  <c r="AK118" i="180"/>
  <c r="AH118" i="180"/>
  <c r="AG118" i="180"/>
  <c r="AF118" i="180"/>
  <c r="Z118" i="180"/>
  <c r="W118" i="180"/>
  <c r="X118" i="180" s="1"/>
  <c r="U118" i="180"/>
  <c r="T118" i="180"/>
  <c r="S118" i="180"/>
  <c r="R118" i="180"/>
  <c r="Q118" i="180" a="1"/>
  <c r="Q118" i="180" s="1"/>
  <c r="P118" i="180"/>
  <c r="O118" i="180"/>
  <c r="N118" i="180"/>
  <c r="M118" i="180"/>
  <c r="K118" i="180"/>
  <c r="AN118" i="180" s="1"/>
  <c r="J118" i="180"/>
  <c r="I118" i="180"/>
  <c r="H118" i="180"/>
  <c r="G118" i="180"/>
  <c r="E118" i="180"/>
  <c r="L118" i="180" s="1"/>
  <c r="D118" i="180"/>
  <c r="C118" i="180"/>
  <c r="B118" i="180"/>
  <c r="AZ117" i="180"/>
  <c r="AX117" i="180"/>
  <c r="AS117" i="180"/>
  <c r="AR117" i="180"/>
  <c r="AQ117" i="180"/>
  <c r="AP117" i="180"/>
  <c r="AO117" i="180"/>
  <c r="AK117" i="180"/>
  <c r="AH117" i="180"/>
  <c r="AG117" i="180"/>
  <c r="AF117" i="180"/>
  <c r="Z117" i="180"/>
  <c r="W117" i="180"/>
  <c r="X117" i="180" s="1"/>
  <c r="U117" i="180"/>
  <c r="T117" i="180"/>
  <c r="S117" i="180"/>
  <c r="R117" i="180"/>
  <c r="Q117" i="180" a="1"/>
  <c r="Q117" i="180" s="1"/>
  <c r="P117" i="180"/>
  <c r="O117" i="180"/>
  <c r="N117" i="180"/>
  <c r="M117" i="180"/>
  <c r="K117" i="180"/>
  <c r="AN117" i="180" s="1"/>
  <c r="J117" i="180"/>
  <c r="I117" i="180"/>
  <c r="H117" i="180"/>
  <c r="G117" i="180"/>
  <c r="E117" i="180"/>
  <c r="L117" i="180" s="1"/>
  <c r="D117" i="180"/>
  <c r="C117" i="180"/>
  <c r="B117" i="180"/>
  <c r="AZ116" i="180"/>
  <c r="AX116" i="180"/>
  <c r="AS116" i="180"/>
  <c r="AR116" i="180"/>
  <c r="AQ116" i="180"/>
  <c r="AP116" i="180"/>
  <c r="AO116" i="180"/>
  <c r="AK116" i="180"/>
  <c r="AH116" i="180"/>
  <c r="AG116" i="180"/>
  <c r="AF116" i="180"/>
  <c r="Z116" i="180"/>
  <c r="AA116" i="180" s="1"/>
  <c r="W116" i="180"/>
  <c r="X116" i="180" s="1"/>
  <c r="U116" i="180"/>
  <c r="T116" i="180"/>
  <c r="S116" i="180"/>
  <c r="R116" i="180"/>
  <c r="Q116" i="180" a="1"/>
  <c r="Q116" i="180" s="1"/>
  <c r="P116" i="180"/>
  <c r="O116" i="180"/>
  <c r="N116" i="180"/>
  <c r="M116" i="180"/>
  <c r="K116" i="180"/>
  <c r="AN116" i="180" s="1"/>
  <c r="J116" i="180"/>
  <c r="I116" i="180"/>
  <c r="H116" i="180"/>
  <c r="G116" i="180"/>
  <c r="E116" i="180"/>
  <c r="L116" i="180" s="1"/>
  <c r="D116" i="180"/>
  <c r="C116" i="180"/>
  <c r="B116" i="180"/>
  <c r="AZ115" i="180"/>
  <c r="AX115" i="180"/>
  <c r="AS115" i="180"/>
  <c r="AR115" i="180"/>
  <c r="AQ115" i="180"/>
  <c r="AP115" i="180"/>
  <c r="AO115" i="180"/>
  <c r="AK115" i="180"/>
  <c r="AH115" i="180"/>
  <c r="AG115" i="180"/>
  <c r="AF115" i="180"/>
  <c r="Z115" i="180"/>
  <c r="AD115" i="180" s="1"/>
  <c r="AE115" i="180" s="1"/>
  <c r="W115" i="180"/>
  <c r="X115" i="180" s="1"/>
  <c r="U115" i="180"/>
  <c r="T115" i="180"/>
  <c r="S115" i="180"/>
  <c r="R115" i="180"/>
  <c r="Q115" i="180" a="1"/>
  <c r="Q115" i="180" s="1"/>
  <c r="P115" i="180"/>
  <c r="O115" i="180"/>
  <c r="N115" i="180"/>
  <c r="M115" i="180"/>
  <c r="K115" i="180"/>
  <c r="AN115" i="180" s="1"/>
  <c r="J115" i="180"/>
  <c r="I115" i="180"/>
  <c r="H115" i="180"/>
  <c r="G115" i="180"/>
  <c r="E115" i="180"/>
  <c r="L115" i="180" s="1"/>
  <c r="D115" i="180"/>
  <c r="C115" i="180"/>
  <c r="B115" i="180"/>
  <c r="AZ114" i="180"/>
  <c r="AX114" i="180"/>
  <c r="AS114" i="180"/>
  <c r="AR114" i="180"/>
  <c r="AQ114" i="180"/>
  <c r="AP114" i="180"/>
  <c r="AO114" i="180"/>
  <c r="AK114" i="180"/>
  <c r="AH114" i="180"/>
  <c r="AG114" i="180"/>
  <c r="AF114" i="180"/>
  <c r="Z114" i="180"/>
  <c r="AD114" i="180" s="1"/>
  <c r="AE114" i="180" s="1"/>
  <c r="W114" i="180"/>
  <c r="X114" i="180" s="1"/>
  <c r="U114" i="180"/>
  <c r="T114" i="180"/>
  <c r="S114" i="180"/>
  <c r="R114" i="180"/>
  <c r="Q114" i="180" a="1"/>
  <c r="Q114" i="180" s="1"/>
  <c r="P114" i="180"/>
  <c r="O114" i="180"/>
  <c r="N114" i="180"/>
  <c r="M114" i="180"/>
  <c r="K114" i="180"/>
  <c r="AN114" i="180" s="1"/>
  <c r="J114" i="180"/>
  <c r="I114" i="180"/>
  <c r="H114" i="180"/>
  <c r="G114" i="180"/>
  <c r="E114" i="180"/>
  <c r="L114" i="180" s="1"/>
  <c r="D114" i="180"/>
  <c r="C114" i="180"/>
  <c r="B114" i="180"/>
  <c r="AZ113" i="180"/>
  <c r="AX113" i="180"/>
  <c r="AS113" i="180"/>
  <c r="AR113" i="180"/>
  <c r="AQ113" i="180"/>
  <c r="AP113" i="180"/>
  <c r="AO113" i="180"/>
  <c r="AK113" i="180"/>
  <c r="AH113" i="180"/>
  <c r="AG113" i="180"/>
  <c r="AF113" i="180"/>
  <c r="Z113" i="180"/>
  <c r="AD113" i="180" s="1"/>
  <c r="AE113" i="180" s="1"/>
  <c r="W113" i="180"/>
  <c r="X113" i="180" s="1"/>
  <c r="U113" i="180"/>
  <c r="T113" i="180"/>
  <c r="S113" i="180"/>
  <c r="R113" i="180"/>
  <c r="Q113" i="180" a="1"/>
  <c r="Q113" i="180" s="1"/>
  <c r="P113" i="180"/>
  <c r="O113" i="180"/>
  <c r="N113" i="180"/>
  <c r="M113" i="180"/>
  <c r="K113" i="180"/>
  <c r="AN113" i="180" s="1"/>
  <c r="J113" i="180"/>
  <c r="I113" i="180"/>
  <c r="H113" i="180"/>
  <c r="G113" i="180"/>
  <c r="E113" i="180"/>
  <c r="L113" i="180" s="1"/>
  <c r="D113" i="180"/>
  <c r="C113" i="180"/>
  <c r="B113" i="180"/>
  <c r="AZ112" i="180"/>
  <c r="AX112" i="180"/>
  <c r="AS112" i="180"/>
  <c r="AR112" i="180"/>
  <c r="AQ112" i="180"/>
  <c r="AP112" i="180"/>
  <c r="AO112" i="180"/>
  <c r="AK112" i="180"/>
  <c r="AH112" i="180"/>
  <c r="AG112" i="180"/>
  <c r="AF112" i="180"/>
  <c r="Z112" i="180"/>
  <c r="AD112" i="180" s="1"/>
  <c r="AE112" i="180" s="1"/>
  <c r="W112" i="180"/>
  <c r="X112" i="180" s="1"/>
  <c r="U112" i="180"/>
  <c r="T112" i="180"/>
  <c r="S112" i="180"/>
  <c r="R112" i="180"/>
  <c r="Q112" i="180" a="1"/>
  <c r="Q112" i="180" s="1"/>
  <c r="P112" i="180"/>
  <c r="O112" i="180"/>
  <c r="N112" i="180"/>
  <c r="M112" i="180"/>
  <c r="K112" i="180"/>
  <c r="AN112" i="180" s="1"/>
  <c r="J112" i="180"/>
  <c r="I112" i="180"/>
  <c r="H112" i="180"/>
  <c r="G112" i="180"/>
  <c r="E112" i="180"/>
  <c r="L112" i="180" s="1"/>
  <c r="D112" i="180"/>
  <c r="C112" i="180"/>
  <c r="B112" i="180"/>
  <c r="AZ111" i="180"/>
  <c r="AX111" i="180"/>
  <c r="AS111" i="180"/>
  <c r="AR111" i="180"/>
  <c r="AQ111" i="180"/>
  <c r="AP111" i="180"/>
  <c r="AO111" i="180"/>
  <c r="AK111" i="180"/>
  <c r="AH111" i="180"/>
  <c r="AG111" i="180"/>
  <c r="AF111" i="180"/>
  <c r="Z111" i="180"/>
  <c r="AD111" i="180" s="1"/>
  <c r="AE111" i="180" s="1"/>
  <c r="W111" i="180"/>
  <c r="X111" i="180" s="1"/>
  <c r="U111" i="180"/>
  <c r="T111" i="180"/>
  <c r="S111" i="180"/>
  <c r="R111" i="180"/>
  <c r="Q111" i="180" a="1"/>
  <c r="Q111" i="180" s="1"/>
  <c r="P111" i="180"/>
  <c r="O111" i="180"/>
  <c r="N111" i="180"/>
  <c r="M111" i="180"/>
  <c r="J111" i="180"/>
  <c r="I111" i="180"/>
  <c r="H111" i="180"/>
  <c r="G111" i="180"/>
  <c r="E111" i="180"/>
  <c r="L111" i="180" s="1"/>
  <c r="D111" i="180"/>
  <c r="C111" i="180"/>
  <c r="B111" i="180"/>
  <c r="AZ110" i="180"/>
  <c r="AX110" i="180"/>
  <c r="AS110" i="180"/>
  <c r="AR110" i="180"/>
  <c r="AQ110" i="180"/>
  <c r="AP110" i="180"/>
  <c r="AO110" i="180"/>
  <c r="AK110" i="180"/>
  <c r="AH110" i="180"/>
  <c r="AG110" i="180"/>
  <c r="AF110" i="180"/>
  <c r="Z110" i="180"/>
  <c r="AD110" i="180" s="1"/>
  <c r="AE110" i="180" s="1"/>
  <c r="W110" i="180"/>
  <c r="X110" i="180" s="1"/>
  <c r="U110" i="180"/>
  <c r="T110" i="180"/>
  <c r="S110" i="180"/>
  <c r="R110" i="180"/>
  <c r="Q110" i="180" a="1"/>
  <c r="Q110" i="180" s="1"/>
  <c r="P110" i="180"/>
  <c r="O110" i="180"/>
  <c r="N110" i="180"/>
  <c r="M110" i="180"/>
  <c r="K110" i="180"/>
  <c r="AN110" i="180" s="1"/>
  <c r="J110" i="180"/>
  <c r="I110" i="180"/>
  <c r="H110" i="180"/>
  <c r="G110" i="180"/>
  <c r="E110" i="180"/>
  <c r="L110" i="180" s="1"/>
  <c r="D110" i="180"/>
  <c r="C110" i="180"/>
  <c r="B110" i="180"/>
  <c r="AZ109" i="180"/>
  <c r="AX109" i="180"/>
  <c r="AS109" i="180"/>
  <c r="AR109" i="180"/>
  <c r="AQ109" i="180"/>
  <c r="AP109" i="180"/>
  <c r="AO109" i="180"/>
  <c r="AK109" i="180"/>
  <c r="AH109" i="180"/>
  <c r="AG109" i="180"/>
  <c r="AF109" i="180"/>
  <c r="Z109" i="180"/>
  <c r="AD109" i="180" s="1"/>
  <c r="AE109" i="180" s="1"/>
  <c r="W109" i="180"/>
  <c r="X109" i="180" s="1"/>
  <c r="U109" i="180"/>
  <c r="T109" i="180"/>
  <c r="S109" i="180"/>
  <c r="R109" i="180"/>
  <c r="Q109" i="180" a="1"/>
  <c r="Q109" i="180" s="1"/>
  <c r="P109" i="180"/>
  <c r="O109" i="180"/>
  <c r="N109" i="180"/>
  <c r="M109" i="180"/>
  <c r="J109" i="180"/>
  <c r="I109" i="180"/>
  <c r="H109" i="180"/>
  <c r="G109" i="180"/>
  <c r="E109" i="180"/>
  <c r="L109" i="180" s="1"/>
  <c r="D109" i="180"/>
  <c r="C109" i="180"/>
  <c r="B109" i="180"/>
  <c r="AZ108" i="180"/>
  <c r="AX108" i="180"/>
  <c r="AS108" i="180"/>
  <c r="AR108" i="180"/>
  <c r="AQ108" i="180"/>
  <c r="AP108" i="180"/>
  <c r="AO108" i="180"/>
  <c r="AK108" i="180"/>
  <c r="AH108" i="180"/>
  <c r="AG108" i="180"/>
  <c r="AF108" i="180"/>
  <c r="Z108" i="180"/>
  <c r="W108" i="180"/>
  <c r="X108" i="180" s="1"/>
  <c r="U108" i="180"/>
  <c r="T108" i="180"/>
  <c r="S108" i="180"/>
  <c r="R108" i="180"/>
  <c r="Q108" i="180" a="1"/>
  <c r="Q108" i="180" s="1"/>
  <c r="P108" i="180"/>
  <c r="O108" i="180"/>
  <c r="N108" i="180"/>
  <c r="M108" i="180"/>
  <c r="J108" i="180"/>
  <c r="I108" i="180"/>
  <c r="H108" i="180"/>
  <c r="G108" i="180"/>
  <c r="E108" i="180"/>
  <c r="L108" i="180" s="1"/>
  <c r="D108" i="180"/>
  <c r="C108" i="180"/>
  <c r="B108" i="180"/>
  <c r="AZ107" i="180"/>
  <c r="AX107" i="180"/>
  <c r="AS107" i="180"/>
  <c r="AR107" i="180"/>
  <c r="AQ107" i="180"/>
  <c r="AP107" i="180"/>
  <c r="AO107" i="180"/>
  <c r="AK107" i="180"/>
  <c r="AH107" i="180"/>
  <c r="AG107" i="180"/>
  <c r="AF107" i="180"/>
  <c r="Z107" i="180"/>
  <c r="AD107" i="180" s="1"/>
  <c r="AE107" i="180" s="1"/>
  <c r="W107" i="180"/>
  <c r="X107" i="180" s="1"/>
  <c r="U107" i="180"/>
  <c r="T107" i="180"/>
  <c r="S107" i="180"/>
  <c r="R107" i="180"/>
  <c r="Q107" i="180" a="1"/>
  <c r="Q107" i="180" s="1"/>
  <c r="P107" i="180"/>
  <c r="O107" i="180"/>
  <c r="N107" i="180"/>
  <c r="M107" i="180"/>
  <c r="J107" i="180"/>
  <c r="I107" i="180"/>
  <c r="H107" i="180"/>
  <c r="G107" i="180"/>
  <c r="E107" i="180"/>
  <c r="L107" i="180" s="1"/>
  <c r="D107" i="180"/>
  <c r="C107" i="180"/>
  <c r="B107" i="180"/>
  <c r="AZ106" i="180"/>
  <c r="AX106" i="180"/>
  <c r="AS106" i="180"/>
  <c r="AR106" i="180"/>
  <c r="AQ106" i="180"/>
  <c r="AP106" i="180"/>
  <c r="AO106" i="180"/>
  <c r="AK106" i="180"/>
  <c r="AH106" i="180"/>
  <c r="AG106" i="180"/>
  <c r="AF106" i="180"/>
  <c r="Z106" i="180"/>
  <c r="AD106" i="180" s="1"/>
  <c r="AE106" i="180" s="1"/>
  <c r="W106" i="180"/>
  <c r="X106" i="180" s="1"/>
  <c r="U106" i="180"/>
  <c r="T106" i="180"/>
  <c r="S106" i="180"/>
  <c r="R106" i="180"/>
  <c r="Q106" i="180" a="1"/>
  <c r="Q106" i="180" s="1"/>
  <c r="P106" i="180"/>
  <c r="O106" i="180"/>
  <c r="N106" i="180"/>
  <c r="M106" i="180"/>
  <c r="J106" i="180"/>
  <c r="I106" i="180"/>
  <c r="H106" i="180"/>
  <c r="G106" i="180"/>
  <c r="E106" i="180"/>
  <c r="L106" i="180" s="1"/>
  <c r="D106" i="180"/>
  <c r="C106" i="180"/>
  <c r="B106" i="180"/>
  <c r="AZ105" i="180"/>
  <c r="AX105" i="180"/>
  <c r="AS105" i="180"/>
  <c r="AR105" i="180"/>
  <c r="AQ105" i="180"/>
  <c r="AP105" i="180"/>
  <c r="AO105" i="180"/>
  <c r="AK105" i="180"/>
  <c r="AH105" i="180"/>
  <c r="AG105" i="180"/>
  <c r="AF105" i="180"/>
  <c r="Z105" i="180"/>
  <c r="AA105" i="180" s="1"/>
  <c r="W105" i="180"/>
  <c r="X105" i="180" s="1"/>
  <c r="U105" i="180"/>
  <c r="T105" i="180"/>
  <c r="S105" i="180"/>
  <c r="R105" i="180"/>
  <c r="Q105" i="180" a="1"/>
  <c r="Q105" i="180" s="1"/>
  <c r="P105" i="180"/>
  <c r="O105" i="180"/>
  <c r="N105" i="180"/>
  <c r="M105" i="180"/>
  <c r="J105" i="180"/>
  <c r="I105" i="180"/>
  <c r="H105" i="180"/>
  <c r="G105" i="180"/>
  <c r="E105" i="180"/>
  <c r="L105" i="180" s="1"/>
  <c r="D105" i="180"/>
  <c r="C105" i="180"/>
  <c r="B105" i="180"/>
  <c r="AZ104" i="180"/>
  <c r="AX104" i="180"/>
  <c r="AS104" i="180"/>
  <c r="AR104" i="180"/>
  <c r="AQ104" i="180"/>
  <c r="AP104" i="180"/>
  <c r="AO104" i="180"/>
  <c r="AK104" i="180"/>
  <c r="AH104" i="180"/>
  <c r="AG104" i="180"/>
  <c r="AF104" i="180"/>
  <c r="Z104" i="180"/>
  <c r="W104" i="180"/>
  <c r="X104" i="180" s="1"/>
  <c r="U104" i="180"/>
  <c r="T104" i="180"/>
  <c r="S104" i="180"/>
  <c r="R104" i="180"/>
  <c r="Q104" i="180" a="1"/>
  <c r="Q104" i="180" s="1"/>
  <c r="P104" i="180"/>
  <c r="O104" i="180"/>
  <c r="N104" i="180"/>
  <c r="M104" i="180"/>
  <c r="J104" i="180"/>
  <c r="I104" i="180"/>
  <c r="H104" i="180"/>
  <c r="G104" i="180"/>
  <c r="E104" i="180"/>
  <c r="L104" i="180" s="1"/>
  <c r="D104" i="180"/>
  <c r="C104" i="180"/>
  <c r="B104" i="180"/>
  <c r="AZ103" i="180"/>
  <c r="AX103" i="180"/>
  <c r="AS103" i="180"/>
  <c r="AR103" i="180"/>
  <c r="AQ103" i="180"/>
  <c r="AP103" i="180"/>
  <c r="AO103" i="180"/>
  <c r="AK103" i="180"/>
  <c r="AH103" i="180"/>
  <c r="AG103" i="180"/>
  <c r="AF103" i="180"/>
  <c r="Z103" i="180"/>
  <c r="AD103" i="180" s="1"/>
  <c r="AE103" i="180" s="1"/>
  <c r="W103" i="180"/>
  <c r="X103" i="180" s="1"/>
  <c r="U103" i="180"/>
  <c r="T103" i="180"/>
  <c r="S103" i="180"/>
  <c r="R103" i="180"/>
  <c r="Q103" i="180" a="1"/>
  <c r="Q103" i="180" s="1"/>
  <c r="P103" i="180"/>
  <c r="O103" i="180"/>
  <c r="N103" i="180"/>
  <c r="M103" i="180"/>
  <c r="J103" i="180"/>
  <c r="I103" i="180"/>
  <c r="H103" i="180"/>
  <c r="G103" i="180"/>
  <c r="E103" i="180"/>
  <c r="L103" i="180" s="1"/>
  <c r="D103" i="180"/>
  <c r="C103" i="180"/>
  <c r="B103" i="180"/>
  <c r="AZ102" i="180"/>
  <c r="AX102" i="180"/>
  <c r="AS102" i="180"/>
  <c r="AR102" i="180"/>
  <c r="AQ102" i="180"/>
  <c r="AP102" i="180"/>
  <c r="AO102" i="180"/>
  <c r="AK102" i="180"/>
  <c r="AH102" i="180"/>
  <c r="AG102" i="180"/>
  <c r="AF102" i="180"/>
  <c r="Z102" i="180"/>
  <c r="AA102" i="180" s="1"/>
  <c r="W102" i="180"/>
  <c r="X102" i="180" s="1"/>
  <c r="U102" i="180"/>
  <c r="T102" i="180"/>
  <c r="S102" i="180"/>
  <c r="R102" i="180"/>
  <c r="Q102" i="180" a="1"/>
  <c r="Q102" i="180" s="1"/>
  <c r="P102" i="180"/>
  <c r="O102" i="180"/>
  <c r="N102" i="180"/>
  <c r="M102" i="180"/>
  <c r="J102" i="180"/>
  <c r="I102" i="180"/>
  <c r="H102" i="180"/>
  <c r="G102" i="180"/>
  <c r="E102" i="180"/>
  <c r="L102" i="180" s="1"/>
  <c r="D102" i="180"/>
  <c r="C102" i="180"/>
  <c r="B102" i="180"/>
  <c r="AZ101" i="180"/>
  <c r="AX101" i="180"/>
  <c r="AS101" i="180"/>
  <c r="AR101" i="180"/>
  <c r="AQ101" i="180"/>
  <c r="AP101" i="180"/>
  <c r="AO101" i="180"/>
  <c r="AK101" i="180"/>
  <c r="AH101" i="180"/>
  <c r="AG101" i="180"/>
  <c r="AF101" i="180"/>
  <c r="Z101" i="180"/>
  <c r="AD101" i="180" s="1"/>
  <c r="AE101" i="180" s="1"/>
  <c r="W101" i="180"/>
  <c r="X101" i="180" s="1"/>
  <c r="U101" i="180"/>
  <c r="T101" i="180"/>
  <c r="S101" i="180"/>
  <c r="R101" i="180"/>
  <c r="Q101" i="180" a="1"/>
  <c r="Q101" i="180" s="1"/>
  <c r="P101" i="180"/>
  <c r="O101" i="180"/>
  <c r="N101" i="180"/>
  <c r="M101" i="180"/>
  <c r="J101" i="180"/>
  <c r="I101" i="180"/>
  <c r="H101" i="180"/>
  <c r="G101" i="180"/>
  <c r="E101" i="180"/>
  <c r="L101" i="180" s="1"/>
  <c r="D101" i="180"/>
  <c r="C101" i="180"/>
  <c r="B101" i="180"/>
  <c r="AZ100" i="180"/>
  <c r="AX100" i="180"/>
  <c r="AS100" i="180"/>
  <c r="AR100" i="180"/>
  <c r="AQ100" i="180"/>
  <c r="AP100" i="180"/>
  <c r="AO100" i="180"/>
  <c r="AK100" i="180"/>
  <c r="AH100" i="180"/>
  <c r="AG100" i="180"/>
  <c r="AF100" i="180"/>
  <c r="Z100" i="180"/>
  <c r="AA100" i="180" s="1"/>
  <c r="W100" i="180"/>
  <c r="X100" i="180" s="1"/>
  <c r="U100" i="180"/>
  <c r="T100" i="180"/>
  <c r="S100" i="180"/>
  <c r="R100" i="180"/>
  <c r="Q100" i="180" a="1"/>
  <c r="Q100" i="180" s="1"/>
  <c r="P100" i="180"/>
  <c r="O100" i="180"/>
  <c r="N100" i="180"/>
  <c r="M100" i="180"/>
  <c r="J100" i="180"/>
  <c r="I100" i="180"/>
  <c r="H100" i="180"/>
  <c r="G100" i="180"/>
  <c r="E100" i="180"/>
  <c r="L100" i="180" s="1"/>
  <c r="D100" i="180"/>
  <c r="C100" i="180"/>
  <c r="B100" i="180"/>
  <c r="AZ99" i="180"/>
  <c r="AX99" i="180"/>
  <c r="AS99" i="180"/>
  <c r="AR99" i="180"/>
  <c r="AQ99" i="180"/>
  <c r="AP99" i="180"/>
  <c r="AO99" i="180"/>
  <c r="AK99" i="180"/>
  <c r="AH99" i="180"/>
  <c r="AG99" i="180"/>
  <c r="AF99" i="180"/>
  <c r="Z99" i="180"/>
  <c r="AD99" i="180" s="1"/>
  <c r="AE99" i="180" s="1"/>
  <c r="W99" i="180"/>
  <c r="X99" i="180" s="1"/>
  <c r="U99" i="180"/>
  <c r="T99" i="180"/>
  <c r="S99" i="180"/>
  <c r="R99" i="180"/>
  <c r="Q99" i="180" a="1"/>
  <c r="Q99" i="180" s="1"/>
  <c r="P99" i="180"/>
  <c r="O99" i="180"/>
  <c r="N99" i="180"/>
  <c r="M99" i="180"/>
  <c r="J99" i="180"/>
  <c r="I99" i="180"/>
  <c r="H99" i="180"/>
  <c r="G99" i="180"/>
  <c r="E99" i="180"/>
  <c r="L99" i="180" s="1"/>
  <c r="D99" i="180"/>
  <c r="C99" i="180"/>
  <c r="B99" i="180"/>
  <c r="AZ98" i="180"/>
  <c r="AX98" i="180"/>
  <c r="AS98" i="180"/>
  <c r="AR98" i="180"/>
  <c r="AQ98" i="180"/>
  <c r="AP98" i="180"/>
  <c r="AO98" i="180"/>
  <c r="AK98" i="180"/>
  <c r="AH98" i="180"/>
  <c r="AG98" i="180"/>
  <c r="AF98" i="180"/>
  <c r="Z98" i="180"/>
  <c r="W98" i="180"/>
  <c r="X98" i="180" s="1"/>
  <c r="U98" i="180"/>
  <c r="T98" i="180"/>
  <c r="S98" i="180"/>
  <c r="R98" i="180"/>
  <c r="Q98" i="180" a="1"/>
  <c r="Q98" i="180" s="1"/>
  <c r="P98" i="180"/>
  <c r="O98" i="180"/>
  <c r="N98" i="180"/>
  <c r="M98" i="180"/>
  <c r="J98" i="180"/>
  <c r="I98" i="180"/>
  <c r="H98" i="180"/>
  <c r="G98" i="180"/>
  <c r="E98" i="180"/>
  <c r="L98" i="180" s="1"/>
  <c r="D98" i="180"/>
  <c r="C98" i="180"/>
  <c r="B98" i="180"/>
  <c r="AZ97" i="180"/>
  <c r="AX97" i="180"/>
  <c r="AS97" i="180"/>
  <c r="AR97" i="180"/>
  <c r="AQ97" i="180"/>
  <c r="AP97" i="180"/>
  <c r="AO97" i="180"/>
  <c r="AK97" i="180"/>
  <c r="AH97" i="180"/>
  <c r="AG97" i="180"/>
  <c r="AF97" i="180"/>
  <c r="Z97" i="180"/>
  <c r="AD97" i="180" s="1"/>
  <c r="AE97" i="180" s="1"/>
  <c r="W97" i="180"/>
  <c r="X97" i="180" s="1"/>
  <c r="U97" i="180"/>
  <c r="T97" i="180"/>
  <c r="S97" i="180"/>
  <c r="R97" i="180"/>
  <c r="Q97" i="180" a="1"/>
  <c r="Q97" i="180" s="1"/>
  <c r="P97" i="180"/>
  <c r="O97" i="180"/>
  <c r="N97" i="180"/>
  <c r="M97" i="180"/>
  <c r="J97" i="180"/>
  <c r="I97" i="180"/>
  <c r="H97" i="180"/>
  <c r="G97" i="180"/>
  <c r="E97" i="180"/>
  <c r="L97" i="180" s="1"/>
  <c r="D97" i="180"/>
  <c r="C97" i="180"/>
  <c r="B97" i="180"/>
  <c r="AZ96" i="180"/>
  <c r="AX96" i="180"/>
  <c r="AS96" i="180"/>
  <c r="AR96" i="180"/>
  <c r="AQ96" i="180"/>
  <c r="AP96" i="180"/>
  <c r="AO96" i="180"/>
  <c r="AK96" i="180"/>
  <c r="AH96" i="180"/>
  <c r="AG96" i="180"/>
  <c r="AF96" i="180"/>
  <c r="Z96" i="180"/>
  <c r="AA96" i="180" s="1"/>
  <c r="W96" i="180"/>
  <c r="X96" i="180" s="1"/>
  <c r="U96" i="180"/>
  <c r="T96" i="180"/>
  <c r="S96" i="180"/>
  <c r="R96" i="180"/>
  <c r="Q96" i="180" a="1"/>
  <c r="Q96" i="180" s="1"/>
  <c r="P96" i="180"/>
  <c r="O96" i="180"/>
  <c r="N96" i="180"/>
  <c r="M96" i="180"/>
  <c r="J96" i="180"/>
  <c r="I96" i="180"/>
  <c r="H96" i="180"/>
  <c r="G96" i="180"/>
  <c r="E96" i="180"/>
  <c r="L96" i="180" s="1"/>
  <c r="D96" i="180"/>
  <c r="C96" i="180"/>
  <c r="B96" i="180"/>
  <c r="AZ95" i="180"/>
  <c r="AX95" i="180"/>
  <c r="AS95" i="180"/>
  <c r="AR95" i="180"/>
  <c r="AQ95" i="180"/>
  <c r="AP95" i="180"/>
  <c r="AO95" i="180"/>
  <c r="AK95" i="180"/>
  <c r="AH95" i="180"/>
  <c r="AG95" i="180"/>
  <c r="AF95" i="180"/>
  <c r="Z95" i="180"/>
  <c r="W95" i="180"/>
  <c r="X95" i="180" s="1"/>
  <c r="U95" i="180"/>
  <c r="T95" i="180"/>
  <c r="S95" i="180"/>
  <c r="R95" i="180"/>
  <c r="Q95" i="180" a="1"/>
  <c r="Q95" i="180" s="1"/>
  <c r="P95" i="180"/>
  <c r="O95" i="180"/>
  <c r="N95" i="180"/>
  <c r="M95" i="180"/>
  <c r="J95" i="180"/>
  <c r="I95" i="180"/>
  <c r="H95" i="180"/>
  <c r="G95" i="180"/>
  <c r="E95" i="180"/>
  <c r="L95" i="180" s="1"/>
  <c r="D95" i="180"/>
  <c r="C95" i="180"/>
  <c r="B95" i="180"/>
  <c r="AZ94" i="180"/>
  <c r="AX94" i="180"/>
  <c r="AS94" i="180"/>
  <c r="AR94" i="180"/>
  <c r="AQ94" i="180"/>
  <c r="AP94" i="180"/>
  <c r="AO94" i="180"/>
  <c r="AK94" i="180"/>
  <c r="AH94" i="180"/>
  <c r="AG94" i="180"/>
  <c r="AF94" i="180"/>
  <c r="Z94" i="180"/>
  <c r="W94" i="180"/>
  <c r="X94" i="180" s="1"/>
  <c r="U94" i="180"/>
  <c r="T94" i="180"/>
  <c r="S94" i="180"/>
  <c r="R94" i="180"/>
  <c r="Q94" i="180" a="1"/>
  <c r="Q94" i="180" s="1"/>
  <c r="P94" i="180"/>
  <c r="O94" i="180"/>
  <c r="N94" i="180"/>
  <c r="M94" i="180"/>
  <c r="J94" i="180"/>
  <c r="I94" i="180"/>
  <c r="H94" i="180"/>
  <c r="G94" i="180"/>
  <c r="E94" i="180"/>
  <c r="L94" i="180" s="1"/>
  <c r="D94" i="180"/>
  <c r="C94" i="180"/>
  <c r="B94" i="180"/>
  <c r="AZ93" i="180"/>
  <c r="AX93" i="180"/>
  <c r="AS93" i="180"/>
  <c r="AR93" i="180"/>
  <c r="AQ93" i="180"/>
  <c r="AP93" i="180"/>
  <c r="AO93" i="180"/>
  <c r="AK93" i="180"/>
  <c r="AH93" i="180"/>
  <c r="AG93" i="180"/>
  <c r="AF93" i="180"/>
  <c r="Z93" i="180"/>
  <c r="AD93" i="180" s="1"/>
  <c r="AE93" i="180" s="1"/>
  <c r="W93" i="180"/>
  <c r="X93" i="180" s="1"/>
  <c r="U93" i="180"/>
  <c r="T93" i="180"/>
  <c r="S93" i="180"/>
  <c r="R93" i="180"/>
  <c r="Q93" i="180" a="1"/>
  <c r="Q93" i="180" s="1"/>
  <c r="P93" i="180"/>
  <c r="O93" i="180"/>
  <c r="N93" i="180"/>
  <c r="M93" i="180"/>
  <c r="J93" i="180"/>
  <c r="I93" i="180"/>
  <c r="H93" i="180"/>
  <c r="G93" i="180"/>
  <c r="E93" i="180"/>
  <c r="L93" i="180" s="1"/>
  <c r="D93" i="180"/>
  <c r="C93" i="180"/>
  <c r="B93" i="180"/>
  <c r="AZ92" i="180"/>
  <c r="AX92" i="180"/>
  <c r="AS92" i="180"/>
  <c r="AR92" i="180"/>
  <c r="AQ92" i="180"/>
  <c r="AP92" i="180"/>
  <c r="AO92" i="180"/>
  <c r="AK92" i="180"/>
  <c r="AH92" i="180"/>
  <c r="AG92" i="180"/>
  <c r="AF92" i="180"/>
  <c r="Z92" i="180"/>
  <c r="AD92" i="180" s="1"/>
  <c r="AE92" i="180" s="1"/>
  <c r="W92" i="180"/>
  <c r="X92" i="180" s="1"/>
  <c r="U92" i="180"/>
  <c r="T92" i="180"/>
  <c r="S92" i="180"/>
  <c r="R92" i="180"/>
  <c r="Q92" i="180" a="1"/>
  <c r="Q92" i="180" s="1"/>
  <c r="P92" i="180"/>
  <c r="O92" i="180"/>
  <c r="N92" i="180"/>
  <c r="M92" i="180"/>
  <c r="J92" i="180"/>
  <c r="I92" i="180"/>
  <c r="H92" i="180"/>
  <c r="G92" i="180"/>
  <c r="E92" i="180"/>
  <c r="L92" i="180" s="1"/>
  <c r="D92" i="180"/>
  <c r="C92" i="180"/>
  <c r="B92" i="180"/>
  <c r="AZ91" i="180"/>
  <c r="AX91" i="180"/>
  <c r="AS91" i="180"/>
  <c r="AR91" i="180"/>
  <c r="AQ91" i="180"/>
  <c r="AP91" i="180"/>
  <c r="AO91" i="180"/>
  <c r="AK91" i="180"/>
  <c r="AH91" i="180"/>
  <c r="AG91" i="180"/>
  <c r="AF91" i="180"/>
  <c r="Z91" i="180"/>
  <c r="AD91" i="180" s="1"/>
  <c r="AE91" i="180" s="1"/>
  <c r="W91" i="180"/>
  <c r="X91" i="180" s="1"/>
  <c r="U91" i="180"/>
  <c r="T91" i="180"/>
  <c r="S91" i="180"/>
  <c r="R91" i="180"/>
  <c r="Q91" i="180" a="1"/>
  <c r="Q91" i="180" s="1"/>
  <c r="P91" i="180"/>
  <c r="O91" i="180"/>
  <c r="N91" i="180"/>
  <c r="M91" i="180"/>
  <c r="J91" i="180"/>
  <c r="I91" i="180"/>
  <c r="H91" i="180"/>
  <c r="G91" i="180"/>
  <c r="E91" i="180"/>
  <c r="L91" i="180" s="1"/>
  <c r="D91" i="180"/>
  <c r="C91" i="180"/>
  <c r="B91" i="180"/>
  <c r="AZ90" i="180"/>
  <c r="AX90" i="180"/>
  <c r="AS90" i="180"/>
  <c r="AR90" i="180"/>
  <c r="AQ90" i="180"/>
  <c r="AP90" i="180"/>
  <c r="AO90" i="180"/>
  <c r="AK90" i="180"/>
  <c r="AH90" i="180"/>
  <c r="AG90" i="180"/>
  <c r="AF90" i="180"/>
  <c r="Z90" i="180"/>
  <c r="AD90" i="180" s="1"/>
  <c r="AE90" i="180" s="1"/>
  <c r="W90" i="180"/>
  <c r="X90" i="180" s="1"/>
  <c r="U90" i="180"/>
  <c r="T90" i="180"/>
  <c r="S90" i="180"/>
  <c r="R90" i="180"/>
  <c r="Q90" i="180" a="1"/>
  <c r="Q90" i="180" s="1"/>
  <c r="P90" i="180"/>
  <c r="O90" i="180"/>
  <c r="N90" i="180"/>
  <c r="M90" i="180"/>
  <c r="J90" i="180"/>
  <c r="I90" i="180"/>
  <c r="H90" i="180"/>
  <c r="G90" i="180"/>
  <c r="E90" i="180"/>
  <c r="L90" i="180" s="1"/>
  <c r="D90" i="180"/>
  <c r="C90" i="180"/>
  <c r="B90" i="180"/>
  <c r="AZ89" i="180"/>
  <c r="AX89" i="180"/>
  <c r="AS89" i="180"/>
  <c r="AR89" i="180"/>
  <c r="AQ89" i="180"/>
  <c r="AP89" i="180"/>
  <c r="AO89" i="180"/>
  <c r="AK89" i="180"/>
  <c r="AH89" i="180"/>
  <c r="AG89" i="180"/>
  <c r="AF89" i="180"/>
  <c r="Z89" i="180"/>
  <c r="W89" i="180"/>
  <c r="X89" i="180" s="1"/>
  <c r="U89" i="180"/>
  <c r="T89" i="180"/>
  <c r="S89" i="180"/>
  <c r="R89" i="180"/>
  <c r="Q89" i="180" a="1"/>
  <c r="Q89" i="180" s="1"/>
  <c r="P89" i="180"/>
  <c r="O89" i="180"/>
  <c r="N89" i="180"/>
  <c r="M89" i="180"/>
  <c r="J89" i="180"/>
  <c r="I89" i="180"/>
  <c r="H89" i="180"/>
  <c r="G89" i="180"/>
  <c r="E89" i="180"/>
  <c r="L89" i="180" s="1"/>
  <c r="D89" i="180"/>
  <c r="C89" i="180"/>
  <c r="B89" i="180"/>
  <c r="AZ88" i="180"/>
  <c r="AX88" i="180"/>
  <c r="AS88" i="180"/>
  <c r="AR88" i="180"/>
  <c r="AQ88" i="180"/>
  <c r="AP88" i="180"/>
  <c r="AO88" i="180"/>
  <c r="AK88" i="180"/>
  <c r="AH88" i="180"/>
  <c r="AG88" i="180"/>
  <c r="AF88" i="180"/>
  <c r="Z88" i="180"/>
  <c r="AD88" i="180" s="1"/>
  <c r="AE88" i="180" s="1"/>
  <c r="W88" i="180"/>
  <c r="X88" i="180" s="1"/>
  <c r="U88" i="180"/>
  <c r="T88" i="180"/>
  <c r="S88" i="180"/>
  <c r="R88" i="180"/>
  <c r="Q88" i="180" a="1"/>
  <c r="Q88" i="180" s="1"/>
  <c r="P88" i="180"/>
  <c r="O88" i="180"/>
  <c r="N88" i="180"/>
  <c r="M88" i="180"/>
  <c r="J88" i="180"/>
  <c r="I88" i="180"/>
  <c r="H88" i="180"/>
  <c r="G88" i="180"/>
  <c r="E88" i="180"/>
  <c r="L88" i="180" s="1"/>
  <c r="D88" i="180"/>
  <c r="C88" i="180"/>
  <c r="B88" i="180"/>
  <c r="AZ87" i="180"/>
  <c r="AX87" i="180"/>
  <c r="AS87" i="180"/>
  <c r="AR87" i="180"/>
  <c r="AQ87" i="180"/>
  <c r="AP87" i="180"/>
  <c r="AO87" i="180"/>
  <c r="AK87" i="180"/>
  <c r="AH87" i="180"/>
  <c r="AG87" i="180"/>
  <c r="AF87" i="180"/>
  <c r="Z87" i="180"/>
  <c r="W87" i="180"/>
  <c r="X87" i="180" s="1"/>
  <c r="U87" i="180"/>
  <c r="T87" i="180"/>
  <c r="S87" i="180"/>
  <c r="R87" i="180"/>
  <c r="Q87" i="180" a="1"/>
  <c r="Q87" i="180" s="1"/>
  <c r="P87" i="180"/>
  <c r="O87" i="180"/>
  <c r="N87" i="180"/>
  <c r="M87" i="180"/>
  <c r="J87" i="180"/>
  <c r="I87" i="180"/>
  <c r="H87" i="180"/>
  <c r="G87" i="180"/>
  <c r="E87" i="180"/>
  <c r="L87" i="180" s="1"/>
  <c r="D87" i="180"/>
  <c r="C87" i="180"/>
  <c r="B87" i="180"/>
  <c r="AZ86" i="180"/>
  <c r="AX86" i="180"/>
  <c r="AS86" i="180"/>
  <c r="AR86" i="180"/>
  <c r="AQ86" i="180"/>
  <c r="AP86" i="180"/>
  <c r="AO86" i="180"/>
  <c r="AK86" i="180"/>
  <c r="AH86" i="180"/>
  <c r="AG86" i="180"/>
  <c r="AF86" i="180"/>
  <c r="Z86" i="180"/>
  <c r="W86" i="180"/>
  <c r="X86" i="180" s="1"/>
  <c r="U86" i="180"/>
  <c r="T86" i="180"/>
  <c r="S86" i="180"/>
  <c r="R86" i="180"/>
  <c r="Q86" i="180" a="1"/>
  <c r="Q86" i="180" s="1"/>
  <c r="P86" i="180"/>
  <c r="O86" i="180"/>
  <c r="N86" i="180"/>
  <c r="M86" i="180"/>
  <c r="J86" i="180"/>
  <c r="I86" i="180"/>
  <c r="H86" i="180"/>
  <c r="G86" i="180"/>
  <c r="E86" i="180"/>
  <c r="L86" i="180" s="1"/>
  <c r="D86" i="180"/>
  <c r="C86" i="180"/>
  <c r="B86" i="180"/>
  <c r="AZ85" i="180"/>
  <c r="AX85" i="180"/>
  <c r="AS85" i="180"/>
  <c r="AR85" i="180"/>
  <c r="AQ85" i="180"/>
  <c r="AP85" i="180"/>
  <c r="AO85" i="180"/>
  <c r="AK85" i="180"/>
  <c r="AH85" i="180"/>
  <c r="AG85" i="180"/>
  <c r="AF85" i="180"/>
  <c r="Z85" i="180"/>
  <c r="AA85" i="180" s="1"/>
  <c r="W85" i="180"/>
  <c r="X85" i="180" s="1"/>
  <c r="U85" i="180"/>
  <c r="T85" i="180"/>
  <c r="S85" i="180"/>
  <c r="R85" i="180"/>
  <c r="Q85" i="180" a="1"/>
  <c r="Q85" i="180" s="1"/>
  <c r="P85" i="180"/>
  <c r="O85" i="180"/>
  <c r="N85" i="180"/>
  <c r="M85" i="180"/>
  <c r="J85" i="180"/>
  <c r="I85" i="180"/>
  <c r="H85" i="180"/>
  <c r="G85" i="180"/>
  <c r="E85" i="180"/>
  <c r="L85" i="180" s="1"/>
  <c r="D85" i="180"/>
  <c r="C85" i="180"/>
  <c r="B85" i="180"/>
  <c r="AZ84" i="180"/>
  <c r="AX84" i="180"/>
  <c r="AS84" i="180"/>
  <c r="AR84" i="180"/>
  <c r="AQ84" i="180"/>
  <c r="AP84" i="180"/>
  <c r="AO84" i="180"/>
  <c r="AK84" i="180"/>
  <c r="AH84" i="180"/>
  <c r="AG84" i="180"/>
  <c r="AF84" i="180"/>
  <c r="Z84" i="180"/>
  <c r="AD84" i="180" s="1"/>
  <c r="AE84" i="180" s="1"/>
  <c r="W84" i="180"/>
  <c r="X84" i="180" s="1"/>
  <c r="U84" i="180"/>
  <c r="T84" i="180"/>
  <c r="S84" i="180"/>
  <c r="R84" i="180"/>
  <c r="Q84" i="180" a="1"/>
  <c r="Q84" i="180" s="1"/>
  <c r="P84" i="180"/>
  <c r="O84" i="180"/>
  <c r="N84" i="180"/>
  <c r="M84" i="180"/>
  <c r="J84" i="180"/>
  <c r="I84" i="180"/>
  <c r="H84" i="180"/>
  <c r="G84" i="180"/>
  <c r="E84" i="180"/>
  <c r="L84" i="180" s="1"/>
  <c r="D84" i="180"/>
  <c r="C84" i="180"/>
  <c r="B84" i="180"/>
  <c r="AZ83" i="180"/>
  <c r="AX83" i="180"/>
  <c r="AS83" i="180"/>
  <c r="AR83" i="180"/>
  <c r="AQ83" i="180"/>
  <c r="AP83" i="180"/>
  <c r="AO83" i="180"/>
  <c r="AK83" i="180"/>
  <c r="AH83" i="180"/>
  <c r="AG83" i="180"/>
  <c r="AF83" i="180"/>
  <c r="Z83" i="180"/>
  <c r="AA83" i="180" s="1"/>
  <c r="W83" i="180"/>
  <c r="X83" i="180" s="1"/>
  <c r="U83" i="180"/>
  <c r="T83" i="180"/>
  <c r="S83" i="180"/>
  <c r="R83" i="180"/>
  <c r="Q83" i="180" a="1"/>
  <c r="Q83" i="180" s="1"/>
  <c r="P83" i="180"/>
  <c r="O83" i="180"/>
  <c r="N83" i="180"/>
  <c r="M83" i="180"/>
  <c r="J83" i="180"/>
  <c r="I83" i="180"/>
  <c r="H83" i="180"/>
  <c r="G83" i="180"/>
  <c r="E83" i="180"/>
  <c r="L83" i="180" s="1"/>
  <c r="D83" i="180"/>
  <c r="C83" i="180"/>
  <c r="B83" i="180"/>
  <c r="AZ82" i="180"/>
  <c r="AX82" i="180"/>
  <c r="AS82" i="180"/>
  <c r="AR82" i="180"/>
  <c r="AQ82" i="180"/>
  <c r="AP82" i="180"/>
  <c r="AO82" i="180"/>
  <c r="AK82" i="180"/>
  <c r="AH82" i="180"/>
  <c r="AG82" i="180"/>
  <c r="AF82" i="180"/>
  <c r="Z82" i="180"/>
  <c r="AD82" i="180" s="1"/>
  <c r="AE82" i="180" s="1"/>
  <c r="W82" i="180"/>
  <c r="X82" i="180" s="1"/>
  <c r="U82" i="180"/>
  <c r="T82" i="180"/>
  <c r="S82" i="180"/>
  <c r="R82" i="180"/>
  <c r="Q82" i="180" a="1"/>
  <c r="Q82" i="180" s="1"/>
  <c r="P82" i="180"/>
  <c r="O82" i="180"/>
  <c r="N82" i="180"/>
  <c r="M82" i="180"/>
  <c r="J82" i="180"/>
  <c r="I82" i="180"/>
  <c r="H82" i="180"/>
  <c r="G82" i="180"/>
  <c r="E82" i="180"/>
  <c r="L82" i="180" s="1"/>
  <c r="D82" i="180"/>
  <c r="C82" i="180"/>
  <c r="B82" i="180"/>
  <c r="AZ81" i="180"/>
  <c r="AX81" i="180"/>
  <c r="AS81" i="180"/>
  <c r="AR81" i="180"/>
  <c r="AQ81" i="180"/>
  <c r="AP81" i="180"/>
  <c r="AO81" i="180"/>
  <c r="AK81" i="180"/>
  <c r="AH81" i="180"/>
  <c r="AG81" i="180"/>
  <c r="AF81" i="180"/>
  <c r="Z81" i="180"/>
  <c r="AA81" i="180" s="1"/>
  <c r="W81" i="180"/>
  <c r="X81" i="180" s="1"/>
  <c r="U81" i="180"/>
  <c r="T81" i="180"/>
  <c r="S81" i="180"/>
  <c r="R81" i="180"/>
  <c r="Q81" i="180" a="1"/>
  <c r="Q81" i="180" s="1"/>
  <c r="P81" i="180"/>
  <c r="O81" i="180"/>
  <c r="N81" i="180"/>
  <c r="M81" i="180"/>
  <c r="J81" i="180"/>
  <c r="I81" i="180"/>
  <c r="H81" i="180"/>
  <c r="G81" i="180"/>
  <c r="E81" i="180"/>
  <c r="L81" i="180" s="1"/>
  <c r="D81" i="180"/>
  <c r="C81" i="180"/>
  <c r="B81" i="180"/>
  <c r="AZ80" i="180"/>
  <c r="AX80" i="180"/>
  <c r="AS80" i="180"/>
  <c r="AR80" i="180"/>
  <c r="AQ80" i="180"/>
  <c r="AP80" i="180"/>
  <c r="AO80" i="180"/>
  <c r="AK80" i="180"/>
  <c r="AH80" i="180"/>
  <c r="AG80" i="180"/>
  <c r="AF80" i="180"/>
  <c r="Z80" i="180"/>
  <c r="AA80" i="180" s="1"/>
  <c r="W80" i="180"/>
  <c r="X80" i="180" s="1"/>
  <c r="U80" i="180"/>
  <c r="T80" i="180"/>
  <c r="S80" i="180"/>
  <c r="R80" i="180"/>
  <c r="Q80" i="180" a="1"/>
  <c r="Q80" i="180" s="1"/>
  <c r="P80" i="180"/>
  <c r="O80" i="180"/>
  <c r="N80" i="180"/>
  <c r="M80" i="180"/>
  <c r="J80" i="180"/>
  <c r="I80" i="180"/>
  <c r="H80" i="180"/>
  <c r="G80" i="180"/>
  <c r="E80" i="180"/>
  <c r="L80" i="180" s="1"/>
  <c r="D80" i="180"/>
  <c r="C80" i="180"/>
  <c r="B80" i="180"/>
  <c r="AZ79" i="180"/>
  <c r="AX79" i="180"/>
  <c r="AS79" i="180"/>
  <c r="AR79" i="180"/>
  <c r="AQ79" i="180"/>
  <c r="AP79" i="180"/>
  <c r="AO79" i="180"/>
  <c r="AK79" i="180"/>
  <c r="AH79" i="180"/>
  <c r="AG79" i="180"/>
  <c r="AF79" i="180"/>
  <c r="Z79" i="180"/>
  <c r="W79" i="180"/>
  <c r="X79" i="180" s="1"/>
  <c r="U79" i="180"/>
  <c r="T79" i="180"/>
  <c r="S79" i="180"/>
  <c r="R79" i="180"/>
  <c r="Q79" i="180" a="1"/>
  <c r="Q79" i="180" s="1"/>
  <c r="P79" i="180"/>
  <c r="O79" i="180"/>
  <c r="N79" i="180"/>
  <c r="M79" i="180"/>
  <c r="J79" i="180"/>
  <c r="I79" i="180"/>
  <c r="H79" i="180"/>
  <c r="G79" i="180"/>
  <c r="E79" i="180"/>
  <c r="L79" i="180" s="1"/>
  <c r="D79" i="180"/>
  <c r="C79" i="180"/>
  <c r="B79" i="180"/>
  <c r="AZ78" i="180"/>
  <c r="AX78" i="180"/>
  <c r="AS78" i="180"/>
  <c r="AR78" i="180"/>
  <c r="AQ78" i="180"/>
  <c r="AP78" i="180"/>
  <c r="AO78" i="180"/>
  <c r="AK78" i="180"/>
  <c r="AH78" i="180"/>
  <c r="AG78" i="180"/>
  <c r="AF78" i="180"/>
  <c r="Z78" i="180"/>
  <c r="AD78" i="180" s="1"/>
  <c r="AE78" i="180" s="1"/>
  <c r="W78" i="180"/>
  <c r="X78" i="180" s="1"/>
  <c r="U78" i="180"/>
  <c r="T78" i="180"/>
  <c r="S78" i="180"/>
  <c r="R78" i="180"/>
  <c r="Q78" i="180" a="1"/>
  <c r="Q78" i="180" s="1"/>
  <c r="P78" i="180"/>
  <c r="O78" i="180"/>
  <c r="N78" i="180"/>
  <c r="M78" i="180"/>
  <c r="J78" i="180"/>
  <c r="I78" i="180"/>
  <c r="H78" i="180"/>
  <c r="G78" i="180"/>
  <c r="E78" i="180"/>
  <c r="L78" i="180" s="1"/>
  <c r="D78" i="180"/>
  <c r="C78" i="180"/>
  <c r="B78" i="180"/>
  <c r="AZ77" i="180"/>
  <c r="AX77" i="180"/>
  <c r="AS77" i="180"/>
  <c r="AR77" i="180"/>
  <c r="AQ77" i="180"/>
  <c r="AP77" i="180"/>
  <c r="AO77" i="180"/>
  <c r="AK77" i="180"/>
  <c r="AH77" i="180"/>
  <c r="AG77" i="180"/>
  <c r="AF77" i="180"/>
  <c r="Z77" i="180"/>
  <c r="AA77" i="180" s="1"/>
  <c r="W77" i="180"/>
  <c r="X77" i="180" s="1"/>
  <c r="U77" i="180"/>
  <c r="T77" i="180"/>
  <c r="S77" i="180"/>
  <c r="R77" i="180"/>
  <c r="Q77" i="180" a="1"/>
  <c r="Q77" i="180" s="1"/>
  <c r="P77" i="180"/>
  <c r="O77" i="180"/>
  <c r="N77" i="180"/>
  <c r="M77" i="180"/>
  <c r="J77" i="180"/>
  <c r="I77" i="180"/>
  <c r="H77" i="180"/>
  <c r="G77" i="180"/>
  <c r="E77" i="180"/>
  <c r="L77" i="180" s="1"/>
  <c r="D77" i="180"/>
  <c r="C77" i="180"/>
  <c r="B77" i="180"/>
  <c r="AZ76" i="180"/>
  <c r="AX76" i="180"/>
  <c r="AS76" i="180"/>
  <c r="AR76" i="180"/>
  <c r="AQ76" i="180"/>
  <c r="AP76" i="180"/>
  <c r="AO76" i="180"/>
  <c r="AK76" i="180"/>
  <c r="AH76" i="180"/>
  <c r="AG76" i="180"/>
  <c r="AF76" i="180"/>
  <c r="Z76" i="180"/>
  <c r="W76" i="180"/>
  <c r="X76" i="180" s="1"/>
  <c r="U76" i="180"/>
  <c r="T76" i="180"/>
  <c r="S76" i="180"/>
  <c r="R76" i="180"/>
  <c r="Q76" i="180" a="1"/>
  <c r="Q76" i="180" s="1"/>
  <c r="P76" i="180"/>
  <c r="O76" i="180"/>
  <c r="N76" i="180"/>
  <c r="M76" i="180"/>
  <c r="J76" i="180"/>
  <c r="I76" i="180"/>
  <c r="H76" i="180"/>
  <c r="G76" i="180"/>
  <c r="E76" i="180"/>
  <c r="L76" i="180" s="1"/>
  <c r="D76" i="180"/>
  <c r="C76" i="180"/>
  <c r="B76" i="180"/>
  <c r="AZ75" i="180"/>
  <c r="AX75" i="180"/>
  <c r="AS75" i="180"/>
  <c r="AR75" i="180"/>
  <c r="AQ75" i="180"/>
  <c r="AP75" i="180"/>
  <c r="AO75" i="180"/>
  <c r="AK75" i="180"/>
  <c r="AH75" i="180"/>
  <c r="AG75" i="180"/>
  <c r="AF75" i="180"/>
  <c r="Z75" i="180"/>
  <c r="AA75" i="180" s="1"/>
  <c r="W75" i="180"/>
  <c r="X75" i="180" s="1"/>
  <c r="U75" i="180"/>
  <c r="T75" i="180"/>
  <c r="S75" i="180"/>
  <c r="R75" i="180"/>
  <c r="Q75" i="180" a="1"/>
  <c r="Q75" i="180" s="1"/>
  <c r="P75" i="180"/>
  <c r="O75" i="180"/>
  <c r="N75" i="180"/>
  <c r="M75" i="180"/>
  <c r="J75" i="180"/>
  <c r="I75" i="180"/>
  <c r="H75" i="180"/>
  <c r="G75" i="180"/>
  <c r="E75" i="180"/>
  <c r="L75" i="180" s="1"/>
  <c r="D75" i="180"/>
  <c r="C75" i="180"/>
  <c r="B75" i="180"/>
  <c r="AZ74" i="180"/>
  <c r="AX74" i="180"/>
  <c r="AS74" i="180"/>
  <c r="AR74" i="180"/>
  <c r="AQ74" i="180"/>
  <c r="AP74" i="180"/>
  <c r="AO74" i="180"/>
  <c r="AK74" i="180"/>
  <c r="AH74" i="180"/>
  <c r="AG74" i="180"/>
  <c r="AF74" i="180"/>
  <c r="Z74" i="180"/>
  <c r="AA74" i="180" s="1"/>
  <c r="W74" i="180"/>
  <c r="X74" i="180" s="1"/>
  <c r="U74" i="180"/>
  <c r="T74" i="180"/>
  <c r="S74" i="180"/>
  <c r="R74" i="180"/>
  <c r="Q74" i="180" a="1"/>
  <c r="Q74" i="180" s="1"/>
  <c r="P74" i="180"/>
  <c r="O74" i="180"/>
  <c r="N74" i="180"/>
  <c r="M74" i="180"/>
  <c r="J74" i="180"/>
  <c r="I74" i="180"/>
  <c r="H74" i="180"/>
  <c r="G74" i="180"/>
  <c r="E74" i="180"/>
  <c r="L74" i="180" s="1"/>
  <c r="D74" i="180"/>
  <c r="C74" i="180"/>
  <c r="B74" i="180"/>
  <c r="AZ73" i="180"/>
  <c r="AX73" i="180"/>
  <c r="AS73" i="180"/>
  <c r="AR73" i="180"/>
  <c r="AQ73" i="180"/>
  <c r="AP73" i="180"/>
  <c r="AO73" i="180"/>
  <c r="AK73" i="180"/>
  <c r="AH73" i="180"/>
  <c r="AG73" i="180"/>
  <c r="AF73" i="180"/>
  <c r="Z73" i="180"/>
  <c r="AD73" i="180" s="1"/>
  <c r="AE73" i="180" s="1"/>
  <c r="W73" i="180"/>
  <c r="X73" i="180" s="1"/>
  <c r="U73" i="180"/>
  <c r="T73" i="180"/>
  <c r="S73" i="180"/>
  <c r="R73" i="180"/>
  <c r="Q73" i="180" a="1"/>
  <c r="Q73" i="180" s="1"/>
  <c r="P73" i="180"/>
  <c r="O73" i="180"/>
  <c r="N73" i="180"/>
  <c r="M73" i="180"/>
  <c r="J73" i="180"/>
  <c r="I73" i="180"/>
  <c r="H73" i="180"/>
  <c r="G73" i="180"/>
  <c r="E73" i="180"/>
  <c r="L73" i="180" s="1"/>
  <c r="D73" i="180"/>
  <c r="C73" i="180"/>
  <c r="B73" i="180"/>
  <c r="AZ72" i="180"/>
  <c r="AX72" i="180"/>
  <c r="AS72" i="180"/>
  <c r="AR72" i="180"/>
  <c r="AQ72" i="180"/>
  <c r="AP72" i="180"/>
  <c r="AO72" i="180"/>
  <c r="AK72" i="180"/>
  <c r="AH72" i="180"/>
  <c r="AG72" i="180"/>
  <c r="AF72" i="180"/>
  <c r="Z72" i="180"/>
  <c r="AA72" i="180" s="1"/>
  <c r="W72" i="180"/>
  <c r="X72" i="180" s="1"/>
  <c r="U72" i="180"/>
  <c r="T72" i="180"/>
  <c r="S72" i="180"/>
  <c r="R72" i="180"/>
  <c r="Q72" i="180" a="1"/>
  <c r="Q72" i="180" s="1"/>
  <c r="P72" i="180"/>
  <c r="O72" i="180"/>
  <c r="N72" i="180"/>
  <c r="M72" i="180"/>
  <c r="J72" i="180"/>
  <c r="I72" i="180"/>
  <c r="H72" i="180"/>
  <c r="G72" i="180"/>
  <c r="E72" i="180"/>
  <c r="L72" i="180" s="1"/>
  <c r="D72" i="180"/>
  <c r="C72" i="180"/>
  <c r="B72" i="180"/>
  <c r="AZ71" i="180"/>
  <c r="AX71" i="180"/>
  <c r="AS71" i="180"/>
  <c r="AR71" i="180"/>
  <c r="AQ71" i="180"/>
  <c r="AP71" i="180"/>
  <c r="AO71" i="180"/>
  <c r="AK71" i="180"/>
  <c r="AH71" i="180"/>
  <c r="AG71" i="180"/>
  <c r="AF71" i="180"/>
  <c r="Z71" i="180"/>
  <c r="AD71" i="180" s="1"/>
  <c r="AE71" i="180" s="1"/>
  <c r="W71" i="180"/>
  <c r="X71" i="180" s="1"/>
  <c r="U71" i="180"/>
  <c r="T71" i="180"/>
  <c r="S71" i="180"/>
  <c r="R71" i="180"/>
  <c r="Q71" i="180" a="1"/>
  <c r="Q71" i="180" s="1"/>
  <c r="P71" i="180"/>
  <c r="O71" i="180"/>
  <c r="N71" i="180"/>
  <c r="M71" i="180"/>
  <c r="J71" i="180"/>
  <c r="I71" i="180"/>
  <c r="H71" i="180"/>
  <c r="G71" i="180"/>
  <c r="E71" i="180"/>
  <c r="L71" i="180" s="1"/>
  <c r="D71" i="180"/>
  <c r="C71" i="180"/>
  <c r="B71" i="180"/>
  <c r="AZ70" i="180"/>
  <c r="AX70" i="180"/>
  <c r="AS70" i="180"/>
  <c r="AR70" i="180"/>
  <c r="AQ70" i="180"/>
  <c r="AP70" i="180"/>
  <c r="AO70" i="180"/>
  <c r="AK70" i="180"/>
  <c r="AH70" i="180"/>
  <c r="AG70" i="180"/>
  <c r="AF70" i="180"/>
  <c r="Z70" i="180"/>
  <c r="AA70" i="180" s="1"/>
  <c r="W70" i="180"/>
  <c r="X70" i="180" s="1"/>
  <c r="U70" i="180"/>
  <c r="T70" i="180"/>
  <c r="S70" i="180"/>
  <c r="R70" i="180"/>
  <c r="Q70" i="180" a="1"/>
  <c r="Q70" i="180" s="1"/>
  <c r="P70" i="180"/>
  <c r="O70" i="180"/>
  <c r="N70" i="180"/>
  <c r="M70" i="180"/>
  <c r="J70" i="180"/>
  <c r="I70" i="180"/>
  <c r="H70" i="180"/>
  <c r="G70" i="180"/>
  <c r="E70" i="180"/>
  <c r="L70" i="180" s="1"/>
  <c r="D70" i="180"/>
  <c r="C70" i="180"/>
  <c r="B70" i="180"/>
  <c r="AZ69" i="180"/>
  <c r="AX69" i="180"/>
  <c r="AS69" i="180"/>
  <c r="AR69" i="180"/>
  <c r="AQ69" i="180"/>
  <c r="AP69" i="180"/>
  <c r="AO69" i="180"/>
  <c r="AK69" i="180"/>
  <c r="AH69" i="180"/>
  <c r="AG69" i="180"/>
  <c r="AF69" i="180"/>
  <c r="Z69" i="180"/>
  <c r="AD69" i="180" s="1"/>
  <c r="AE69" i="180" s="1"/>
  <c r="W69" i="180"/>
  <c r="X69" i="180" s="1"/>
  <c r="U69" i="180"/>
  <c r="T69" i="180"/>
  <c r="S69" i="180"/>
  <c r="R69" i="180"/>
  <c r="Q69" i="180" a="1"/>
  <c r="Q69" i="180" s="1"/>
  <c r="P69" i="180"/>
  <c r="O69" i="180"/>
  <c r="N69" i="180"/>
  <c r="M69" i="180"/>
  <c r="J69" i="180"/>
  <c r="I69" i="180"/>
  <c r="H69" i="180"/>
  <c r="G69" i="180"/>
  <c r="E69" i="180"/>
  <c r="L69" i="180" s="1"/>
  <c r="D69" i="180"/>
  <c r="C69" i="180"/>
  <c r="B69" i="180"/>
  <c r="AZ68" i="180"/>
  <c r="AX68" i="180"/>
  <c r="AS68" i="180"/>
  <c r="AR68" i="180"/>
  <c r="AQ68" i="180"/>
  <c r="AP68" i="180"/>
  <c r="AO68" i="180"/>
  <c r="AK68" i="180"/>
  <c r="AH68" i="180"/>
  <c r="AG68" i="180"/>
  <c r="AF68" i="180"/>
  <c r="Z68" i="180"/>
  <c r="AA68" i="180" s="1"/>
  <c r="W68" i="180"/>
  <c r="X68" i="180" s="1"/>
  <c r="U68" i="180"/>
  <c r="T68" i="180"/>
  <c r="S68" i="180"/>
  <c r="R68" i="180"/>
  <c r="Q68" i="180" a="1"/>
  <c r="Q68" i="180" s="1"/>
  <c r="P68" i="180"/>
  <c r="O68" i="180"/>
  <c r="N68" i="180"/>
  <c r="M68" i="180"/>
  <c r="J68" i="180"/>
  <c r="I68" i="180"/>
  <c r="H68" i="180"/>
  <c r="G68" i="180"/>
  <c r="E68" i="180"/>
  <c r="L68" i="180" s="1"/>
  <c r="D68" i="180"/>
  <c r="C68" i="180"/>
  <c r="B68" i="180"/>
  <c r="AZ67" i="180"/>
  <c r="AX67" i="180"/>
  <c r="AS67" i="180"/>
  <c r="AR67" i="180"/>
  <c r="AQ67" i="180"/>
  <c r="AP67" i="180"/>
  <c r="AO67" i="180"/>
  <c r="AK67" i="180"/>
  <c r="AH67" i="180"/>
  <c r="AG67" i="180"/>
  <c r="AF67" i="180"/>
  <c r="Z67" i="180"/>
  <c r="AD67" i="180" s="1"/>
  <c r="AE67" i="180" s="1"/>
  <c r="W67" i="180"/>
  <c r="X67" i="180" s="1"/>
  <c r="U67" i="180"/>
  <c r="T67" i="180"/>
  <c r="S67" i="180"/>
  <c r="R67" i="180"/>
  <c r="Q67" i="180" a="1"/>
  <c r="Q67" i="180" s="1"/>
  <c r="P67" i="180"/>
  <c r="O67" i="180"/>
  <c r="N67" i="180"/>
  <c r="M67" i="180"/>
  <c r="J67" i="180"/>
  <c r="I67" i="180"/>
  <c r="H67" i="180"/>
  <c r="G67" i="180"/>
  <c r="E67" i="180"/>
  <c r="L67" i="180" s="1"/>
  <c r="D67" i="180"/>
  <c r="C67" i="180"/>
  <c r="B67" i="180"/>
  <c r="AZ66" i="180"/>
  <c r="AX66" i="180"/>
  <c r="AS66" i="180"/>
  <c r="AR66" i="180"/>
  <c r="AQ66" i="180"/>
  <c r="AP66" i="180"/>
  <c r="AO66" i="180"/>
  <c r="AK66" i="180"/>
  <c r="AH66" i="180"/>
  <c r="AG66" i="180"/>
  <c r="AF66" i="180"/>
  <c r="Z66" i="180"/>
  <c r="AA66" i="180" s="1"/>
  <c r="W66" i="180"/>
  <c r="X66" i="180" s="1"/>
  <c r="U66" i="180"/>
  <c r="T66" i="180"/>
  <c r="S66" i="180"/>
  <c r="R66" i="180"/>
  <c r="Q66" i="180" a="1"/>
  <c r="Q66" i="180" s="1"/>
  <c r="P66" i="180"/>
  <c r="O66" i="180"/>
  <c r="N66" i="180"/>
  <c r="M66" i="180"/>
  <c r="J66" i="180"/>
  <c r="I66" i="180"/>
  <c r="H66" i="180"/>
  <c r="G66" i="180"/>
  <c r="E66" i="180"/>
  <c r="L66" i="180" s="1"/>
  <c r="D66" i="180"/>
  <c r="C66" i="180"/>
  <c r="B66" i="180"/>
  <c r="AZ65" i="180"/>
  <c r="AX65" i="180"/>
  <c r="AS65" i="180"/>
  <c r="AR65" i="180"/>
  <c r="AQ65" i="180"/>
  <c r="AP65" i="180"/>
  <c r="AO65" i="180"/>
  <c r="AK65" i="180"/>
  <c r="AH65" i="180"/>
  <c r="AG65" i="180"/>
  <c r="AF65" i="180"/>
  <c r="Z65" i="180"/>
  <c r="AD65" i="180" s="1"/>
  <c r="AE65" i="180" s="1"/>
  <c r="W65" i="180"/>
  <c r="X65" i="180" s="1"/>
  <c r="U65" i="180"/>
  <c r="T65" i="180"/>
  <c r="S65" i="180"/>
  <c r="R65" i="180"/>
  <c r="Q65" i="180" a="1"/>
  <c r="Q65" i="180" s="1"/>
  <c r="P65" i="180"/>
  <c r="O65" i="180"/>
  <c r="N65" i="180"/>
  <c r="M65" i="180"/>
  <c r="K65" i="180"/>
  <c r="AN65" i="180" s="1"/>
  <c r="J65" i="180"/>
  <c r="I65" i="180"/>
  <c r="H65" i="180"/>
  <c r="G65" i="180"/>
  <c r="E65" i="180"/>
  <c r="L65" i="180" s="1"/>
  <c r="D65" i="180"/>
  <c r="C65" i="180"/>
  <c r="B65" i="180"/>
  <c r="AZ64" i="180"/>
  <c r="AX64" i="180"/>
  <c r="AS64" i="180"/>
  <c r="AR64" i="180"/>
  <c r="AQ64" i="180"/>
  <c r="AP64" i="180"/>
  <c r="AO64" i="180"/>
  <c r="AK64" i="180"/>
  <c r="AH64" i="180"/>
  <c r="AG64" i="180"/>
  <c r="AF64" i="180"/>
  <c r="Z64" i="180"/>
  <c r="W64" i="180"/>
  <c r="X64" i="180" s="1"/>
  <c r="U64" i="180"/>
  <c r="T64" i="180"/>
  <c r="S64" i="180"/>
  <c r="R64" i="180"/>
  <c r="Q64" i="180" a="1"/>
  <c r="Q64" i="180" s="1"/>
  <c r="P64" i="180"/>
  <c r="O64" i="180"/>
  <c r="N64" i="180"/>
  <c r="M64" i="180"/>
  <c r="J64" i="180"/>
  <c r="I64" i="180"/>
  <c r="H64" i="180"/>
  <c r="G64" i="180"/>
  <c r="E64" i="180"/>
  <c r="L64" i="180" s="1"/>
  <c r="D64" i="180"/>
  <c r="C64" i="180"/>
  <c r="B64" i="180"/>
  <c r="AZ63" i="180"/>
  <c r="AX63" i="180"/>
  <c r="AS63" i="180"/>
  <c r="AR63" i="180"/>
  <c r="AQ63" i="180"/>
  <c r="AP63" i="180"/>
  <c r="AO63" i="180"/>
  <c r="AK63" i="180"/>
  <c r="AH63" i="180"/>
  <c r="AG63" i="180"/>
  <c r="AF63" i="180"/>
  <c r="Z63" i="180"/>
  <c r="AD63" i="180" s="1"/>
  <c r="AE63" i="180" s="1"/>
  <c r="W63" i="180"/>
  <c r="X63" i="180" s="1"/>
  <c r="U63" i="180"/>
  <c r="T63" i="180"/>
  <c r="S63" i="180"/>
  <c r="R63" i="180"/>
  <c r="Q63" i="180" a="1"/>
  <c r="Q63" i="180" s="1"/>
  <c r="P63" i="180"/>
  <c r="O63" i="180"/>
  <c r="N63" i="180"/>
  <c r="M63" i="180"/>
  <c r="J63" i="180"/>
  <c r="I63" i="180"/>
  <c r="H63" i="180"/>
  <c r="G63" i="180"/>
  <c r="E63" i="180"/>
  <c r="L63" i="180" s="1"/>
  <c r="D63" i="180"/>
  <c r="C63" i="180"/>
  <c r="B63" i="180"/>
  <c r="AZ62" i="180"/>
  <c r="AX62" i="180"/>
  <c r="AS62" i="180"/>
  <c r="AR62" i="180"/>
  <c r="AQ62" i="180"/>
  <c r="AP62" i="180"/>
  <c r="AO62" i="180"/>
  <c r="AK62" i="180"/>
  <c r="AH62" i="180"/>
  <c r="AG62" i="180"/>
  <c r="AF62" i="180"/>
  <c r="Z62" i="180"/>
  <c r="AD62" i="180" s="1"/>
  <c r="AE62" i="180" s="1"/>
  <c r="W62" i="180"/>
  <c r="X62" i="180" s="1"/>
  <c r="U62" i="180"/>
  <c r="T62" i="180"/>
  <c r="S62" i="180"/>
  <c r="R62" i="180"/>
  <c r="Q62" i="180" a="1"/>
  <c r="Q62" i="180" s="1"/>
  <c r="P62" i="180"/>
  <c r="O62" i="180"/>
  <c r="N62" i="180"/>
  <c r="M62" i="180"/>
  <c r="J62" i="180"/>
  <c r="I62" i="180"/>
  <c r="H62" i="180"/>
  <c r="G62" i="180"/>
  <c r="E62" i="180"/>
  <c r="L62" i="180" s="1"/>
  <c r="D62" i="180"/>
  <c r="C62" i="180"/>
  <c r="B62" i="180"/>
  <c r="AZ61" i="180"/>
  <c r="AX61" i="180"/>
  <c r="AS61" i="180"/>
  <c r="AR61" i="180"/>
  <c r="AQ61" i="180"/>
  <c r="AP61" i="180"/>
  <c r="AO61" i="180"/>
  <c r="AK61" i="180"/>
  <c r="AH61" i="180"/>
  <c r="AG61" i="180"/>
  <c r="AF61" i="180"/>
  <c r="Z61" i="180"/>
  <c r="AD61" i="180" s="1"/>
  <c r="AE61" i="180" s="1"/>
  <c r="W61" i="180"/>
  <c r="X61" i="180" s="1"/>
  <c r="U61" i="180"/>
  <c r="T61" i="180"/>
  <c r="S61" i="180"/>
  <c r="R61" i="180"/>
  <c r="Q61" i="180" a="1"/>
  <c r="Q61" i="180" s="1"/>
  <c r="P61" i="180"/>
  <c r="O61" i="180"/>
  <c r="N61" i="180"/>
  <c r="M61" i="180"/>
  <c r="J61" i="180"/>
  <c r="I61" i="180"/>
  <c r="H61" i="180"/>
  <c r="G61" i="180"/>
  <c r="E61" i="180"/>
  <c r="L61" i="180" s="1"/>
  <c r="D61" i="180"/>
  <c r="C61" i="180"/>
  <c r="B61" i="180"/>
  <c r="AZ60" i="180"/>
  <c r="AX60" i="180"/>
  <c r="AS60" i="180"/>
  <c r="AR60" i="180"/>
  <c r="AQ60" i="180"/>
  <c r="AP60" i="180"/>
  <c r="AO60" i="180"/>
  <c r="AK60" i="180"/>
  <c r="AH60" i="180"/>
  <c r="AG60" i="180"/>
  <c r="AF60" i="180"/>
  <c r="Z60" i="180"/>
  <c r="AD60" i="180" s="1"/>
  <c r="AE60" i="180" s="1"/>
  <c r="W60" i="180"/>
  <c r="X60" i="180" s="1"/>
  <c r="U60" i="180"/>
  <c r="T60" i="180"/>
  <c r="S60" i="180"/>
  <c r="R60" i="180"/>
  <c r="Q60" i="180" a="1"/>
  <c r="Q60" i="180" s="1"/>
  <c r="P60" i="180"/>
  <c r="O60" i="180"/>
  <c r="N60" i="180"/>
  <c r="M60" i="180"/>
  <c r="J60" i="180"/>
  <c r="I60" i="180"/>
  <c r="H60" i="180"/>
  <c r="G60" i="180"/>
  <c r="E60" i="180"/>
  <c r="L60" i="180" s="1"/>
  <c r="D60" i="180"/>
  <c r="C60" i="180"/>
  <c r="B60" i="180"/>
  <c r="AZ59" i="180"/>
  <c r="AX59" i="180"/>
  <c r="AS59" i="180"/>
  <c r="AR59" i="180"/>
  <c r="AQ59" i="180"/>
  <c r="AP59" i="180"/>
  <c r="AO59" i="180"/>
  <c r="AK59" i="180"/>
  <c r="AH59" i="180"/>
  <c r="AG59" i="180"/>
  <c r="AF59" i="180"/>
  <c r="Z59" i="180"/>
  <c r="AD59" i="180" s="1"/>
  <c r="AE59" i="180" s="1"/>
  <c r="W59" i="180"/>
  <c r="X59" i="180" s="1"/>
  <c r="U59" i="180"/>
  <c r="T59" i="180"/>
  <c r="S59" i="180"/>
  <c r="R59" i="180"/>
  <c r="Q59" i="180" a="1"/>
  <c r="Q59" i="180" s="1"/>
  <c r="P59" i="180"/>
  <c r="O59" i="180"/>
  <c r="N59" i="180"/>
  <c r="M59" i="180"/>
  <c r="J59" i="180"/>
  <c r="I59" i="180"/>
  <c r="H59" i="180"/>
  <c r="G59" i="180"/>
  <c r="E59" i="180"/>
  <c r="L59" i="180" s="1"/>
  <c r="D59" i="180"/>
  <c r="C59" i="180"/>
  <c r="B59" i="180"/>
  <c r="AZ58" i="180"/>
  <c r="AX58" i="180"/>
  <c r="AS58" i="180"/>
  <c r="AR58" i="180"/>
  <c r="AQ58" i="180"/>
  <c r="AP58" i="180"/>
  <c r="AO58" i="180"/>
  <c r="AK58" i="180"/>
  <c r="AH58" i="180"/>
  <c r="AG58" i="180"/>
  <c r="AF58" i="180"/>
  <c r="Z58" i="180"/>
  <c r="W58" i="180"/>
  <c r="X58" i="180" s="1"/>
  <c r="U58" i="180"/>
  <c r="T58" i="180"/>
  <c r="S58" i="180"/>
  <c r="R58" i="180"/>
  <c r="Q58" i="180" a="1"/>
  <c r="Q58" i="180" s="1"/>
  <c r="P58" i="180"/>
  <c r="O58" i="180"/>
  <c r="N58" i="180"/>
  <c r="M58" i="180"/>
  <c r="J58" i="180"/>
  <c r="I58" i="180"/>
  <c r="H58" i="180"/>
  <c r="G58" i="180"/>
  <c r="E58" i="180"/>
  <c r="L58" i="180" s="1"/>
  <c r="D58" i="180"/>
  <c r="C58" i="180"/>
  <c r="B58" i="180"/>
  <c r="AZ57" i="180"/>
  <c r="AX57" i="180"/>
  <c r="AS57" i="180"/>
  <c r="AR57" i="180"/>
  <c r="AQ57" i="180"/>
  <c r="AP57" i="180"/>
  <c r="AO57" i="180"/>
  <c r="AK57" i="180"/>
  <c r="AH57" i="180"/>
  <c r="AG57" i="180"/>
  <c r="AF57" i="180"/>
  <c r="Z57" i="180"/>
  <c r="AA57" i="180" s="1"/>
  <c r="W57" i="180"/>
  <c r="X57" i="180" s="1"/>
  <c r="U57" i="180"/>
  <c r="T57" i="180"/>
  <c r="S57" i="180"/>
  <c r="R57" i="180"/>
  <c r="Q57" i="180" a="1"/>
  <c r="Q57" i="180" s="1"/>
  <c r="P57" i="180"/>
  <c r="O57" i="180"/>
  <c r="N57" i="180"/>
  <c r="M57" i="180"/>
  <c r="J57" i="180"/>
  <c r="I57" i="180"/>
  <c r="H57" i="180"/>
  <c r="G57" i="180"/>
  <c r="E57" i="180"/>
  <c r="L57" i="180" s="1"/>
  <c r="D57" i="180"/>
  <c r="C57" i="180"/>
  <c r="B57" i="180"/>
  <c r="AZ56" i="180"/>
  <c r="AX56" i="180"/>
  <c r="AS56" i="180"/>
  <c r="AR56" i="180"/>
  <c r="AQ56" i="180"/>
  <c r="AP56" i="180"/>
  <c r="AO56" i="180"/>
  <c r="AK56" i="180"/>
  <c r="AH56" i="180"/>
  <c r="AG56" i="180"/>
  <c r="AF56" i="180"/>
  <c r="Z56" i="180"/>
  <c r="AD56" i="180" s="1"/>
  <c r="AE56" i="180" s="1"/>
  <c r="W56" i="180"/>
  <c r="X56" i="180" s="1"/>
  <c r="U56" i="180"/>
  <c r="T56" i="180"/>
  <c r="S56" i="180"/>
  <c r="R56" i="180"/>
  <c r="Q56" i="180" a="1"/>
  <c r="Q56" i="180" s="1"/>
  <c r="P56" i="180"/>
  <c r="O56" i="180"/>
  <c r="N56" i="180"/>
  <c r="M56" i="180"/>
  <c r="J56" i="180"/>
  <c r="I56" i="180"/>
  <c r="H56" i="180"/>
  <c r="G56" i="180"/>
  <c r="E56" i="180"/>
  <c r="L56" i="180" s="1"/>
  <c r="D56" i="180"/>
  <c r="C56" i="180"/>
  <c r="B56" i="180"/>
  <c r="AZ55" i="180"/>
  <c r="AX55" i="180"/>
  <c r="AS55" i="180"/>
  <c r="AR55" i="180"/>
  <c r="AQ55" i="180"/>
  <c r="AP55" i="180"/>
  <c r="AO55" i="180"/>
  <c r="AK55" i="180"/>
  <c r="AH55" i="180"/>
  <c r="AG55" i="180"/>
  <c r="AF55" i="180"/>
  <c r="Z55" i="180"/>
  <c r="AD55" i="180" s="1"/>
  <c r="AE55" i="180" s="1"/>
  <c r="W55" i="180"/>
  <c r="X55" i="180" s="1"/>
  <c r="U55" i="180"/>
  <c r="T55" i="180"/>
  <c r="S55" i="180"/>
  <c r="R55" i="180"/>
  <c r="Q55" i="180" a="1"/>
  <c r="Q55" i="180" s="1"/>
  <c r="P55" i="180"/>
  <c r="O55" i="180"/>
  <c r="N55" i="180"/>
  <c r="M55" i="180"/>
  <c r="J55" i="180"/>
  <c r="I55" i="180"/>
  <c r="H55" i="180"/>
  <c r="G55" i="180"/>
  <c r="E55" i="180"/>
  <c r="L55" i="180" s="1"/>
  <c r="D55" i="180"/>
  <c r="C55" i="180"/>
  <c r="B55" i="180"/>
  <c r="AZ54" i="180"/>
  <c r="AX54" i="180"/>
  <c r="AS54" i="180"/>
  <c r="AR54" i="180"/>
  <c r="AQ54" i="180"/>
  <c r="AP54" i="180"/>
  <c r="AO54" i="180"/>
  <c r="AK54" i="180"/>
  <c r="AH54" i="180"/>
  <c r="AG54" i="180"/>
  <c r="AF54" i="180"/>
  <c r="Z54" i="180"/>
  <c r="AA54" i="180" s="1"/>
  <c r="W54" i="180"/>
  <c r="X54" i="180" s="1"/>
  <c r="U54" i="180"/>
  <c r="T54" i="180"/>
  <c r="S54" i="180"/>
  <c r="R54" i="180"/>
  <c r="Q54" i="180" a="1"/>
  <c r="Q54" i="180" s="1"/>
  <c r="P54" i="180"/>
  <c r="O54" i="180"/>
  <c r="N54" i="180"/>
  <c r="M54" i="180"/>
  <c r="J54" i="180"/>
  <c r="I54" i="180"/>
  <c r="H54" i="180"/>
  <c r="G54" i="180"/>
  <c r="E54" i="180"/>
  <c r="L54" i="180" s="1"/>
  <c r="D54" i="180"/>
  <c r="C54" i="180"/>
  <c r="B54" i="180"/>
  <c r="AZ53" i="180"/>
  <c r="AX53" i="180"/>
  <c r="AS53" i="180"/>
  <c r="AR53" i="180"/>
  <c r="AQ53" i="180"/>
  <c r="AP53" i="180"/>
  <c r="AO53" i="180"/>
  <c r="AK53" i="180"/>
  <c r="AH53" i="180"/>
  <c r="AG53" i="180"/>
  <c r="AF53" i="180"/>
  <c r="Z53" i="180"/>
  <c r="W53" i="180"/>
  <c r="X53" i="180" s="1"/>
  <c r="U53" i="180"/>
  <c r="T53" i="180"/>
  <c r="S53" i="180"/>
  <c r="R53" i="180"/>
  <c r="Q53" i="180" a="1"/>
  <c r="Q53" i="180" s="1"/>
  <c r="P53" i="180"/>
  <c r="O53" i="180"/>
  <c r="N53" i="180"/>
  <c r="M53" i="180"/>
  <c r="J53" i="180"/>
  <c r="I53" i="180"/>
  <c r="H53" i="180"/>
  <c r="G53" i="180"/>
  <c r="E53" i="180"/>
  <c r="L53" i="180" s="1"/>
  <c r="D53" i="180"/>
  <c r="C53" i="180"/>
  <c r="B53" i="180"/>
  <c r="AZ52" i="180"/>
  <c r="AX52" i="180"/>
  <c r="AS52" i="180"/>
  <c r="AR52" i="180"/>
  <c r="AQ52" i="180"/>
  <c r="AP52" i="180"/>
  <c r="AO52" i="180"/>
  <c r="AK52" i="180"/>
  <c r="AH52" i="180"/>
  <c r="AG52" i="180"/>
  <c r="AF52" i="180"/>
  <c r="Z52" i="180"/>
  <c r="W52" i="180"/>
  <c r="X52" i="180" s="1"/>
  <c r="U52" i="180"/>
  <c r="T52" i="180"/>
  <c r="S52" i="180"/>
  <c r="R52" i="180"/>
  <c r="Q52" i="180" a="1"/>
  <c r="Q52" i="180" s="1"/>
  <c r="P52" i="180"/>
  <c r="O52" i="180"/>
  <c r="N52" i="180"/>
  <c r="M52" i="180"/>
  <c r="J52" i="180"/>
  <c r="I52" i="180"/>
  <c r="H52" i="180"/>
  <c r="G52" i="180"/>
  <c r="E52" i="180"/>
  <c r="L52" i="180" s="1"/>
  <c r="D52" i="180"/>
  <c r="C52" i="180"/>
  <c r="B52" i="180"/>
  <c r="AZ51" i="180"/>
  <c r="AX51" i="180"/>
  <c r="AS51" i="180"/>
  <c r="AR51" i="180"/>
  <c r="AQ51" i="180"/>
  <c r="AP51" i="180"/>
  <c r="AO51" i="180"/>
  <c r="AK51" i="180"/>
  <c r="AH51" i="180"/>
  <c r="AG51" i="180"/>
  <c r="AF51" i="180"/>
  <c r="Z51" i="180"/>
  <c r="AA51" i="180" s="1"/>
  <c r="W51" i="180"/>
  <c r="X51" i="180" s="1"/>
  <c r="U51" i="180"/>
  <c r="T51" i="180"/>
  <c r="S51" i="180"/>
  <c r="R51" i="180"/>
  <c r="Q51" i="180" a="1"/>
  <c r="Q51" i="180" s="1"/>
  <c r="P51" i="180"/>
  <c r="O51" i="180"/>
  <c r="N51" i="180"/>
  <c r="M51" i="180"/>
  <c r="J51" i="180"/>
  <c r="I51" i="180"/>
  <c r="H51" i="180"/>
  <c r="G51" i="180"/>
  <c r="E51" i="180"/>
  <c r="L51" i="180" s="1"/>
  <c r="D51" i="180"/>
  <c r="C51" i="180"/>
  <c r="B51" i="180"/>
  <c r="AZ50" i="180"/>
  <c r="AX50" i="180"/>
  <c r="AS50" i="180"/>
  <c r="AR50" i="180"/>
  <c r="AQ50" i="180"/>
  <c r="AP50" i="180"/>
  <c r="AO50" i="180"/>
  <c r="AK50" i="180"/>
  <c r="AH50" i="180"/>
  <c r="AG50" i="180"/>
  <c r="AF50" i="180"/>
  <c r="Z50" i="180"/>
  <c r="AD50" i="180" s="1"/>
  <c r="AE50" i="180" s="1"/>
  <c r="W50" i="180"/>
  <c r="X50" i="180" s="1"/>
  <c r="U50" i="180"/>
  <c r="T50" i="180"/>
  <c r="S50" i="180"/>
  <c r="R50" i="180"/>
  <c r="Q50" i="180" a="1"/>
  <c r="Q50" i="180" s="1"/>
  <c r="P50" i="180"/>
  <c r="O50" i="180"/>
  <c r="N50" i="180"/>
  <c r="M50" i="180"/>
  <c r="J50" i="180"/>
  <c r="I50" i="180"/>
  <c r="H50" i="180"/>
  <c r="G50" i="180"/>
  <c r="E50" i="180"/>
  <c r="L50" i="180" s="1"/>
  <c r="D50" i="180"/>
  <c r="C50" i="180"/>
  <c r="B50" i="180"/>
  <c r="AZ49" i="180"/>
  <c r="AX49" i="180"/>
  <c r="AS49" i="180"/>
  <c r="AR49" i="180"/>
  <c r="AQ49" i="180"/>
  <c r="AP49" i="180"/>
  <c r="AO49" i="180"/>
  <c r="AK49" i="180"/>
  <c r="AH49" i="180"/>
  <c r="AG49" i="180"/>
  <c r="AF49" i="180"/>
  <c r="Z49" i="180"/>
  <c r="AD49" i="180" s="1"/>
  <c r="AE49" i="180" s="1"/>
  <c r="W49" i="180"/>
  <c r="X49" i="180" s="1"/>
  <c r="U49" i="180"/>
  <c r="T49" i="180"/>
  <c r="S49" i="180"/>
  <c r="R49" i="180"/>
  <c r="Q49" i="180" a="1"/>
  <c r="Q49" i="180" s="1"/>
  <c r="P49" i="180"/>
  <c r="O49" i="180"/>
  <c r="N49" i="180"/>
  <c r="M49" i="180"/>
  <c r="J49" i="180"/>
  <c r="I49" i="180"/>
  <c r="H49" i="180"/>
  <c r="G49" i="180"/>
  <c r="E49" i="180"/>
  <c r="L49" i="180" s="1"/>
  <c r="D49" i="180"/>
  <c r="C49" i="180"/>
  <c r="B49" i="180"/>
  <c r="AZ48" i="180"/>
  <c r="AX48" i="180"/>
  <c r="AS48" i="180"/>
  <c r="AR48" i="180"/>
  <c r="AQ48" i="180"/>
  <c r="AP48" i="180"/>
  <c r="AO48" i="180"/>
  <c r="AK48" i="180"/>
  <c r="AH48" i="180"/>
  <c r="AG48" i="180"/>
  <c r="AF48" i="180"/>
  <c r="Z48" i="180"/>
  <c r="AA48" i="180" s="1"/>
  <c r="W48" i="180"/>
  <c r="X48" i="180" s="1"/>
  <c r="U48" i="180"/>
  <c r="T48" i="180"/>
  <c r="S48" i="180"/>
  <c r="R48" i="180"/>
  <c r="Q48" i="180" a="1"/>
  <c r="Q48" i="180" s="1"/>
  <c r="P48" i="180"/>
  <c r="O48" i="180"/>
  <c r="N48" i="180"/>
  <c r="M48" i="180"/>
  <c r="J48" i="180"/>
  <c r="I48" i="180"/>
  <c r="H48" i="180"/>
  <c r="G48" i="180"/>
  <c r="E48" i="180"/>
  <c r="L48" i="180" s="1"/>
  <c r="D48" i="180"/>
  <c r="C48" i="180"/>
  <c r="B48" i="180"/>
  <c r="AZ47" i="180"/>
  <c r="AX47" i="180"/>
  <c r="AS47" i="180"/>
  <c r="AR47" i="180"/>
  <c r="AQ47" i="180"/>
  <c r="AP47" i="180"/>
  <c r="AO47" i="180"/>
  <c r="AK47" i="180"/>
  <c r="AH47" i="180"/>
  <c r="AG47" i="180"/>
  <c r="AF47" i="180"/>
  <c r="Z47" i="180"/>
  <c r="AD47" i="180" s="1"/>
  <c r="AE47" i="180" s="1"/>
  <c r="W47" i="180"/>
  <c r="X47" i="180" s="1"/>
  <c r="U47" i="180"/>
  <c r="T47" i="180"/>
  <c r="S47" i="180"/>
  <c r="R47" i="180"/>
  <c r="Q47" i="180" a="1"/>
  <c r="Q47" i="180" s="1"/>
  <c r="P47" i="180"/>
  <c r="O47" i="180"/>
  <c r="N47" i="180"/>
  <c r="M47" i="180"/>
  <c r="J47" i="180"/>
  <c r="I47" i="180"/>
  <c r="H47" i="180"/>
  <c r="G47" i="180"/>
  <c r="E47" i="180"/>
  <c r="L47" i="180" s="1"/>
  <c r="D47" i="180"/>
  <c r="C47" i="180"/>
  <c r="B47" i="180"/>
  <c r="AZ46" i="180"/>
  <c r="AX46" i="180"/>
  <c r="AS46" i="180"/>
  <c r="AR46" i="180"/>
  <c r="AQ46" i="180"/>
  <c r="AP46" i="180"/>
  <c r="AO46" i="180"/>
  <c r="AK46" i="180"/>
  <c r="AH46" i="180"/>
  <c r="AG46" i="180"/>
  <c r="AF46" i="180"/>
  <c r="Z46" i="180"/>
  <c r="W46" i="180"/>
  <c r="X46" i="180" s="1"/>
  <c r="U46" i="180"/>
  <c r="T46" i="180"/>
  <c r="S46" i="180"/>
  <c r="R46" i="180"/>
  <c r="Q46" i="180" a="1"/>
  <c r="Q46" i="180" s="1"/>
  <c r="P46" i="180"/>
  <c r="O46" i="180"/>
  <c r="N46" i="180"/>
  <c r="M46" i="180"/>
  <c r="J46" i="180"/>
  <c r="I46" i="180"/>
  <c r="H46" i="180"/>
  <c r="G46" i="180"/>
  <c r="E46" i="180"/>
  <c r="L46" i="180" s="1"/>
  <c r="D46" i="180"/>
  <c r="C46" i="180"/>
  <c r="B46" i="180"/>
  <c r="AZ45" i="180"/>
  <c r="AX45" i="180"/>
  <c r="AS45" i="180"/>
  <c r="AR45" i="180"/>
  <c r="AQ45" i="180"/>
  <c r="AP45" i="180"/>
  <c r="AO45" i="180"/>
  <c r="AK45" i="180"/>
  <c r="AH45" i="180"/>
  <c r="AG45" i="180"/>
  <c r="AF45" i="180"/>
  <c r="Z45" i="180"/>
  <c r="AA45" i="180" s="1"/>
  <c r="W45" i="180"/>
  <c r="X45" i="180" s="1"/>
  <c r="U45" i="180"/>
  <c r="T45" i="180"/>
  <c r="S45" i="180"/>
  <c r="R45" i="180"/>
  <c r="Q45" i="180" a="1"/>
  <c r="Q45" i="180" s="1"/>
  <c r="P45" i="180"/>
  <c r="O45" i="180"/>
  <c r="N45" i="180"/>
  <c r="M45" i="180"/>
  <c r="J45" i="180"/>
  <c r="I45" i="180"/>
  <c r="H45" i="180"/>
  <c r="G45" i="180"/>
  <c r="E45" i="180"/>
  <c r="L45" i="180" s="1"/>
  <c r="D45" i="180"/>
  <c r="C45" i="180"/>
  <c r="B45" i="180"/>
  <c r="AZ44" i="180"/>
  <c r="AX44" i="180"/>
  <c r="AS44" i="180"/>
  <c r="AR44" i="180"/>
  <c r="AQ44" i="180"/>
  <c r="AP44" i="180"/>
  <c r="AO44" i="180"/>
  <c r="AK44" i="180"/>
  <c r="AH44" i="180"/>
  <c r="AG44" i="180"/>
  <c r="AF44" i="180"/>
  <c r="Z44" i="180"/>
  <c r="AD44" i="180" s="1"/>
  <c r="AE44" i="180" s="1"/>
  <c r="W44" i="180"/>
  <c r="X44" i="180" s="1"/>
  <c r="U44" i="180"/>
  <c r="T44" i="180"/>
  <c r="S44" i="180"/>
  <c r="R44" i="180"/>
  <c r="Q44" i="180" a="1"/>
  <c r="Q44" i="180" s="1"/>
  <c r="P44" i="180"/>
  <c r="O44" i="180"/>
  <c r="N44" i="180"/>
  <c r="M44" i="180"/>
  <c r="J44" i="180"/>
  <c r="I44" i="180"/>
  <c r="H44" i="180"/>
  <c r="G44" i="180"/>
  <c r="E44" i="180"/>
  <c r="L44" i="180" s="1"/>
  <c r="D44" i="180"/>
  <c r="C44" i="180"/>
  <c r="B44" i="180"/>
  <c r="AZ43" i="180"/>
  <c r="AX43" i="180"/>
  <c r="AS43" i="180"/>
  <c r="AR43" i="180"/>
  <c r="AQ43" i="180"/>
  <c r="AP43" i="180"/>
  <c r="AO43" i="180"/>
  <c r="AK43" i="180"/>
  <c r="AH43" i="180"/>
  <c r="AG43" i="180"/>
  <c r="AF43" i="180"/>
  <c r="Z43" i="180"/>
  <c r="AD43" i="180" s="1"/>
  <c r="AE43" i="180" s="1"/>
  <c r="W43" i="180"/>
  <c r="X43" i="180" s="1"/>
  <c r="U43" i="180"/>
  <c r="T43" i="180"/>
  <c r="S43" i="180"/>
  <c r="R43" i="180"/>
  <c r="Q43" i="180" a="1"/>
  <c r="Q43" i="180" s="1"/>
  <c r="P43" i="180"/>
  <c r="O43" i="180"/>
  <c r="N43" i="180"/>
  <c r="M43" i="180"/>
  <c r="J43" i="180"/>
  <c r="I43" i="180"/>
  <c r="H43" i="180"/>
  <c r="G43" i="180"/>
  <c r="E43" i="180"/>
  <c r="L43" i="180" s="1"/>
  <c r="D43" i="180"/>
  <c r="C43" i="180"/>
  <c r="B43" i="180"/>
  <c r="AZ42" i="180"/>
  <c r="AX42" i="180"/>
  <c r="AS42" i="180"/>
  <c r="AR42" i="180"/>
  <c r="AQ42" i="180"/>
  <c r="AP42" i="180"/>
  <c r="AO42" i="180"/>
  <c r="AK42" i="180"/>
  <c r="AH42" i="180"/>
  <c r="AG42" i="180"/>
  <c r="AF42" i="180"/>
  <c r="Z42" i="180"/>
  <c r="W42" i="180"/>
  <c r="X42" i="180" s="1"/>
  <c r="U42" i="180"/>
  <c r="T42" i="180"/>
  <c r="S42" i="180"/>
  <c r="R42" i="180"/>
  <c r="Q42" i="180" a="1"/>
  <c r="Q42" i="180" s="1"/>
  <c r="P42" i="180"/>
  <c r="O42" i="180"/>
  <c r="N42" i="180"/>
  <c r="M42" i="180"/>
  <c r="J42" i="180"/>
  <c r="I42" i="180"/>
  <c r="H42" i="180"/>
  <c r="G42" i="180"/>
  <c r="E42" i="180"/>
  <c r="L42" i="180" s="1"/>
  <c r="D42" i="180"/>
  <c r="C42" i="180"/>
  <c r="B42" i="180"/>
  <c r="AZ41" i="180"/>
  <c r="AX41" i="180"/>
  <c r="AS41" i="180"/>
  <c r="AR41" i="180"/>
  <c r="AQ41" i="180"/>
  <c r="AP41" i="180"/>
  <c r="AO41" i="180"/>
  <c r="AK41" i="180"/>
  <c r="AH41" i="180"/>
  <c r="AG41" i="180"/>
  <c r="AF41" i="180"/>
  <c r="Z41" i="180"/>
  <c r="AD41" i="180" s="1"/>
  <c r="AE41" i="180" s="1"/>
  <c r="W41" i="180"/>
  <c r="X41" i="180" s="1"/>
  <c r="U41" i="180"/>
  <c r="T41" i="180"/>
  <c r="S41" i="180"/>
  <c r="R41" i="180"/>
  <c r="Q41" i="180" a="1"/>
  <c r="Q41" i="180" s="1"/>
  <c r="P41" i="180"/>
  <c r="O41" i="180"/>
  <c r="N41" i="180"/>
  <c r="M41" i="180"/>
  <c r="J41" i="180"/>
  <c r="I41" i="180"/>
  <c r="H41" i="180"/>
  <c r="G41" i="180"/>
  <c r="E41" i="180"/>
  <c r="L41" i="180" s="1"/>
  <c r="D41" i="180"/>
  <c r="C41" i="180"/>
  <c r="B41" i="180"/>
  <c r="AZ40" i="180"/>
  <c r="AX40" i="180"/>
  <c r="AS40" i="180"/>
  <c r="AR40" i="180"/>
  <c r="AQ40" i="180"/>
  <c r="AP40" i="180"/>
  <c r="AO40" i="180"/>
  <c r="AK40" i="180"/>
  <c r="AH40" i="180"/>
  <c r="AG40" i="180"/>
  <c r="AF40" i="180"/>
  <c r="Z40" i="180"/>
  <c r="AD40" i="180" s="1"/>
  <c r="AE40" i="180" s="1"/>
  <c r="W40" i="180"/>
  <c r="X40" i="180" s="1"/>
  <c r="U40" i="180"/>
  <c r="T40" i="180"/>
  <c r="S40" i="180"/>
  <c r="R40" i="180"/>
  <c r="Q40" i="180" a="1"/>
  <c r="Q40" i="180" s="1"/>
  <c r="P40" i="180"/>
  <c r="O40" i="180"/>
  <c r="N40" i="180"/>
  <c r="M40" i="180"/>
  <c r="J40" i="180"/>
  <c r="I40" i="180"/>
  <c r="H40" i="180"/>
  <c r="G40" i="180"/>
  <c r="E40" i="180"/>
  <c r="L40" i="180" s="1"/>
  <c r="D40" i="180"/>
  <c r="C40" i="180"/>
  <c r="B40" i="180"/>
  <c r="AZ39" i="180"/>
  <c r="AX39" i="180"/>
  <c r="AS39" i="180"/>
  <c r="AR39" i="180"/>
  <c r="AQ39" i="180"/>
  <c r="AP39" i="180"/>
  <c r="AO39" i="180"/>
  <c r="AK39" i="180"/>
  <c r="AH39" i="180"/>
  <c r="AG39" i="180"/>
  <c r="AF39" i="180"/>
  <c r="Z39" i="180"/>
  <c r="W39" i="180"/>
  <c r="X39" i="180" s="1"/>
  <c r="U39" i="180"/>
  <c r="T39" i="180"/>
  <c r="S39" i="180"/>
  <c r="R39" i="180"/>
  <c r="Q39" i="180" a="1"/>
  <c r="Q39" i="180" s="1"/>
  <c r="P39" i="180"/>
  <c r="O39" i="180"/>
  <c r="N39" i="180"/>
  <c r="M39" i="180"/>
  <c r="J39" i="180"/>
  <c r="I39" i="180"/>
  <c r="H39" i="180"/>
  <c r="G39" i="180"/>
  <c r="E39" i="180"/>
  <c r="L39" i="180" s="1"/>
  <c r="D39" i="180"/>
  <c r="C39" i="180"/>
  <c r="B39" i="180"/>
  <c r="AZ38" i="180"/>
  <c r="AX38" i="180"/>
  <c r="AS38" i="180"/>
  <c r="AR38" i="180"/>
  <c r="AQ38" i="180"/>
  <c r="AP38" i="180"/>
  <c r="AO38" i="180"/>
  <c r="AK38" i="180"/>
  <c r="AH38" i="180"/>
  <c r="AG38" i="180"/>
  <c r="AF38" i="180"/>
  <c r="Z38" i="180"/>
  <c r="AA38" i="180" s="1"/>
  <c r="W38" i="180"/>
  <c r="X38" i="180" s="1"/>
  <c r="U38" i="180"/>
  <c r="T38" i="180"/>
  <c r="S38" i="180"/>
  <c r="R38" i="180"/>
  <c r="Q38" i="180" a="1"/>
  <c r="Q38" i="180" s="1"/>
  <c r="P38" i="180"/>
  <c r="O38" i="180"/>
  <c r="N38" i="180"/>
  <c r="M38" i="180"/>
  <c r="J38" i="180"/>
  <c r="I38" i="180"/>
  <c r="H38" i="180"/>
  <c r="G38" i="180"/>
  <c r="E38" i="180"/>
  <c r="L38" i="180" s="1"/>
  <c r="D38" i="180"/>
  <c r="C38" i="180"/>
  <c r="B38" i="180"/>
  <c r="AZ37" i="180"/>
  <c r="AX37" i="180"/>
  <c r="AS37" i="180"/>
  <c r="AR37" i="180"/>
  <c r="AQ37" i="180"/>
  <c r="AP37" i="180"/>
  <c r="AO37" i="180"/>
  <c r="AK37" i="180"/>
  <c r="AH37" i="180"/>
  <c r="AG37" i="180"/>
  <c r="AF37" i="180"/>
  <c r="Z37" i="180"/>
  <c r="AD37" i="180" s="1"/>
  <c r="AE37" i="180" s="1"/>
  <c r="W37" i="180"/>
  <c r="X37" i="180" s="1"/>
  <c r="U37" i="180"/>
  <c r="T37" i="180"/>
  <c r="S37" i="180"/>
  <c r="R37" i="180"/>
  <c r="Q37" i="180" a="1"/>
  <c r="Q37" i="180" s="1"/>
  <c r="P37" i="180"/>
  <c r="O37" i="180"/>
  <c r="N37" i="180"/>
  <c r="M37" i="180"/>
  <c r="J37" i="180"/>
  <c r="I37" i="180"/>
  <c r="H37" i="180"/>
  <c r="G37" i="180"/>
  <c r="E37" i="180"/>
  <c r="L37" i="180" s="1"/>
  <c r="D37" i="180"/>
  <c r="C37" i="180"/>
  <c r="B37" i="180"/>
  <c r="AZ36" i="180"/>
  <c r="AX36" i="180"/>
  <c r="AS36" i="180"/>
  <c r="AR36" i="180"/>
  <c r="AQ36" i="180"/>
  <c r="AP36" i="180"/>
  <c r="AO36" i="180"/>
  <c r="AK36" i="180"/>
  <c r="AH36" i="180"/>
  <c r="AG36" i="180"/>
  <c r="AF36" i="180"/>
  <c r="Z36" i="180"/>
  <c r="W36" i="180"/>
  <c r="X36" i="180" s="1"/>
  <c r="U36" i="180"/>
  <c r="T36" i="180"/>
  <c r="S36" i="180"/>
  <c r="R36" i="180"/>
  <c r="Q36" i="180" a="1"/>
  <c r="Q36" i="180" s="1"/>
  <c r="P36" i="180"/>
  <c r="O36" i="180"/>
  <c r="N36" i="180"/>
  <c r="M36" i="180"/>
  <c r="J36" i="180"/>
  <c r="I36" i="180"/>
  <c r="H36" i="180"/>
  <c r="G36" i="180"/>
  <c r="E36" i="180"/>
  <c r="L36" i="180" s="1"/>
  <c r="D36" i="180"/>
  <c r="C36" i="180"/>
  <c r="B36" i="180"/>
  <c r="AZ35" i="180"/>
  <c r="AX35" i="180"/>
  <c r="AS35" i="180"/>
  <c r="AR35" i="180"/>
  <c r="AQ35" i="180"/>
  <c r="AP35" i="180"/>
  <c r="AO35" i="180"/>
  <c r="AK35" i="180"/>
  <c r="AH35" i="180"/>
  <c r="AG35" i="180"/>
  <c r="AF35" i="180"/>
  <c r="Z35" i="180"/>
  <c r="AD35" i="180" s="1"/>
  <c r="AE35" i="180" s="1"/>
  <c r="W35" i="180"/>
  <c r="X35" i="180" s="1"/>
  <c r="U35" i="180"/>
  <c r="T35" i="180"/>
  <c r="S35" i="180"/>
  <c r="R35" i="180"/>
  <c r="Q35" i="180" a="1"/>
  <c r="Q35" i="180" s="1"/>
  <c r="P35" i="180"/>
  <c r="O35" i="180"/>
  <c r="N35" i="180"/>
  <c r="M35" i="180"/>
  <c r="J35" i="180"/>
  <c r="I35" i="180"/>
  <c r="H35" i="180"/>
  <c r="G35" i="180"/>
  <c r="E35" i="180"/>
  <c r="L35" i="180" s="1"/>
  <c r="D35" i="180"/>
  <c r="C35" i="180"/>
  <c r="B35" i="180"/>
  <c r="AZ34" i="180"/>
  <c r="AX34" i="180"/>
  <c r="AS34" i="180"/>
  <c r="AR34" i="180"/>
  <c r="AQ34" i="180"/>
  <c r="AP34" i="180"/>
  <c r="AO34" i="180"/>
  <c r="AK34" i="180"/>
  <c r="AH34" i="180"/>
  <c r="AG34" i="180"/>
  <c r="AF34" i="180"/>
  <c r="Z34" i="180"/>
  <c r="AA34" i="180" s="1"/>
  <c r="W34" i="180"/>
  <c r="X34" i="180" s="1"/>
  <c r="U34" i="180"/>
  <c r="T34" i="180"/>
  <c r="S34" i="180"/>
  <c r="R34" i="180"/>
  <c r="Q34" i="180" a="1"/>
  <c r="Q34" i="180" s="1"/>
  <c r="P34" i="180"/>
  <c r="O34" i="180"/>
  <c r="N34" i="180"/>
  <c r="M34" i="180"/>
  <c r="J34" i="180"/>
  <c r="I34" i="180"/>
  <c r="H34" i="180"/>
  <c r="G34" i="180"/>
  <c r="E34" i="180"/>
  <c r="L34" i="180" s="1"/>
  <c r="D34" i="180"/>
  <c r="C34" i="180"/>
  <c r="B34" i="180"/>
  <c r="AZ33" i="180"/>
  <c r="AX33" i="180"/>
  <c r="AS33" i="180"/>
  <c r="AR33" i="180"/>
  <c r="AQ33" i="180"/>
  <c r="AP33" i="180"/>
  <c r="AO33" i="180"/>
  <c r="AK33" i="180"/>
  <c r="AH33" i="180"/>
  <c r="AG33" i="180"/>
  <c r="AF33" i="180"/>
  <c r="Z33" i="180"/>
  <c r="W33" i="180"/>
  <c r="X33" i="180" s="1"/>
  <c r="U33" i="180"/>
  <c r="T33" i="180"/>
  <c r="S33" i="180"/>
  <c r="R33" i="180"/>
  <c r="Q33" i="180" a="1"/>
  <c r="Q33" i="180" s="1"/>
  <c r="P33" i="180"/>
  <c r="O33" i="180"/>
  <c r="N33" i="180"/>
  <c r="M33" i="180"/>
  <c r="J33" i="180"/>
  <c r="I33" i="180"/>
  <c r="H33" i="180"/>
  <c r="G33" i="180"/>
  <c r="E33" i="180"/>
  <c r="L33" i="180" s="1"/>
  <c r="D33" i="180"/>
  <c r="C33" i="180"/>
  <c r="B33" i="180"/>
  <c r="AZ32" i="180"/>
  <c r="AX32" i="180"/>
  <c r="AS32" i="180"/>
  <c r="AR32" i="180"/>
  <c r="AQ32" i="180"/>
  <c r="AP32" i="180"/>
  <c r="AO32" i="180"/>
  <c r="AK32" i="180"/>
  <c r="AH32" i="180"/>
  <c r="AG32" i="180"/>
  <c r="AF32" i="180"/>
  <c r="Z32" i="180"/>
  <c r="AD32" i="180" s="1"/>
  <c r="AE32" i="180" s="1"/>
  <c r="W32" i="180"/>
  <c r="X32" i="180" s="1"/>
  <c r="U32" i="180"/>
  <c r="T32" i="180"/>
  <c r="S32" i="180"/>
  <c r="R32" i="180"/>
  <c r="Q32" i="180" a="1"/>
  <c r="Q32" i="180" s="1"/>
  <c r="P32" i="180"/>
  <c r="O32" i="180"/>
  <c r="N32" i="180"/>
  <c r="M32" i="180"/>
  <c r="J32" i="180"/>
  <c r="I32" i="180"/>
  <c r="H32" i="180"/>
  <c r="G32" i="180"/>
  <c r="E32" i="180"/>
  <c r="L32" i="180" s="1"/>
  <c r="D32" i="180"/>
  <c r="C32" i="180"/>
  <c r="B32" i="180"/>
  <c r="AZ31" i="180"/>
  <c r="AX31" i="180"/>
  <c r="AS31" i="180"/>
  <c r="AR31" i="180"/>
  <c r="AQ31" i="180"/>
  <c r="AP31" i="180"/>
  <c r="AO31" i="180"/>
  <c r="AK31" i="180"/>
  <c r="AH31" i="180"/>
  <c r="AG31" i="180"/>
  <c r="AF31" i="180"/>
  <c r="Z31" i="180"/>
  <c r="AD31" i="180" s="1"/>
  <c r="AE31" i="180" s="1"/>
  <c r="W31" i="180"/>
  <c r="X31" i="180" s="1"/>
  <c r="U31" i="180"/>
  <c r="T31" i="180"/>
  <c r="S31" i="180"/>
  <c r="R31" i="180"/>
  <c r="Q31" i="180" a="1"/>
  <c r="Q31" i="180" s="1"/>
  <c r="P31" i="180"/>
  <c r="O31" i="180"/>
  <c r="N31" i="180"/>
  <c r="M31" i="180"/>
  <c r="J31" i="180"/>
  <c r="I31" i="180"/>
  <c r="H31" i="180"/>
  <c r="G31" i="180"/>
  <c r="E31" i="180"/>
  <c r="L31" i="180" s="1"/>
  <c r="D31" i="180"/>
  <c r="C31" i="180"/>
  <c r="B31" i="180"/>
  <c r="AZ30" i="180"/>
  <c r="AX30" i="180"/>
  <c r="AS30" i="180"/>
  <c r="AR30" i="180"/>
  <c r="AQ30" i="180"/>
  <c r="AP30" i="180"/>
  <c r="AO30" i="180"/>
  <c r="AK30" i="180"/>
  <c r="AH30" i="180"/>
  <c r="AG30" i="180"/>
  <c r="AF30" i="180"/>
  <c r="Z30" i="180"/>
  <c r="W30" i="180"/>
  <c r="X30" i="180" s="1"/>
  <c r="U30" i="180"/>
  <c r="T30" i="180"/>
  <c r="S30" i="180"/>
  <c r="R30" i="180"/>
  <c r="Q30" i="180" a="1"/>
  <c r="Q30" i="180" s="1"/>
  <c r="P30" i="180"/>
  <c r="O30" i="180"/>
  <c r="N30" i="180"/>
  <c r="M30" i="180"/>
  <c r="J30" i="180"/>
  <c r="I30" i="180"/>
  <c r="H30" i="180"/>
  <c r="G30" i="180"/>
  <c r="E30" i="180"/>
  <c r="L30" i="180" s="1"/>
  <c r="D30" i="180"/>
  <c r="C30" i="180"/>
  <c r="B30" i="180"/>
  <c r="AZ29" i="180"/>
  <c r="AX29" i="180"/>
  <c r="AS29" i="180"/>
  <c r="AR29" i="180"/>
  <c r="AQ29" i="180"/>
  <c r="AP29" i="180"/>
  <c r="AO29" i="180"/>
  <c r="AK29" i="180"/>
  <c r="AH29" i="180"/>
  <c r="AG29" i="180"/>
  <c r="AF29" i="180"/>
  <c r="Z29" i="180"/>
  <c r="AD29" i="180" s="1"/>
  <c r="AE29" i="180" s="1"/>
  <c r="W29" i="180"/>
  <c r="X29" i="180" s="1"/>
  <c r="U29" i="180"/>
  <c r="T29" i="180"/>
  <c r="S29" i="180"/>
  <c r="R29" i="180"/>
  <c r="Q29" i="180" a="1"/>
  <c r="Q29" i="180" s="1"/>
  <c r="P29" i="180"/>
  <c r="O29" i="180"/>
  <c r="N29" i="180"/>
  <c r="M29" i="180"/>
  <c r="J29" i="180"/>
  <c r="I29" i="180"/>
  <c r="H29" i="180"/>
  <c r="G29" i="180"/>
  <c r="E29" i="180"/>
  <c r="L29" i="180" s="1"/>
  <c r="D29" i="180"/>
  <c r="C29" i="180"/>
  <c r="B29" i="180"/>
  <c r="AZ28" i="180"/>
  <c r="AX28" i="180"/>
  <c r="AS28" i="180"/>
  <c r="AR28" i="180"/>
  <c r="AQ28" i="180"/>
  <c r="AP28" i="180"/>
  <c r="AO28" i="180"/>
  <c r="AK28" i="180"/>
  <c r="AH28" i="180"/>
  <c r="AG28" i="180"/>
  <c r="AF28" i="180"/>
  <c r="Z28" i="180"/>
  <c r="AD28" i="180" s="1"/>
  <c r="AE28" i="180" s="1"/>
  <c r="W28" i="180"/>
  <c r="X28" i="180" s="1"/>
  <c r="U28" i="180"/>
  <c r="T28" i="180"/>
  <c r="S28" i="180"/>
  <c r="R28" i="180"/>
  <c r="Q28" i="180" a="1"/>
  <c r="Q28" i="180" s="1"/>
  <c r="P28" i="180"/>
  <c r="O28" i="180"/>
  <c r="N28" i="180"/>
  <c r="M28" i="180"/>
  <c r="J28" i="180"/>
  <c r="I28" i="180"/>
  <c r="H28" i="180"/>
  <c r="G28" i="180"/>
  <c r="E28" i="180"/>
  <c r="L28" i="180" s="1"/>
  <c r="D28" i="180"/>
  <c r="C28" i="180"/>
  <c r="B28" i="180"/>
  <c r="AZ27" i="180"/>
  <c r="AX27" i="180"/>
  <c r="AS27" i="180"/>
  <c r="AR27" i="180"/>
  <c r="AQ27" i="180"/>
  <c r="AP27" i="180"/>
  <c r="AO27" i="180"/>
  <c r="AK27" i="180"/>
  <c r="AH27" i="180"/>
  <c r="AG27" i="180"/>
  <c r="AF27" i="180"/>
  <c r="Z27" i="180"/>
  <c r="W27" i="180"/>
  <c r="X27" i="180" s="1"/>
  <c r="U27" i="180"/>
  <c r="T27" i="180"/>
  <c r="S27" i="180"/>
  <c r="R27" i="180"/>
  <c r="Q27" i="180" a="1"/>
  <c r="Q27" i="180" s="1"/>
  <c r="P27" i="180"/>
  <c r="O27" i="180"/>
  <c r="N27" i="180"/>
  <c r="M27" i="180"/>
  <c r="J27" i="180"/>
  <c r="I27" i="180"/>
  <c r="H27" i="180"/>
  <c r="G27" i="180"/>
  <c r="E27" i="180"/>
  <c r="L27" i="180" s="1"/>
  <c r="D27" i="180"/>
  <c r="C27" i="180"/>
  <c r="B27" i="180"/>
  <c r="AZ26" i="180"/>
  <c r="AX26" i="180"/>
  <c r="AS26" i="180"/>
  <c r="AR26" i="180"/>
  <c r="AQ26" i="180"/>
  <c r="AP26" i="180"/>
  <c r="AO26" i="180"/>
  <c r="AK26" i="180"/>
  <c r="AH26" i="180"/>
  <c r="AG26" i="180"/>
  <c r="AF26" i="180"/>
  <c r="Z26" i="180"/>
  <c r="AD26" i="180" s="1"/>
  <c r="AE26" i="180" s="1"/>
  <c r="W26" i="180"/>
  <c r="X26" i="180" s="1"/>
  <c r="U26" i="180"/>
  <c r="T26" i="180"/>
  <c r="S26" i="180"/>
  <c r="R26" i="180"/>
  <c r="Q26" i="180" a="1"/>
  <c r="Q26" i="180" s="1"/>
  <c r="P26" i="180"/>
  <c r="O26" i="180"/>
  <c r="N26" i="180"/>
  <c r="M26" i="180"/>
  <c r="J26" i="180"/>
  <c r="I26" i="180"/>
  <c r="H26" i="180"/>
  <c r="G26" i="180"/>
  <c r="E26" i="180"/>
  <c r="L26" i="180" s="1"/>
  <c r="D26" i="180"/>
  <c r="C26" i="180"/>
  <c r="B26" i="180"/>
  <c r="AZ25" i="180"/>
  <c r="AX25" i="180"/>
  <c r="AS25" i="180"/>
  <c r="AR25" i="180"/>
  <c r="AQ25" i="180"/>
  <c r="AP25" i="180"/>
  <c r="AO25" i="180"/>
  <c r="AK25" i="180"/>
  <c r="AH25" i="180"/>
  <c r="AG25" i="180"/>
  <c r="AF25" i="180"/>
  <c r="Z25" i="180"/>
  <c r="AD25" i="180" s="1"/>
  <c r="AE25" i="180" s="1"/>
  <c r="W25" i="180"/>
  <c r="X25" i="180" s="1"/>
  <c r="U25" i="180"/>
  <c r="T25" i="180"/>
  <c r="S25" i="180"/>
  <c r="R25" i="180"/>
  <c r="Q25" i="180" a="1"/>
  <c r="Q25" i="180" s="1"/>
  <c r="P25" i="180"/>
  <c r="O25" i="180"/>
  <c r="N25" i="180"/>
  <c r="M25" i="180"/>
  <c r="J25" i="180"/>
  <c r="I25" i="180"/>
  <c r="H25" i="180"/>
  <c r="G25" i="180"/>
  <c r="E25" i="180"/>
  <c r="L25" i="180" s="1"/>
  <c r="D25" i="180"/>
  <c r="C25" i="180"/>
  <c r="B25" i="180"/>
  <c r="AZ24" i="180"/>
  <c r="AX24" i="180"/>
  <c r="AS24" i="180"/>
  <c r="AR24" i="180"/>
  <c r="AQ24" i="180"/>
  <c r="AP24" i="180"/>
  <c r="AO24" i="180"/>
  <c r="AK24" i="180"/>
  <c r="AH24" i="180"/>
  <c r="AG24" i="180"/>
  <c r="AF24" i="180"/>
  <c r="Z24" i="180"/>
  <c r="W24" i="180"/>
  <c r="X24" i="180" s="1"/>
  <c r="U24" i="180"/>
  <c r="T24" i="180"/>
  <c r="S24" i="180"/>
  <c r="R24" i="180"/>
  <c r="Q24" i="180" a="1"/>
  <c r="Q24" i="180" s="1"/>
  <c r="P24" i="180"/>
  <c r="O24" i="180"/>
  <c r="N24" i="180"/>
  <c r="M24" i="180"/>
  <c r="J24" i="180"/>
  <c r="I24" i="180"/>
  <c r="H24" i="180"/>
  <c r="G24" i="180"/>
  <c r="E24" i="180"/>
  <c r="L24" i="180" s="1"/>
  <c r="D24" i="180"/>
  <c r="C24" i="180"/>
  <c r="B24" i="180"/>
  <c r="AZ23" i="180"/>
  <c r="AX23" i="180"/>
  <c r="AS23" i="180"/>
  <c r="AR23" i="180"/>
  <c r="AQ23" i="180"/>
  <c r="AP23" i="180"/>
  <c r="AO23" i="180"/>
  <c r="AK23" i="180"/>
  <c r="AH23" i="180"/>
  <c r="AG23" i="180"/>
  <c r="AF23" i="180"/>
  <c r="Z23" i="180"/>
  <c r="AD23" i="180" s="1"/>
  <c r="AE23" i="180" s="1"/>
  <c r="W23" i="180"/>
  <c r="X23" i="180" s="1"/>
  <c r="U23" i="180"/>
  <c r="T23" i="180"/>
  <c r="S23" i="180"/>
  <c r="R23" i="180"/>
  <c r="Q23" i="180" a="1"/>
  <c r="Q23" i="180" s="1"/>
  <c r="P23" i="180"/>
  <c r="O23" i="180"/>
  <c r="N23" i="180"/>
  <c r="M23" i="180"/>
  <c r="J23" i="180"/>
  <c r="I23" i="180"/>
  <c r="H23" i="180"/>
  <c r="G23" i="180"/>
  <c r="E23" i="180"/>
  <c r="L23" i="180" s="1"/>
  <c r="D23" i="180"/>
  <c r="C23" i="180"/>
  <c r="B23" i="180"/>
  <c r="AZ22" i="180"/>
  <c r="AX22" i="180"/>
  <c r="AS22" i="180"/>
  <c r="AR22" i="180"/>
  <c r="AQ22" i="180"/>
  <c r="AP22" i="180"/>
  <c r="AO22" i="180"/>
  <c r="AK22" i="180"/>
  <c r="AH22" i="180"/>
  <c r="AG22" i="180"/>
  <c r="AF22" i="180"/>
  <c r="Z22" i="180"/>
  <c r="AD22" i="180" s="1"/>
  <c r="AE22" i="180" s="1"/>
  <c r="W22" i="180"/>
  <c r="X22" i="180" s="1"/>
  <c r="U22" i="180"/>
  <c r="T22" i="180"/>
  <c r="S22" i="180"/>
  <c r="R22" i="180"/>
  <c r="Q22" i="180" a="1"/>
  <c r="Q22" i="180" s="1"/>
  <c r="P22" i="180"/>
  <c r="O22" i="180"/>
  <c r="N22" i="180"/>
  <c r="M22" i="180"/>
  <c r="J22" i="180"/>
  <c r="I22" i="180"/>
  <c r="H22" i="180"/>
  <c r="G22" i="180"/>
  <c r="E22" i="180"/>
  <c r="L22" i="180" s="1"/>
  <c r="D22" i="180"/>
  <c r="C22" i="180"/>
  <c r="B22" i="180"/>
  <c r="AZ21" i="180"/>
  <c r="AX21" i="180"/>
  <c r="AS21" i="180"/>
  <c r="AR21" i="180"/>
  <c r="AQ21" i="180"/>
  <c r="AP21" i="180"/>
  <c r="AO21" i="180"/>
  <c r="AK21" i="180"/>
  <c r="AH21" i="180"/>
  <c r="AG21" i="180"/>
  <c r="AF21" i="180"/>
  <c r="Z21" i="180"/>
  <c r="W21" i="180"/>
  <c r="X21" i="180" s="1"/>
  <c r="U21" i="180"/>
  <c r="T21" i="180"/>
  <c r="S21" i="180"/>
  <c r="R21" i="180"/>
  <c r="Q21" i="180" a="1"/>
  <c r="Q21" i="180" s="1"/>
  <c r="P21" i="180"/>
  <c r="O21" i="180"/>
  <c r="N21" i="180"/>
  <c r="M21" i="180"/>
  <c r="J21" i="180"/>
  <c r="I21" i="180"/>
  <c r="H21" i="180"/>
  <c r="G21" i="180"/>
  <c r="E21" i="180"/>
  <c r="L21" i="180" s="1"/>
  <c r="D21" i="180"/>
  <c r="C21" i="180"/>
  <c r="B21" i="180"/>
  <c r="AZ20" i="180"/>
  <c r="AX20" i="180"/>
  <c r="AS20" i="180"/>
  <c r="AR20" i="180"/>
  <c r="AQ20" i="180"/>
  <c r="AP20" i="180"/>
  <c r="AO20" i="180"/>
  <c r="AK20" i="180"/>
  <c r="AH20" i="180"/>
  <c r="AG20" i="180"/>
  <c r="AF20" i="180"/>
  <c r="Z20" i="180"/>
  <c r="AD20" i="180" s="1"/>
  <c r="AE20" i="180" s="1"/>
  <c r="W20" i="180"/>
  <c r="X20" i="180" s="1"/>
  <c r="U20" i="180"/>
  <c r="T20" i="180"/>
  <c r="S20" i="180"/>
  <c r="R20" i="180"/>
  <c r="Q20" i="180" a="1"/>
  <c r="Q20" i="180" s="1"/>
  <c r="P20" i="180"/>
  <c r="O20" i="180"/>
  <c r="N20" i="180"/>
  <c r="M20" i="180"/>
  <c r="J20" i="180"/>
  <c r="I20" i="180"/>
  <c r="H20" i="180"/>
  <c r="G20" i="180"/>
  <c r="E20" i="180"/>
  <c r="L20" i="180" s="1"/>
  <c r="D20" i="180"/>
  <c r="C20" i="180"/>
  <c r="B20" i="180"/>
  <c r="AZ19" i="180"/>
  <c r="AX19" i="180"/>
  <c r="AS19" i="180"/>
  <c r="AR19" i="180"/>
  <c r="AQ19" i="180"/>
  <c r="AP19" i="180"/>
  <c r="AO19" i="180"/>
  <c r="AK19" i="180"/>
  <c r="AH19" i="180"/>
  <c r="AG19" i="180"/>
  <c r="AF19" i="180"/>
  <c r="Z19" i="180"/>
  <c r="AD19" i="180" s="1"/>
  <c r="AE19" i="180" s="1"/>
  <c r="W19" i="180"/>
  <c r="X19" i="180" s="1"/>
  <c r="U19" i="180"/>
  <c r="T19" i="180"/>
  <c r="S19" i="180"/>
  <c r="R19" i="180"/>
  <c r="Q19" i="180" a="1"/>
  <c r="Q19" i="180" s="1"/>
  <c r="P19" i="180"/>
  <c r="O19" i="180"/>
  <c r="N19" i="180"/>
  <c r="M19" i="180"/>
  <c r="J19" i="180"/>
  <c r="I19" i="180"/>
  <c r="H19" i="180"/>
  <c r="G19" i="180"/>
  <c r="E19" i="180"/>
  <c r="L19" i="180" s="1"/>
  <c r="D19" i="180"/>
  <c r="C19" i="180"/>
  <c r="B19" i="180"/>
  <c r="AZ18" i="180"/>
  <c r="AX18" i="180"/>
  <c r="AS18" i="180"/>
  <c r="AR18" i="180"/>
  <c r="AQ18" i="180"/>
  <c r="AP18" i="180"/>
  <c r="AO18" i="180"/>
  <c r="AK18" i="180"/>
  <c r="AH18" i="180"/>
  <c r="AG18" i="180"/>
  <c r="AF18" i="180"/>
  <c r="Z18" i="180"/>
  <c r="W18" i="180"/>
  <c r="X18" i="180" s="1"/>
  <c r="U18" i="180"/>
  <c r="T18" i="180"/>
  <c r="S18" i="180"/>
  <c r="R18" i="180"/>
  <c r="Q18" i="180" a="1"/>
  <c r="Q18" i="180" s="1"/>
  <c r="P18" i="180"/>
  <c r="O18" i="180"/>
  <c r="N18" i="180"/>
  <c r="M18" i="180"/>
  <c r="J18" i="180"/>
  <c r="I18" i="180"/>
  <c r="H18" i="180"/>
  <c r="G18" i="180"/>
  <c r="E18" i="180"/>
  <c r="L18" i="180" s="1"/>
  <c r="D18" i="180"/>
  <c r="C18" i="180"/>
  <c r="B18" i="180"/>
  <c r="AZ17" i="180"/>
  <c r="AX17" i="180"/>
  <c r="AS17" i="180"/>
  <c r="AR17" i="180"/>
  <c r="AQ17" i="180"/>
  <c r="AP17" i="180"/>
  <c r="AO17" i="180"/>
  <c r="AK17" i="180"/>
  <c r="AH17" i="180"/>
  <c r="AG17" i="180"/>
  <c r="AF17" i="180"/>
  <c r="Z17" i="180"/>
  <c r="AD17" i="180" s="1"/>
  <c r="AE17" i="180" s="1"/>
  <c r="W17" i="180"/>
  <c r="X17" i="180" s="1"/>
  <c r="U17" i="180"/>
  <c r="T17" i="180"/>
  <c r="S17" i="180"/>
  <c r="R17" i="180"/>
  <c r="Q17" i="180" a="1"/>
  <c r="Q17" i="180" s="1"/>
  <c r="P17" i="180"/>
  <c r="O17" i="180"/>
  <c r="N17" i="180"/>
  <c r="M17" i="180"/>
  <c r="J17" i="180"/>
  <c r="I17" i="180"/>
  <c r="H17" i="180"/>
  <c r="G17" i="180"/>
  <c r="E17" i="180"/>
  <c r="L17" i="180" s="1"/>
  <c r="D17" i="180"/>
  <c r="C17" i="180"/>
  <c r="B17" i="180"/>
  <c r="AZ16" i="180"/>
  <c r="AX16" i="180"/>
  <c r="AS16" i="180"/>
  <c r="AR16" i="180"/>
  <c r="AQ16" i="180"/>
  <c r="AP16" i="180"/>
  <c r="AO16" i="180"/>
  <c r="AK16" i="180"/>
  <c r="AH16" i="180"/>
  <c r="AG16" i="180"/>
  <c r="AF16" i="180"/>
  <c r="Z16" i="180"/>
  <c r="AD16" i="180" s="1"/>
  <c r="AE16" i="180" s="1"/>
  <c r="W16" i="180"/>
  <c r="X16" i="180" s="1"/>
  <c r="U16" i="180"/>
  <c r="T16" i="180"/>
  <c r="S16" i="180"/>
  <c r="R16" i="180"/>
  <c r="Q16" i="180" a="1"/>
  <c r="Q16" i="180" s="1"/>
  <c r="P16" i="180"/>
  <c r="O16" i="180"/>
  <c r="N16" i="180"/>
  <c r="M16" i="180"/>
  <c r="J16" i="180"/>
  <c r="I16" i="180"/>
  <c r="H16" i="180"/>
  <c r="G16" i="180"/>
  <c r="E16" i="180"/>
  <c r="L16" i="180" s="1"/>
  <c r="D16" i="180"/>
  <c r="C16" i="180"/>
  <c r="B16" i="180"/>
  <c r="AZ15" i="180"/>
  <c r="AX15" i="180"/>
  <c r="AS15" i="180"/>
  <c r="AR15" i="180"/>
  <c r="AQ15" i="180"/>
  <c r="AP15" i="180"/>
  <c r="AO15" i="180"/>
  <c r="AK15" i="180"/>
  <c r="AH15" i="180"/>
  <c r="AG15" i="180"/>
  <c r="AF15" i="180"/>
  <c r="Z15" i="180"/>
  <c r="AD15" i="180" s="1"/>
  <c r="AE15" i="180" s="1"/>
  <c r="W15" i="180"/>
  <c r="X15" i="180" s="1"/>
  <c r="U15" i="180"/>
  <c r="T15" i="180"/>
  <c r="S15" i="180"/>
  <c r="R15" i="180"/>
  <c r="Q15" i="180" a="1"/>
  <c r="Q15" i="180" s="1"/>
  <c r="P15" i="180"/>
  <c r="O15" i="180"/>
  <c r="N15" i="180"/>
  <c r="M15" i="180"/>
  <c r="J15" i="180"/>
  <c r="I15" i="180"/>
  <c r="H15" i="180"/>
  <c r="G15" i="180"/>
  <c r="E15" i="180"/>
  <c r="L15" i="180" s="1"/>
  <c r="D15" i="180"/>
  <c r="C15" i="180"/>
  <c r="B15" i="180"/>
  <c r="AZ14" i="180"/>
  <c r="AX14" i="180"/>
  <c r="AS14" i="180"/>
  <c r="AR14" i="180"/>
  <c r="AQ14" i="180"/>
  <c r="AP14" i="180"/>
  <c r="AO14" i="180"/>
  <c r="AK14" i="180"/>
  <c r="AH14" i="180"/>
  <c r="AG14" i="180"/>
  <c r="AF14" i="180"/>
  <c r="Z14" i="180"/>
  <c r="W14" i="180"/>
  <c r="X14" i="180" s="1"/>
  <c r="U14" i="180"/>
  <c r="T14" i="180"/>
  <c r="S14" i="180"/>
  <c r="R14" i="180"/>
  <c r="Q14" i="180" a="1"/>
  <c r="Q14" i="180" s="1"/>
  <c r="P14" i="180"/>
  <c r="O14" i="180"/>
  <c r="N14" i="180"/>
  <c r="M14" i="180"/>
  <c r="J14" i="180"/>
  <c r="I14" i="180"/>
  <c r="H14" i="180"/>
  <c r="G14" i="180"/>
  <c r="E14" i="180"/>
  <c r="L14" i="180" s="1"/>
  <c r="D14" i="180"/>
  <c r="C14" i="180"/>
  <c r="B14" i="180"/>
  <c r="AZ13" i="180"/>
  <c r="AX13" i="180"/>
  <c r="AS13" i="180"/>
  <c r="AR13" i="180"/>
  <c r="AQ13" i="180"/>
  <c r="AP13" i="180"/>
  <c r="AO13" i="180"/>
  <c r="AK13" i="180"/>
  <c r="AH13" i="180"/>
  <c r="AG13" i="180"/>
  <c r="AF13" i="180"/>
  <c r="Z13" i="180"/>
  <c r="AA13" i="180" s="1"/>
  <c r="W13" i="180"/>
  <c r="X13" i="180" s="1"/>
  <c r="U13" i="180"/>
  <c r="T13" i="180"/>
  <c r="S13" i="180"/>
  <c r="R13" i="180"/>
  <c r="Q13" i="180" a="1"/>
  <c r="Q13" i="180" s="1"/>
  <c r="P13" i="180"/>
  <c r="O13" i="180"/>
  <c r="N13" i="180"/>
  <c r="M13" i="180"/>
  <c r="J13" i="180"/>
  <c r="I13" i="180"/>
  <c r="H13" i="180"/>
  <c r="G13" i="180"/>
  <c r="E13" i="180"/>
  <c r="L13" i="180" s="1"/>
  <c r="D13" i="180"/>
  <c r="C13" i="180"/>
  <c r="B13" i="180"/>
  <c r="AZ12" i="180"/>
  <c r="AX12" i="180"/>
  <c r="AS12" i="180"/>
  <c r="AR12" i="180"/>
  <c r="AQ12" i="180"/>
  <c r="AP12" i="180"/>
  <c r="AO12" i="180"/>
  <c r="AK12" i="180"/>
  <c r="AH12" i="180"/>
  <c r="AG12" i="180"/>
  <c r="AF12" i="180"/>
  <c r="Z12" i="180"/>
  <c r="AA12" i="180" s="1"/>
  <c r="W12" i="180"/>
  <c r="X12" i="180" s="1"/>
  <c r="U12" i="180"/>
  <c r="T12" i="180"/>
  <c r="S12" i="180"/>
  <c r="R12" i="180"/>
  <c r="Q12" i="180" a="1"/>
  <c r="Q12" i="180" s="1"/>
  <c r="P12" i="180"/>
  <c r="O12" i="180"/>
  <c r="N12" i="180"/>
  <c r="M12" i="180"/>
  <c r="J12" i="180"/>
  <c r="I12" i="180"/>
  <c r="H12" i="180"/>
  <c r="G12" i="180"/>
  <c r="E12" i="180"/>
  <c r="L12" i="180" s="1"/>
  <c r="D12" i="180"/>
  <c r="C12" i="180"/>
  <c r="B12" i="180"/>
  <c r="AZ11" i="180"/>
  <c r="AX11" i="180"/>
  <c r="AS11" i="180"/>
  <c r="AR11" i="180"/>
  <c r="AQ11" i="180"/>
  <c r="AP11" i="180"/>
  <c r="AO11" i="180"/>
  <c r="AK11" i="180"/>
  <c r="AH11" i="180"/>
  <c r="AG11" i="180"/>
  <c r="AF11" i="180"/>
  <c r="Z11" i="180"/>
  <c r="AD11" i="180" s="1"/>
  <c r="AE11" i="180" s="1"/>
  <c r="W11" i="180"/>
  <c r="X11" i="180" s="1"/>
  <c r="U11" i="180"/>
  <c r="T11" i="180"/>
  <c r="S11" i="180"/>
  <c r="R11" i="180"/>
  <c r="Q11" i="180" a="1"/>
  <c r="Q11" i="180" s="1"/>
  <c r="P11" i="180"/>
  <c r="O11" i="180"/>
  <c r="N11" i="180"/>
  <c r="M11" i="180"/>
  <c r="J11" i="180"/>
  <c r="I11" i="180"/>
  <c r="H11" i="180"/>
  <c r="G11" i="180"/>
  <c r="E11" i="180"/>
  <c r="L11" i="180" s="1"/>
  <c r="D11" i="180"/>
  <c r="C11" i="180"/>
  <c r="B11" i="180"/>
  <c r="AZ10" i="180"/>
  <c r="AX10" i="180"/>
  <c r="AS10" i="180"/>
  <c r="AR10" i="180"/>
  <c r="AQ10" i="180"/>
  <c r="AP10" i="180"/>
  <c r="AO10" i="180"/>
  <c r="AK10" i="180"/>
  <c r="AH10" i="180"/>
  <c r="AG10" i="180"/>
  <c r="AF10" i="180"/>
  <c r="Z10" i="180"/>
  <c r="AD10" i="180" s="1"/>
  <c r="AE10" i="180" s="1"/>
  <c r="W10" i="180"/>
  <c r="X10" i="180" s="1"/>
  <c r="U10" i="180"/>
  <c r="T10" i="180"/>
  <c r="S10" i="180"/>
  <c r="R10" i="180"/>
  <c r="Q10" i="180" a="1"/>
  <c r="Q10" i="180" s="1"/>
  <c r="P10" i="180"/>
  <c r="O10" i="180"/>
  <c r="N10" i="180"/>
  <c r="M10" i="180"/>
  <c r="J10" i="180"/>
  <c r="I10" i="180"/>
  <c r="H10" i="180"/>
  <c r="G10" i="180"/>
  <c r="E10" i="180"/>
  <c r="L10" i="180" s="1"/>
  <c r="D10" i="180"/>
  <c r="C10" i="180"/>
  <c r="B10" i="180"/>
  <c r="AZ9" i="180"/>
  <c r="AX9" i="180"/>
  <c r="AS9" i="180"/>
  <c r="AR9" i="180"/>
  <c r="AQ9" i="180"/>
  <c r="AP9" i="180"/>
  <c r="AO9" i="180"/>
  <c r="AK9" i="180"/>
  <c r="AH9" i="180"/>
  <c r="AG9" i="180"/>
  <c r="AF9" i="180"/>
  <c r="Z9" i="180"/>
  <c r="AD9" i="180" s="1"/>
  <c r="AE9" i="180" s="1"/>
  <c r="W9" i="180"/>
  <c r="X9" i="180" s="1"/>
  <c r="U9" i="180"/>
  <c r="T9" i="180"/>
  <c r="S9" i="180"/>
  <c r="R9" i="180"/>
  <c r="Q9" i="180" a="1"/>
  <c r="Q9" i="180" s="1"/>
  <c r="P9" i="180"/>
  <c r="O9" i="180"/>
  <c r="N9" i="180"/>
  <c r="M9" i="180"/>
  <c r="J9" i="180"/>
  <c r="I9" i="180"/>
  <c r="H9" i="180"/>
  <c r="G9" i="180"/>
  <c r="E9" i="180"/>
  <c r="L9" i="180" s="1"/>
  <c r="D9" i="180"/>
  <c r="C9" i="180"/>
  <c r="B9" i="180"/>
  <c r="AZ8" i="180"/>
  <c r="AX8" i="180"/>
  <c r="AS8" i="180"/>
  <c r="AR8" i="180"/>
  <c r="AQ8" i="180"/>
  <c r="AP8" i="180"/>
  <c r="AO8" i="180"/>
  <c r="AK8" i="180"/>
  <c r="AH8" i="180"/>
  <c r="AG8" i="180"/>
  <c r="AF8" i="180"/>
  <c r="Z8" i="180"/>
  <c r="AA8" i="180" s="1"/>
  <c r="W8" i="180"/>
  <c r="X8" i="180" s="1"/>
  <c r="U8" i="180"/>
  <c r="T8" i="180"/>
  <c r="S8" i="180"/>
  <c r="R8" i="180"/>
  <c r="Q8" i="180" a="1"/>
  <c r="Q8" i="180" s="1"/>
  <c r="P8" i="180"/>
  <c r="O8" i="180"/>
  <c r="N8" i="180"/>
  <c r="M8" i="180"/>
  <c r="J8" i="180"/>
  <c r="I8" i="180"/>
  <c r="H8" i="180"/>
  <c r="G8" i="180"/>
  <c r="E8" i="180"/>
  <c r="L8" i="180" s="1"/>
  <c r="D8" i="180"/>
  <c r="C8" i="180"/>
  <c r="B8" i="180"/>
  <c r="AZ7" i="180"/>
  <c r="AX7" i="180"/>
  <c r="AS7" i="180"/>
  <c r="AR7" i="180"/>
  <c r="AQ7" i="180"/>
  <c r="AP7" i="180"/>
  <c r="AO7" i="180"/>
  <c r="AK7" i="180"/>
  <c r="AH7" i="180"/>
  <c r="AG7" i="180"/>
  <c r="AF7" i="180"/>
  <c r="Z7" i="180"/>
  <c r="AD7" i="180" s="1"/>
  <c r="AE7" i="180" s="1"/>
  <c r="W7" i="180"/>
  <c r="X7" i="180" s="1"/>
  <c r="U7" i="180"/>
  <c r="T7" i="180"/>
  <c r="S7" i="180"/>
  <c r="R7" i="180"/>
  <c r="Q7" i="180" a="1"/>
  <c r="Q7" i="180" s="1"/>
  <c r="P7" i="180"/>
  <c r="O7" i="180"/>
  <c r="N7" i="180"/>
  <c r="M7" i="180"/>
  <c r="J7" i="180"/>
  <c r="I7" i="180"/>
  <c r="H7" i="180"/>
  <c r="G7" i="180"/>
  <c r="E7" i="180"/>
  <c r="L7" i="180" s="1"/>
  <c r="D7" i="180"/>
  <c r="C7" i="180"/>
  <c r="B7" i="180"/>
  <c r="AZ6" i="180"/>
  <c r="AX6" i="180"/>
  <c r="AS6" i="180"/>
  <c r="AR6" i="180"/>
  <c r="AQ6" i="180"/>
  <c r="AP6" i="180"/>
  <c r="AO6" i="180"/>
  <c r="AK6" i="180"/>
  <c r="AH6" i="180"/>
  <c r="AG6" i="180"/>
  <c r="AF6" i="180"/>
  <c r="Z6" i="180"/>
  <c r="AA6" i="180" s="1"/>
  <c r="W6" i="180"/>
  <c r="X6" i="180" s="1"/>
  <c r="U6" i="180"/>
  <c r="T6" i="180"/>
  <c r="S6" i="180"/>
  <c r="R6" i="180"/>
  <c r="Q6" i="180" a="1"/>
  <c r="Q6" i="180" s="1"/>
  <c r="P6" i="180"/>
  <c r="O6" i="180"/>
  <c r="N6" i="180"/>
  <c r="M6" i="180"/>
  <c r="J6" i="180"/>
  <c r="I6" i="180"/>
  <c r="H6" i="180"/>
  <c r="G6" i="180"/>
  <c r="E6" i="180"/>
  <c r="L6" i="180" s="1"/>
  <c r="D6" i="180"/>
  <c r="C6" i="180"/>
  <c r="B6" i="180"/>
  <c r="AO1" i="180"/>
  <c r="AK5" i="167"/>
  <c r="AA5" i="167"/>
  <c r="X5" i="167"/>
  <c r="AO1" i="167"/>
  <c r="AD14" i="180" l="1"/>
  <c r="AE14" i="180" s="1"/>
  <c r="AA14" i="180"/>
  <c r="AA95" i="180"/>
  <c r="AD95" i="180"/>
  <c r="AE95" i="180" s="1"/>
  <c r="AA104" i="180"/>
  <c r="AD104" i="180"/>
  <c r="AE104" i="180" s="1"/>
  <c r="AD118" i="180"/>
  <c r="AE118" i="180" s="1"/>
  <c r="AA118" i="180"/>
  <c r="AA210" i="180"/>
  <c r="AD210" i="180"/>
  <c r="AE210" i="180" s="1"/>
  <c r="AD293" i="180"/>
  <c r="AE293" i="180" s="1"/>
  <c r="AA293" i="180"/>
  <c r="AD300" i="180"/>
  <c r="AE300" i="180" s="1"/>
  <c r="AA300" i="180"/>
  <c r="AD74" i="180"/>
  <c r="AE74" i="180" s="1"/>
  <c r="AA277" i="180"/>
  <c r="AD51" i="180"/>
  <c r="AE51" i="180" s="1"/>
  <c r="AD175" i="180"/>
  <c r="AE175" i="180" s="1"/>
  <c r="AA288" i="180"/>
  <c r="AD54" i="180"/>
  <c r="AE54" i="180" s="1"/>
  <c r="AA311" i="180"/>
  <c r="AD160" i="180"/>
  <c r="AE160" i="180" s="1"/>
  <c r="AD213" i="180"/>
  <c r="AE213" i="180" s="1"/>
  <c r="AD242" i="180"/>
  <c r="AE242" i="180" s="1"/>
  <c r="AD172" i="180"/>
  <c r="AE172" i="180" s="1"/>
  <c r="AA44" i="180"/>
  <c r="AA93" i="180"/>
  <c r="AA111" i="180"/>
  <c r="AA281" i="180"/>
  <c r="AD8" i="180"/>
  <c r="AE8" i="180" s="1"/>
  <c r="AA247" i="180"/>
  <c r="AA276" i="180"/>
  <c r="AA235" i="180"/>
  <c r="AD100" i="180"/>
  <c r="AE100" i="180" s="1"/>
  <c r="AD148" i="180"/>
  <c r="AE148" i="180" s="1"/>
  <c r="AA9" i="180"/>
  <c r="AA16" i="180"/>
  <c r="AA29" i="180"/>
  <c r="AA59" i="180"/>
  <c r="AA69" i="180"/>
  <c r="AA88" i="180"/>
  <c r="AD173" i="180"/>
  <c r="AE173" i="180" s="1"/>
  <c r="AD75" i="180"/>
  <c r="AE75" i="180" s="1"/>
  <c r="AD105" i="180"/>
  <c r="AE105" i="180" s="1"/>
  <c r="AA112" i="180"/>
  <c r="AA106" i="180"/>
  <c r="AA130" i="180"/>
  <c r="AD212" i="180"/>
  <c r="AE212" i="180" s="1"/>
  <c r="AA302" i="180"/>
  <c r="AA313" i="180"/>
  <c r="AB313" i="180" s="1"/>
  <c r="AW313" i="180" s="1"/>
  <c r="AA10" i="180"/>
  <c r="AD81" i="180"/>
  <c r="AE81" i="180" s="1"/>
  <c r="AA101" i="180"/>
  <c r="AD156" i="180"/>
  <c r="AE156" i="180" s="1"/>
  <c r="AD167" i="180"/>
  <c r="AE167" i="180" s="1"/>
  <c r="AD48" i="180"/>
  <c r="AE48" i="180" s="1"/>
  <c r="AD96" i="180"/>
  <c r="AE96" i="180" s="1"/>
  <c r="AA114" i="180"/>
  <c r="AD124" i="180"/>
  <c r="AE124" i="180" s="1"/>
  <c r="AD131" i="180"/>
  <c r="AE131" i="180" s="1"/>
  <c r="AA109" i="180"/>
  <c r="AD206" i="180"/>
  <c r="AE206" i="180" s="1"/>
  <c r="AA278" i="180"/>
  <c r="AA73" i="180"/>
  <c r="AA92" i="180"/>
  <c r="AA115" i="180"/>
  <c r="AD168" i="180"/>
  <c r="AE168" i="180" s="1"/>
  <c r="AD178" i="180"/>
  <c r="AE178" i="180" s="1"/>
  <c r="AD253" i="180"/>
  <c r="AE253" i="180" s="1"/>
  <c r="AA269" i="180"/>
  <c r="AB301" i="180"/>
  <c r="AM301" i="180" s="1"/>
  <c r="AL301" i="180" s="1"/>
  <c r="AB302" i="180"/>
  <c r="AM302" i="180" s="1"/>
  <c r="AL302" i="180" s="1"/>
  <c r="AA50" i="180"/>
  <c r="AA97" i="180"/>
  <c r="AD102" i="180"/>
  <c r="AE102" i="180" s="1"/>
  <c r="AD143" i="180"/>
  <c r="AE143" i="180" s="1"/>
  <c r="AA240" i="180"/>
  <c r="AA264" i="180"/>
  <c r="AA272" i="180"/>
  <c r="AD6" i="180"/>
  <c r="AE6" i="180" s="1"/>
  <c r="AA110" i="180"/>
  <c r="AD116" i="180"/>
  <c r="AE116" i="180" s="1"/>
  <c r="AD127" i="180"/>
  <c r="AE127" i="180" s="1"/>
  <c r="AD158" i="180"/>
  <c r="AE158" i="180" s="1"/>
  <c r="AD12" i="180"/>
  <c r="AE12" i="180" s="1"/>
  <c r="AA22" i="180"/>
  <c r="AD5" i="167"/>
  <c r="AA140" i="180"/>
  <c r="AD140" i="180"/>
  <c r="AE140" i="180" s="1"/>
  <c r="AA176" i="180"/>
  <c r="AD176" i="180"/>
  <c r="AE176" i="180" s="1"/>
  <c r="AD285" i="180"/>
  <c r="AE285" i="180" s="1"/>
  <c r="AA285" i="180"/>
  <c r="AA7" i="180"/>
  <c r="AA25" i="180"/>
  <c r="AA31" i="180"/>
  <c r="AA65" i="180"/>
  <c r="AA82" i="180"/>
  <c r="AA107" i="180"/>
  <c r="AA169" i="180"/>
  <c r="AD169" i="180"/>
  <c r="AE169" i="180" s="1"/>
  <c r="AD196" i="180"/>
  <c r="AE196" i="180" s="1"/>
  <c r="AA231" i="180"/>
  <c r="AA254" i="180"/>
  <c r="AA17" i="180"/>
  <c r="AD38" i="180"/>
  <c r="AE38" i="180" s="1"/>
  <c r="AD83" i="180"/>
  <c r="AE83" i="180" s="1"/>
  <c r="AD151" i="180"/>
  <c r="AE151" i="180" s="1"/>
  <c r="AA150" i="180"/>
  <c r="AD150" i="180"/>
  <c r="AE150" i="180" s="1"/>
  <c r="AA11" i="180"/>
  <c r="AD13" i="180"/>
  <c r="AE13" i="180" s="1"/>
  <c r="AA26" i="180"/>
  <c r="AA47" i="180"/>
  <c r="AD66" i="180"/>
  <c r="AE66" i="180" s="1"/>
  <c r="AD72" i="180"/>
  <c r="AE72" i="180" s="1"/>
  <c r="AD77" i="180"/>
  <c r="AE77" i="180" s="1"/>
  <c r="AA103" i="180"/>
  <c r="AA113" i="180"/>
  <c r="AD154" i="180"/>
  <c r="AE154" i="180" s="1"/>
  <c r="AD236" i="180"/>
  <c r="AE236" i="180" s="1"/>
  <c r="AA236" i="180"/>
  <c r="AD24" i="180"/>
  <c r="AE24" i="180" s="1"/>
  <c r="AA24" i="180"/>
  <c r="AD30" i="180"/>
  <c r="AE30" i="180" s="1"/>
  <c r="AA30" i="180"/>
  <c r="AD230" i="180"/>
  <c r="AE230" i="180" s="1"/>
  <c r="AA230" i="180"/>
  <c r="AD33" i="180"/>
  <c r="AE33" i="180" s="1"/>
  <c r="AA33" i="180"/>
  <c r="AD39" i="180"/>
  <c r="AE39" i="180" s="1"/>
  <c r="AA39" i="180"/>
  <c r="AA40" i="180"/>
  <c r="AA20" i="180"/>
  <c r="AD34" i="180"/>
  <c r="AE34" i="180" s="1"/>
  <c r="AA91" i="180"/>
  <c r="AD211" i="180"/>
  <c r="AE211" i="180" s="1"/>
  <c r="AD238" i="180"/>
  <c r="AE238" i="180" s="1"/>
  <c r="AA238" i="180"/>
  <c r="AD42" i="180"/>
  <c r="AE42" i="180" s="1"/>
  <c r="AA42" i="180"/>
  <c r="AA120" i="180"/>
  <c r="AD120" i="180"/>
  <c r="AE120" i="180" s="1"/>
  <c r="AA308" i="180"/>
  <c r="AA190" i="180"/>
  <c r="AD190" i="180"/>
  <c r="AE190" i="180" s="1"/>
  <c r="AA35" i="180"/>
  <c r="AD85" i="180"/>
  <c r="AE85" i="180" s="1"/>
  <c r="AD139" i="180"/>
  <c r="AE139" i="180" s="1"/>
  <c r="AD144" i="180"/>
  <c r="AE144" i="180" s="1"/>
  <c r="AA184" i="180"/>
  <c r="AD184" i="180"/>
  <c r="AE184" i="180" s="1"/>
  <c r="AD252" i="180"/>
  <c r="AE252" i="180" s="1"/>
  <c r="AA252" i="180"/>
  <c r="AD301" i="180"/>
  <c r="AE301" i="180" s="1"/>
  <c r="AA301" i="180"/>
  <c r="AA309" i="180"/>
  <c r="AD21" i="180"/>
  <c r="AE21" i="180" s="1"/>
  <c r="AA21" i="180"/>
  <c r="AA86" i="180"/>
  <c r="AD86" i="180"/>
  <c r="AE86" i="180" s="1"/>
  <c r="AB310" i="180"/>
  <c r="AM310" i="180" s="1"/>
  <c r="AL310" i="180" s="1"/>
  <c r="AC310" i="180"/>
  <c r="AA147" i="180"/>
  <c r="AD147" i="180"/>
  <c r="AE147" i="180" s="1"/>
  <c r="AD200" i="180"/>
  <c r="AE200" i="180" s="1"/>
  <c r="AD246" i="180"/>
  <c r="AE246" i="180" s="1"/>
  <c r="AA246" i="180"/>
  <c r="AD27" i="180"/>
  <c r="AE27" i="180" s="1"/>
  <c r="AA27" i="180"/>
  <c r="AD36" i="180"/>
  <c r="AE36" i="180" s="1"/>
  <c r="AA36" i="180"/>
  <c r="AD53" i="180"/>
  <c r="AE53" i="180" s="1"/>
  <c r="AA53" i="180"/>
  <c r="AA197" i="180"/>
  <c r="AD289" i="180"/>
  <c r="AE289" i="180" s="1"/>
  <c r="AA289" i="180"/>
  <c r="AA15" i="180"/>
  <c r="AA19" i="180"/>
  <c r="AA23" i="180"/>
  <c r="AA28" i="180"/>
  <c r="AA32" i="180"/>
  <c r="AA37" i="180"/>
  <c r="AA41" i="180"/>
  <c r="AA60" i="180"/>
  <c r="AD122" i="180"/>
  <c r="AE122" i="180" s="1"/>
  <c r="AA122" i="180"/>
  <c r="AA123" i="180"/>
  <c r="AD123" i="180"/>
  <c r="AE123" i="180" s="1"/>
  <c r="AD134" i="180"/>
  <c r="AE134" i="180" s="1"/>
  <c r="AA134" i="180"/>
  <c r="AA179" i="180"/>
  <c r="AD256" i="180"/>
  <c r="AE256" i="180" s="1"/>
  <c r="AA256" i="180"/>
  <c r="AD225" i="180"/>
  <c r="AE225" i="180" s="1"/>
  <c r="AA225" i="180"/>
  <c r="AD18" i="180"/>
  <c r="AE18" i="180" s="1"/>
  <c r="AA18" i="180"/>
  <c r="AA209" i="180"/>
  <c r="AD209" i="180"/>
  <c r="AE209" i="180" s="1"/>
  <c r="AA226" i="180"/>
  <c r="AA243" i="180"/>
  <c r="AA249" i="180"/>
  <c r="AD249" i="180"/>
  <c r="AE249" i="180" s="1"/>
  <c r="AD57" i="180"/>
  <c r="AE57" i="180" s="1"/>
  <c r="AD68" i="180"/>
  <c r="AE68" i="180" s="1"/>
  <c r="AD108" i="180"/>
  <c r="AE108" i="180" s="1"/>
  <c r="AA108" i="180"/>
  <c r="AA135" i="180"/>
  <c r="AD135" i="180"/>
  <c r="AE135" i="180" s="1"/>
  <c r="AD185" i="180"/>
  <c r="AE185" i="180" s="1"/>
  <c r="AB300" i="180"/>
  <c r="AW300" i="180" s="1"/>
  <c r="AC314" i="180"/>
  <c r="AB314" i="180"/>
  <c r="AM314" i="180" s="1"/>
  <c r="AL314" i="180" s="1"/>
  <c r="AA136" i="180"/>
  <c r="AD136" i="180"/>
  <c r="AE136" i="180" s="1"/>
  <c r="AD296" i="180"/>
  <c r="AE296" i="180" s="1"/>
  <c r="AA296" i="180"/>
  <c r="AD76" i="180"/>
  <c r="AE76" i="180" s="1"/>
  <c r="AA76" i="180"/>
  <c r="AA245" i="180"/>
  <c r="AA248" i="180"/>
  <c r="AA261" i="180"/>
  <c r="AA265" i="180"/>
  <c r="AA275" i="180"/>
  <c r="AA305" i="180"/>
  <c r="AA67" i="180"/>
  <c r="AA84" i="180"/>
  <c r="AA146" i="180"/>
  <c r="AD165" i="180"/>
  <c r="AE165" i="180" s="1"/>
  <c r="AD171" i="180"/>
  <c r="AE171" i="180" s="1"/>
  <c r="AA232" i="180"/>
  <c r="AA299" i="180"/>
  <c r="AD306" i="180"/>
  <c r="AE306" i="180" s="1"/>
  <c r="AA306" i="180"/>
  <c r="AC312" i="180"/>
  <c r="AB312" i="180"/>
  <c r="AW312" i="180" s="1"/>
  <c r="AD45" i="180"/>
  <c r="AE45" i="180" s="1"/>
  <c r="AD80" i="180"/>
  <c r="AE80" i="180" s="1"/>
  <c r="AA99" i="180"/>
  <c r="AD119" i="180"/>
  <c r="AE119" i="180" s="1"/>
  <c r="AA142" i="180"/>
  <c r="AA153" i="180"/>
  <c r="AD153" i="180"/>
  <c r="AE153" i="180" s="1"/>
  <c r="AD203" i="180"/>
  <c r="AE203" i="180" s="1"/>
  <c r="AA228" i="180"/>
  <c r="AA266" i="180"/>
  <c r="AA287" i="180"/>
  <c r="AC299" i="180"/>
  <c r="AD233" i="180"/>
  <c r="AE233" i="180" s="1"/>
  <c r="AA233" i="180"/>
  <c r="AB303" i="180"/>
  <c r="AM303" i="180" s="1"/>
  <c r="AL303" i="180" s="1"/>
  <c r="AD128" i="180"/>
  <c r="AE128" i="180" s="1"/>
  <c r="AD132" i="180"/>
  <c r="AE132" i="180" s="1"/>
  <c r="AD161" i="180"/>
  <c r="AE161" i="180" s="1"/>
  <c r="AD177" i="180"/>
  <c r="AE177" i="180" s="1"/>
  <c r="AD191" i="180"/>
  <c r="AE191" i="180" s="1"/>
  <c r="AA229" i="180"/>
  <c r="AA234" i="180"/>
  <c r="AA241" i="180"/>
  <c r="AA138" i="180"/>
  <c r="AD162" i="180"/>
  <c r="AE162" i="180" s="1"/>
  <c r="AD166" i="180"/>
  <c r="AE166" i="180" s="1"/>
  <c r="AD170" i="180"/>
  <c r="AE170" i="180" s="1"/>
  <c r="AD174" i="180"/>
  <c r="AE174" i="180" s="1"/>
  <c r="AA227" i="180"/>
  <c r="AA250" i="180"/>
  <c r="AA284" i="180"/>
  <c r="AA290" i="180"/>
  <c r="AA297" i="180"/>
  <c r="AD46" i="180"/>
  <c r="AE46" i="180" s="1"/>
  <c r="AA46" i="180"/>
  <c r="AD98" i="180"/>
  <c r="AE98" i="180" s="1"/>
  <c r="AA98" i="180"/>
  <c r="AD52" i="180"/>
  <c r="AE52" i="180" s="1"/>
  <c r="AA52" i="180"/>
  <c r="AD58" i="180"/>
  <c r="AE58" i="180" s="1"/>
  <c r="AA58" i="180"/>
  <c r="L5" i="167"/>
  <c r="AD79" i="180"/>
  <c r="AE79" i="180" s="1"/>
  <c r="AA79" i="180"/>
  <c r="AD64" i="180"/>
  <c r="AE64" i="180" s="1"/>
  <c r="AA64" i="180"/>
  <c r="AD70" i="180"/>
  <c r="AE70" i="180" s="1"/>
  <c r="AD87" i="180"/>
  <c r="AE87" i="180" s="1"/>
  <c r="AA87" i="180"/>
  <c r="AD89" i="180"/>
  <c r="AE89" i="180" s="1"/>
  <c r="AA89" i="180"/>
  <c r="AD94" i="180"/>
  <c r="AE94" i="180" s="1"/>
  <c r="AA94" i="180"/>
  <c r="AA63" i="180"/>
  <c r="AA56" i="180"/>
  <c r="AA62" i="180"/>
  <c r="AA71" i="180"/>
  <c r="AA78" i="180"/>
  <c r="AA90" i="180"/>
  <c r="AA43" i="180"/>
  <c r="AA49" i="180"/>
  <c r="AA55" i="180"/>
  <c r="AA61" i="180"/>
  <c r="AD155" i="180"/>
  <c r="AE155" i="180" s="1"/>
  <c r="AA155" i="180"/>
  <c r="AD199" i="180"/>
  <c r="AE199" i="180" s="1"/>
  <c r="AA199" i="180"/>
  <c r="AA126" i="180"/>
  <c r="AD117" i="180"/>
  <c r="AE117" i="180" s="1"/>
  <c r="AA117" i="180"/>
  <c r="AD152" i="180"/>
  <c r="AE152" i="180" s="1"/>
  <c r="AA152" i="180"/>
  <c r="AD149" i="180"/>
  <c r="AE149" i="180" s="1"/>
  <c r="AA149" i="180"/>
  <c r="AD163" i="180"/>
  <c r="AE163" i="180" s="1"/>
  <c r="AD188" i="180"/>
  <c r="AE188" i="180" s="1"/>
  <c r="AA188" i="180"/>
  <c r="AA121" i="180"/>
  <c r="AA125" i="180"/>
  <c r="AA129" i="180"/>
  <c r="AA133" i="180"/>
  <c r="AA137" i="180"/>
  <c r="AA141" i="180"/>
  <c r="AA145" i="180"/>
  <c r="AD208" i="180"/>
  <c r="AE208" i="180" s="1"/>
  <c r="AA208" i="180"/>
  <c r="AD159" i="180"/>
  <c r="AE159" i="180" s="1"/>
  <c r="AD157" i="180"/>
  <c r="AE157" i="180" s="1"/>
  <c r="AD164" i="180"/>
  <c r="AE164" i="180" s="1"/>
  <c r="AD205" i="180"/>
  <c r="AE205" i="180" s="1"/>
  <c r="AA205" i="180"/>
  <c r="AD182" i="180"/>
  <c r="AE182" i="180" s="1"/>
  <c r="AA182" i="180"/>
  <c r="AD194" i="180"/>
  <c r="AE194" i="180" s="1"/>
  <c r="AA194" i="180"/>
  <c r="AD202" i="180"/>
  <c r="AE202" i="180" s="1"/>
  <c r="AA202" i="180"/>
  <c r="AA183" i="180"/>
  <c r="AA189" i="180"/>
  <c r="AA195" i="180"/>
  <c r="AD251" i="180"/>
  <c r="AE251" i="180" s="1"/>
  <c r="AA251" i="180"/>
  <c r="AA181" i="180"/>
  <c r="AA187" i="180"/>
  <c r="AA193" i="180"/>
  <c r="AD258" i="180"/>
  <c r="AE258" i="180" s="1"/>
  <c r="AA258" i="180"/>
  <c r="AA180" i="180"/>
  <c r="AA186" i="180"/>
  <c r="AA192" i="180"/>
  <c r="AA198" i="180"/>
  <c r="AA201" i="180"/>
  <c r="AA204" i="180"/>
  <c r="AA207" i="180"/>
  <c r="AD255" i="180"/>
  <c r="AE255" i="180" s="1"/>
  <c r="AA255" i="180"/>
  <c r="AD239" i="180"/>
  <c r="AE239" i="180" s="1"/>
  <c r="AA239" i="180"/>
  <c r="AD286" i="180"/>
  <c r="AE286" i="180" s="1"/>
  <c r="AA286" i="180"/>
  <c r="AD298" i="180"/>
  <c r="AE298" i="180" s="1"/>
  <c r="AA298" i="180"/>
  <c r="AA237" i="180"/>
  <c r="AA260" i="180"/>
  <c r="AC309" i="180"/>
  <c r="AB309" i="180"/>
  <c r="AW309" i="180" s="1"/>
  <c r="AA214" i="180"/>
  <c r="AA215" i="180"/>
  <c r="AA216" i="180"/>
  <c r="AA217" i="180"/>
  <c r="AA218" i="180"/>
  <c r="AA219" i="180"/>
  <c r="AA220" i="180"/>
  <c r="AA221" i="180"/>
  <c r="AA222" i="180"/>
  <c r="AA223" i="180"/>
  <c r="AA224" i="180"/>
  <c r="AA262" i="180"/>
  <c r="AC297" i="180"/>
  <c r="AA244" i="180"/>
  <c r="AA257" i="180"/>
  <c r="AA259" i="180"/>
  <c r="AD310" i="180"/>
  <c r="AE310" i="180" s="1"/>
  <c r="AA310" i="180"/>
  <c r="AA263" i="180"/>
  <c r="AD274" i="180"/>
  <c r="AE274" i="180" s="1"/>
  <c r="AA274" i="180"/>
  <c r="AC286" i="180"/>
  <c r="AA271" i="180"/>
  <c r="AA283" i="180"/>
  <c r="AA295" i="180"/>
  <c r="AA307" i="180"/>
  <c r="AB308" i="180"/>
  <c r="AM308" i="180" s="1"/>
  <c r="AL308" i="180" s="1"/>
  <c r="AA270" i="180"/>
  <c r="AA282" i="180"/>
  <c r="AA294" i="180"/>
  <c r="AB307" i="180"/>
  <c r="AM307" i="180" s="1"/>
  <c r="AL307" i="180" s="1"/>
  <c r="AB306" i="180"/>
  <c r="AW306" i="180" s="1"/>
  <c r="AA268" i="180"/>
  <c r="AA280" i="180"/>
  <c r="AA292" i="180"/>
  <c r="AA304" i="180"/>
  <c r="AB305" i="180"/>
  <c r="AM305" i="180" s="1"/>
  <c r="AL305" i="180" s="1"/>
  <c r="AA267" i="180"/>
  <c r="AA279" i="180"/>
  <c r="AA291" i="180"/>
  <c r="AA303" i="180"/>
  <c r="AB304" i="180"/>
  <c r="AM304" i="180" s="1"/>
  <c r="AL304" i="180" s="1"/>
  <c r="AA314" i="180"/>
  <c r="AA312" i="180"/>
  <c r="AB311" i="180"/>
  <c r="AW311" i="180" s="1"/>
  <c r="AA273" i="180"/>
  <c r="AE5" i="167" l="1"/>
  <c r="AM313" i="180"/>
  <c r="AL313" i="180" s="1"/>
  <c r="AW302" i="180"/>
  <c r="AM300" i="180"/>
  <c r="AL300" i="180" s="1"/>
  <c r="AW301" i="180"/>
  <c r="AW314" i="180"/>
  <c r="AM312" i="180"/>
  <c r="AL312" i="180" s="1"/>
  <c r="AW303" i="180"/>
  <c r="AW307" i="180"/>
  <c r="AW308" i="180"/>
  <c r="AM311" i="180"/>
  <c r="AL311" i="180" s="1"/>
  <c r="AW304" i="180"/>
  <c r="AW310" i="180"/>
  <c r="AM309" i="180"/>
  <c r="AL309" i="180" s="1"/>
  <c r="AM306" i="180"/>
  <c r="AL306" i="180" s="1"/>
  <c r="AW305" i="180"/>
  <c r="AN5" i="167" l="1"/>
  <c r="K174" i="180" l="1"/>
  <c r="AN174" i="180" s="1"/>
  <c r="K197" i="180"/>
  <c r="AN197" i="180" s="1"/>
  <c r="K175" i="180"/>
  <c r="AN175" i="180" s="1"/>
  <c r="Y159" i="167" l="1"/>
  <c r="Y160" i="167"/>
  <c r="AL160" i="167" s="1"/>
  <c r="Y161" i="167"/>
  <c r="Y162" i="167"/>
  <c r="Y163" i="167"/>
  <c r="Y164" i="167"/>
  <c r="Y165" i="167"/>
  <c r="AL165" i="167" s="1"/>
  <c r="Y6" i="167"/>
  <c r="Y7" i="167"/>
  <c r="Y8" i="167"/>
  <c r="Y9" i="167"/>
  <c r="Y10" i="167"/>
  <c r="Y11" i="167"/>
  <c r="Y12" i="167"/>
  <c r="Y13" i="167"/>
  <c r="Y14" i="167"/>
  <c r="Y15" i="167"/>
  <c r="Y16" i="167"/>
  <c r="Y17" i="167"/>
  <c r="Y18" i="167"/>
  <c r="Y19" i="167"/>
  <c r="Y20" i="167"/>
  <c r="Y21" i="167"/>
  <c r="Y22" i="167"/>
  <c r="Y23" i="167"/>
  <c r="Y24" i="167"/>
  <c r="Y25" i="167"/>
  <c r="Y26" i="167"/>
  <c r="Y27" i="167"/>
  <c r="Y28" i="167"/>
  <c r="Y29" i="167"/>
  <c r="Y30" i="167"/>
  <c r="Y31" i="167"/>
  <c r="Y32" i="167"/>
  <c r="Y33" i="167"/>
  <c r="Y34" i="167"/>
  <c r="Y35" i="167"/>
  <c r="Y36" i="167"/>
  <c r="Y37" i="167"/>
  <c r="Y38" i="167"/>
  <c r="Y39" i="167"/>
  <c r="Y40" i="167"/>
  <c r="Y41" i="167"/>
  <c r="Y42" i="167"/>
  <c r="Y43" i="167"/>
  <c r="Y44" i="167"/>
  <c r="Y45" i="167"/>
  <c r="Y46" i="167"/>
  <c r="Y47" i="167"/>
  <c r="Y48" i="167"/>
  <c r="Y49" i="167"/>
  <c r="Y50" i="167"/>
  <c r="Y51" i="167"/>
  <c r="Y52" i="167"/>
  <c r="Y53" i="167"/>
  <c r="Y54" i="167"/>
  <c r="Y55" i="167"/>
  <c r="Y56" i="167"/>
  <c r="Y57" i="167"/>
  <c r="Y58" i="167"/>
  <c r="Y59" i="167"/>
  <c r="Y60" i="167"/>
  <c r="Y61" i="167"/>
  <c r="Y62" i="167"/>
  <c r="Y63" i="167"/>
  <c r="Y64" i="167"/>
  <c r="Y65" i="167"/>
  <c r="Y66" i="167"/>
  <c r="Y67" i="167"/>
  <c r="Y68" i="167"/>
  <c r="Y69" i="167"/>
  <c r="Y70" i="167"/>
  <c r="Y71" i="167"/>
  <c r="Y72" i="167"/>
  <c r="Y73" i="167"/>
  <c r="Y74" i="167"/>
  <c r="Y75" i="167"/>
  <c r="Y76" i="167"/>
  <c r="Y77" i="167"/>
  <c r="Y78" i="167"/>
  <c r="Y79" i="167"/>
  <c r="Y80" i="167"/>
  <c r="Y81" i="167"/>
  <c r="Y82" i="167"/>
  <c r="Y83" i="167"/>
  <c r="Y84" i="167"/>
  <c r="Y85" i="167"/>
  <c r="Y86" i="167"/>
  <c r="Y87" i="167"/>
  <c r="Y88" i="167"/>
  <c r="Y89" i="167"/>
  <c r="Y90" i="167"/>
  <c r="Y91" i="167"/>
  <c r="Y92" i="167"/>
  <c r="Y93" i="167"/>
  <c r="Y94" i="167"/>
  <c r="Y95" i="167"/>
  <c r="Y96" i="167"/>
  <c r="Y97" i="167"/>
  <c r="Y98" i="167"/>
  <c r="Y99" i="167"/>
  <c r="Y100" i="167"/>
  <c r="Y101" i="167"/>
  <c r="Y102" i="167"/>
  <c r="Y103" i="167"/>
  <c r="Y104" i="167"/>
  <c r="Y105" i="167"/>
  <c r="Y106" i="167"/>
  <c r="Y107" i="167"/>
  <c r="Y108" i="167"/>
  <c r="Y109" i="167"/>
  <c r="Y110" i="167"/>
  <c r="Y111" i="167"/>
  <c r="Y112" i="167"/>
  <c r="Y113" i="167"/>
  <c r="Y114" i="167"/>
  <c r="Y115" i="167"/>
  <c r="Y116" i="167"/>
  <c r="Y117" i="167"/>
  <c r="Y118" i="167"/>
  <c r="Y119" i="167"/>
  <c r="Y120" i="167"/>
  <c r="Y121" i="167"/>
  <c r="Y122" i="167"/>
  <c r="Y123" i="167"/>
  <c r="Y124" i="167"/>
  <c r="Y125" i="167"/>
  <c r="Y126" i="167"/>
  <c r="AL126" i="167" s="1"/>
  <c r="Y127" i="167"/>
  <c r="Y128" i="167"/>
  <c r="Y129" i="167"/>
  <c r="Y130" i="167"/>
  <c r="Y131" i="167"/>
  <c r="Y132" i="167"/>
  <c r="Y133" i="167"/>
  <c r="Y134" i="167"/>
  <c r="Y135" i="167"/>
  <c r="Y136" i="167"/>
  <c r="Y137" i="167"/>
  <c r="Y138" i="167"/>
  <c r="Y139" i="167"/>
  <c r="Y140" i="167"/>
  <c r="Y141" i="167"/>
  <c r="Y142" i="167"/>
  <c r="Y143" i="167"/>
  <c r="Y144" i="167"/>
  <c r="Y145" i="167"/>
  <c r="Y146" i="167"/>
  <c r="Y147" i="167"/>
  <c r="Y148" i="167"/>
  <c r="Y149" i="167"/>
  <c r="Y150" i="167"/>
  <c r="Y151" i="167"/>
  <c r="Y152" i="167"/>
  <c r="Y153" i="167"/>
  <c r="Y154" i="167"/>
  <c r="Y155" i="167"/>
  <c r="Y156" i="167"/>
  <c r="Y157" i="167"/>
  <c r="Y158" i="167"/>
  <c r="AC149" i="167" l="1"/>
  <c r="AC137" i="167"/>
  <c r="AC125" i="167"/>
  <c r="AC113" i="167"/>
  <c r="AC101" i="167"/>
  <c r="AC89" i="167"/>
  <c r="AC77" i="167"/>
  <c r="AC65" i="167"/>
  <c r="AC53" i="167"/>
  <c r="AC41" i="167"/>
  <c r="AC29" i="167"/>
  <c r="AC17" i="167"/>
  <c r="AC165" i="167"/>
  <c r="AB165" i="167"/>
  <c r="AC148" i="167"/>
  <c r="AC136" i="167"/>
  <c r="AC124" i="167"/>
  <c r="AC112" i="167"/>
  <c r="AC100" i="167"/>
  <c r="AC88" i="167"/>
  <c r="AC76" i="167"/>
  <c r="AC64" i="167"/>
  <c r="AC52" i="167"/>
  <c r="AC40" i="167"/>
  <c r="AC28" i="167"/>
  <c r="AC16" i="167"/>
  <c r="AC164" i="167"/>
  <c r="AB164" i="167"/>
  <c r="AM164" i="167" s="1"/>
  <c r="AL164" i="167" s="1"/>
  <c r="AC147" i="167"/>
  <c r="AC135" i="167"/>
  <c r="AC123" i="167"/>
  <c r="AC111" i="167"/>
  <c r="AC99" i="167"/>
  <c r="AC87" i="167"/>
  <c r="AC75" i="167"/>
  <c r="AC63" i="167"/>
  <c r="AC51" i="167"/>
  <c r="AC39" i="167"/>
  <c r="AC27" i="167"/>
  <c r="AC15" i="167"/>
  <c r="AC163" i="167"/>
  <c r="AB163" i="167"/>
  <c r="AM163" i="167" s="1"/>
  <c r="AL163" i="167" s="1"/>
  <c r="AC158" i="167"/>
  <c r="AC146" i="167"/>
  <c r="AC134" i="167"/>
  <c r="AC122" i="167"/>
  <c r="AC110" i="167"/>
  <c r="AC98" i="167"/>
  <c r="AC86" i="167"/>
  <c r="AC74" i="167"/>
  <c r="AC62" i="167"/>
  <c r="AC50" i="167"/>
  <c r="AC38" i="167"/>
  <c r="AC26" i="167"/>
  <c r="AC14" i="167"/>
  <c r="AB162" i="167"/>
  <c r="AM162" i="167" s="1"/>
  <c r="AL162" i="167" s="1"/>
  <c r="AC162" i="167"/>
  <c r="AC157" i="167"/>
  <c r="AC145" i="167"/>
  <c r="AC133" i="167"/>
  <c r="AC121" i="167"/>
  <c r="AC109" i="167"/>
  <c r="AC97" i="167"/>
  <c r="AC85" i="167"/>
  <c r="AC73" i="167"/>
  <c r="AC61" i="167"/>
  <c r="AC49" i="167"/>
  <c r="AC37" i="167"/>
  <c r="AC25" i="167"/>
  <c r="AC13" i="167"/>
  <c r="AC161" i="167"/>
  <c r="AB161" i="167"/>
  <c r="AM161" i="167" s="1"/>
  <c r="AL161" i="167" s="1"/>
  <c r="AC156" i="167"/>
  <c r="AC144" i="167"/>
  <c r="AC132" i="167"/>
  <c r="AC120" i="167"/>
  <c r="AC108" i="167"/>
  <c r="AC96" i="167"/>
  <c r="AC84" i="167"/>
  <c r="AC72" i="167"/>
  <c r="AC60" i="167"/>
  <c r="AC48" i="167"/>
  <c r="AC36" i="167"/>
  <c r="AC24" i="167"/>
  <c r="AC12" i="167"/>
  <c r="AC160" i="167"/>
  <c r="AB160" i="167"/>
  <c r="AC155" i="167"/>
  <c r="AC143" i="167"/>
  <c r="AC131" i="167"/>
  <c r="AC119" i="167"/>
  <c r="AC107" i="167"/>
  <c r="AC95" i="167"/>
  <c r="AC83" i="167"/>
  <c r="AC71" i="167"/>
  <c r="AC59" i="167"/>
  <c r="AC47" i="167"/>
  <c r="AC35" i="167"/>
  <c r="AC23" i="167"/>
  <c r="AC11" i="167"/>
  <c r="AC159" i="167"/>
  <c r="AB159" i="167"/>
  <c r="AM159" i="167" s="1"/>
  <c r="AL159" i="167" s="1"/>
  <c r="AC154" i="167"/>
  <c r="AC142" i="167"/>
  <c r="AC130" i="167"/>
  <c r="AC118" i="167"/>
  <c r="AC106" i="167"/>
  <c r="AC94" i="167"/>
  <c r="AC82" i="167"/>
  <c r="AC70" i="167"/>
  <c r="AC58" i="167"/>
  <c r="AC46" i="167"/>
  <c r="AC34" i="167"/>
  <c r="AC22" i="167"/>
  <c r="AC10" i="167"/>
  <c r="V163" i="167"/>
  <c r="AC153" i="167"/>
  <c r="AC141" i="167"/>
  <c r="AC129" i="167"/>
  <c r="AC117" i="167"/>
  <c r="AC105" i="167"/>
  <c r="AC93" i="167"/>
  <c r="AC81" i="167"/>
  <c r="AC69" i="167"/>
  <c r="AC57" i="167"/>
  <c r="AC45" i="167"/>
  <c r="AC33" i="167"/>
  <c r="AC21" i="167"/>
  <c r="AC9" i="167"/>
  <c r="V162" i="167"/>
  <c r="AC152" i="167"/>
  <c r="AC140" i="167"/>
  <c r="AC128" i="167"/>
  <c r="AC116" i="167"/>
  <c r="AC104" i="167"/>
  <c r="AC92" i="167"/>
  <c r="AC80" i="167"/>
  <c r="AC68" i="167"/>
  <c r="AC56" i="167"/>
  <c r="AC44" i="167"/>
  <c r="AC32" i="167"/>
  <c r="AC20" i="167"/>
  <c r="AC8" i="167"/>
  <c r="V161" i="167"/>
  <c r="AC151" i="167"/>
  <c r="AC139" i="167"/>
  <c r="AC127" i="167"/>
  <c r="AC115" i="167"/>
  <c r="AC103" i="167"/>
  <c r="AC91" i="167"/>
  <c r="AC79" i="167"/>
  <c r="AC67" i="167"/>
  <c r="AC55" i="167"/>
  <c r="AC43" i="167"/>
  <c r="AC31" i="167"/>
  <c r="AC19" i="167"/>
  <c r="AC7" i="167"/>
  <c r="V160" i="167"/>
  <c r="AC150" i="167"/>
  <c r="AC138" i="167"/>
  <c r="AB126" i="167"/>
  <c r="AW126" i="167" s="1"/>
  <c r="AC126" i="167"/>
  <c r="AC114" i="167"/>
  <c r="AC102" i="167"/>
  <c r="AC90" i="167"/>
  <c r="AC78" i="167"/>
  <c r="AC66" i="167"/>
  <c r="AC54" i="167"/>
  <c r="AC42" i="167"/>
  <c r="AC30" i="167"/>
  <c r="AC18" i="167"/>
  <c r="AC6" i="167"/>
  <c r="V159" i="167"/>
  <c r="AW162" i="167" l="1"/>
  <c r="AW159" i="167"/>
  <c r="AW160" i="167"/>
  <c r="AW163" i="167"/>
  <c r="AW164" i="167"/>
  <c r="AW161" i="167"/>
  <c r="AW165" i="167"/>
  <c r="F6" i="167" l="1"/>
  <c r="AL6" i="167" s="1"/>
  <c r="F7" i="167"/>
  <c r="AL7" i="167" s="1"/>
  <c r="F8" i="167"/>
  <c r="AL8" i="167" s="1"/>
  <c r="F9" i="167"/>
  <c r="AL9" i="167" s="1"/>
  <c r="F10" i="167"/>
  <c r="AL10" i="167" s="1"/>
  <c r="AB8" i="167" l="1"/>
  <c r="AW8" i="167" s="1"/>
  <c r="AB10" i="167"/>
  <c r="AW10" i="167" s="1"/>
  <c r="AB6" i="167"/>
  <c r="AW6" i="167" s="1"/>
  <c r="AB9" i="167"/>
  <c r="AW9" i="167" s="1"/>
  <c r="AB7" i="167"/>
  <c r="AW7" i="167" s="1"/>
  <c r="F158" i="167" l="1"/>
  <c r="AL158" i="167" s="1"/>
  <c r="V139" i="167"/>
  <c r="F139" i="167"/>
  <c r="AL139" i="167" s="1"/>
  <c r="F129" i="167"/>
  <c r="AL129" i="167" s="1"/>
  <c r="F157" i="167"/>
  <c r="AL157" i="167" s="1"/>
  <c r="F156" i="167"/>
  <c r="AL156" i="167" s="1"/>
  <c r="F155" i="167"/>
  <c r="AL155" i="167" s="1"/>
  <c r="V155" i="167"/>
  <c r="F154" i="167"/>
  <c r="AL154" i="167" s="1"/>
  <c r="F153" i="167"/>
  <c r="AL153" i="167" s="1"/>
  <c r="F152" i="167"/>
  <c r="AL152" i="167" s="1"/>
  <c r="F151" i="167"/>
  <c r="AL151" i="167" s="1"/>
  <c r="F150" i="167"/>
  <c r="AL150" i="167" s="1"/>
  <c r="F149" i="167"/>
  <c r="AL149" i="167" s="1"/>
  <c r="F147" i="167"/>
  <c r="AL147" i="167" s="1"/>
  <c r="F146" i="167"/>
  <c r="AL146" i="167" s="1"/>
  <c r="V146" i="167"/>
  <c r="F148" i="167"/>
  <c r="AL148" i="167" s="1"/>
  <c r="V142" i="167"/>
  <c r="F142" i="167"/>
  <c r="AL142" i="167" s="1"/>
  <c r="V143" i="167"/>
  <c r="F143" i="167"/>
  <c r="AL143" i="167" s="1"/>
  <c r="F145" i="167"/>
  <c r="AL145" i="167" s="1"/>
  <c r="F144" i="167"/>
  <c r="AL144" i="167" s="1"/>
  <c r="F141" i="167"/>
  <c r="AL141" i="167" s="1"/>
  <c r="V141" i="167"/>
  <c r="F140" i="167"/>
  <c r="AL140" i="167" s="1"/>
  <c r="F137" i="167"/>
  <c r="AL137" i="167" s="1"/>
  <c r="F136" i="167"/>
  <c r="AL136" i="167" s="1"/>
  <c r="F138" i="167"/>
  <c r="F135" i="167"/>
  <c r="AL135" i="167" s="1"/>
  <c r="F134" i="167"/>
  <c r="AL134" i="167" s="1"/>
  <c r="F131" i="167"/>
  <c r="AL131" i="167" s="1"/>
  <c r="F130" i="167"/>
  <c r="AL130" i="167" s="1"/>
  <c r="F128" i="167"/>
  <c r="AL128" i="167" s="1"/>
  <c r="F121" i="167"/>
  <c r="AL121" i="167" s="1"/>
  <c r="F120" i="167"/>
  <c r="AL120" i="167" s="1"/>
  <c r="F133" i="167"/>
  <c r="AL133" i="167" s="1"/>
  <c r="F132" i="167"/>
  <c r="AL132" i="167" s="1"/>
  <c r="V127" i="167"/>
  <c r="V123" i="167"/>
  <c r="V91" i="167"/>
  <c r="F124" i="167"/>
  <c r="AL124" i="167" s="1"/>
  <c r="V92" i="167"/>
  <c r="AB138" i="167" l="1"/>
  <c r="AM138" i="167" s="1"/>
  <c r="AL138" i="167" s="1"/>
  <c r="V134" i="167"/>
  <c r="V131" i="167"/>
  <c r="V148" i="167"/>
  <c r="V121" i="167"/>
  <c r="F92" i="167"/>
  <c r="AL92" i="167" s="1"/>
  <c r="AB132" i="167"/>
  <c r="AW132" i="167" s="1"/>
  <c r="AB121" i="167"/>
  <c r="AW121" i="167" s="1"/>
  <c r="AB131" i="167"/>
  <c r="AW131" i="167" s="1"/>
  <c r="V138" i="167"/>
  <c r="AB142" i="167"/>
  <c r="AW142" i="167" s="1"/>
  <c r="AB148" i="167"/>
  <c r="AW148" i="167" s="1"/>
  <c r="V149" i="167"/>
  <c r="V152" i="167"/>
  <c r="AB120" i="167"/>
  <c r="AW120" i="167" s="1"/>
  <c r="V124" i="167"/>
  <c r="V133" i="167"/>
  <c r="V132" i="167"/>
  <c r="V140" i="167"/>
  <c r="AB149" i="167"/>
  <c r="AW149" i="167" s="1"/>
  <c r="V130" i="167"/>
  <c r="AB135" i="167"/>
  <c r="AW135" i="167" s="1"/>
  <c r="V147" i="167"/>
  <c r="V128" i="167"/>
  <c r="AB146" i="167"/>
  <c r="AW146" i="167" s="1"/>
  <c r="AB152" i="167"/>
  <c r="AW152" i="167" s="1"/>
  <c r="AB155" i="167"/>
  <c r="AW155" i="167" s="1"/>
  <c r="AB140" i="167"/>
  <c r="AW140" i="167" s="1"/>
  <c r="V145" i="167"/>
  <c r="AB145" i="167"/>
  <c r="AW145" i="167" s="1"/>
  <c r="V129" i="167"/>
  <c r="V154" i="167"/>
  <c r="V157" i="167"/>
  <c r="AB129" i="167"/>
  <c r="AW129" i="167" s="1"/>
  <c r="V151" i="167"/>
  <c r="F127" i="167"/>
  <c r="AL127" i="167" s="1"/>
  <c r="V137" i="167"/>
  <c r="AB147" i="167"/>
  <c r="AW147" i="167" s="1"/>
  <c r="AB151" i="167"/>
  <c r="AW151" i="167" s="1"/>
  <c r="AB154" i="167"/>
  <c r="AW154" i="167" s="1"/>
  <c r="AB157" i="167"/>
  <c r="AW157" i="167" s="1"/>
  <c r="F91" i="167"/>
  <c r="AL91" i="167" s="1"/>
  <c r="V120" i="167"/>
  <c r="V135" i="167"/>
  <c r="AB130" i="167"/>
  <c r="AW130" i="167" s="1"/>
  <c r="AB137" i="167"/>
  <c r="AW137" i="167" s="1"/>
  <c r="V144" i="167"/>
  <c r="AB143" i="167"/>
  <c r="AW143" i="167" s="1"/>
  <c r="AB139" i="167"/>
  <c r="AW139" i="167" s="1"/>
  <c r="V158" i="167"/>
  <c r="V150" i="167"/>
  <c r="V156" i="167"/>
  <c r="AB158" i="167"/>
  <c r="AW158" i="167" s="1"/>
  <c r="AB144" i="167"/>
  <c r="AW144" i="167" s="1"/>
  <c r="AB128" i="167"/>
  <c r="AW128" i="167" s="1"/>
  <c r="AB134" i="167"/>
  <c r="AW134" i="167" s="1"/>
  <c r="AB156" i="167"/>
  <c r="AW156" i="167" s="1"/>
  <c r="AB124" i="167"/>
  <c r="AW124" i="167" s="1"/>
  <c r="AB133" i="167"/>
  <c r="AW133" i="167" s="1"/>
  <c r="V153" i="167"/>
  <c r="V136" i="167"/>
  <c r="AB150" i="167"/>
  <c r="AW150" i="167" s="1"/>
  <c r="AB153" i="167"/>
  <c r="AW153" i="167" s="1"/>
  <c r="F123" i="167"/>
  <c r="AL123" i="167" s="1"/>
  <c r="AB136" i="167"/>
  <c r="AW136" i="167" s="1"/>
  <c r="AB141" i="167"/>
  <c r="AW141" i="167" s="1"/>
  <c r="V111" i="167"/>
  <c r="AW138" i="167" l="1"/>
  <c r="AB91" i="167"/>
  <c r="AW91" i="167" s="1"/>
  <c r="AB123" i="167"/>
  <c r="AW123" i="167" s="1"/>
  <c r="AB127" i="167"/>
  <c r="AW127" i="167" s="1"/>
  <c r="AB92" i="167"/>
  <c r="AW92" i="167" s="1"/>
  <c r="F111" i="167"/>
  <c r="AL111" i="167" s="1"/>
  <c r="AB111" i="167" l="1"/>
  <c r="AW111" i="167" s="1"/>
  <c r="V98" i="167"/>
  <c r="V87" i="167"/>
  <c r="V88" i="167"/>
  <c r="V97" i="167"/>
  <c r="F98" i="167" l="1"/>
  <c r="AL98" i="167" s="1"/>
  <c r="F97" i="167"/>
  <c r="F87" i="167"/>
  <c r="AL87" i="167" s="1"/>
  <c r="F88" i="167"/>
  <c r="AL88" i="167" s="1"/>
  <c r="F125" i="167"/>
  <c r="AL125" i="167" s="1"/>
  <c r="F122" i="167"/>
  <c r="AL122" i="167" s="1"/>
  <c r="V118" i="167"/>
  <c r="F119" i="167"/>
  <c r="AL119" i="167" s="1"/>
  <c r="V119" i="167"/>
  <c r="V117" i="167"/>
  <c r="V112" i="167"/>
  <c r="V115" i="167"/>
  <c r="V116" i="167"/>
  <c r="V86" i="167"/>
  <c r="V40" i="167"/>
  <c r="V55" i="167"/>
  <c r="V59" i="167"/>
  <c r="V56" i="167"/>
  <c r="V57" i="167"/>
  <c r="V114" i="167"/>
  <c r="V16" i="167"/>
  <c r="AB97" i="167" l="1"/>
  <c r="AM97" i="167" s="1"/>
  <c r="F57" i="167"/>
  <c r="AL57" i="167" s="1"/>
  <c r="F59" i="167"/>
  <c r="AL59" i="167" s="1"/>
  <c r="F117" i="167"/>
  <c r="AL117" i="167" s="1"/>
  <c r="V122" i="167"/>
  <c r="AB122" i="167"/>
  <c r="AW122" i="167" s="1"/>
  <c r="F40" i="167"/>
  <c r="AL40" i="167" s="1"/>
  <c r="F116" i="167"/>
  <c r="AL116" i="167" s="1"/>
  <c r="AB88" i="167"/>
  <c r="AW88" i="167" s="1"/>
  <c r="F118" i="167"/>
  <c r="AL118" i="167" s="1"/>
  <c r="AB87" i="167"/>
  <c r="AW87" i="167" s="1"/>
  <c r="F55" i="167"/>
  <c r="AL55" i="167" s="1"/>
  <c r="F56" i="167"/>
  <c r="AL56" i="167" s="1"/>
  <c r="V125" i="167"/>
  <c r="F86" i="167"/>
  <c r="AB125" i="167"/>
  <c r="AW125" i="167" s="1"/>
  <c r="F114" i="167"/>
  <c r="AL114" i="167" s="1"/>
  <c r="F115" i="167"/>
  <c r="AL115" i="167" s="1"/>
  <c r="AB119" i="167"/>
  <c r="AW119" i="167" s="1"/>
  <c r="AB98" i="167"/>
  <c r="AW98" i="167" s="1"/>
  <c r="F112" i="167"/>
  <c r="AL112" i="167" s="1"/>
  <c r="F16" i="167"/>
  <c r="AL16" i="167" s="1"/>
  <c r="AW97" i="167" l="1"/>
  <c r="AL97" i="167"/>
  <c r="AB114" i="167"/>
  <c r="AW114" i="167" s="1"/>
  <c r="AB55" i="167"/>
  <c r="AW55" i="167" s="1"/>
  <c r="AB16" i="167"/>
  <c r="AW16" i="167" s="1"/>
  <c r="AB112" i="167"/>
  <c r="AW112" i="167" s="1"/>
  <c r="AB86" i="167"/>
  <c r="AM86" i="167" s="1"/>
  <c r="AL86" i="167" s="1"/>
  <c r="AB118" i="167"/>
  <c r="AW118" i="167" s="1"/>
  <c r="AB117" i="167"/>
  <c r="AW117" i="167" s="1"/>
  <c r="AB59" i="167"/>
  <c r="AW59" i="167" s="1"/>
  <c r="AB116" i="167"/>
  <c r="AW116" i="167" s="1"/>
  <c r="AB115" i="167"/>
  <c r="AW115" i="167" s="1"/>
  <c r="AB57" i="167"/>
  <c r="AW57" i="167" s="1"/>
  <c r="AB56" i="167"/>
  <c r="AW56" i="167" s="1"/>
  <c r="AB40" i="167"/>
  <c r="AW40" i="167" s="1"/>
  <c r="V113" i="167"/>
  <c r="F113" i="167"/>
  <c r="AL113" i="167" s="1"/>
  <c r="V110" i="167"/>
  <c r="F110" i="167"/>
  <c r="AL110" i="167" s="1"/>
  <c r="V109" i="167"/>
  <c r="F109" i="167"/>
  <c r="AL109" i="167" s="1"/>
  <c r="V105" i="167"/>
  <c r="F105" i="167"/>
  <c r="AL105" i="167" s="1"/>
  <c r="V104" i="167"/>
  <c r="F104" i="167"/>
  <c r="AL104" i="167" s="1"/>
  <c r="V103" i="167"/>
  <c r="F103" i="167"/>
  <c r="AL103" i="167" s="1"/>
  <c r="V108" i="167"/>
  <c r="F108" i="167"/>
  <c r="AL108" i="167" s="1"/>
  <c r="V107" i="167"/>
  <c r="F107" i="167"/>
  <c r="AL107" i="167" s="1"/>
  <c r="V106" i="167"/>
  <c r="F106" i="167"/>
  <c r="AL106" i="167" s="1"/>
  <c r="V102" i="167"/>
  <c r="F102" i="167"/>
  <c r="AL102" i="167" s="1"/>
  <c r="V101" i="167"/>
  <c r="F101" i="167"/>
  <c r="AL101" i="167" s="1"/>
  <c r="V100" i="167"/>
  <c r="V99" i="167"/>
  <c r="F99" i="167"/>
  <c r="V96" i="167"/>
  <c r="V95" i="167"/>
  <c r="V94" i="167"/>
  <c r="F94" i="167"/>
  <c r="AL94" i="167" s="1"/>
  <c r="V93" i="167"/>
  <c r="F93" i="167"/>
  <c r="AL93" i="167" s="1"/>
  <c r="V90" i="167"/>
  <c r="V89" i="167"/>
  <c r="V85" i="167"/>
  <c r="F85" i="167"/>
  <c r="AL85" i="167" s="1"/>
  <c r="V84" i="167"/>
  <c r="F84" i="167"/>
  <c r="AL84" i="167" s="1"/>
  <c r="V83" i="167"/>
  <c r="F83" i="167"/>
  <c r="AL83" i="167" s="1"/>
  <c r="V82" i="167"/>
  <c r="F82" i="167"/>
  <c r="AL82" i="167" s="1"/>
  <c r="V81" i="167"/>
  <c r="F81" i="167"/>
  <c r="AL81" i="167" s="1"/>
  <c r="V80" i="167"/>
  <c r="F80" i="167"/>
  <c r="AL80" i="167" s="1"/>
  <c r="V79" i="167"/>
  <c r="F79" i="167"/>
  <c r="AL79" i="167" s="1"/>
  <c r="V78" i="167"/>
  <c r="F78" i="167"/>
  <c r="AL78" i="167" s="1"/>
  <c r="V77" i="167"/>
  <c r="F77" i="167"/>
  <c r="AL77" i="167" s="1"/>
  <c r="V76" i="167"/>
  <c r="F76" i="167"/>
  <c r="AL76" i="167" s="1"/>
  <c r="V75" i="167"/>
  <c r="F75" i="167"/>
  <c r="AL75" i="167" s="1"/>
  <c r="V74" i="167"/>
  <c r="F74" i="167"/>
  <c r="AL74" i="167" s="1"/>
  <c r="V73" i="167"/>
  <c r="F73" i="167"/>
  <c r="AL73" i="167" s="1"/>
  <c r="V72" i="167"/>
  <c r="F72" i="167"/>
  <c r="AL72" i="167" s="1"/>
  <c r="V71" i="167"/>
  <c r="F71" i="167"/>
  <c r="AL71" i="167" s="1"/>
  <c r="V70" i="167"/>
  <c r="F70" i="167"/>
  <c r="AL70" i="167" s="1"/>
  <c r="V69" i="167"/>
  <c r="F69" i="167"/>
  <c r="AL69" i="167" s="1"/>
  <c r="V68" i="167"/>
  <c r="F68" i="167"/>
  <c r="AL68" i="167" s="1"/>
  <c r="V67" i="167"/>
  <c r="F67" i="167"/>
  <c r="AL67" i="167" s="1"/>
  <c r="V66" i="167"/>
  <c r="F66" i="167"/>
  <c r="AL66" i="167" s="1"/>
  <c r="V65" i="167"/>
  <c r="F65" i="167"/>
  <c r="AL65" i="167" s="1"/>
  <c r="V64" i="167"/>
  <c r="F64" i="167"/>
  <c r="AL64" i="167" s="1"/>
  <c r="V63" i="167"/>
  <c r="F63" i="167"/>
  <c r="AL63" i="167" s="1"/>
  <c r="V62" i="167"/>
  <c r="F62" i="167"/>
  <c r="AL62" i="167" s="1"/>
  <c r="V61" i="167"/>
  <c r="F61" i="167"/>
  <c r="AL61" i="167" s="1"/>
  <c r="V60" i="167"/>
  <c r="F60" i="167"/>
  <c r="AL60" i="167" s="1"/>
  <c r="V58" i="167"/>
  <c r="F58" i="167"/>
  <c r="AL58" i="167" s="1"/>
  <c r="V54" i="167"/>
  <c r="F54" i="167"/>
  <c r="AL54" i="167" s="1"/>
  <c r="V53" i="167"/>
  <c r="F53" i="167"/>
  <c r="AL53" i="167" s="1"/>
  <c r="V52" i="167"/>
  <c r="F52" i="167"/>
  <c r="AL52" i="167" s="1"/>
  <c r="V51" i="167"/>
  <c r="F51" i="167"/>
  <c r="AL51" i="167" s="1"/>
  <c r="V50" i="167"/>
  <c r="F50" i="167"/>
  <c r="AL50" i="167" s="1"/>
  <c r="V49" i="167"/>
  <c r="F49" i="167"/>
  <c r="AL49" i="167" s="1"/>
  <c r="V48" i="167"/>
  <c r="F48" i="167"/>
  <c r="AL48" i="167" s="1"/>
  <c r="V47" i="167"/>
  <c r="F47" i="167"/>
  <c r="AL47" i="167" s="1"/>
  <c r="V46" i="167"/>
  <c r="F46" i="167"/>
  <c r="AL46" i="167" s="1"/>
  <c r="V45" i="167"/>
  <c r="F45" i="167"/>
  <c r="AL45" i="167" s="1"/>
  <c r="V44" i="167"/>
  <c r="F44" i="167"/>
  <c r="AL44" i="167" s="1"/>
  <c r="V43" i="167"/>
  <c r="F43" i="167"/>
  <c r="AL43" i="167" s="1"/>
  <c r="V42" i="167"/>
  <c r="F42" i="167"/>
  <c r="AL42" i="167" s="1"/>
  <c r="V41" i="167"/>
  <c r="F41" i="167"/>
  <c r="AL41" i="167" s="1"/>
  <c r="V39" i="167"/>
  <c r="F39" i="167"/>
  <c r="AL39" i="167" s="1"/>
  <c r="V38" i="167"/>
  <c r="F38" i="167"/>
  <c r="AL38" i="167" s="1"/>
  <c r="V37" i="167"/>
  <c r="F37" i="167"/>
  <c r="AL37" i="167" s="1"/>
  <c r="V36" i="167"/>
  <c r="F36" i="167"/>
  <c r="AL36" i="167" s="1"/>
  <c r="V35" i="167"/>
  <c r="F35" i="167"/>
  <c r="AL35" i="167" s="1"/>
  <c r="V34" i="167"/>
  <c r="F34" i="167"/>
  <c r="AL34" i="167" s="1"/>
  <c r="V33" i="167"/>
  <c r="F33" i="167"/>
  <c r="AL33" i="167" s="1"/>
  <c r="V32" i="167"/>
  <c r="F32" i="167"/>
  <c r="AL32" i="167" s="1"/>
  <c r="V31" i="167"/>
  <c r="F31" i="167"/>
  <c r="AL31" i="167" s="1"/>
  <c r="V30" i="167"/>
  <c r="F30" i="167"/>
  <c r="AL30" i="167" s="1"/>
  <c r="V29" i="167"/>
  <c r="F29" i="167"/>
  <c r="AL29" i="167" s="1"/>
  <c r="V28" i="167"/>
  <c r="F28" i="167"/>
  <c r="AL28" i="167" s="1"/>
  <c r="V27" i="167"/>
  <c r="F27" i="167"/>
  <c r="AL27" i="167" s="1"/>
  <c r="V26" i="167"/>
  <c r="F26" i="167"/>
  <c r="AL26" i="167" s="1"/>
  <c r="V25" i="167"/>
  <c r="F25" i="167"/>
  <c r="AL25" i="167" s="1"/>
  <c r="V24" i="167"/>
  <c r="F24" i="167"/>
  <c r="AL24" i="167" s="1"/>
  <c r="V23" i="167"/>
  <c r="F23" i="167"/>
  <c r="AL23" i="167" s="1"/>
  <c r="V22" i="167"/>
  <c r="F22" i="167"/>
  <c r="AL22" i="167" s="1"/>
  <c r="V21" i="167"/>
  <c r="F21" i="167"/>
  <c r="AL21" i="167" s="1"/>
  <c r="V20" i="167"/>
  <c r="F20" i="167"/>
  <c r="AL20" i="167" s="1"/>
  <c r="V19" i="167"/>
  <c r="F19" i="167"/>
  <c r="AL19" i="167" s="1"/>
  <c r="V18" i="167"/>
  <c r="F18" i="167"/>
  <c r="AL18" i="167" s="1"/>
  <c r="V17" i="167"/>
  <c r="F17" i="167"/>
  <c r="AL17" i="167" s="1"/>
  <c r="V15" i="167"/>
  <c r="F15" i="167"/>
  <c r="AL15" i="167" s="1"/>
  <c r="V14" i="167"/>
  <c r="F14" i="167"/>
  <c r="AL14" i="167" s="1"/>
  <c r="V13" i="167"/>
  <c r="F13" i="167"/>
  <c r="AL13" i="167" s="1"/>
  <c r="V12" i="167"/>
  <c r="F12" i="167"/>
  <c r="AL12" i="167" s="1"/>
  <c r="V11" i="167"/>
  <c r="F11" i="167"/>
  <c r="AL11" i="167" s="1"/>
  <c r="AB11" i="167" l="1"/>
  <c r="AW11" i="167" s="1"/>
  <c r="AB26" i="167"/>
  <c r="AW26" i="167" s="1"/>
  <c r="AT5" i="167"/>
  <c r="V6" i="167"/>
  <c r="V10" i="167"/>
  <c r="AW86" i="167"/>
  <c r="AB34" i="167"/>
  <c r="AW34" i="167" s="1"/>
  <c r="AB46" i="167"/>
  <c r="AW46" i="167" s="1"/>
  <c r="AB65" i="167"/>
  <c r="AW65" i="167" s="1"/>
  <c r="AU5" i="167"/>
  <c r="AB12" i="167"/>
  <c r="AW12" i="167" s="1"/>
  <c r="AB38" i="167"/>
  <c r="AW38" i="167" s="1"/>
  <c r="Y5" i="167"/>
  <c r="AB19" i="167"/>
  <c r="AW19" i="167" s="1"/>
  <c r="AB49" i="167"/>
  <c r="AW49" i="167" s="1"/>
  <c r="AB53" i="167"/>
  <c r="AW53" i="167" s="1"/>
  <c r="AB58" i="167"/>
  <c r="AW58" i="167" s="1"/>
  <c r="AB64" i="167"/>
  <c r="AW64" i="167" s="1"/>
  <c r="AB17" i="167"/>
  <c r="AW17" i="167" s="1"/>
  <c r="AB29" i="167"/>
  <c r="AW29" i="167" s="1"/>
  <c r="AB48" i="167"/>
  <c r="AW48" i="167" s="1"/>
  <c r="AB54" i="167"/>
  <c r="AW54" i="167" s="1"/>
  <c r="AB67" i="167"/>
  <c r="AW67" i="167" s="1"/>
  <c r="V7" i="167"/>
  <c r="AB13" i="167"/>
  <c r="AW13" i="167" s="1"/>
  <c r="AB39" i="167"/>
  <c r="AW39" i="167" s="1"/>
  <c r="AB47" i="167"/>
  <c r="AW47" i="167" s="1"/>
  <c r="AB51" i="167"/>
  <c r="AW51" i="167" s="1"/>
  <c r="AB62" i="167"/>
  <c r="AW62" i="167" s="1"/>
  <c r="AB66" i="167"/>
  <c r="AW66" i="167" s="1"/>
  <c r="AB28" i="167"/>
  <c r="AW28" i="167" s="1"/>
  <c r="AB45" i="167"/>
  <c r="AW45" i="167" s="1"/>
  <c r="AB24" i="167"/>
  <c r="AW24" i="167" s="1"/>
  <c r="AB41" i="167"/>
  <c r="AW41" i="167" s="1"/>
  <c r="AB43" i="167"/>
  <c r="AW43" i="167" s="1"/>
  <c r="AB60" i="167"/>
  <c r="AW60" i="167" s="1"/>
  <c r="AB69" i="167"/>
  <c r="AW69" i="167" s="1"/>
  <c r="AB71" i="167"/>
  <c r="AW71" i="167" s="1"/>
  <c r="AB73" i="167"/>
  <c r="AW73" i="167" s="1"/>
  <c r="AB75" i="167"/>
  <c r="AW75" i="167" s="1"/>
  <c r="AB77" i="167"/>
  <c r="AW77" i="167" s="1"/>
  <c r="AB79" i="167"/>
  <c r="AW79" i="167" s="1"/>
  <c r="AB81" i="167"/>
  <c r="AW81" i="167" s="1"/>
  <c r="AB83" i="167"/>
  <c r="AW83" i="167" s="1"/>
  <c r="AB85" i="167"/>
  <c r="AW85" i="167" s="1"/>
  <c r="F90" i="167"/>
  <c r="AL90" i="167" s="1"/>
  <c r="AB94" i="167"/>
  <c r="AW94" i="167" s="1"/>
  <c r="F96" i="167"/>
  <c r="F100" i="167"/>
  <c r="AL100" i="167" s="1"/>
  <c r="AB102" i="167"/>
  <c r="AW102" i="167" s="1"/>
  <c r="AB107" i="167"/>
  <c r="AW107" i="167" s="1"/>
  <c r="AB103" i="167"/>
  <c r="AW103" i="167" s="1"/>
  <c r="AB105" i="167"/>
  <c r="AW105" i="167" s="1"/>
  <c r="AB110" i="167"/>
  <c r="AW110" i="167" s="1"/>
  <c r="F5" i="167"/>
  <c r="V5" i="167"/>
  <c r="AB31" i="167"/>
  <c r="AW31" i="167" s="1"/>
  <c r="AB18" i="167"/>
  <c r="AW18" i="167" s="1"/>
  <c r="AB63" i="167"/>
  <c r="AW63" i="167" s="1"/>
  <c r="AB20" i="167"/>
  <c r="AW20" i="167" s="1"/>
  <c r="AB37" i="167"/>
  <c r="AW37" i="167" s="1"/>
  <c r="AB22" i="167"/>
  <c r="AW22" i="167" s="1"/>
  <c r="V8" i="167"/>
  <c r="AB32" i="167"/>
  <c r="AW32" i="167" s="1"/>
  <c r="AB52" i="167"/>
  <c r="AW52" i="167" s="1"/>
  <c r="AB14" i="167"/>
  <c r="AW14" i="167" s="1"/>
  <c r="AB35" i="167"/>
  <c r="AW35" i="167" s="1"/>
  <c r="AB50" i="167"/>
  <c r="AW50" i="167" s="1"/>
  <c r="V9" i="167"/>
  <c r="AB15" i="167"/>
  <c r="AW15" i="167" s="1"/>
  <c r="AB44" i="167"/>
  <c r="AW44" i="167" s="1"/>
  <c r="AB61" i="167"/>
  <c r="AW61" i="167" s="1"/>
  <c r="AB21" i="167"/>
  <c r="AW21" i="167" s="1"/>
  <c r="AB23" i="167"/>
  <c r="AW23" i="167" s="1"/>
  <c r="AB25" i="167"/>
  <c r="AW25" i="167" s="1"/>
  <c r="AB27" i="167"/>
  <c r="AW27" i="167" s="1"/>
  <c r="AB30" i="167"/>
  <c r="AW30" i="167" s="1"/>
  <c r="AB33" i="167"/>
  <c r="AW33" i="167" s="1"/>
  <c r="AB36" i="167"/>
  <c r="AW36" i="167" s="1"/>
  <c r="AB42" i="167"/>
  <c r="AW42" i="167" s="1"/>
  <c r="AB68" i="167"/>
  <c r="AW68" i="167" s="1"/>
  <c r="AB70" i="167"/>
  <c r="AW70" i="167" s="1"/>
  <c r="AB72" i="167"/>
  <c r="AW72" i="167" s="1"/>
  <c r="AB74" i="167"/>
  <c r="AW74" i="167" s="1"/>
  <c r="AB76" i="167"/>
  <c r="AW76" i="167" s="1"/>
  <c r="AB78" i="167"/>
  <c r="AW78" i="167" s="1"/>
  <c r="AB80" i="167"/>
  <c r="AW80" i="167" s="1"/>
  <c r="AB82" i="167"/>
  <c r="AW82" i="167" s="1"/>
  <c r="AB84" i="167"/>
  <c r="AW84" i="167" s="1"/>
  <c r="F89" i="167"/>
  <c r="AL89" i="167" s="1"/>
  <c r="AB93" i="167"/>
  <c r="AW93" i="167" s="1"/>
  <c r="F95" i="167"/>
  <c r="AB99" i="167"/>
  <c r="AM99" i="167" s="1"/>
  <c r="AL99" i="167" s="1"/>
  <c r="AB101" i="167"/>
  <c r="AW101" i="167" s="1"/>
  <c r="AB106" i="167"/>
  <c r="AW106" i="167" s="1"/>
  <c r="AB108" i="167"/>
  <c r="AW108" i="167" s="1"/>
  <c r="AB104" i="167"/>
  <c r="AW104" i="167" s="1"/>
  <c r="AB109" i="167"/>
  <c r="AW109" i="167" s="1"/>
  <c r="AB113" i="167"/>
  <c r="AW113" i="167" s="1"/>
  <c r="AL5" i="167" l="1"/>
  <c r="AB96" i="167"/>
  <c r="AW99" i="167"/>
  <c r="AB90" i="167"/>
  <c r="AW90" i="167" s="1"/>
  <c r="AB95" i="167"/>
  <c r="AM95" i="167" s="1"/>
  <c r="AL95" i="167" s="1"/>
  <c r="AB89" i="167"/>
  <c r="AW89" i="167" s="1"/>
  <c r="AB100" i="167"/>
  <c r="AW100" i="167" s="1"/>
  <c r="AB5" i="167"/>
  <c r="AW5" i="167" s="1"/>
  <c r="AC5" i="167"/>
  <c r="AW96" i="167" l="1"/>
  <c r="AM96" i="167"/>
  <c r="AL96" i="167" s="1"/>
  <c r="AW95" i="167"/>
  <c r="Y282" i="180" l="1"/>
  <c r="Y285" i="180"/>
  <c r="Y284" i="180"/>
  <c r="Y283" i="180"/>
  <c r="Y281" i="180"/>
  <c r="AC282" i="180" l="1"/>
  <c r="AC283" i="180"/>
  <c r="AB283" i="180"/>
  <c r="AC281" i="180"/>
  <c r="AC284" i="180"/>
  <c r="AC285" i="180"/>
  <c r="AW283" i="180" l="1"/>
  <c r="AM283" i="180"/>
  <c r="AL283" i="180" s="1"/>
  <c r="K271" i="180"/>
  <c r="AN271" i="180" s="1"/>
  <c r="K279" i="180"/>
  <c r="AN279" i="180" s="1"/>
  <c r="K273" i="180"/>
  <c r="AN273" i="180" s="1"/>
  <c r="K280" i="180"/>
  <c r="AN280" i="180" s="1"/>
  <c r="K277" i="180"/>
  <c r="AN277" i="180" s="1"/>
  <c r="K272" i="180"/>
  <c r="AN272" i="180" s="1"/>
  <c r="K278" i="180"/>
  <c r="AN278" i="180" s="1"/>
  <c r="K274" i="180"/>
  <c r="AN274" i="180" s="1"/>
  <c r="K269" i="180" l="1"/>
  <c r="AN269" i="180" s="1"/>
  <c r="K268" i="180" l="1"/>
  <c r="AN268" i="180" s="1"/>
  <c r="K26" i="180" l="1"/>
  <c r="AN26" i="180" s="1"/>
  <c r="K12" i="180"/>
  <c r="AN12" i="180" s="1"/>
  <c r="K7" i="180"/>
  <c r="AN7" i="180" s="1"/>
  <c r="K8" i="180"/>
  <c r="AN8" i="180" s="1"/>
  <c r="K23" i="180"/>
  <c r="AN23" i="180" s="1"/>
  <c r="K264" i="180"/>
  <c r="AN264" i="180" s="1"/>
  <c r="K25" i="180"/>
  <c r="AN25" i="180" s="1"/>
  <c r="K6" i="180"/>
  <c r="AN6" i="180" s="1"/>
  <c r="K21" i="180"/>
  <c r="AN21" i="180" s="1"/>
  <c r="K266" i="180"/>
  <c r="AN266" i="180" s="1"/>
  <c r="K24" i="180"/>
  <c r="AN24" i="180" s="1"/>
  <c r="K13" i="180"/>
  <c r="AN13" i="180" s="1"/>
  <c r="K16" i="180"/>
  <c r="AN16" i="180" s="1"/>
  <c r="K27" i="180"/>
  <c r="AN27" i="180" s="1"/>
  <c r="K10" i="180"/>
  <c r="AN10" i="180" s="1"/>
  <c r="K19" i="180"/>
  <c r="AN19" i="180" s="1"/>
  <c r="K11" i="180"/>
  <c r="AN11" i="180" s="1"/>
  <c r="K17" i="180"/>
  <c r="AN17" i="180" s="1"/>
  <c r="K14" i="180"/>
  <c r="AN14" i="180" s="1"/>
  <c r="K263" i="180"/>
  <c r="AN263" i="180" s="1"/>
  <c r="K20" i="180"/>
  <c r="AN20" i="180" s="1"/>
  <c r="K15" i="180"/>
  <c r="AN15" i="180" s="1"/>
  <c r="K22" i="180"/>
  <c r="AN22" i="180" s="1"/>
  <c r="K18" i="180"/>
  <c r="AN18" i="180" s="1"/>
  <c r="K155" i="180" l="1"/>
  <c r="AN155" i="180" s="1"/>
  <c r="K157" i="180"/>
  <c r="AN157" i="180" s="1"/>
  <c r="K240" i="180"/>
  <c r="AN240" i="180" s="1"/>
  <c r="K145" i="180"/>
  <c r="AN145" i="180" s="1"/>
  <c r="K111" i="180"/>
  <c r="AN111" i="180" s="1"/>
  <c r="K149" i="180"/>
  <c r="AN149" i="180" s="1"/>
  <c r="K207" i="180"/>
  <c r="AN207" i="180" s="1"/>
  <c r="K154" i="180"/>
  <c r="AN154" i="180" s="1"/>
  <c r="K178" i="180"/>
  <c r="AN178" i="180" s="1"/>
  <c r="K153" i="180"/>
  <c r="AN153" i="180" s="1"/>
  <c r="K148" i="180"/>
  <c r="AN148" i="180" s="1"/>
  <c r="K213" i="180"/>
  <c r="AN213" i="180" s="1"/>
  <c r="K143" i="180"/>
  <c r="AN143" i="180" s="1"/>
  <c r="K152" i="180"/>
  <c r="AN152" i="180" s="1"/>
  <c r="K163" i="180"/>
  <c r="AN163" i="180" s="1"/>
  <c r="K216" i="180"/>
  <c r="AN216" i="180" s="1"/>
  <c r="K150" i="180"/>
  <c r="AN150" i="180" s="1"/>
  <c r="K68" i="180"/>
  <c r="AN68" i="180" s="1"/>
  <c r="K252" i="180"/>
  <c r="AN252" i="180" s="1"/>
  <c r="K158" i="180"/>
  <c r="AN158" i="180" s="1"/>
  <c r="K179" i="180"/>
  <c r="AN179" i="180" s="1"/>
  <c r="K124" i="180"/>
  <c r="AN124" i="180" s="1"/>
  <c r="V247" i="180" l="1"/>
  <c r="V248" i="180"/>
  <c r="Y90" i="180"/>
  <c r="AC90" i="180" s="1"/>
  <c r="V90" i="180"/>
  <c r="Y249" i="180" l="1"/>
  <c r="AC249" i="180" s="1"/>
  <c r="Y201" i="180"/>
  <c r="AC201" i="180" s="1"/>
  <c r="Y141" i="180"/>
  <c r="Y81" i="180"/>
  <c r="AC81" i="180" s="1"/>
  <c r="Y8" i="180"/>
  <c r="Y257" i="180"/>
  <c r="Y197" i="180"/>
  <c r="AC197" i="180" s="1"/>
  <c r="Y101" i="180"/>
  <c r="V100" i="180"/>
  <c r="V181" i="180"/>
  <c r="V265" i="180"/>
  <c r="V259" i="180"/>
  <c r="Y275" i="180"/>
  <c r="Y239" i="180"/>
  <c r="AC239" i="180" s="1"/>
  <c r="Y203" i="180"/>
  <c r="AC203" i="180" s="1"/>
  <c r="Y179" i="180"/>
  <c r="Y143" i="180"/>
  <c r="AC143" i="180" s="1"/>
  <c r="Y107" i="180"/>
  <c r="AC107" i="180" s="1"/>
  <c r="Y37" i="180"/>
  <c r="AC37" i="180" s="1"/>
  <c r="Y274" i="180"/>
  <c r="Y262" i="180"/>
  <c r="Y250" i="180"/>
  <c r="Y238" i="180"/>
  <c r="Y226" i="180"/>
  <c r="Y214" i="180"/>
  <c r="Y202" i="180"/>
  <c r="AC202" i="180" s="1"/>
  <c r="Y190" i="180"/>
  <c r="AC190" i="180" s="1"/>
  <c r="Y178" i="180"/>
  <c r="Y166" i="180"/>
  <c r="AC166" i="180" s="1"/>
  <c r="Y154" i="180"/>
  <c r="AC154" i="180" s="1"/>
  <c r="Y142" i="180"/>
  <c r="Y130" i="180"/>
  <c r="AC130" i="180" s="1"/>
  <c r="Y118" i="180"/>
  <c r="AC118" i="180" s="1"/>
  <c r="Y106" i="180"/>
  <c r="AC106" i="180" s="1"/>
  <c r="Y94" i="180"/>
  <c r="AC94" i="180" s="1"/>
  <c r="Y82" i="180"/>
  <c r="AC82" i="180" s="1"/>
  <c r="Y70" i="180"/>
  <c r="Y57" i="180"/>
  <c r="AC57" i="180" s="1"/>
  <c r="Y45" i="180"/>
  <c r="AC45" i="180" s="1"/>
  <c r="Y34" i="180"/>
  <c r="Y22" i="180"/>
  <c r="AC22" i="180" s="1"/>
  <c r="Y9" i="180"/>
  <c r="F291" i="180"/>
  <c r="AB291" i="180" s="1"/>
  <c r="V295" i="180"/>
  <c r="V275" i="180"/>
  <c r="F293" i="180"/>
  <c r="AB293" i="180" s="1"/>
  <c r="F299" i="180"/>
  <c r="AB299" i="180" s="1"/>
  <c r="Y261" i="180"/>
  <c r="AC261" i="180" s="1"/>
  <c r="Y177" i="180"/>
  <c r="Y105" i="180"/>
  <c r="Y46" i="180"/>
  <c r="AC46" i="180" s="1"/>
  <c r="V260" i="180"/>
  <c r="V256" i="180"/>
  <c r="V285" i="180"/>
  <c r="V288" i="180"/>
  <c r="F99" i="180"/>
  <c r="F177" i="180"/>
  <c r="F202" i="180"/>
  <c r="F260" i="180"/>
  <c r="F275" i="180"/>
  <c r="F261" i="180"/>
  <c r="F256" i="180"/>
  <c r="F253" i="180"/>
  <c r="V294" i="180"/>
  <c r="V99" i="180"/>
  <c r="V177" i="180"/>
  <c r="V202" i="180"/>
  <c r="Y247" i="180"/>
  <c r="Y223" i="180"/>
  <c r="AC223" i="180" s="1"/>
  <c r="Y199" i="180"/>
  <c r="AC199" i="180" s="1"/>
  <c r="Y163" i="180"/>
  <c r="AC163" i="180" s="1"/>
  <c r="Y139" i="180"/>
  <c r="AC139" i="180" s="1"/>
  <c r="Y115" i="180"/>
  <c r="AC115" i="180" s="1"/>
  <c r="Y91" i="180"/>
  <c r="AC91" i="180" s="1"/>
  <c r="Y67" i="180"/>
  <c r="Y55" i="180"/>
  <c r="Y32" i="180"/>
  <c r="Y7" i="180"/>
  <c r="F285" i="180"/>
  <c r="AB285" i="180" s="1"/>
  <c r="F288" i="180"/>
  <c r="AB288" i="180" s="1"/>
  <c r="F292" i="180"/>
  <c r="AB292" i="180" s="1"/>
  <c r="F298" i="180"/>
  <c r="AB298" i="180" s="1"/>
  <c r="V261" i="180"/>
  <c r="V253" i="180"/>
  <c r="Y272" i="180"/>
  <c r="Y260" i="180"/>
  <c r="AC260" i="180" s="1"/>
  <c r="Y248" i="180"/>
  <c r="Y236" i="180"/>
  <c r="Y224" i="180"/>
  <c r="Y212" i="180"/>
  <c r="AC212" i="180" s="1"/>
  <c r="Y200" i="180"/>
  <c r="AC200" i="180" s="1"/>
  <c r="Y188" i="180"/>
  <c r="AC188" i="180" s="1"/>
  <c r="Y176" i="180"/>
  <c r="AC176" i="180" s="1"/>
  <c r="Y164" i="180"/>
  <c r="Y152" i="180"/>
  <c r="Y140" i="180"/>
  <c r="AC140" i="180" s="1"/>
  <c r="Y128" i="180"/>
  <c r="AC128" i="180" s="1"/>
  <c r="Y116" i="180"/>
  <c r="AC116" i="180" s="1"/>
  <c r="Y104" i="180"/>
  <c r="AC104" i="180" s="1"/>
  <c r="Y92" i="180"/>
  <c r="AC92" i="180" s="1"/>
  <c r="Y80" i="180"/>
  <c r="AC80" i="180" s="1"/>
  <c r="Y68" i="180"/>
  <c r="Y56" i="180"/>
  <c r="AC56" i="180" s="1"/>
  <c r="Y44" i="180"/>
  <c r="Y31" i="180"/>
  <c r="Y20" i="180"/>
  <c r="AC20" i="180" s="1"/>
  <c r="Y10" i="180"/>
  <c r="Y271" i="180"/>
  <c r="Y259" i="180"/>
  <c r="AC259" i="180" s="1"/>
  <c r="Y235" i="180"/>
  <c r="Y211" i="180"/>
  <c r="AC211" i="180" s="1"/>
  <c r="Y187" i="180"/>
  <c r="AC187" i="180" s="1"/>
  <c r="Y175" i="180"/>
  <c r="Y151" i="180"/>
  <c r="AC151" i="180" s="1"/>
  <c r="Y127" i="180"/>
  <c r="Y103" i="180"/>
  <c r="Y79" i="180"/>
  <c r="Y43" i="180"/>
  <c r="AC43" i="180" s="1"/>
  <c r="Y19" i="180"/>
  <c r="AC19" i="180" s="1"/>
  <c r="Y270" i="180"/>
  <c r="Y258" i="180"/>
  <c r="AC258" i="180" s="1"/>
  <c r="Y246" i="180"/>
  <c r="Y234" i="180"/>
  <c r="Y222" i="180"/>
  <c r="AC222" i="180" s="1"/>
  <c r="Y210" i="180"/>
  <c r="AC210" i="180" s="1"/>
  <c r="Y198" i="180"/>
  <c r="AC198" i="180" s="1"/>
  <c r="Y186" i="180"/>
  <c r="AC186" i="180" s="1"/>
  <c r="Y174" i="180"/>
  <c r="AC174" i="180" s="1"/>
  <c r="Y162" i="180"/>
  <c r="AC162" i="180" s="1"/>
  <c r="Y150" i="180"/>
  <c r="Y138" i="180"/>
  <c r="AC138" i="180" s="1"/>
  <c r="Y126" i="180"/>
  <c r="AC126" i="180" s="1"/>
  <c r="Y114" i="180"/>
  <c r="Y102" i="180"/>
  <c r="Y78" i="180"/>
  <c r="AC78" i="180" s="1"/>
  <c r="Y66" i="180"/>
  <c r="Y54" i="180"/>
  <c r="Y39" i="180"/>
  <c r="AC39" i="180" s="1"/>
  <c r="Y30" i="180"/>
  <c r="Y17" i="180"/>
  <c r="V293" i="180"/>
  <c r="V299" i="180"/>
  <c r="F297" i="180"/>
  <c r="AB297" i="180" s="1"/>
  <c r="V262" i="180"/>
  <c r="V254" i="180"/>
  <c r="V287" i="180"/>
  <c r="V281" i="180"/>
  <c r="F89" i="180"/>
  <c r="F161" i="180"/>
  <c r="F184" i="180"/>
  <c r="F258" i="180"/>
  <c r="V292" i="180"/>
  <c r="F276" i="180"/>
  <c r="F262" i="180"/>
  <c r="F257" i="180"/>
  <c r="F254" i="180"/>
  <c r="F249" i="180"/>
  <c r="AB249" i="180" s="1"/>
  <c r="V298" i="180"/>
  <c r="Y237" i="180"/>
  <c r="AC237" i="180" s="1"/>
  <c r="Y189" i="180"/>
  <c r="AC189" i="180" s="1"/>
  <c r="Y117" i="180"/>
  <c r="AC117" i="180" s="1"/>
  <c r="Y69" i="180"/>
  <c r="Y21" i="180"/>
  <c r="AC21" i="180" s="1"/>
  <c r="Y233" i="180"/>
  <c r="AC233" i="180" s="1"/>
  <c r="Y209" i="180"/>
  <c r="AC209" i="180" s="1"/>
  <c r="Y161" i="180"/>
  <c r="AC161" i="180" s="1"/>
  <c r="Y125" i="180"/>
  <c r="AC125" i="180" s="1"/>
  <c r="Y77" i="180"/>
  <c r="AC77" i="180" s="1"/>
  <c r="Y42" i="180"/>
  <c r="AC42" i="180" s="1"/>
  <c r="F9" i="180"/>
  <c r="V89" i="180"/>
  <c r="V257" i="180"/>
  <c r="Y279" i="180"/>
  <c r="Y255" i="180"/>
  <c r="Y231" i="180"/>
  <c r="AC231" i="180" s="1"/>
  <c r="Y207" i="180"/>
  <c r="AC207" i="180" s="1"/>
  <c r="Y183" i="180"/>
  <c r="Y159" i="180"/>
  <c r="AC159" i="180" s="1"/>
  <c r="Y123" i="180"/>
  <c r="Y99" i="180"/>
  <c r="AC99" i="180" s="1"/>
  <c r="Y75" i="180"/>
  <c r="AC75" i="180" s="1"/>
  <c r="Y49" i="180"/>
  <c r="Y27" i="180"/>
  <c r="F290" i="180"/>
  <c r="AB290" i="180" s="1"/>
  <c r="F296" i="180"/>
  <c r="AB296" i="180" s="1"/>
  <c r="Y273" i="180"/>
  <c r="Y213" i="180"/>
  <c r="Y165" i="180"/>
  <c r="Y129" i="180"/>
  <c r="AC129" i="180" s="1"/>
  <c r="Y93" i="180"/>
  <c r="AC93" i="180" s="1"/>
  <c r="Y33" i="180"/>
  <c r="V276" i="180"/>
  <c r="V249" i="180"/>
  <c r="F247" i="180"/>
  <c r="Y280" i="180"/>
  <c r="Y268" i="180"/>
  <c r="AC268" i="180" s="1"/>
  <c r="Y256" i="180"/>
  <c r="Y244" i="180"/>
  <c r="Y232" i="180"/>
  <c r="AC232" i="180" s="1"/>
  <c r="Y220" i="180"/>
  <c r="AC220" i="180" s="1"/>
  <c r="Y208" i="180"/>
  <c r="AC208" i="180" s="1"/>
  <c r="Y196" i="180"/>
  <c r="AC196" i="180" s="1"/>
  <c r="Y184" i="180"/>
  <c r="AC184" i="180" s="1"/>
  <c r="Y172" i="180"/>
  <c r="Y160" i="180"/>
  <c r="AC160" i="180" s="1"/>
  <c r="Y148" i="180"/>
  <c r="AC148" i="180" s="1"/>
  <c r="Y136" i="180"/>
  <c r="AC136" i="180" s="1"/>
  <c r="Y124" i="180"/>
  <c r="Y112" i="180"/>
  <c r="AC112" i="180" s="1"/>
  <c r="Y100" i="180"/>
  <c r="AC100" i="180" s="1"/>
  <c r="Y88" i="180"/>
  <c r="AC88" i="180" s="1"/>
  <c r="Y76" i="180"/>
  <c r="AC76" i="180" s="1"/>
  <c r="Y64" i="180"/>
  <c r="Y52" i="180"/>
  <c r="AC52" i="180" s="1"/>
  <c r="Y41" i="180"/>
  <c r="AC41" i="180" s="1"/>
  <c r="Y28" i="180"/>
  <c r="Y16" i="180"/>
  <c r="V284" i="180"/>
  <c r="Y267" i="180"/>
  <c r="AC267" i="180" s="1"/>
  <c r="Y243" i="180"/>
  <c r="Y219" i="180"/>
  <c r="AC219" i="180" s="1"/>
  <c r="Y195" i="180"/>
  <c r="AC195" i="180" s="1"/>
  <c r="Y171" i="180"/>
  <c r="Y147" i="180"/>
  <c r="Y135" i="180"/>
  <c r="AC135" i="180" s="1"/>
  <c r="Y111" i="180"/>
  <c r="AC111" i="180" s="1"/>
  <c r="Y87" i="180"/>
  <c r="AC87" i="180" s="1"/>
  <c r="Y63" i="180"/>
  <c r="Y40" i="180"/>
  <c r="AC40" i="180" s="1"/>
  <c r="Y15" i="180"/>
  <c r="AC15" i="180" s="1"/>
  <c r="F284" i="180"/>
  <c r="AB284" i="180" s="1"/>
  <c r="F287" i="180"/>
  <c r="AB287" i="180" s="1"/>
  <c r="F281" i="180"/>
  <c r="AB281" i="180" s="1"/>
  <c r="Y278" i="180"/>
  <c r="Y266" i="180"/>
  <c r="AC266" i="180" s="1"/>
  <c r="Y254" i="180"/>
  <c r="Y242" i="180"/>
  <c r="Y230" i="180"/>
  <c r="Y218" i="180"/>
  <c r="AC218" i="180" s="1"/>
  <c r="Y206" i="180"/>
  <c r="Y194" i="180"/>
  <c r="AC194" i="180" s="1"/>
  <c r="Y182" i="180"/>
  <c r="Y170" i="180"/>
  <c r="AC170" i="180" s="1"/>
  <c r="Y158" i="180"/>
  <c r="AC158" i="180" s="1"/>
  <c r="Y146" i="180"/>
  <c r="AC146" i="180" s="1"/>
  <c r="Y134" i="180"/>
  <c r="Y122" i="180"/>
  <c r="Y110" i="180"/>
  <c r="AC110" i="180" s="1"/>
  <c r="Y98" i="180"/>
  <c r="AC98" i="180" s="1"/>
  <c r="Y86" i="180"/>
  <c r="AC86" i="180" s="1"/>
  <c r="Y74" i="180"/>
  <c r="AC74" i="180" s="1"/>
  <c r="Y62" i="180"/>
  <c r="Y51" i="180"/>
  <c r="Y38" i="180"/>
  <c r="Y26" i="180"/>
  <c r="Y13" i="180"/>
  <c r="V9" i="180"/>
  <c r="V297" i="180"/>
  <c r="Y225" i="180"/>
  <c r="Y153" i="180"/>
  <c r="Y58" i="180"/>
  <c r="Y269" i="180"/>
  <c r="AC269" i="180" s="1"/>
  <c r="Y245" i="180"/>
  <c r="Y221" i="180"/>
  <c r="Y185" i="180"/>
  <c r="AC185" i="180" s="1"/>
  <c r="Y173" i="180"/>
  <c r="AC173" i="180" s="1"/>
  <c r="Y149" i="180"/>
  <c r="AC149" i="180" s="1"/>
  <c r="Y137" i="180"/>
  <c r="AC137" i="180" s="1"/>
  <c r="Y113" i="180"/>
  <c r="AC113" i="180" s="1"/>
  <c r="Y89" i="180"/>
  <c r="AC89" i="180" s="1"/>
  <c r="Y65" i="180"/>
  <c r="Y53" i="180"/>
  <c r="AC53" i="180" s="1"/>
  <c r="Y29" i="180"/>
  <c r="Y18" i="180"/>
  <c r="V161" i="180"/>
  <c r="V184" i="180"/>
  <c r="Y97" i="180"/>
  <c r="AC97" i="180" s="1"/>
  <c r="V255" i="180"/>
  <c r="V251" i="180"/>
  <c r="F248" i="180"/>
  <c r="F295" i="180"/>
  <c r="AB295" i="180" s="1"/>
  <c r="Y265" i="180"/>
  <c r="AC265" i="180" s="1"/>
  <c r="Y241" i="180"/>
  <c r="Y217" i="180"/>
  <c r="AC217" i="180" s="1"/>
  <c r="Y193" i="180"/>
  <c r="AC193" i="180" s="1"/>
  <c r="Y169" i="180"/>
  <c r="Y145" i="180"/>
  <c r="Y121" i="180"/>
  <c r="AC121" i="180" s="1"/>
  <c r="Y73" i="180"/>
  <c r="Y276" i="180"/>
  <c r="Y264" i="180"/>
  <c r="AC264" i="180" s="1"/>
  <c r="Y252" i="180"/>
  <c r="Y240" i="180"/>
  <c r="Y228" i="180"/>
  <c r="AC228" i="180" s="1"/>
  <c r="Y216" i="180"/>
  <c r="AC216" i="180" s="1"/>
  <c r="Y204" i="180"/>
  <c r="AC204" i="180" s="1"/>
  <c r="Y192" i="180"/>
  <c r="AC192" i="180" s="1"/>
  <c r="Y180" i="180"/>
  <c r="Y168" i="180"/>
  <c r="Y156" i="180"/>
  <c r="AC156" i="180" s="1"/>
  <c r="Y144" i="180"/>
  <c r="AC144" i="180" s="1"/>
  <c r="Y132" i="180"/>
  <c r="AC132" i="180" s="1"/>
  <c r="Y120" i="180"/>
  <c r="AC120" i="180" s="1"/>
  <c r="Y108" i="180"/>
  <c r="Y96" i="180"/>
  <c r="AC96" i="180" s="1"/>
  <c r="Y84" i="180"/>
  <c r="AC84" i="180" s="1"/>
  <c r="Y72" i="180"/>
  <c r="Y60" i="180"/>
  <c r="Y48" i="180"/>
  <c r="AC48" i="180" s="1"/>
  <c r="Y36" i="180"/>
  <c r="AC36" i="180" s="1"/>
  <c r="Y24" i="180"/>
  <c r="Y12" i="180"/>
  <c r="V282" i="180"/>
  <c r="V286" i="180"/>
  <c r="V289" i="180"/>
  <c r="V290" i="180"/>
  <c r="F100" i="180"/>
  <c r="F181" i="180"/>
  <c r="F239" i="180"/>
  <c r="F265" i="180"/>
  <c r="F259" i="180"/>
  <c r="F255" i="180"/>
  <c r="F251" i="180"/>
  <c r="V296" i="180"/>
  <c r="V258" i="180"/>
  <c r="Y277" i="180"/>
  <c r="Y253" i="180"/>
  <c r="Y229" i="180"/>
  <c r="Y205" i="180"/>
  <c r="Y181" i="180"/>
  <c r="AC181" i="180" s="1"/>
  <c r="Y157" i="180"/>
  <c r="AC157" i="180" s="1"/>
  <c r="Y133" i="180"/>
  <c r="Y109" i="180"/>
  <c r="AC109" i="180" s="1"/>
  <c r="Y85" i="180"/>
  <c r="AC85" i="180" s="1"/>
  <c r="Y61" i="180"/>
  <c r="Y50" i="180"/>
  <c r="Y35" i="180"/>
  <c r="AC35" i="180" s="1"/>
  <c r="Y25" i="180"/>
  <c r="AC25" i="180" s="1"/>
  <c r="Y14" i="180"/>
  <c r="V239" i="180"/>
  <c r="F90" i="180"/>
  <c r="AB90" i="180" s="1"/>
  <c r="Y263" i="180"/>
  <c r="AC263" i="180" s="1"/>
  <c r="Y251" i="180"/>
  <c r="AC251" i="180" s="1"/>
  <c r="Y227" i="180"/>
  <c r="Y215" i="180"/>
  <c r="AC215" i="180" s="1"/>
  <c r="Y191" i="180"/>
  <c r="AC191" i="180" s="1"/>
  <c r="Y167" i="180"/>
  <c r="Y155" i="180"/>
  <c r="AC155" i="180" s="1"/>
  <c r="Y131" i="180"/>
  <c r="AC131" i="180" s="1"/>
  <c r="Y119" i="180"/>
  <c r="Y95" i="180"/>
  <c r="AC95" i="180" s="1"/>
  <c r="Y83" i="180"/>
  <c r="Y71" i="180"/>
  <c r="Y59" i="180"/>
  <c r="Y47" i="180"/>
  <c r="AC47" i="180" s="1"/>
  <c r="Y23" i="180"/>
  <c r="Y11" i="180"/>
  <c r="F282" i="180"/>
  <c r="AB282" i="180" s="1"/>
  <c r="F286" i="180"/>
  <c r="AB286" i="180" s="1"/>
  <c r="F289" i="180"/>
  <c r="AB289" i="180" s="1"/>
  <c r="V291" i="180"/>
  <c r="F294" i="180"/>
  <c r="AB294" i="180" s="1"/>
  <c r="V267" i="180"/>
  <c r="AB239" i="180" l="1"/>
  <c r="AW239" i="180" s="1"/>
  <c r="AB258" i="180"/>
  <c r="AB259" i="180"/>
  <c r="AW259" i="180" s="1"/>
  <c r="AB202" i="180"/>
  <c r="AW202" i="180" s="1"/>
  <c r="AB184" i="180"/>
  <c r="AM184" i="180" s="1"/>
  <c r="AL184" i="180" s="1"/>
  <c r="AB251" i="180"/>
  <c r="AW251" i="180" s="1"/>
  <c r="AB161" i="180"/>
  <c r="AW161" i="180" s="1"/>
  <c r="AB260" i="180"/>
  <c r="AM260" i="180" s="1"/>
  <c r="AL260" i="180" s="1"/>
  <c r="V229" i="180"/>
  <c r="V192" i="180"/>
  <c r="V151" i="180"/>
  <c r="V115" i="180"/>
  <c r="V74" i="180"/>
  <c r="AT241" i="180"/>
  <c r="AT217" i="180"/>
  <c r="V242" i="180"/>
  <c r="V178" i="180"/>
  <c r="V127" i="180"/>
  <c r="V87" i="180"/>
  <c r="V14" i="180"/>
  <c r="AT229" i="180"/>
  <c r="V271" i="180"/>
  <c r="V217" i="180"/>
  <c r="V205" i="180"/>
  <c r="V164" i="180"/>
  <c r="V139" i="180"/>
  <c r="V103" i="180"/>
  <c r="V50" i="180"/>
  <c r="AT277" i="180"/>
  <c r="AT157" i="180"/>
  <c r="AT193" i="180"/>
  <c r="V35" i="180"/>
  <c r="AT169" i="180"/>
  <c r="AT205" i="180"/>
  <c r="V25" i="180"/>
  <c r="AT133" i="180"/>
  <c r="AT253" i="180"/>
  <c r="V61" i="180"/>
  <c r="AT265" i="180"/>
  <c r="AT181" i="180"/>
  <c r="AM289" i="180"/>
  <c r="AL289" i="180" s="1"/>
  <c r="AW289" i="180"/>
  <c r="AC59" i="180"/>
  <c r="AC50" i="180"/>
  <c r="AB181" i="180"/>
  <c r="AC12" i="180"/>
  <c r="AC221" i="180"/>
  <c r="AC62" i="180"/>
  <c r="AC134" i="180"/>
  <c r="AC206" i="180"/>
  <c r="AC278" i="180"/>
  <c r="AC63" i="180"/>
  <c r="AC28" i="180"/>
  <c r="AC172" i="180"/>
  <c r="AC244" i="180"/>
  <c r="AC273" i="180"/>
  <c r="AC255" i="180"/>
  <c r="AB255" i="180"/>
  <c r="AC69" i="180"/>
  <c r="AC270" i="180"/>
  <c r="AC271" i="180"/>
  <c r="AC68" i="180"/>
  <c r="AC7" i="180"/>
  <c r="AC9" i="180"/>
  <c r="AB9" i="180"/>
  <c r="AC226" i="180"/>
  <c r="AC257" i="180"/>
  <c r="AB257" i="180"/>
  <c r="AU280" i="180"/>
  <c r="AU268" i="180"/>
  <c r="AU256" i="180"/>
  <c r="AU244" i="180"/>
  <c r="AU232" i="180"/>
  <c r="AU220" i="180"/>
  <c r="AU208" i="180"/>
  <c r="AU196" i="180"/>
  <c r="AU184" i="180"/>
  <c r="AU172" i="180"/>
  <c r="AU160" i="180"/>
  <c r="AU148" i="180"/>
  <c r="AU136" i="180"/>
  <c r="AU124" i="180"/>
  <c r="AU112" i="180"/>
  <c r="AU100" i="180"/>
  <c r="AU88" i="180"/>
  <c r="AU76" i="180"/>
  <c r="AU64" i="180"/>
  <c r="AU52" i="180"/>
  <c r="AU41" i="180"/>
  <c r="AU28" i="180"/>
  <c r="AU16" i="180"/>
  <c r="V226" i="180"/>
  <c r="V189" i="180"/>
  <c r="V148" i="180"/>
  <c r="V112" i="180"/>
  <c r="V70" i="180"/>
  <c r="V34" i="180"/>
  <c r="AT274" i="180"/>
  <c r="AT238" i="180"/>
  <c r="AT190" i="180"/>
  <c r="AT154" i="180"/>
  <c r="AT130" i="180"/>
  <c r="AT94" i="180"/>
  <c r="AT70" i="180"/>
  <c r="AT45" i="180"/>
  <c r="AT9" i="180"/>
  <c r="F243" i="180"/>
  <c r="AB243" i="180" s="1"/>
  <c r="F230" i="180"/>
  <c r="AB230" i="180" s="1"/>
  <c r="F206" i="180"/>
  <c r="AB206" i="180" s="1"/>
  <c r="F193" i="180"/>
  <c r="AB193" i="180" s="1"/>
  <c r="F179" i="180"/>
  <c r="AB179" i="180" s="1"/>
  <c r="F165" i="180"/>
  <c r="AB165" i="180" s="1"/>
  <c r="F152" i="180"/>
  <c r="AB152" i="180" s="1"/>
  <c r="F140" i="180"/>
  <c r="AB140" i="180" s="1"/>
  <c r="F128" i="180"/>
  <c r="AB128" i="180" s="1"/>
  <c r="F104" i="180"/>
  <c r="AB104" i="180" s="1"/>
  <c r="F88" i="180"/>
  <c r="AB88" i="180" s="1"/>
  <c r="F75" i="180"/>
  <c r="AB75" i="180" s="1"/>
  <c r="F61" i="180"/>
  <c r="AB61" i="180" s="1"/>
  <c r="F50" i="180"/>
  <c r="AB50" i="180" s="1"/>
  <c r="F35" i="180"/>
  <c r="AB35" i="180" s="1"/>
  <c r="F25" i="180"/>
  <c r="AB25" i="180" s="1"/>
  <c r="F14" i="180"/>
  <c r="AB14" i="180" s="1"/>
  <c r="V237" i="180"/>
  <c r="V213" i="180"/>
  <c r="V173" i="180"/>
  <c r="V147" i="180"/>
  <c r="V123" i="180"/>
  <c r="V97" i="180"/>
  <c r="V69" i="180"/>
  <c r="V46" i="180"/>
  <c r="V21" i="180"/>
  <c r="V10" i="180"/>
  <c r="AT273" i="180"/>
  <c r="AT249" i="180"/>
  <c r="AT237" i="180"/>
  <c r="AT225" i="180"/>
  <c r="AT213" i="180"/>
  <c r="AT201" i="180"/>
  <c r="AT189" i="180"/>
  <c r="AT165" i="180"/>
  <c r="AT153" i="180"/>
  <c r="AT141" i="180"/>
  <c r="AT129" i="180"/>
  <c r="AT117" i="180"/>
  <c r="AT105" i="180"/>
  <c r="AT93" i="180"/>
  <c r="AT81" i="180"/>
  <c r="AT69" i="180"/>
  <c r="AT58" i="180"/>
  <c r="AT46" i="180"/>
  <c r="AT33" i="180"/>
  <c r="AT21" i="180"/>
  <c r="AT8" i="180"/>
  <c r="F271" i="180"/>
  <c r="AB271" i="180" s="1"/>
  <c r="F242" i="180"/>
  <c r="AB242" i="180" s="1"/>
  <c r="F229" i="180"/>
  <c r="AB229" i="180" s="1"/>
  <c r="F217" i="180"/>
  <c r="AB217" i="180" s="1"/>
  <c r="F205" i="180"/>
  <c r="F192" i="180"/>
  <c r="AB192" i="180" s="1"/>
  <c r="F178" i="180"/>
  <c r="AB178" i="180" s="1"/>
  <c r="F164" i="180"/>
  <c r="AB164" i="180" s="1"/>
  <c r="F151" i="180"/>
  <c r="AB151" i="180" s="1"/>
  <c r="F139" i="180"/>
  <c r="AB139" i="180" s="1"/>
  <c r="F127" i="180"/>
  <c r="AB127" i="180" s="1"/>
  <c r="F115" i="180"/>
  <c r="AB115" i="180" s="1"/>
  <c r="F103" i="180"/>
  <c r="AB103" i="180" s="1"/>
  <c r="F87" i="180"/>
  <c r="AB87" i="180" s="1"/>
  <c r="F74" i="180"/>
  <c r="AB74" i="180" s="1"/>
  <c r="F60" i="180"/>
  <c r="AB60" i="180" s="1"/>
  <c r="F48" i="180"/>
  <c r="AB48" i="180" s="1"/>
  <c r="F36" i="180"/>
  <c r="AB36" i="180" s="1"/>
  <c r="F24" i="180"/>
  <c r="AB24" i="180" s="1"/>
  <c r="F12" i="180"/>
  <c r="AB12" i="180" s="1"/>
  <c r="AU279" i="180"/>
  <c r="AU267" i="180"/>
  <c r="AU255" i="180"/>
  <c r="AU243" i="180"/>
  <c r="AU231" i="180"/>
  <c r="AU219" i="180"/>
  <c r="AU207" i="180"/>
  <c r="AU195" i="180"/>
  <c r="AU183" i="180"/>
  <c r="AU171" i="180"/>
  <c r="AU159" i="180"/>
  <c r="AU147" i="180"/>
  <c r="AU135" i="180"/>
  <c r="AU123" i="180"/>
  <c r="AU111" i="180"/>
  <c r="AU99" i="180"/>
  <c r="AU87" i="180"/>
  <c r="AU75" i="180"/>
  <c r="AU63" i="180"/>
  <c r="AU49" i="180"/>
  <c r="AU40" i="180"/>
  <c r="AU27" i="180"/>
  <c r="AU15" i="180"/>
  <c r="V71" i="180"/>
  <c r="AW286" i="180"/>
  <c r="AM286" i="180"/>
  <c r="AL286" i="180" s="1"/>
  <c r="AC71" i="180"/>
  <c r="AC167" i="180"/>
  <c r="AW90" i="180"/>
  <c r="AM90" i="180"/>
  <c r="AL90" i="180" s="1"/>
  <c r="AC61" i="180"/>
  <c r="AC205" i="180"/>
  <c r="AB205" i="180"/>
  <c r="AB100" i="180"/>
  <c r="AC24" i="180"/>
  <c r="AC168" i="180"/>
  <c r="AC240" i="180"/>
  <c r="AC145" i="180"/>
  <c r="AW295" i="180"/>
  <c r="AM295" i="180"/>
  <c r="AL295" i="180" s="1"/>
  <c r="AC245" i="180"/>
  <c r="AM281" i="180"/>
  <c r="AL281" i="180" s="1"/>
  <c r="AW281" i="180"/>
  <c r="AC256" i="180"/>
  <c r="AB256" i="180"/>
  <c r="AC33" i="180"/>
  <c r="AM296" i="180"/>
  <c r="AL296" i="180" s="1"/>
  <c r="AW296" i="180"/>
  <c r="AC123" i="180"/>
  <c r="AC279" i="180"/>
  <c r="AW297" i="180"/>
  <c r="AM297" i="180"/>
  <c r="AL297" i="180" s="1"/>
  <c r="AC54" i="180"/>
  <c r="AC175" i="180"/>
  <c r="AC10" i="180"/>
  <c r="AC152" i="180"/>
  <c r="AC224" i="180"/>
  <c r="AC32" i="180"/>
  <c r="AM299" i="180"/>
  <c r="AL299" i="180" s="1"/>
  <c r="AW299" i="180"/>
  <c r="AC238" i="180"/>
  <c r="AC8" i="180"/>
  <c r="AU197" i="180"/>
  <c r="AU278" i="180"/>
  <c r="AU266" i="180"/>
  <c r="AU254" i="180"/>
  <c r="AU242" i="180"/>
  <c r="AU230" i="180"/>
  <c r="AU218" i="180"/>
  <c r="AU206" i="180"/>
  <c r="AU194" i="180"/>
  <c r="AU182" i="180"/>
  <c r="AU170" i="180"/>
  <c r="AU158" i="180"/>
  <c r="AU146" i="180"/>
  <c r="AU134" i="180"/>
  <c r="AU122" i="180"/>
  <c r="AU110" i="180"/>
  <c r="AU98" i="180"/>
  <c r="AU86" i="180"/>
  <c r="AU74" i="180"/>
  <c r="AU62" i="180"/>
  <c r="AU51" i="180"/>
  <c r="AU38" i="180"/>
  <c r="AU26" i="180"/>
  <c r="AU13" i="180"/>
  <c r="F169" i="180"/>
  <c r="AB169" i="180" s="1"/>
  <c r="F270" i="180"/>
  <c r="AB270" i="180" s="1"/>
  <c r="AT145" i="180"/>
  <c r="AT121" i="180"/>
  <c r="AT85" i="180"/>
  <c r="AT35" i="180"/>
  <c r="F221" i="180"/>
  <c r="AB221" i="180" s="1"/>
  <c r="AU269" i="180"/>
  <c r="AU245" i="180"/>
  <c r="AU233" i="180"/>
  <c r="AU221" i="180"/>
  <c r="AU185" i="180"/>
  <c r="AU173" i="180"/>
  <c r="AU161" i="180"/>
  <c r="AU149" i="180"/>
  <c r="AU137" i="180"/>
  <c r="AU113" i="180"/>
  <c r="AU89" i="180"/>
  <c r="AU77" i="180"/>
  <c r="AU65" i="180"/>
  <c r="AU53" i="180"/>
  <c r="AU42" i="180"/>
  <c r="AU29" i="180"/>
  <c r="AU18" i="180"/>
  <c r="V264" i="180"/>
  <c r="V225" i="180"/>
  <c r="V200" i="180"/>
  <c r="V188" i="180"/>
  <c r="V159" i="180"/>
  <c r="V135" i="180"/>
  <c r="V111" i="180"/>
  <c r="V82" i="180"/>
  <c r="V58" i="180"/>
  <c r="V33" i="180"/>
  <c r="AT261" i="180"/>
  <c r="AT177" i="180"/>
  <c r="V280" i="180"/>
  <c r="V263" i="180"/>
  <c r="V236" i="180"/>
  <c r="V224" i="180"/>
  <c r="V212" i="180"/>
  <c r="V199" i="180"/>
  <c r="V187" i="180"/>
  <c r="V172" i="180"/>
  <c r="V158" i="180"/>
  <c r="V146" i="180"/>
  <c r="V134" i="180"/>
  <c r="V122" i="180"/>
  <c r="V110" i="180"/>
  <c r="V96" i="180"/>
  <c r="V81" i="180"/>
  <c r="V68" i="180"/>
  <c r="V56" i="180"/>
  <c r="V44" i="180"/>
  <c r="V31" i="180"/>
  <c r="V20" i="180"/>
  <c r="V7" i="180"/>
  <c r="AT272" i="180"/>
  <c r="AT260" i="180"/>
  <c r="AT248" i="180"/>
  <c r="AT236" i="180"/>
  <c r="AT224" i="180"/>
  <c r="AT212" i="180"/>
  <c r="AT200" i="180"/>
  <c r="AT188" i="180"/>
  <c r="AT176" i="180"/>
  <c r="AT164" i="180"/>
  <c r="AT152" i="180"/>
  <c r="AT140" i="180"/>
  <c r="AT128" i="180"/>
  <c r="AT116" i="180"/>
  <c r="AT104" i="180"/>
  <c r="AT92" i="180"/>
  <c r="AT80" i="180"/>
  <c r="AT68" i="180"/>
  <c r="AT56" i="180"/>
  <c r="AT44" i="180"/>
  <c r="AT31" i="180"/>
  <c r="AT20" i="180"/>
  <c r="AT10" i="180"/>
  <c r="F269" i="180"/>
  <c r="AB269" i="180" s="1"/>
  <c r="F241" i="180"/>
  <c r="AB241" i="180" s="1"/>
  <c r="F228" i="180"/>
  <c r="AB228" i="180" s="1"/>
  <c r="F216" i="180"/>
  <c r="AB216" i="180" s="1"/>
  <c r="F204" i="180"/>
  <c r="AB204" i="180" s="1"/>
  <c r="F191" i="180"/>
  <c r="AB191" i="180" s="1"/>
  <c r="F176" i="180"/>
  <c r="AB176" i="180" s="1"/>
  <c r="F163" i="180"/>
  <c r="AB163" i="180" s="1"/>
  <c r="F150" i="180"/>
  <c r="AB150" i="180" s="1"/>
  <c r="F138" i="180"/>
  <c r="AB138" i="180" s="1"/>
  <c r="F126" i="180"/>
  <c r="AB126" i="180" s="1"/>
  <c r="F114" i="180"/>
  <c r="AB114" i="180" s="1"/>
  <c r="F102" i="180"/>
  <c r="AB102" i="180" s="1"/>
  <c r="F86" i="180"/>
  <c r="AB86" i="180" s="1"/>
  <c r="F73" i="180"/>
  <c r="AB73" i="180" s="1"/>
  <c r="F59" i="180"/>
  <c r="AB59" i="180" s="1"/>
  <c r="F47" i="180"/>
  <c r="AB47" i="180" s="1"/>
  <c r="F37" i="180"/>
  <c r="AB37" i="180" s="1"/>
  <c r="F23" i="180"/>
  <c r="AB23" i="180" s="1"/>
  <c r="F11" i="180"/>
  <c r="AB11" i="180" s="1"/>
  <c r="V279" i="180"/>
  <c r="V252" i="180"/>
  <c r="V235" i="180"/>
  <c r="V223" i="180"/>
  <c r="V211" i="180"/>
  <c r="V198" i="180"/>
  <c r="V186" i="180"/>
  <c r="V171" i="180"/>
  <c r="V157" i="180"/>
  <c r="V145" i="180"/>
  <c r="V133" i="180"/>
  <c r="V121" i="180"/>
  <c r="V109" i="180"/>
  <c r="V95" i="180"/>
  <c r="V80" i="180"/>
  <c r="V67" i="180"/>
  <c r="V55" i="180"/>
  <c r="V43" i="180"/>
  <c r="V32" i="180"/>
  <c r="V19" i="180"/>
  <c r="AT284" i="180"/>
  <c r="AT271" i="180"/>
  <c r="AT259" i="180"/>
  <c r="AT247" i="180"/>
  <c r="AT235" i="180"/>
  <c r="AT223" i="180"/>
  <c r="AT211" i="180"/>
  <c r="AT199" i="180"/>
  <c r="AT187" i="180"/>
  <c r="AT175" i="180"/>
  <c r="AT163" i="180"/>
  <c r="AT151" i="180"/>
  <c r="AT139" i="180"/>
  <c r="AT127" i="180"/>
  <c r="AT115" i="180"/>
  <c r="AT103" i="180"/>
  <c r="AT91" i="180"/>
  <c r="AT79" i="180"/>
  <c r="AT67" i="180"/>
  <c r="AT55" i="180"/>
  <c r="AT43" i="180"/>
  <c r="AT32" i="180"/>
  <c r="AT19" i="180"/>
  <c r="AT7" i="180"/>
  <c r="F268" i="180"/>
  <c r="AB268" i="180" s="1"/>
  <c r="F240" i="180"/>
  <c r="AB240" i="180" s="1"/>
  <c r="F227" i="180"/>
  <c r="AB227" i="180" s="1"/>
  <c r="F215" i="180"/>
  <c r="AB215" i="180" s="1"/>
  <c r="F203" i="180"/>
  <c r="AB203" i="180" s="1"/>
  <c r="F190" i="180"/>
  <c r="AB190" i="180" s="1"/>
  <c r="F175" i="180"/>
  <c r="F162" i="180"/>
  <c r="AB162" i="180" s="1"/>
  <c r="F149" i="180"/>
  <c r="AB149" i="180" s="1"/>
  <c r="F137" i="180"/>
  <c r="AB137" i="180" s="1"/>
  <c r="F125" i="180"/>
  <c r="AB125" i="180" s="1"/>
  <c r="F113" i="180"/>
  <c r="AB113" i="180" s="1"/>
  <c r="F101" i="180"/>
  <c r="AB101" i="180" s="1"/>
  <c r="F85" i="180"/>
  <c r="AB85" i="180" s="1"/>
  <c r="F72" i="180"/>
  <c r="AB72" i="180" s="1"/>
  <c r="F57" i="180"/>
  <c r="AB57" i="180" s="1"/>
  <c r="F45" i="180"/>
  <c r="AB45" i="180" s="1"/>
  <c r="F34" i="180"/>
  <c r="AB34" i="180" s="1"/>
  <c r="F22" i="180"/>
  <c r="AB22" i="180" s="1"/>
  <c r="F8" i="180"/>
  <c r="AB8" i="180" s="1"/>
  <c r="AU277" i="180"/>
  <c r="AU265" i="180"/>
  <c r="AU253" i="180"/>
  <c r="AU241" i="180"/>
  <c r="AU229" i="180"/>
  <c r="AU217" i="180"/>
  <c r="AU205" i="180"/>
  <c r="AU193" i="180"/>
  <c r="AU181" i="180"/>
  <c r="AU169" i="180"/>
  <c r="AU157" i="180"/>
  <c r="AU145" i="180"/>
  <c r="AU133" i="180"/>
  <c r="AU121" i="180"/>
  <c r="AU109" i="180"/>
  <c r="AU97" i="180"/>
  <c r="AU85" i="180"/>
  <c r="AU73" i="180"/>
  <c r="AU61" i="180"/>
  <c r="AU50" i="180"/>
  <c r="AU35" i="180"/>
  <c r="AU25" i="180"/>
  <c r="AU14" i="180"/>
  <c r="AM282" i="180"/>
  <c r="AL282" i="180" s="1"/>
  <c r="AW282" i="180"/>
  <c r="AC83" i="180"/>
  <c r="AC229" i="180"/>
  <c r="AC108" i="180"/>
  <c r="AC180" i="180"/>
  <c r="AC252" i="180"/>
  <c r="AC169" i="180"/>
  <c r="AC18" i="180"/>
  <c r="AC13" i="180"/>
  <c r="AC230" i="180"/>
  <c r="AW287" i="180"/>
  <c r="AM287" i="180"/>
  <c r="AL287" i="180" s="1"/>
  <c r="AC243" i="180"/>
  <c r="AC124" i="180"/>
  <c r="AM290" i="180"/>
  <c r="AL290" i="180" s="1"/>
  <c r="AW290" i="180"/>
  <c r="AB89" i="180"/>
  <c r="AC66" i="180"/>
  <c r="AC150" i="180"/>
  <c r="AC164" i="180"/>
  <c r="AC236" i="180"/>
  <c r="AM298" i="180"/>
  <c r="AL298" i="180" s="1"/>
  <c r="AW298" i="180"/>
  <c r="AC55" i="180"/>
  <c r="AM293" i="180"/>
  <c r="AL293" i="180" s="1"/>
  <c r="AW293" i="180"/>
  <c r="AC34" i="180"/>
  <c r="AC178" i="180"/>
  <c r="AC250" i="180"/>
  <c r="AC179" i="180"/>
  <c r="V6" i="180"/>
  <c r="V238" i="180"/>
  <c r="V201" i="180"/>
  <c r="V174" i="180"/>
  <c r="V136" i="180"/>
  <c r="V98" i="180"/>
  <c r="V57" i="180"/>
  <c r="V22" i="180"/>
  <c r="AT262" i="180"/>
  <c r="AT226" i="180"/>
  <c r="AT202" i="180"/>
  <c r="AT166" i="180"/>
  <c r="AT118" i="180"/>
  <c r="AT34" i="180"/>
  <c r="AT6" i="180"/>
  <c r="V240" i="180"/>
  <c r="V215" i="180"/>
  <c r="V190" i="180"/>
  <c r="V162" i="180"/>
  <c r="V137" i="180"/>
  <c r="V85" i="180"/>
  <c r="AT239" i="180"/>
  <c r="AU101" i="180"/>
  <c r="V222" i="180"/>
  <c r="V185" i="180"/>
  <c r="V144" i="180"/>
  <c r="V94" i="180"/>
  <c r="V66" i="180"/>
  <c r="V39" i="180"/>
  <c r="AT258" i="180"/>
  <c r="AT234" i="180"/>
  <c r="AT210" i="180"/>
  <c r="AT198" i="180"/>
  <c r="AT174" i="180"/>
  <c r="AT150" i="180"/>
  <c r="AT126" i="180"/>
  <c r="AT102" i="180"/>
  <c r="AT78" i="180"/>
  <c r="AT54" i="180"/>
  <c r="AT30" i="180"/>
  <c r="AT17" i="180"/>
  <c r="F266" i="180"/>
  <c r="AB266" i="180" s="1"/>
  <c r="F238" i="180"/>
  <c r="AB238" i="180" s="1"/>
  <c r="F226" i="180"/>
  <c r="AB226" i="180" s="1"/>
  <c r="F214" i="180"/>
  <c r="AB214" i="180" s="1"/>
  <c r="F201" i="180"/>
  <c r="AB201" i="180" s="1"/>
  <c r="F189" i="180"/>
  <c r="AB189" i="180" s="1"/>
  <c r="F174" i="180"/>
  <c r="AB174" i="180" s="1"/>
  <c r="F160" i="180"/>
  <c r="AB160" i="180" s="1"/>
  <c r="F148" i="180"/>
  <c r="AB148" i="180" s="1"/>
  <c r="F124" i="180"/>
  <c r="AB124" i="180" s="1"/>
  <c r="F112" i="180"/>
  <c r="AB112" i="180" s="1"/>
  <c r="F98" i="180"/>
  <c r="AB98" i="180" s="1"/>
  <c r="F84" i="180"/>
  <c r="AB84" i="180" s="1"/>
  <c r="F70" i="180"/>
  <c r="AB70" i="180" s="1"/>
  <c r="F58" i="180"/>
  <c r="AB58" i="180" s="1"/>
  <c r="F46" i="180"/>
  <c r="AB46" i="180" s="1"/>
  <c r="F33" i="180"/>
  <c r="AL33" i="180" s="1"/>
  <c r="F21" i="180"/>
  <c r="AB21" i="180" s="1"/>
  <c r="F10" i="180"/>
  <c r="AB10" i="180" s="1"/>
  <c r="AU276" i="180"/>
  <c r="AU264" i="180"/>
  <c r="AU252" i="180"/>
  <c r="AU240" i="180"/>
  <c r="AU228" i="180"/>
  <c r="AU216" i="180"/>
  <c r="AU204" i="180"/>
  <c r="AU192" i="180"/>
  <c r="AU180" i="180"/>
  <c r="AU168" i="180"/>
  <c r="AU156" i="180"/>
  <c r="AU144" i="180"/>
  <c r="AU132" i="180"/>
  <c r="AU120" i="180"/>
  <c r="AU108" i="180"/>
  <c r="AU96" i="180"/>
  <c r="AU84" i="180"/>
  <c r="AU72" i="180"/>
  <c r="AU60" i="180"/>
  <c r="AU48" i="180"/>
  <c r="AU36" i="180"/>
  <c r="AU24" i="180"/>
  <c r="AU12" i="180"/>
  <c r="V277" i="180"/>
  <c r="V246" i="180"/>
  <c r="V233" i="180"/>
  <c r="V221" i="180"/>
  <c r="V209" i="180"/>
  <c r="V196" i="180"/>
  <c r="V183" i="180"/>
  <c r="V168" i="180"/>
  <c r="V155" i="180"/>
  <c r="V143" i="180"/>
  <c r="V131" i="180"/>
  <c r="V119" i="180"/>
  <c r="V107" i="180"/>
  <c r="V93" i="180"/>
  <c r="V78" i="180"/>
  <c r="V65" i="180"/>
  <c r="V53" i="180"/>
  <c r="V42" i="180"/>
  <c r="V29" i="180"/>
  <c r="V18" i="180"/>
  <c r="AT281" i="180"/>
  <c r="AT269" i="180"/>
  <c r="AT257" i="180"/>
  <c r="AT245" i="180"/>
  <c r="AT233" i="180"/>
  <c r="AT221" i="180"/>
  <c r="AT209" i="180"/>
  <c r="AT197" i="180"/>
  <c r="AT185" i="180"/>
  <c r="AT173" i="180"/>
  <c r="AT161" i="180"/>
  <c r="AT149" i="180"/>
  <c r="AT137" i="180"/>
  <c r="AT125" i="180"/>
  <c r="AT113" i="180"/>
  <c r="AT101" i="180"/>
  <c r="AT89" i="180"/>
  <c r="AT77" i="180"/>
  <c r="AT65" i="180"/>
  <c r="AT53" i="180"/>
  <c r="AT42" i="180"/>
  <c r="AT29" i="180"/>
  <c r="AT18" i="180"/>
  <c r="F264" i="180"/>
  <c r="AB264" i="180" s="1"/>
  <c r="F237" i="180"/>
  <c r="AB237" i="180" s="1"/>
  <c r="F225" i="180"/>
  <c r="AB225" i="180" s="1"/>
  <c r="F213" i="180"/>
  <c r="AB213" i="180" s="1"/>
  <c r="F200" i="180"/>
  <c r="AB200" i="180" s="1"/>
  <c r="F188" i="180"/>
  <c r="AB188" i="180" s="1"/>
  <c r="F173" i="180"/>
  <c r="AB173" i="180" s="1"/>
  <c r="F159" i="180"/>
  <c r="AB159" i="180" s="1"/>
  <c r="F147" i="180"/>
  <c r="AB147" i="180" s="1"/>
  <c r="F135" i="180"/>
  <c r="AB135" i="180" s="1"/>
  <c r="F123" i="180"/>
  <c r="AB123" i="180" s="1"/>
  <c r="F111" i="180"/>
  <c r="AB111" i="180" s="1"/>
  <c r="F97" i="180"/>
  <c r="AB97" i="180" s="1"/>
  <c r="F82" i="180"/>
  <c r="AB82" i="180" s="1"/>
  <c r="F69" i="180"/>
  <c r="AB69" i="180" s="1"/>
  <c r="F56" i="180"/>
  <c r="AB56" i="180" s="1"/>
  <c r="F44" i="180"/>
  <c r="AB44" i="180" s="1"/>
  <c r="F31" i="180"/>
  <c r="AB31" i="180" s="1"/>
  <c r="F20" i="180"/>
  <c r="AB20" i="180" s="1"/>
  <c r="F7" i="180"/>
  <c r="AB7" i="180" s="1"/>
  <c r="AU275" i="180"/>
  <c r="AU263" i="180"/>
  <c r="AU251" i="180"/>
  <c r="AU239" i="180"/>
  <c r="AU227" i="180"/>
  <c r="AU215" i="180"/>
  <c r="AU203" i="180"/>
  <c r="AU191" i="180"/>
  <c r="AU179" i="180"/>
  <c r="AU167" i="180"/>
  <c r="AU155" i="180"/>
  <c r="AU143" i="180"/>
  <c r="AU131" i="180"/>
  <c r="AU119" i="180"/>
  <c r="AU107" i="180"/>
  <c r="AU95" i="180"/>
  <c r="AU83" i="180"/>
  <c r="AU71" i="180"/>
  <c r="AU59" i="180"/>
  <c r="AU47" i="180"/>
  <c r="AU37" i="180"/>
  <c r="AU23" i="180"/>
  <c r="AU11" i="180"/>
  <c r="V169" i="180"/>
  <c r="V270" i="180"/>
  <c r="AC11" i="180"/>
  <c r="AC14" i="180"/>
  <c r="AC253" i="180"/>
  <c r="AB253" i="180"/>
  <c r="AC29" i="180"/>
  <c r="AC58" i="180"/>
  <c r="AC26" i="180"/>
  <c r="AC242" i="180"/>
  <c r="AM284" i="180"/>
  <c r="AL284" i="180" s="1"/>
  <c r="AW284" i="180"/>
  <c r="AC64" i="180"/>
  <c r="AC280" i="180"/>
  <c r="AC27" i="180"/>
  <c r="AC183" i="180"/>
  <c r="AC234" i="180"/>
  <c r="AC79" i="180"/>
  <c r="AC31" i="180"/>
  <c r="AC248" i="180"/>
  <c r="AB248" i="180"/>
  <c r="AM292" i="180"/>
  <c r="AL292" i="180" s="1"/>
  <c r="AW292" i="180"/>
  <c r="AC67" i="180"/>
  <c r="AC262" i="180"/>
  <c r="AB262" i="180"/>
  <c r="AC141" i="180"/>
  <c r="AU282" i="180"/>
  <c r="AU257" i="180"/>
  <c r="AU209" i="180"/>
  <c r="AU125" i="180"/>
  <c r="V266" i="180"/>
  <c r="V214" i="180"/>
  <c r="V160" i="180"/>
  <c r="V124" i="180"/>
  <c r="V84" i="180"/>
  <c r="V45" i="180"/>
  <c r="V8" i="180"/>
  <c r="AT250" i="180"/>
  <c r="AT214" i="180"/>
  <c r="AT178" i="180"/>
  <c r="AT142" i="180"/>
  <c r="AT106" i="180"/>
  <c r="AT82" i="180"/>
  <c r="AT57" i="180"/>
  <c r="AT22" i="180"/>
  <c r="F272" i="180"/>
  <c r="AB272" i="180" s="1"/>
  <c r="F218" i="180"/>
  <c r="AB218" i="180" s="1"/>
  <c r="F116" i="180"/>
  <c r="AB116" i="180" s="1"/>
  <c r="AU274" i="180"/>
  <c r="AU262" i="180"/>
  <c r="AU250" i="180"/>
  <c r="AU238" i="180"/>
  <c r="AU226" i="180"/>
  <c r="AU214" i="180"/>
  <c r="AU202" i="180"/>
  <c r="AU190" i="180"/>
  <c r="AU178" i="180"/>
  <c r="AU166" i="180"/>
  <c r="AU154" i="180"/>
  <c r="AU142" i="180"/>
  <c r="AU130" i="180"/>
  <c r="AU118" i="180"/>
  <c r="AU106" i="180"/>
  <c r="AU94" i="180"/>
  <c r="AU82" i="180"/>
  <c r="AU70" i="180"/>
  <c r="AU57" i="180"/>
  <c r="AU45" i="180"/>
  <c r="AU34" i="180"/>
  <c r="AU22" i="180"/>
  <c r="AU9" i="180"/>
  <c r="F83" i="180"/>
  <c r="AB83" i="180" s="1"/>
  <c r="V250" i="180"/>
  <c r="V210" i="180"/>
  <c r="V170" i="180"/>
  <c r="V120" i="180"/>
  <c r="V30" i="180"/>
  <c r="V273" i="180"/>
  <c r="V244" i="180"/>
  <c r="V231" i="180"/>
  <c r="V219" i="180"/>
  <c r="V207" i="180"/>
  <c r="V180" i="180"/>
  <c r="V166" i="180"/>
  <c r="V153" i="180"/>
  <c r="V141" i="180"/>
  <c r="V129" i="180"/>
  <c r="V117" i="180"/>
  <c r="V105" i="180"/>
  <c r="V91" i="180"/>
  <c r="V76" i="180"/>
  <c r="V63" i="180"/>
  <c r="V49" i="180"/>
  <c r="V40" i="180"/>
  <c r="V27" i="180"/>
  <c r="V15" i="180"/>
  <c r="AT279" i="180"/>
  <c r="AT267" i="180"/>
  <c r="AT255" i="180"/>
  <c r="AT243" i="180"/>
  <c r="AT231" i="180"/>
  <c r="AT219" i="180"/>
  <c r="AT207" i="180"/>
  <c r="AT195" i="180"/>
  <c r="AT183" i="180"/>
  <c r="AT171" i="180"/>
  <c r="AT159" i="180"/>
  <c r="AT147" i="180"/>
  <c r="AT135" i="180"/>
  <c r="AT123" i="180"/>
  <c r="AT111" i="180"/>
  <c r="AT99" i="180"/>
  <c r="AT87" i="180"/>
  <c r="AT75" i="180"/>
  <c r="AT63" i="180"/>
  <c r="AT49" i="180"/>
  <c r="AT40" i="180"/>
  <c r="AT27" i="180"/>
  <c r="AT15" i="180"/>
  <c r="F279" i="180"/>
  <c r="AB279" i="180" s="1"/>
  <c r="F252" i="180"/>
  <c r="AB252" i="180" s="1"/>
  <c r="F235" i="180"/>
  <c r="AB235" i="180" s="1"/>
  <c r="F223" i="180"/>
  <c r="AB223" i="180" s="1"/>
  <c r="F211" i="180"/>
  <c r="AB211" i="180" s="1"/>
  <c r="F198" i="180"/>
  <c r="AB198" i="180" s="1"/>
  <c r="F186" i="180"/>
  <c r="AB186" i="180" s="1"/>
  <c r="F171" i="180"/>
  <c r="AB171" i="180" s="1"/>
  <c r="F157" i="180"/>
  <c r="AB157" i="180" s="1"/>
  <c r="F145" i="180"/>
  <c r="AB145" i="180" s="1"/>
  <c r="F133" i="180"/>
  <c r="AB133" i="180" s="1"/>
  <c r="F121" i="180"/>
  <c r="AB121" i="180" s="1"/>
  <c r="F109" i="180"/>
  <c r="AB109" i="180" s="1"/>
  <c r="F95" i="180"/>
  <c r="AB95" i="180" s="1"/>
  <c r="F80" i="180"/>
  <c r="AB80" i="180" s="1"/>
  <c r="F67" i="180"/>
  <c r="AB67" i="180" s="1"/>
  <c r="F54" i="180"/>
  <c r="AB54" i="180" s="1"/>
  <c r="F39" i="180"/>
  <c r="AB39" i="180" s="1"/>
  <c r="F30" i="180"/>
  <c r="F17" i="180"/>
  <c r="AU273" i="180"/>
  <c r="AU261" i="180"/>
  <c r="AU249" i="180"/>
  <c r="AU237" i="180"/>
  <c r="AU225" i="180"/>
  <c r="AU213" i="180"/>
  <c r="AU201" i="180"/>
  <c r="AU189" i="180"/>
  <c r="AU177" i="180"/>
  <c r="AU165" i="180"/>
  <c r="AU153" i="180"/>
  <c r="AU141" i="180"/>
  <c r="AU129" i="180"/>
  <c r="AU117" i="180"/>
  <c r="AU105" i="180"/>
  <c r="AU93" i="180"/>
  <c r="AU81" i="180"/>
  <c r="AU69" i="180"/>
  <c r="AU58" i="180"/>
  <c r="AU46" i="180"/>
  <c r="AU33" i="180"/>
  <c r="AU21" i="180"/>
  <c r="AU8" i="180"/>
  <c r="F267" i="180"/>
  <c r="AB267" i="180" s="1"/>
  <c r="AW294" i="180"/>
  <c r="AM294" i="180"/>
  <c r="AL294" i="180" s="1"/>
  <c r="AC23" i="180"/>
  <c r="AC119" i="180"/>
  <c r="AC227" i="180"/>
  <c r="AC133" i="180"/>
  <c r="AC277" i="180"/>
  <c r="AB265" i="180"/>
  <c r="AC60" i="180"/>
  <c r="AC276" i="180"/>
  <c r="AB276" i="180"/>
  <c r="AC153" i="180"/>
  <c r="AC38" i="180"/>
  <c r="AC182" i="180"/>
  <c r="AC254" i="180"/>
  <c r="AB254" i="180"/>
  <c r="AC147" i="180"/>
  <c r="AC165" i="180"/>
  <c r="AC49" i="180"/>
  <c r="AC17" i="180"/>
  <c r="AC102" i="180"/>
  <c r="AC246" i="180"/>
  <c r="AC103" i="180"/>
  <c r="AC235" i="180"/>
  <c r="AC44" i="180"/>
  <c r="AW288" i="180"/>
  <c r="AM288" i="180"/>
  <c r="AL288" i="180" s="1"/>
  <c r="AC247" i="180"/>
  <c r="AB247" i="180"/>
  <c r="AL247" i="180"/>
  <c r="AB99" i="180"/>
  <c r="AC105" i="180"/>
  <c r="AC274" i="180"/>
  <c r="AC101" i="180"/>
  <c r="AT109" i="180"/>
  <c r="AT97" i="180"/>
  <c r="AT73" i="180"/>
  <c r="AT61" i="180"/>
  <c r="AT50" i="180"/>
  <c r="AT25" i="180"/>
  <c r="AT14" i="180"/>
  <c r="F277" i="180"/>
  <c r="AB277" i="180" s="1"/>
  <c r="F246" i="180"/>
  <c r="AB246" i="180" s="1"/>
  <c r="F233" i="180"/>
  <c r="AB233" i="180" s="1"/>
  <c r="F209" i="180"/>
  <c r="AB209" i="180" s="1"/>
  <c r="F196" i="180"/>
  <c r="AB196" i="180" s="1"/>
  <c r="F183" i="180"/>
  <c r="AB183" i="180" s="1"/>
  <c r="F168" i="180"/>
  <c r="AB168" i="180" s="1"/>
  <c r="F155" i="180"/>
  <c r="AB155" i="180" s="1"/>
  <c r="F143" i="180"/>
  <c r="AB143" i="180" s="1"/>
  <c r="F131" i="180"/>
  <c r="AB131" i="180" s="1"/>
  <c r="F119" i="180"/>
  <c r="AB119" i="180" s="1"/>
  <c r="F107" i="180"/>
  <c r="AB107" i="180" s="1"/>
  <c r="F93" i="180"/>
  <c r="AB93" i="180" s="1"/>
  <c r="F78" i="180"/>
  <c r="AB78" i="180" s="1"/>
  <c r="F64" i="180"/>
  <c r="AB64" i="180" s="1"/>
  <c r="F52" i="180"/>
  <c r="AB52" i="180" s="1"/>
  <c r="F41" i="180"/>
  <c r="AB41" i="180" s="1"/>
  <c r="F28" i="180"/>
  <c r="AB28" i="180" s="1"/>
  <c r="F16" i="180"/>
  <c r="AB16" i="180" s="1"/>
  <c r="V268" i="180"/>
  <c r="V227" i="180"/>
  <c r="V203" i="180"/>
  <c r="V175" i="180"/>
  <c r="V149" i="180"/>
  <c r="V125" i="180"/>
  <c r="V113" i="180"/>
  <c r="V101" i="180"/>
  <c r="V72" i="180"/>
  <c r="V59" i="180"/>
  <c r="V47" i="180"/>
  <c r="V37" i="180"/>
  <c r="V23" i="180"/>
  <c r="V11" i="180"/>
  <c r="AT275" i="180"/>
  <c r="AT263" i="180"/>
  <c r="AT251" i="180"/>
  <c r="AT227" i="180"/>
  <c r="AT215" i="180"/>
  <c r="AT203" i="180"/>
  <c r="AT191" i="180"/>
  <c r="AT179" i="180"/>
  <c r="AT167" i="180"/>
  <c r="AT155" i="180"/>
  <c r="AT143" i="180"/>
  <c r="AT131" i="180"/>
  <c r="AT119" i="180"/>
  <c r="AT107" i="180"/>
  <c r="AT95" i="180"/>
  <c r="AT83" i="180"/>
  <c r="AT71" i="180"/>
  <c r="AT59" i="180"/>
  <c r="AT47" i="180"/>
  <c r="AT37" i="180"/>
  <c r="AT23" i="180"/>
  <c r="AT11" i="180"/>
  <c r="F273" i="180"/>
  <c r="AB273" i="180" s="1"/>
  <c r="F244" i="180"/>
  <c r="AB244" i="180" s="1"/>
  <c r="F231" i="180"/>
  <c r="AB231" i="180" s="1"/>
  <c r="F219" i="180"/>
  <c r="AB219" i="180" s="1"/>
  <c r="F207" i="180"/>
  <c r="AB207" i="180" s="1"/>
  <c r="F194" i="180"/>
  <c r="AB194" i="180" s="1"/>
  <c r="F180" i="180"/>
  <c r="AB180" i="180" s="1"/>
  <c r="F166" i="180"/>
  <c r="AB166" i="180" s="1"/>
  <c r="F153" i="180"/>
  <c r="AB153" i="180" s="1"/>
  <c r="F141" i="180"/>
  <c r="AB141" i="180" s="1"/>
  <c r="F129" i="180"/>
  <c r="AB129" i="180" s="1"/>
  <c r="F117" i="180"/>
  <c r="AB117" i="180" s="1"/>
  <c r="F105" i="180"/>
  <c r="AB105" i="180" s="1"/>
  <c r="F91" i="180"/>
  <c r="AB91" i="180" s="1"/>
  <c r="F76" i="180"/>
  <c r="AB76" i="180" s="1"/>
  <c r="F62" i="180"/>
  <c r="AB62" i="180" s="1"/>
  <c r="F51" i="180"/>
  <c r="AB51" i="180" s="1"/>
  <c r="F38" i="180"/>
  <c r="AB38" i="180" s="1"/>
  <c r="F26" i="180"/>
  <c r="AB26" i="180" s="1"/>
  <c r="F13" i="180"/>
  <c r="AB13" i="180" s="1"/>
  <c r="V278" i="180"/>
  <c r="V234" i="180"/>
  <c r="V197" i="180"/>
  <c r="V156" i="180"/>
  <c r="V132" i="180"/>
  <c r="V108" i="180"/>
  <c r="V79" i="180"/>
  <c r="V54" i="180"/>
  <c r="V17" i="180"/>
  <c r="AT270" i="180"/>
  <c r="AT246" i="180"/>
  <c r="AT222" i="180"/>
  <c r="AT186" i="180"/>
  <c r="AT162" i="180"/>
  <c r="AT138" i="180"/>
  <c r="AT114" i="180"/>
  <c r="AT90" i="180"/>
  <c r="AT66" i="180"/>
  <c r="AT39" i="180"/>
  <c r="F6" i="180"/>
  <c r="F136" i="180"/>
  <c r="AB136" i="180" s="1"/>
  <c r="V274" i="180"/>
  <c r="V245" i="180"/>
  <c r="V232" i="180"/>
  <c r="V220" i="180"/>
  <c r="V208" i="180"/>
  <c r="V195" i="180"/>
  <c r="V182" i="180"/>
  <c r="V167" i="180"/>
  <c r="V154" i="180"/>
  <c r="V142" i="180"/>
  <c r="V130" i="180"/>
  <c r="V118" i="180"/>
  <c r="V106" i="180"/>
  <c r="V92" i="180"/>
  <c r="V77" i="180"/>
  <c r="V64" i="180"/>
  <c r="V52" i="180"/>
  <c r="V41" i="180"/>
  <c r="V28" i="180"/>
  <c r="V16" i="180"/>
  <c r="AT280" i="180"/>
  <c r="AT268" i="180"/>
  <c r="AT256" i="180"/>
  <c r="AT244" i="180"/>
  <c r="AT232" i="180"/>
  <c r="AT220" i="180"/>
  <c r="AT208" i="180"/>
  <c r="AT196" i="180"/>
  <c r="AT184" i="180"/>
  <c r="AT172" i="180"/>
  <c r="AT160" i="180"/>
  <c r="AT148" i="180"/>
  <c r="AT136" i="180"/>
  <c r="AT124" i="180"/>
  <c r="AT112" i="180"/>
  <c r="AT100" i="180"/>
  <c r="AT88" i="180"/>
  <c r="AT76" i="180"/>
  <c r="AT64" i="180"/>
  <c r="AT52" i="180"/>
  <c r="AT41" i="180"/>
  <c r="AT28" i="180"/>
  <c r="AT16" i="180"/>
  <c r="F280" i="180"/>
  <c r="AB280" i="180" s="1"/>
  <c r="F263" i="180"/>
  <c r="AB263" i="180" s="1"/>
  <c r="F236" i="180"/>
  <c r="AB236" i="180" s="1"/>
  <c r="F224" i="180"/>
  <c r="AB224" i="180" s="1"/>
  <c r="F212" i="180"/>
  <c r="AB212" i="180" s="1"/>
  <c r="F199" i="180"/>
  <c r="AB199" i="180" s="1"/>
  <c r="F187" i="180"/>
  <c r="AB187" i="180" s="1"/>
  <c r="F172" i="180"/>
  <c r="AB172" i="180" s="1"/>
  <c r="F158" i="180"/>
  <c r="AB158" i="180" s="1"/>
  <c r="F146" i="180"/>
  <c r="AB146" i="180" s="1"/>
  <c r="F134" i="180"/>
  <c r="AB134" i="180" s="1"/>
  <c r="F122" i="180"/>
  <c r="AB122" i="180" s="1"/>
  <c r="F110" i="180"/>
  <c r="AB110" i="180" s="1"/>
  <c r="F96" i="180"/>
  <c r="AB96" i="180" s="1"/>
  <c r="F81" i="180"/>
  <c r="AB81" i="180" s="1"/>
  <c r="F68" i="180"/>
  <c r="AB68" i="180" s="1"/>
  <c r="F55" i="180"/>
  <c r="AB55" i="180" s="1"/>
  <c r="F43" i="180"/>
  <c r="AB43" i="180" s="1"/>
  <c r="F32" i="180"/>
  <c r="AB32" i="180" s="1"/>
  <c r="F19" i="180"/>
  <c r="AB19" i="180" s="1"/>
  <c r="V194" i="180"/>
  <c r="V272" i="180"/>
  <c r="V243" i="180"/>
  <c r="V230" i="180"/>
  <c r="V218" i="180"/>
  <c r="V206" i="180"/>
  <c r="V193" i="180"/>
  <c r="V179" i="180"/>
  <c r="V165" i="180"/>
  <c r="V152" i="180"/>
  <c r="V140" i="180"/>
  <c r="V128" i="180"/>
  <c r="V116" i="180"/>
  <c r="V104" i="180"/>
  <c r="V88" i="180"/>
  <c r="V75" i="180"/>
  <c r="V62" i="180"/>
  <c r="V51" i="180"/>
  <c r="V38" i="180"/>
  <c r="V26" i="180"/>
  <c r="V13" i="180"/>
  <c r="AT278" i="180"/>
  <c r="AT266" i="180"/>
  <c r="AT254" i="180"/>
  <c r="AT242" i="180"/>
  <c r="AT230" i="180"/>
  <c r="AT218" i="180"/>
  <c r="AT206" i="180"/>
  <c r="AT194" i="180"/>
  <c r="AT182" i="180"/>
  <c r="AT170" i="180"/>
  <c r="AT158" i="180"/>
  <c r="AT146" i="180"/>
  <c r="AT134" i="180"/>
  <c r="AT122" i="180"/>
  <c r="AT110" i="180"/>
  <c r="AT98" i="180"/>
  <c r="AT86" i="180"/>
  <c r="AT74" i="180"/>
  <c r="AT62" i="180"/>
  <c r="AT51" i="180"/>
  <c r="AT38" i="180"/>
  <c r="AT26" i="180"/>
  <c r="AT13" i="180"/>
  <c r="F278" i="180"/>
  <c r="AB278" i="180" s="1"/>
  <c r="F250" i="180"/>
  <c r="AB250" i="180" s="1"/>
  <c r="F234" i="180"/>
  <c r="AB234" i="180" s="1"/>
  <c r="F222" i="180"/>
  <c r="AB222" i="180" s="1"/>
  <c r="F210" i="180"/>
  <c r="AB210" i="180" s="1"/>
  <c r="F197" i="180"/>
  <c r="AB197" i="180" s="1"/>
  <c r="F185" i="180"/>
  <c r="AB185" i="180" s="1"/>
  <c r="F170" i="180"/>
  <c r="AB170" i="180" s="1"/>
  <c r="F156" i="180"/>
  <c r="AB156" i="180" s="1"/>
  <c r="F144" i="180"/>
  <c r="AB144" i="180" s="1"/>
  <c r="F132" i="180"/>
  <c r="AB132" i="180" s="1"/>
  <c r="F120" i="180"/>
  <c r="AB120" i="180" s="1"/>
  <c r="F108" i="180"/>
  <c r="AB108" i="180" s="1"/>
  <c r="F94" i="180"/>
  <c r="AB94" i="180" s="1"/>
  <c r="F79" i="180"/>
  <c r="AB79" i="180" s="1"/>
  <c r="F66" i="180"/>
  <c r="AB66" i="180" s="1"/>
  <c r="F53" i="180"/>
  <c r="AB53" i="180" s="1"/>
  <c r="F42" i="180"/>
  <c r="AB42" i="180" s="1"/>
  <c r="F29" i="180"/>
  <c r="AB29" i="180" s="1"/>
  <c r="F18" i="180"/>
  <c r="AB18" i="180" s="1"/>
  <c r="AU6" i="180"/>
  <c r="AU272" i="180"/>
  <c r="AU260" i="180"/>
  <c r="AU248" i="180"/>
  <c r="AU236" i="180"/>
  <c r="AU224" i="180"/>
  <c r="AU212" i="180"/>
  <c r="AU200" i="180"/>
  <c r="AU188" i="180"/>
  <c r="AU176" i="180"/>
  <c r="AU164" i="180"/>
  <c r="AU152" i="180"/>
  <c r="AU140" i="180"/>
  <c r="AU128" i="180"/>
  <c r="AU116" i="180"/>
  <c r="AU104" i="180"/>
  <c r="AU92" i="180"/>
  <c r="AU80" i="180"/>
  <c r="AU68" i="180"/>
  <c r="AU56" i="180"/>
  <c r="AU44" i="180"/>
  <c r="AU31" i="180"/>
  <c r="AU20" i="180"/>
  <c r="AU10" i="180"/>
  <c r="V83" i="180"/>
  <c r="AC72" i="180"/>
  <c r="AC73" i="180"/>
  <c r="AC241" i="180"/>
  <c r="AC65" i="180"/>
  <c r="AC225" i="180"/>
  <c r="AC51" i="180"/>
  <c r="AC122" i="180"/>
  <c r="AC171" i="180"/>
  <c r="AC16" i="180"/>
  <c r="AC213" i="180"/>
  <c r="AM249" i="180"/>
  <c r="AL249" i="180" s="1"/>
  <c r="AW249" i="180"/>
  <c r="AM258" i="180"/>
  <c r="AL258" i="180" s="1"/>
  <c r="AW258" i="180"/>
  <c r="AC30" i="180"/>
  <c r="AC114" i="180"/>
  <c r="AC127" i="180"/>
  <c r="AC272" i="180"/>
  <c r="AM285" i="180"/>
  <c r="AL285" i="180" s="1"/>
  <c r="AW285" i="180"/>
  <c r="AB261" i="180"/>
  <c r="AC177" i="180"/>
  <c r="AB177" i="180"/>
  <c r="AW291" i="180"/>
  <c r="AM291" i="180"/>
  <c r="AL291" i="180" s="1"/>
  <c r="AC70" i="180"/>
  <c r="AC142" i="180"/>
  <c r="AC214" i="180"/>
  <c r="AB275" i="180"/>
  <c r="AC275" i="180"/>
  <c r="AU284" i="180"/>
  <c r="AU271" i="180"/>
  <c r="AU259" i="180"/>
  <c r="AU247" i="180"/>
  <c r="AU235" i="180"/>
  <c r="AU223" i="180"/>
  <c r="AU211" i="180"/>
  <c r="AU199" i="180"/>
  <c r="AU187" i="180"/>
  <c r="AU175" i="180"/>
  <c r="AU163" i="180"/>
  <c r="AU151" i="180"/>
  <c r="AU139" i="180"/>
  <c r="AU127" i="180"/>
  <c r="AU115" i="180"/>
  <c r="AU103" i="180"/>
  <c r="AU91" i="180"/>
  <c r="AU79" i="180"/>
  <c r="AU67" i="180"/>
  <c r="AU55" i="180"/>
  <c r="AU43" i="180"/>
  <c r="AU32" i="180"/>
  <c r="AU19" i="180"/>
  <c r="AU7" i="180"/>
  <c r="V269" i="180"/>
  <c r="V241" i="180"/>
  <c r="V228" i="180"/>
  <c r="V216" i="180"/>
  <c r="V204" i="180"/>
  <c r="V191" i="180"/>
  <c r="V176" i="180"/>
  <c r="V163" i="180"/>
  <c r="V150" i="180"/>
  <c r="V138" i="180"/>
  <c r="V126" i="180"/>
  <c r="V114" i="180"/>
  <c r="V102" i="180"/>
  <c r="V86" i="180"/>
  <c r="V73" i="180"/>
  <c r="V60" i="180"/>
  <c r="V48" i="180"/>
  <c r="V36" i="180"/>
  <c r="V24" i="180"/>
  <c r="V12" i="180"/>
  <c r="AT276" i="180"/>
  <c r="AT264" i="180"/>
  <c r="AT252" i="180"/>
  <c r="AT240" i="180"/>
  <c r="AT228" i="180"/>
  <c r="AT216" i="180"/>
  <c r="AT204" i="180"/>
  <c r="AT192" i="180"/>
  <c r="AT180" i="180"/>
  <c r="AT168" i="180"/>
  <c r="AT156" i="180"/>
  <c r="AT144" i="180"/>
  <c r="AT132" i="180"/>
  <c r="AT120" i="180"/>
  <c r="AT108" i="180"/>
  <c r="AT96" i="180"/>
  <c r="AT84" i="180"/>
  <c r="AT72" i="180"/>
  <c r="AT60" i="180"/>
  <c r="AT48" i="180"/>
  <c r="AT36" i="180"/>
  <c r="AT24" i="180"/>
  <c r="AT12" i="180"/>
  <c r="F274" i="180"/>
  <c r="AB274" i="180" s="1"/>
  <c r="F245" i="180"/>
  <c r="AB245" i="180" s="1"/>
  <c r="F232" i="180"/>
  <c r="AB232" i="180" s="1"/>
  <c r="F220" i="180"/>
  <c r="AB220" i="180" s="1"/>
  <c r="F208" i="180"/>
  <c r="AB208" i="180" s="1"/>
  <c r="F195" i="180"/>
  <c r="AB195" i="180" s="1"/>
  <c r="F182" i="180"/>
  <c r="AB182" i="180" s="1"/>
  <c r="F167" i="180"/>
  <c r="AB167" i="180" s="1"/>
  <c r="F154" i="180"/>
  <c r="AB154" i="180" s="1"/>
  <c r="F142" i="180"/>
  <c r="AB142" i="180" s="1"/>
  <c r="F130" i="180"/>
  <c r="AB130" i="180" s="1"/>
  <c r="F118" i="180"/>
  <c r="AB118" i="180" s="1"/>
  <c r="F106" i="180"/>
  <c r="AB106" i="180" s="1"/>
  <c r="F92" i="180"/>
  <c r="AB92" i="180" s="1"/>
  <c r="F77" i="180"/>
  <c r="AB77" i="180" s="1"/>
  <c r="F63" i="180"/>
  <c r="AB63" i="180" s="1"/>
  <c r="F49" i="180"/>
  <c r="F40" i="180"/>
  <c r="AB40" i="180" s="1"/>
  <c r="F27" i="180"/>
  <c r="AB27" i="180" s="1"/>
  <c r="F15" i="180"/>
  <c r="AB15" i="180" s="1"/>
  <c r="AU270" i="180"/>
  <c r="AU258" i="180"/>
  <c r="AU246" i="180"/>
  <c r="AU234" i="180"/>
  <c r="AU222" i="180"/>
  <c r="AU210" i="180"/>
  <c r="AU198" i="180"/>
  <c r="AU186" i="180"/>
  <c r="AU174" i="180"/>
  <c r="AU162" i="180"/>
  <c r="AU150" i="180"/>
  <c r="AU138" i="180"/>
  <c r="AU126" i="180"/>
  <c r="AU114" i="180"/>
  <c r="AU102" i="180"/>
  <c r="AU90" i="180"/>
  <c r="AU78" i="180"/>
  <c r="AU66" i="180"/>
  <c r="AU54" i="180"/>
  <c r="AU39" i="180"/>
  <c r="AU30" i="180"/>
  <c r="AU17" i="180"/>
  <c r="F65" i="180"/>
  <c r="AB65" i="180" s="1"/>
  <c r="F71" i="180"/>
  <c r="AB71" i="180" s="1"/>
  <c r="AM239" i="180" l="1"/>
  <c r="AL239" i="180" s="1"/>
  <c r="AM259" i="180"/>
  <c r="AL259" i="180" s="1"/>
  <c r="AM202" i="180"/>
  <c r="AL202" i="180" s="1"/>
  <c r="AM251" i="180"/>
  <c r="AL251" i="180" s="1"/>
  <c r="AW184" i="180"/>
  <c r="AB17" i="180"/>
  <c r="AM17" i="180" s="1"/>
  <c r="AL17" i="180" s="1"/>
  <c r="AL14" i="180"/>
  <c r="AW260" i="180"/>
  <c r="AB30" i="180"/>
  <c r="AW30" i="180" s="1"/>
  <c r="AM161" i="180"/>
  <c r="AL161" i="180" s="1"/>
  <c r="AL24" i="180"/>
  <c r="AM142" i="180"/>
  <c r="AL142" i="180" s="1"/>
  <c r="AW142" i="180"/>
  <c r="AW252" i="180"/>
  <c r="AM252" i="180"/>
  <c r="AL252" i="180" s="1"/>
  <c r="AW59" i="180"/>
  <c r="AM59" i="180"/>
  <c r="AL59" i="180" s="1"/>
  <c r="AM29" i="180"/>
  <c r="AL29" i="180" s="1"/>
  <c r="AW29" i="180"/>
  <c r="AM108" i="180"/>
  <c r="AL108" i="180" s="1"/>
  <c r="AW108" i="180"/>
  <c r="AM278" i="180"/>
  <c r="AL278" i="180" s="1"/>
  <c r="AW278" i="180"/>
  <c r="AM55" i="180"/>
  <c r="AL55" i="180" s="1"/>
  <c r="AW55" i="180"/>
  <c r="AM134" i="180"/>
  <c r="AL134" i="180" s="1"/>
  <c r="AW134" i="180"/>
  <c r="AM51" i="180"/>
  <c r="AL51" i="180" s="1"/>
  <c r="AW51" i="180"/>
  <c r="AM28" i="180"/>
  <c r="AL28" i="180" s="1"/>
  <c r="AW28" i="180"/>
  <c r="AM183" i="180"/>
  <c r="AL183" i="180" s="1"/>
  <c r="AW183" i="180"/>
  <c r="AM238" i="180"/>
  <c r="AL238" i="180" s="1"/>
  <c r="AW238" i="180"/>
  <c r="AM50" i="180"/>
  <c r="AL50" i="180" s="1"/>
  <c r="AW50" i="180"/>
  <c r="AM63" i="180"/>
  <c r="AW63" i="180"/>
  <c r="AW279" i="180"/>
  <c r="AM279" i="180"/>
  <c r="AL279" i="180" s="1"/>
  <c r="AW68" i="180"/>
  <c r="AM68" i="180"/>
  <c r="AL68" i="180" s="1"/>
  <c r="AW224" i="180"/>
  <c r="AM224" i="180"/>
  <c r="AL224" i="180" s="1"/>
  <c r="AW62" i="180"/>
  <c r="AM62" i="180"/>
  <c r="AL62" i="180" s="1"/>
  <c r="AM119" i="180"/>
  <c r="AL119" i="180" s="1"/>
  <c r="AW119" i="180"/>
  <c r="AM10" i="180"/>
  <c r="AL10" i="180" s="1"/>
  <c r="AW10" i="180"/>
  <c r="AW83" i="180"/>
  <c r="AM83" i="180"/>
  <c r="AL83" i="180" s="1"/>
  <c r="AM71" i="180"/>
  <c r="AL71" i="180" s="1"/>
  <c r="AW71" i="180"/>
  <c r="AW167" i="180"/>
  <c r="AM167" i="180"/>
  <c r="AL167" i="180" s="1"/>
  <c r="AW245" i="180"/>
  <c r="AM245" i="180"/>
  <c r="AL245" i="180" s="1"/>
  <c r="AM271" i="180"/>
  <c r="AL271" i="180" s="1"/>
  <c r="AW271" i="180"/>
  <c r="AM123" i="180"/>
  <c r="AL123" i="180" s="1"/>
  <c r="AW123" i="180"/>
  <c r="AM236" i="180"/>
  <c r="AW236" i="180"/>
  <c r="AM153" i="180"/>
  <c r="AL153" i="180" s="1"/>
  <c r="AW153" i="180"/>
  <c r="AM65" i="180"/>
  <c r="AL65" i="180" s="1"/>
  <c r="AW65" i="180"/>
  <c r="AW27" i="180"/>
  <c r="AM27" i="180"/>
  <c r="AL27" i="180" s="1"/>
  <c r="AW182" i="180"/>
  <c r="AM182" i="180"/>
  <c r="AL182" i="180" s="1"/>
  <c r="AM274" i="180"/>
  <c r="AL274" i="180" s="1"/>
  <c r="AW274" i="180"/>
  <c r="AM54" i="180"/>
  <c r="AL54" i="180" s="1"/>
  <c r="AW54" i="180"/>
  <c r="AW133" i="180"/>
  <c r="AM133" i="180"/>
  <c r="AL133" i="180" s="1"/>
  <c r="AM165" i="180"/>
  <c r="AL165" i="180" s="1"/>
  <c r="AW165" i="180"/>
  <c r="AM66" i="180"/>
  <c r="AL66" i="180" s="1"/>
  <c r="AW66" i="180"/>
  <c r="AM172" i="180"/>
  <c r="AL172" i="180" s="1"/>
  <c r="AW172" i="180"/>
  <c r="AM13" i="180"/>
  <c r="AL13" i="180" s="1"/>
  <c r="AW13" i="180"/>
  <c r="AM244" i="180"/>
  <c r="AL244" i="180" s="1"/>
  <c r="AW244" i="180"/>
  <c r="AM64" i="180"/>
  <c r="AL64" i="180" s="1"/>
  <c r="AW64" i="180"/>
  <c r="AW67" i="180"/>
  <c r="AM67" i="180"/>
  <c r="AL67" i="180" s="1"/>
  <c r="AW145" i="180"/>
  <c r="AM145" i="180"/>
  <c r="AL145" i="180" s="1"/>
  <c r="AM8" i="180"/>
  <c r="AL8" i="180" s="1"/>
  <c r="AW8" i="180"/>
  <c r="AW240" i="180"/>
  <c r="AM240" i="180"/>
  <c r="AL240" i="180" s="1"/>
  <c r="AW270" i="180"/>
  <c r="AM270" i="180"/>
  <c r="AL270" i="180" s="1"/>
  <c r="AM32" i="180"/>
  <c r="AL32" i="180" s="1"/>
  <c r="AW32" i="180"/>
  <c r="AW105" i="180"/>
  <c r="AM105" i="180"/>
  <c r="AL105" i="180" s="1"/>
  <c r="AM69" i="180"/>
  <c r="AL69" i="180" s="1"/>
  <c r="AW69" i="180"/>
  <c r="AW124" i="180"/>
  <c r="AM124" i="180"/>
  <c r="AL124" i="180" s="1"/>
  <c r="AW234" i="180"/>
  <c r="AM234" i="180"/>
  <c r="AL234" i="180" s="1"/>
  <c r="AM221" i="180"/>
  <c r="AL221" i="180" s="1"/>
  <c r="AW221" i="180"/>
  <c r="AW280" i="180"/>
  <c r="AM280" i="180"/>
  <c r="AL280" i="180" s="1"/>
  <c r="AM26" i="180"/>
  <c r="AL26" i="180" s="1"/>
  <c r="AW26" i="180"/>
  <c r="AM180" i="180"/>
  <c r="AL180" i="180" s="1"/>
  <c r="AW180" i="180"/>
  <c r="AW273" i="180"/>
  <c r="AM273" i="180"/>
  <c r="AL273" i="180" s="1"/>
  <c r="AM246" i="180"/>
  <c r="AL246" i="180" s="1"/>
  <c r="AW246" i="180"/>
  <c r="AM235" i="180"/>
  <c r="AL235" i="180" s="1"/>
  <c r="AW235" i="180"/>
  <c r="AW18" i="180"/>
  <c r="AM18" i="180"/>
  <c r="AL18" i="180" s="1"/>
  <c r="AW250" i="180"/>
  <c r="AM250" i="180"/>
  <c r="AL250" i="180" s="1"/>
  <c r="AW38" i="180"/>
  <c r="AM38" i="180"/>
  <c r="AL38" i="180" s="1"/>
  <c r="AW168" i="180"/>
  <c r="AM168" i="180"/>
  <c r="AL168" i="180" s="1"/>
  <c r="AW277" i="180"/>
  <c r="AM277" i="180"/>
  <c r="AL277" i="180" s="1"/>
  <c r="AW226" i="180"/>
  <c r="AM226" i="180"/>
  <c r="AL226" i="180" s="1"/>
  <c r="AM212" i="180"/>
  <c r="AL212" i="180" s="1"/>
  <c r="AW212" i="180"/>
  <c r="AM253" i="180"/>
  <c r="AL253" i="180" s="1"/>
  <c r="AW253" i="180"/>
  <c r="AM12" i="180"/>
  <c r="AL12" i="180" s="1"/>
  <c r="AW12" i="180"/>
  <c r="AM106" i="180"/>
  <c r="AL106" i="180" s="1"/>
  <c r="AW106" i="180"/>
  <c r="AM114" i="180"/>
  <c r="AL114" i="180" s="1"/>
  <c r="AW114" i="180"/>
  <c r="AW265" i="180"/>
  <c r="AM265" i="180"/>
  <c r="AL265" i="180" s="1"/>
  <c r="AW111" i="180"/>
  <c r="AM111" i="180"/>
  <c r="AL111" i="180" s="1"/>
  <c r="AM188" i="180"/>
  <c r="AL188" i="180" s="1"/>
  <c r="AW188" i="180"/>
  <c r="AW84" i="180"/>
  <c r="AM84" i="180"/>
  <c r="AL84" i="180" s="1"/>
  <c r="AW174" i="180"/>
  <c r="AM174" i="180"/>
  <c r="AL174" i="180" s="1"/>
  <c r="AM266" i="180"/>
  <c r="AL266" i="180" s="1"/>
  <c r="AW266" i="180"/>
  <c r="AM179" i="180"/>
  <c r="AL179" i="180" s="1"/>
  <c r="AW179" i="180"/>
  <c r="AM230" i="180"/>
  <c r="AL230" i="180" s="1"/>
  <c r="AW230" i="180"/>
  <c r="AW45" i="180"/>
  <c r="AM45" i="180"/>
  <c r="AL45" i="180" s="1"/>
  <c r="AM125" i="180"/>
  <c r="AL125" i="180" s="1"/>
  <c r="AW125" i="180"/>
  <c r="AM203" i="180"/>
  <c r="AL203" i="180" s="1"/>
  <c r="AW203" i="180"/>
  <c r="AW228" i="180"/>
  <c r="AM228" i="180"/>
  <c r="AL228" i="180" s="1"/>
  <c r="AM181" i="180"/>
  <c r="AL181" i="180" s="1"/>
  <c r="AW181" i="180"/>
  <c r="AW136" i="180"/>
  <c r="AM136" i="180"/>
  <c r="AL136" i="180" s="1"/>
  <c r="AM171" i="180"/>
  <c r="AL171" i="180" s="1"/>
  <c r="AW171" i="180"/>
  <c r="AM73" i="180"/>
  <c r="AL73" i="180" s="1"/>
  <c r="AW73" i="180"/>
  <c r="AM42" i="180"/>
  <c r="AL42" i="180" s="1"/>
  <c r="AW42" i="180"/>
  <c r="AM120" i="180"/>
  <c r="AL120" i="180" s="1"/>
  <c r="AW120" i="180"/>
  <c r="AM197" i="180"/>
  <c r="AL197" i="180" s="1"/>
  <c r="AW197" i="180"/>
  <c r="AM146" i="180"/>
  <c r="AL146" i="180" s="1"/>
  <c r="AW146" i="180"/>
  <c r="AW219" i="180"/>
  <c r="AM219" i="180"/>
  <c r="AL219" i="180" s="1"/>
  <c r="AW41" i="180"/>
  <c r="AM41" i="180"/>
  <c r="AL41" i="180" s="1"/>
  <c r="AW196" i="180"/>
  <c r="AM196" i="180"/>
  <c r="AL196" i="180" s="1"/>
  <c r="AM101" i="180"/>
  <c r="AL101" i="180" s="1"/>
  <c r="AW101" i="180"/>
  <c r="AW44" i="180"/>
  <c r="AM44" i="180"/>
  <c r="AL44" i="180" s="1"/>
  <c r="AM267" i="180"/>
  <c r="AL267" i="180" s="1"/>
  <c r="AW267" i="180"/>
  <c r="AW95" i="180"/>
  <c r="AM95" i="180"/>
  <c r="AL95" i="180" s="1"/>
  <c r="AW262" i="180"/>
  <c r="AM262" i="180"/>
  <c r="AL262" i="180" s="1"/>
  <c r="AM242" i="180"/>
  <c r="AL242" i="180" s="1"/>
  <c r="AW242" i="180"/>
  <c r="AW48" i="180"/>
  <c r="AM48" i="180"/>
  <c r="AL48" i="180" s="1"/>
  <c r="AM88" i="180"/>
  <c r="AL88" i="180" s="1"/>
  <c r="AW88" i="180"/>
  <c r="AM40" i="180"/>
  <c r="AL40" i="180" s="1"/>
  <c r="AW40" i="180"/>
  <c r="AM118" i="180"/>
  <c r="AL118" i="180" s="1"/>
  <c r="AW118" i="180"/>
  <c r="AW195" i="180"/>
  <c r="AM195" i="180"/>
  <c r="AL195" i="180" s="1"/>
  <c r="AB49" i="180"/>
  <c r="AW14" i="180"/>
  <c r="AM14" i="180"/>
  <c r="AM200" i="180"/>
  <c r="AL200" i="180" s="1"/>
  <c r="AW200" i="180"/>
  <c r="AW21" i="180"/>
  <c r="AM21" i="180"/>
  <c r="AL21" i="180" s="1"/>
  <c r="AW98" i="180"/>
  <c r="AM98" i="180"/>
  <c r="AL98" i="180" s="1"/>
  <c r="AM189" i="180"/>
  <c r="AL189" i="180" s="1"/>
  <c r="AW189" i="180"/>
  <c r="AM229" i="180"/>
  <c r="AL229" i="180" s="1"/>
  <c r="AW229" i="180"/>
  <c r="AM57" i="180"/>
  <c r="AL57" i="180" s="1"/>
  <c r="AW57" i="180"/>
  <c r="AM137" i="180"/>
  <c r="AL137" i="180" s="1"/>
  <c r="AW137" i="180"/>
  <c r="AW215" i="180"/>
  <c r="AM215" i="180"/>
  <c r="AL215" i="180" s="1"/>
  <c r="AW86" i="180"/>
  <c r="AM86" i="180"/>
  <c r="AL86" i="180" s="1"/>
  <c r="AM163" i="180"/>
  <c r="AL163" i="180" s="1"/>
  <c r="AW163" i="180"/>
  <c r="AW24" i="180"/>
  <c r="AM24" i="180"/>
  <c r="AM206" i="180"/>
  <c r="AL206" i="180" s="1"/>
  <c r="AW206" i="180"/>
  <c r="AM16" i="180"/>
  <c r="AL16" i="180" s="1"/>
  <c r="AW16" i="180"/>
  <c r="AM80" i="180"/>
  <c r="AL80" i="180" s="1"/>
  <c r="AW80" i="180"/>
  <c r="AW141" i="180"/>
  <c r="AM141" i="180"/>
  <c r="AL141" i="180" s="1"/>
  <c r="AW192" i="180"/>
  <c r="AM192" i="180"/>
  <c r="AL192" i="180" s="1"/>
  <c r="AM255" i="180"/>
  <c r="AL255" i="180" s="1"/>
  <c r="AW255" i="180"/>
  <c r="AW177" i="180"/>
  <c r="AM177" i="180"/>
  <c r="AL177" i="180" s="1"/>
  <c r="AW122" i="180"/>
  <c r="AM122" i="180"/>
  <c r="AL122" i="180" s="1"/>
  <c r="AW72" i="180"/>
  <c r="AM72" i="180"/>
  <c r="AL72" i="180" s="1"/>
  <c r="AM53" i="180"/>
  <c r="AL53" i="180" s="1"/>
  <c r="AW53" i="180"/>
  <c r="AM132" i="180"/>
  <c r="AL132" i="180" s="1"/>
  <c r="AW132" i="180"/>
  <c r="AW210" i="180"/>
  <c r="AM210" i="180"/>
  <c r="AL210" i="180" s="1"/>
  <c r="AM81" i="180"/>
  <c r="AL81" i="180" s="1"/>
  <c r="AW81" i="180"/>
  <c r="AM158" i="180"/>
  <c r="AL158" i="180" s="1"/>
  <c r="AW158" i="180"/>
  <c r="AW76" i="180"/>
  <c r="AM76" i="180"/>
  <c r="AL76" i="180" s="1"/>
  <c r="AW231" i="180"/>
  <c r="AM231" i="180"/>
  <c r="AL231" i="180" s="1"/>
  <c r="AW52" i="180"/>
  <c r="AM52" i="180"/>
  <c r="AL52" i="180" s="1"/>
  <c r="AW131" i="180"/>
  <c r="AM131" i="180"/>
  <c r="AL131" i="180" s="1"/>
  <c r="AW209" i="180"/>
  <c r="AM209" i="180"/>
  <c r="AL209" i="180" s="1"/>
  <c r="AW109" i="180"/>
  <c r="AM109" i="180"/>
  <c r="AL109" i="180" s="1"/>
  <c r="AM186" i="180"/>
  <c r="AL186" i="180" s="1"/>
  <c r="AW186" i="180"/>
  <c r="AM116" i="180"/>
  <c r="AL116" i="180" s="1"/>
  <c r="AW116" i="180"/>
  <c r="AW89" i="180"/>
  <c r="AM89" i="180"/>
  <c r="AL89" i="180" s="1"/>
  <c r="AB175" i="180"/>
  <c r="AW139" i="180"/>
  <c r="AM139" i="180"/>
  <c r="AL139" i="180" s="1"/>
  <c r="AM217" i="180"/>
  <c r="AL217" i="180" s="1"/>
  <c r="AW217" i="180"/>
  <c r="AM25" i="180"/>
  <c r="AL25" i="180" s="1"/>
  <c r="AW25" i="180"/>
  <c r="AW104" i="180"/>
  <c r="AM104" i="180"/>
  <c r="AL104" i="180" s="1"/>
  <c r="AM193" i="180"/>
  <c r="AL193" i="180" s="1"/>
  <c r="AW193" i="180"/>
  <c r="AW257" i="180"/>
  <c r="AM257" i="180"/>
  <c r="AL257" i="180" s="1"/>
  <c r="AM129" i="180"/>
  <c r="AL129" i="180" s="1"/>
  <c r="AW129" i="180"/>
  <c r="AM79" i="180"/>
  <c r="AL79" i="180" s="1"/>
  <c r="AW79" i="180"/>
  <c r="AM152" i="180"/>
  <c r="AL152" i="180" s="1"/>
  <c r="AW152" i="180"/>
  <c r="AW115" i="180"/>
  <c r="AM115" i="180"/>
  <c r="AL115" i="180" s="1"/>
  <c r="AM130" i="180"/>
  <c r="AL130" i="180" s="1"/>
  <c r="AW130" i="180"/>
  <c r="AW208" i="180"/>
  <c r="AM208" i="180"/>
  <c r="AL208" i="180" s="1"/>
  <c r="AW11" i="180"/>
  <c r="AM11" i="180"/>
  <c r="AL11" i="180" s="1"/>
  <c r="AW56" i="180"/>
  <c r="AM56" i="180"/>
  <c r="AL56" i="180" s="1"/>
  <c r="AM135" i="180"/>
  <c r="AL135" i="180" s="1"/>
  <c r="AW135" i="180"/>
  <c r="AW112" i="180"/>
  <c r="AM112" i="180"/>
  <c r="AL112" i="180" s="1"/>
  <c r="AW201" i="180"/>
  <c r="AM201" i="180"/>
  <c r="AL201" i="180" s="1"/>
  <c r="AW178" i="180"/>
  <c r="AM178" i="180"/>
  <c r="AL178" i="180" s="1"/>
  <c r="AM149" i="180"/>
  <c r="AL149" i="180" s="1"/>
  <c r="AW149" i="180"/>
  <c r="AW176" i="180"/>
  <c r="AM176" i="180"/>
  <c r="AL176" i="180" s="1"/>
  <c r="AM269" i="180"/>
  <c r="AL269" i="180" s="1"/>
  <c r="AW269" i="180"/>
  <c r="AW100" i="180"/>
  <c r="AM100" i="180"/>
  <c r="AL100" i="180" s="1"/>
  <c r="AW241" i="180"/>
  <c r="AM241" i="180"/>
  <c r="AL241" i="180" s="1"/>
  <c r="AM157" i="180"/>
  <c r="AL157" i="180" s="1"/>
  <c r="AW157" i="180"/>
  <c r="AM75" i="180"/>
  <c r="AL75" i="180" s="1"/>
  <c r="AW75" i="180"/>
  <c r="AM275" i="180"/>
  <c r="AL275" i="180" s="1"/>
  <c r="AW275" i="180"/>
  <c r="AM261" i="180"/>
  <c r="AL261" i="180" s="1"/>
  <c r="AW261" i="180"/>
  <c r="AW144" i="180"/>
  <c r="AM144" i="180"/>
  <c r="AL144" i="180" s="1"/>
  <c r="AW222" i="180"/>
  <c r="AM222" i="180"/>
  <c r="AL222" i="180" s="1"/>
  <c r="AM19" i="180"/>
  <c r="AL19" i="180" s="1"/>
  <c r="AW19" i="180"/>
  <c r="AM96" i="180"/>
  <c r="AL96" i="180" s="1"/>
  <c r="AW96" i="180"/>
  <c r="AM263" i="180"/>
  <c r="AL263" i="180" s="1"/>
  <c r="AW263" i="180"/>
  <c r="AW91" i="180"/>
  <c r="AM91" i="180"/>
  <c r="AL91" i="180" s="1"/>
  <c r="AW166" i="180"/>
  <c r="AM166" i="180"/>
  <c r="AL166" i="180" s="1"/>
  <c r="AM143" i="180"/>
  <c r="AL143" i="180" s="1"/>
  <c r="AW143" i="180"/>
  <c r="AM233" i="180"/>
  <c r="AL233" i="180" s="1"/>
  <c r="AW233" i="180"/>
  <c r="AM103" i="180"/>
  <c r="AL103" i="180" s="1"/>
  <c r="AW103" i="180"/>
  <c r="AW227" i="180"/>
  <c r="AM227" i="180"/>
  <c r="AL227" i="180" s="1"/>
  <c r="AW39" i="180"/>
  <c r="AM39" i="180"/>
  <c r="AL39" i="180" s="1"/>
  <c r="AW121" i="180"/>
  <c r="AM121" i="180"/>
  <c r="AL121" i="180" s="1"/>
  <c r="AM198" i="180"/>
  <c r="AL198" i="180" s="1"/>
  <c r="AW198" i="180"/>
  <c r="AM218" i="180"/>
  <c r="AL218" i="180" s="1"/>
  <c r="AW218" i="180"/>
  <c r="AW58" i="180"/>
  <c r="AM58" i="180"/>
  <c r="AL58" i="180" s="1"/>
  <c r="AL236" i="180"/>
  <c r="AM74" i="180"/>
  <c r="AL74" i="180" s="1"/>
  <c r="AW74" i="180"/>
  <c r="AW151" i="180"/>
  <c r="AM151" i="180"/>
  <c r="AL151" i="180" s="1"/>
  <c r="AW35" i="180"/>
  <c r="AM35" i="180"/>
  <c r="AL35" i="180" s="1"/>
  <c r="AW128" i="180"/>
  <c r="AM128" i="180"/>
  <c r="AL128" i="180" s="1"/>
  <c r="AW220" i="180"/>
  <c r="AM220" i="180"/>
  <c r="AL220" i="180" s="1"/>
  <c r="AW214" i="180"/>
  <c r="AM214" i="180"/>
  <c r="AL214" i="180" s="1"/>
  <c r="AM46" i="180"/>
  <c r="AL46" i="180" s="1"/>
  <c r="AW46" i="180"/>
  <c r="AW169" i="180"/>
  <c r="AM169" i="180"/>
  <c r="AL169" i="180" s="1"/>
  <c r="AM85" i="180"/>
  <c r="AL85" i="180" s="1"/>
  <c r="AW85" i="180"/>
  <c r="AW162" i="180"/>
  <c r="AM162" i="180"/>
  <c r="AL162" i="180" s="1"/>
  <c r="AW37" i="180"/>
  <c r="AM37" i="180"/>
  <c r="AL37" i="180" s="1"/>
  <c r="AM191" i="180"/>
  <c r="AL191" i="180" s="1"/>
  <c r="AW191" i="180"/>
  <c r="AB33" i="180"/>
  <c r="AW70" i="180"/>
  <c r="AM70" i="180"/>
  <c r="AL70" i="180" s="1"/>
  <c r="AM207" i="180"/>
  <c r="AL207" i="180" s="1"/>
  <c r="AW207" i="180"/>
  <c r="AM107" i="180"/>
  <c r="AL107" i="180" s="1"/>
  <c r="AW107" i="180"/>
  <c r="AW36" i="180"/>
  <c r="AM36" i="180"/>
  <c r="AL36" i="180" s="1"/>
  <c r="AW7" i="180"/>
  <c r="AM7" i="180"/>
  <c r="AL7" i="180" s="1"/>
  <c r="AM225" i="180"/>
  <c r="AL225" i="180" s="1"/>
  <c r="AW225" i="180"/>
  <c r="AM156" i="180"/>
  <c r="AL156" i="180" s="1"/>
  <c r="AW156" i="180"/>
  <c r="AW110" i="180"/>
  <c r="AM110" i="180"/>
  <c r="AL110" i="180" s="1"/>
  <c r="AM187" i="180"/>
  <c r="AL187" i="180" s="1"/>
  <c r="AW187" i="180"/>
  <c r="AM78" i="180"/>
  <c r="AL78" i="180" s="1"/>
  <c r="AW78" i="180"/>
  <c r="AW155" i="180"/>
  <c r="AM155" i="180"/>
  <c r="AL155" i="180" s="1"/>
  <c r="AM99" i="180"/>
  <c r="AL99" i="180" s="1"/>
  <c r="AW99" i="180"/>
  <c r="AM147" i="180"/>
  <c r="AL147" i="180" s="1"/>
  <c r="AW147" i="180"/>
  <c r="AW276" i="180"/>
  <c r="AM276" i="180"/>
  <c r="AL276" i="180" s="1"/>
  <c r="AW211" i="180"/>
  <c r="AM211" i="180"/>
  <c r="AL211" i="180" s="1"/>
  <c r="AW248" i="180"/>
  <c r="AM248" i="180"/>
  <c r="AL248" i="180" s="1"/>
  <c r="AW34" i="180"/>
  <c r="AM34" i="180"/>
  <c r="AL34" i="180" s="1"/>
  <c r="AW205" i="180"/>
  <c r="AM205" i="180"/>
  <c r="AL205" i="180" s="1"/>
  <c r="AW87" i="180"/>
  <c r="AM87" i="180"/>
  <c r="AL87" i="180" s="1"/>
  <c r="AW140" i="180"/>
  <c r="AM140" i="180"/>
  <c r="AL140" i="180" s="1"/>
  <c r="AM77" i="180"/>
  <c r="AL77" i="180" s="1"/>
  <c r="AW77" i="180"/>
  <c r="AW154" i="180"/>
  <c r="AM154" i="180"/>
  <c r="AL154" i="180" s="1"/>
  <c r="AW232" i="180"/>
  <c r="AM232" i="180"/>
  <c r="AL232" i="180" s="1"/>
  <c r="AW272" i="180"/>
  <c r="AM272" i="180"/>
  <c r="AL272" i="180" s="1"/>
  <c r="AM82" i="180"/>
  <c r="AL82" i="180" s="1"/>
  <c r="AW82" i="180"/>
  <c r="AW159" i="180"/>
  <c r="AM159" i="180"/>
  <c r="AL159" i="180" s="1"/>
  <c r="AM237" i="180"/>
  <c r="AL237" i="180" s="1"/>
  <c r="AW237" i="180"/>
  <c r="AM148" i="180"/>
  <c r="AL148" i="180" s="1"/>
  <c r="AW148" i="180"/>
  <c r="AW164" i="180"/>
  <c r="AM164" i="180"/>
  <c r="AL164" i="180" s="1"/>
  <c r="AM243" i="180"/>
  <c r="AL243" i="180" s="1"/>
  <c r="AW243" i="180"/>
  <c r="AM22" i="180"/>
  <c r="AL22" i="180" s="1"/>
  <c r="AW22" i="180"/>
  <c r="AM268" i="180"/>
  <c r="AL268" i="180" s="1"/>
  <c r="AW268" i="180"/>
  <c r="AW47" i="180"/>
  <c r="AM47" i="180"/>
  <c r="AL47" i="180" s="1"/>
  <c r="AW126" i="180"/>
  <c r="AM126" i="180"/>
  <c r="AL126" i="180" s="1"/>
  <c r="AM204" i="180"/>
  <c r="AL204" i="180" s="1"/>
  <c r="AW204" i="180"/>
  <c r="AW213" i="180"/>
  <c r="AM213" i="180"/>
  <c r="AL213" i="180" s="1"/>
  <c r="AW94" i="180"/>
  <c r="AM94" i="180"/>
  <c r="AL94" i="180" s="1"/>
  <c r="AW170" i="180"/>
  <c r="AM170" i="180"/>
  <c r="AL170" i="180" s="1"/>
  <c r="AW43" i="180"/>
  <c r="AM43" i="180"/>
  <c r="AL43" i="180" s="1"/>
  <c r="AM199" i="180"/>
  <c r="AL199" i="180" s="1"/>
  <c r="AW199" i="180"/>
  <c r="AM117" i="180"/>
  <c r="AL117" i="180" s="1"/>
  <c r="AW117" i="180"/>
  <c r="AM194" i="180"/>
  <c r="AL194" i="180" s="1"/>
  <c r="AW194" i="180"/>
  <c r="AW93" i="180"/>
  <c r="AM93" i="180"/>
  <c r="AL93" i="180" s="1"/>
  <c r="AM247" i="180"/>
  <c r="AW247" i="180"/>
  <c r="AM102" i="180"/>
  <c r="AL102" i="180" s="1"/>
  <c r="AW102" i="180"/>
  <c r="AW254" i="180"/>
  <c r="AM254" i="180"/>
  <c r="AL254" i="180" s="1"/>
  <c r="AM60" i="180"/>
  <c r="AL60" i="180" s="1"/>
  <c r="AW60" i="180"/>
  <c r="AM23" i="180"/>
  <c r="AL23" i="180" s="1"/>
  <c r="AW23" i="180"/>
  <c r="AW223" i="180"/>
  <c r="AM223" i="180"/>
  <c r="AL223" i="180" s="1"/>
  <c r="AM31" i="180"/>
  <c r="AL31" i="180" s="1"/>
  <c r="AW31" i="180"/>
  <c r="AW61" i="180"/>
  <c r="AM61" i="180"/>
  <c r="AL61" i="180" s="1"/>
  <c r="AW9" i="180"/>
  <c r="AM9" i="180"/>
  <c r="AL9" i="180" s="1"/>
  <c r="AL63" i="180"/>
  <c r="AM185" i="180"/>
  <c r="AL185" i="180" s="1"/>
  <c r="AW185" i="180"/>
  <c r="AM15" i="180"/>
  <c r="AL15" i="180" s="1"/>
  <c r="AW15" i="180"/>
  <c r="AW92" i="180"/>
  <c r="AM92" i="180"/>
  <c r="AL92" i="180" s="1"/>
  <c r="AW127" i="180"/>
  <c r="AM127" i="180"/>
  <c r="AL127" i="180" s="1"/>
  <c r="AW20" i="180"/>
  <c r="AM20" i="180"/>
  <c r="AL20" i="180" s="1"/>
  <c r="AW97" i="180"/>
  <c r="AM97" i="180"/>
  <c r="AL97" i="180" s="1"/>
  <c r="AW173" i="180"/>
  <c r="AM173" i="180"/>
  <c r="AL173" i="180" s="1"/>
  <c r="AM264" i="180"/>
  <c r="AL264" i="180" s="1"/>
  <c r="AW264" i="180"/>
  <c r="AW160" i="180"/>
  <c r="AM160" i="180"/>
  <c r="AL160" i="180" s="1"/>
  <c r="AW150" i="180"/>
  <c r="AM150" i="180"/>
  <c r="AL150" i="180" s="1"/>
  <c r="AW113" i="180"/>
  <c r="AM113" i="180"/>
  <c r="AL113" i="180" s="1"/>
  <c r="AW190" i="180"/>
  <c r="AM190" i="180"/>
  <c r="AL190" i="180" s="1"/>
  <c r="AM138" i="180"/>
  <c r="AL138" i="180" s="1"/>
  <c r="AW138" i="180"/>
  <c r="AW216" i="180"/>
  <c r="AM216" i="180"/>
  <c r="AL216" i="180" s="1"/>
  <c r="AM256" i="180"/>
  <c r="AL256" i="180" s="1"/>
  <c r="AW256" i="180"/>
  <c r="AW17" i="180" l="1"/>
  <c r="AM30" i="180"/>
  <c r="AL30" i="180" s="1"/>
  <c r="AW175" i="180"/>
  <c r="AM175" i="180"/>
  <c r="AL175" i="180" s="1"/>
  <c r="AW49" i="180"/>
  <c r="AM49" i="180"/>
  <c r="AL49" i="180" s="1"/>
  <c r="AW33" i="180"/>
  <c r="AM33" i="180"/>
  <c r="Y6" i="180" l="1"/>
  <c r="AC6" i="180" l="1"/>
  <c r="AB6" i="180"/>
  <c r="AM6" i="180" l="1"/>
  <c r="AL6" i="180" s="1"/>
  <c r="AW6" i="180"/>
  <c r="K109" i="180" l="1"/>
  <c r="AN109" i="180" s="1"/>
  <c r="K108" i="180"/>
  <c r="AN108" i="180" s="1"/>
  <c r="K107" i="180"/>
  <c r="AN107" i="180" s="1"/>
  <c r="K106" i="180"/>
  <c r="AN106" i="180" s="1"/>
  <c r="K105" i="180"/>
  <c r="AN105" i="180" s="1"/>
  <c r="K104" i="180"/>
  <c r="AN104" i="180" s="1"/>
  <c r="K103" i="180"/>
  <c r="AN103" i="180" s="1"/>
  <c r="K102" i="180"/>
  <c r="AN102" i="180" s="1"/>
  <c r="K101" i="180"/>
  <c r="AN101" i="180" s="1"/>
  <c r="K98" i="180"/>
  <c r="AN98" i="180" s="1"/>
  <c r="K97" i="180"/>
  <c r="AN97" i="180" s="1"/>
  <c r="K96" i="180"/>
  <c r="AN96" i="180" s="1"/>
  <c r="K95" i="180"/>
  <c r="AN95" i="180" s="1"/>
  <c r="K94" i="180"/>
  <c r="AN94" i="180" s="1"/>
  <c r="K93" i="180"/>
  <c r="AN93" i="180" s="1"/>
  <c r="K92" i="180"/>
  <c r="AN92" i="180" s="1"/>
  <c r="K91" i="180"/>
  <c r="AN91" i="180" s="1"/>
  <c r="K88" i="180"/>
  <c r="AN88" i="180" s="1"/>
  <c r="K87" i="180"/>
  <c r="AN87" i="180" s="1"/>
  <c r="K86" i="180"/>
  <c r="AN86" i="180" s="1"/>
  <c r="K85" i="180"/>
  <c r="AN85" i="180" s="1"/>
  <c r="K84" i="180"/>
  <c r="AN84" i="180" s="1"/>
  <c r="K83" i="180"/>
  <c r="AN83" i="180" s="1"/>
  <c r="K82" i="180"/>
  <c r="AN82" i="180" s="1"/>
  <c r="K81" i="180"/>
  <c r="AN81" i="180" s="1"/>
  <c r="K80" i="180"/>
  <c r="AN80" i="180" s="1"/>
  <c r="K79" i="180"/>
  <c r="AN79" i="180" s="1"/>
  <c r="K78" i="180"/>
  <c r="AN78" i="180" s="1"/>
  <c r="K77" i="180"/>
  <c r="AN77" i="180" s="1"/>
  <c r="K259" i="180"/>
  <c r="AN259" i="180" s="1"/>
  <c r="K76" i="180"/>
  <c r="AN76" i="180" s="1"/>
  <c r="K75" i="180"/>
  <c r="AN75" i="180" s="1"/>
  <c r="K74" i="180"/>
  <c r="AN74" i="180" s="1"/>
  <c r="K73" i="180"/>
  <c r="AN73" i="180" s="1"/>
  <c r="K72" i="180"/>
  <c r="AN72" i="180" s="1"/>
  <c r="K71" i="180"/>
  <c r="AN71" i="180" s="1"/>
  <c r="K70" i="180"/>
  <c r="AN70" i="180" s="1"/>
  <c r="K69" i="180"/>
  <c r="AN69" i="180" s="1"/>
  <c r="K67" i="180"/>
  <c r="AN67" i="180" s="1"/>
  <c r="K66" i="180"/>
  <c r="AN66" i="180" s="1"/>
  <c r="K64" i="180"/>
  <c r="AN64" i="180" s="1"/>
  <c r="K63" i="180"/>
  <c r="AN63" i="180" s="1"/>
  <c r="K62" i="180"/>
  <c r="AN62" i="180" s="1"/>
  <c r="K61" i="180"/>
  <c r="AN61" i="180" s="1"/>
  <c r="K60" i="180"/>
  <c r="AN60" i="180" s="1"/>
  <c r="K59" i="180"/>
  <c r="AN59" i="180" s="1"/>
  <c r="K57" i="180"/>
  <c r="AN57" i="180" s="1"/>
  <c r="K58" i="180"/>
  <c r="AN58" i="180" s="1"/>
  <c r="K56" i="180"/>
  <c r="AN56" i="180" s="1"/>
  <c r="K39" i="180"/>
  <c r="AN39" i="180" s="1"/>
  <c r="K32" i="180"/>
  <c r="AN32" i="180" s="1"/>
  <c r="K29" i="180"/>
  <c r="AN29" i="180" s="1"/>
  <c r="K55" i="180"/>
  <c r="AN55" i="180" s="1"/>
  <c r="K54" i="180"/>
  <c r="AN54" i="180" s="1"/>
  <c r="K53" i="180"/>
  <c r="AN53" i="180" s="1"/>
  <c r="K52" i="180"/>
  <c r="AN52" i="180" s="1"/>
  <c r="K49" i="180"/>
  <c r="AN49" i="180" s="1"/>
  <c r="K51" i="180"/>
  <c r="AN51" i="180" s="1"/>
  <c r="K50" i="180"/>
  <c r="AN50" i="180" s="1"/>
  <c r="K48" i="180"/>
  <c r="AN48" i="180" s="1"/>
  <c r="K47" i="180"/>
  <c r="AN47" i="180" s="1"/>
  <c r="K45" i="180"/>
  <c r="AN45" i="180" s="1"/>
  <c r="K46" i="180"/>
  <c r="AN46" i="180" s="1"/>
  <c r="K44" i="180"/>
  <c r="AN44" i="180" s="1"/>
  <c r="K43" i="180"/>
  <c r="AN43" i="180" s="1"/>
  <c r="K42" i="180"/>
  <c r="AN42" i="180" s="1"/>
  <c r="K41" i="180"/>
  <c r="AN41" i="180" s="1"/>
  <c r="K40" i="180"/>
  <c r="AN40" i="180" s="1"/>
  <c r="K38" i="180"/>
  <c r="AN38" i="180" s="1"/>
  <c r="K35" i="180"/>
  <c r="AN35" i="180" s="1"/>
  <c r="K36" i="180"/>
  <c r="AN36" i="180" s="1"/>
  <c r="K37" i="180"/>
  <c r="AN37" i="180" s="1"/>
  <c r="K34" i="180"/>
  <c r="AN34" i="180" s="1"/>
  <c r="K33" i="180"/>
  <c r="AN33" i="180" s="1"/>
  <c r="K31" i="180"/>
  <c r="AN31" i="180" s="1"/>
  <c r="K30" i="180"/>
  <c r="AN30" i="180" s="1"/>
  <c r="K28" i="180"/>
  <c r="AN28" i="180" s="1"/>
  <c r="K9" i="180"/>
  <c r="AN9" i="180" s="1"/>
  <c r="K314" i="180"/>
  <c r="AN314" i="180" s="1"/>
  <c r="K313" i="180"/>
  <c r="AN313" i="180" s="1"/>
  <c r="K312" i="180"/>
  <c r="AN312" i="180" s="1"/>
  <c r="K311" i="180"/>
  <c r="AN311" i="180" s="1"/>
  <c r="K310" i="180"/>
  <c r="AN310" i="180" s="1"/>
  <c r="K309" i="180"/>
  <c r="AN309" i="180" s="1"/>
  <c r="K308" i="180"/>
  <c r="AN308" i="180" s="1"/>
  <c r="K307" i="180"/>
  <c r="AN307" i="180" s="1"/>
  <c r="K306" i="180"/>
  <c r="AN306" i="180" s="1"/>
  <c r="K305" i="180"/>
  <c r="AN305" i="180" s="1"/>
  <c r="K304" i="180"/>
  <c r="AN304" i="180" s="1"/>
  <c r="K303" i="180"/>
  <c r="AN303" i="180" s="1"/>
  <c r="K302" i="180"/>
  <c r="AN302" i="180" s="1"/>
  <c r="K301" i="180"/>
  <c r="AN301" i="180" s="1"/>
  <c r="K300" i="180"/>
  <c r="AN300" i="180" s="1"/>
  <c r="K299" i="180" l="1"/>
  <c r="AN299" i="180" s="1"/>
  <c r="K298" i="180"/>
  <c r="AN298" i="180" s="1"/>
  <c r="K297" i="180"/>
  <c r="AN297" i="180" s="1"/>
  <c r="K296" i="180"/>
  <c r="AN296" i="180" s="1"/>
  <c r="K295" i="180"/>
  <c r="AN295" i="180" s="1"/>
  <c r="K294" i="180"/>
  <c r="AN294" i="180" s="1"/>
  <c r="K293" i="180"/>
  <c r="AN293" i="180" s="1"/>
  <c r="K247" i="180"/>
  <c r="AN247" i="180" s="1"/>
  <c r="K248" i="180"/>
  <c r="AN248" i="180" s="1"/>
  <c r="K249" i="180"/>
  <c r="AN249" i="180" s="1"/>
  <c r="K251" i="180"/>
  <c r="AN251" i="180" s="1"/>
  <c r="K253" i="180"/>
  <c r="AN253" i="180" s="1"/>
  <c r="K254" i="180"/>
  <c r="AN254" i="180" s="1"/>
  <c r="K255" i="180"/>
  <c r="AN255" i="180" s="1"/>
  <c r="K256" i="180"/>
  <c r="AN256" i="180" s="1"/>
  <c r="K257" i="180"/>
  <c r="AN257" i="180" s="1"/>
  <c r="K261" i="180"/>
  <c r="AN261" i="180" s="1"/>
  <c r="K262" i="180"/>
  <c r="AN262" i="180" s="1"/>
  <c r="K265" i="180"/>
  <c r="AN265" i="180" s="1"/>
  <c r="K275" i="180"/>
  <c r="AN275" i="180" s="1"/>
  <c r="K276" i="180"/>
  <c r="AN276" i="180" s="1"/>
  <c r="K292" i="180"/>
  <c r="AN292" i="180" s="1"/>
  <c r="K291" i="180"/>
  <c r="AN291" i="180" s="1"/>
  <c r="K260" i="180"/>
  <c r="AN260" i="180" s="1"/>
  <c r="K258" i="180"/>
  <c r="AN258" i="180" s="1"/>
  <c r="K239" i="180"/>
  <c r="AN239" i="180" s="1"/>
  <c r="K202" i="180"/>
  <c r="AN202" i="180" s="1"/>
  <c r="K184" i="180"/>
  <c r="AN184" i="180" s="1"/>
  <c r="K181" i="180"/>
  <c r="AN181" i="180" s="1"/>
  <c r="K177" i="180"/>
  <c r="AN177" i="180" s="1"/>
  <c r="K161" i="180"/>
  <c r="AN161" i="180" s="1"/>
  <c r="K100" i="180"/>
  <c r="AN100" i="180" s="1"/>
  <c r="K99" i="180"/>
  <c r="AN99" i="180" s="1"/>
  <c r="K89" i="180"/>
  <c r="AN89" i="180" s="1"/>
  <c r="K290" i="180"/>
  <c r="AN290" i="180" s="1"/>
  <c r="K281" i="180"/>
  <c r="AN281" i="180" s="1"/>
  <c r="K289" i="180"/>
  <c r="AN289" i="180" s="1"/>
  <c r="K288" i="180"/>
  <c r="AN288" i="180" s="1"/>
  <c r="K287" i="180"/>
  <c r="AN287" i="180" s="1"/>
  <c r="K286" i="180"/>
  <c r="AN286" i="180" s="1"/>
  <c r="K285" i="180"/>
  <c r="AN285" i="180" s="1"/>
  <c r="K284" i="180"/>
  <c r="AN284" i="180" s="1"/>
  <c r="K282" i="180"/>
  <c r="AN282" i="180" s="1"/>
  <c r="K90" i="180"/>
  <c r="AN90" i="180" s="1"/>
  <c r="K270" i="180" l="1"/>
  <c r="AN270" i="180" s="1"/>
  <c r="K169" i="180"/>
  <c r="AN169" i="180" s="1"/>
  <c r="K267" i="180"/>
  <c r="AN267" i="18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Onur KÖSEOĞLU</author>
  </authors>
  <commentList>
    <comment ref="J4" authorId="0" shapeId="0" xr:uid="{FE516B47-3E62-49E5-BEBF-C29B75866BBA}">
      <text>
        <r>
          <rPr>
            <b/>
            <sz val="9"/>
            <color indexed="81"/>
            <rFont val="Tahoma"/>
            <family val="2"/>
            <charset val="162"/>
          </rPr>
          <t>Onur KÖSEOĞLU:</t>
        </r>
        <r>
          <rPr>
            <sz val="9"/>
            <color indexed="81"/>
            <rFont val="Tahoma"/>
            <family val="2"/>
            <charset val="162"/>
          </rPr>
          <t xml:space="preserve">
APPSHEET: au / sistem</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<sst xmlns="http://schemas.openxmlformats.org/spreadsheetml/2006/main" count="1072" uniqueCount="370">
  <si>
    <r>
      <rPr>
        <b/>
        <sz val="8"/>
        <rFont val="Calibri"/>
        <family val="2"/>
        <charset val="162"/>
        <scheme val="minor"/>
      </rPr>
      <t>FRACAS(Hata Raporlama Analizi ve Düzeltici Aksiyon Sitemi) Formu</t>
    </r>
    <r>
      <rPr>
        <sz val="8"/>
        <rFont val="Calibri"/>
        <family val="2"/>
        <charset val="162"/>
        <scheme val="minor"/>
      </rPr>
      <t xml:space="preserve">
FRACAS(Failure Reporting Analysis And Corrective Action System) Form </t>
    </r>
  </si>
  <si>
    <t>Doküman No / Document Code; FR-549
Yayımlama Tarih / Publish Datei; 23.05.2023
Revizyon Tarihi / Revision; 23.05.2023
Revizyon No; 2</t>
  </si>
  <si>
    <r>
      <rPr>
        <b/>
        <sz val="8"/>
        <rFont val="Calibri"/>
        <family val="2"/>
        <charset val="162"/>
        <scheme val="minor"/>
      </rPr>
      <t>Proje Pik Saatleri</t>
    </r>
    <r>
      <rPr>
        <sz val="8"/>
        <rFont val="Calibri"/>
        <family val="2"/>
        <charset val="162"/>
        <scheme val="minor"/>
      </rPr>
      <t xml:space="preserve">
Proje Peak Times</t>
    </r>
  </si>
  <si>
    <r>
      <rPr>
        <b/>
        <sz val="8"/>
        <rFont val="Calibri"/>
        <family val="2"/>
        <charset val="162"/>
        <scheme val="minor"/>
      </rPr>
      <t>Proje Ort Hız</t>
    </r>
    <r>
      <rPr>
        <sz val="8"/>
        <rFont val="Calibri"/>
        <family val="2"/>
        <charset val="162"/>
        <scheme val="minor"/>
      </rPr>
      <t xml:space="preserve">
Proje Avr. Speed</t>
    </r>
  </si>
  <si>
    <t>hbm.142536</t>
  </si>
  <si>
    <r>
      <rPr>
        <b/>
        <sz val="8"/>
        <color theme="1"/>
        <rFont val="Calibri"/>
        <family val="2"/>
        <charset val="162"/>
        <scheme val="minor"/>
      </rPr>
      <t>Araç Bilgileri</t>
    </r>
    <r>
      <rPr>
        <sz val="8"/>
        <color theme="1"/>
        <rFont val="Calibri"/>
        <family val="2"/>
        <charset val="162"/>
        <scheme val="minor"/>
      </rPr>
      <t xml:space="preserve">
Vhicle Information</t>
    </r>
  </si>
  <si>
    <r>
      <rPr>
        <b/>
        <sz val="8"/>
        <color theme="1"/>
        <rFont val="Calibri"/>
        <family val="2"/>
        <charset val="162"/>
        <scheme val="minor"/>
      </rPr>
      <t>Problem Bilgileri</t>
    </r>
    <r>
      <rPr>
        <sz val="8"/>
        <color theme="1"/>
        <rFont val="Calibri"/>
        <family val="2"/>
        <charset val="162"/>
        <scheme val="minor"/>
      </rPr>
      <t xml:space="preserve">
Failure Information</t>
    </r>
  </si>
  <si>
    <t>(EN 50126-1:2017 Tabl C.3</t>
  </si>
  <si>
    <t>(EN 50126-1:2017 Tabl C.5</t>
  </si>
  <si>
    <r>
      <rPr>
        <b/>
        <sz val="8"/>
        <rFont val="Calibri"/>
        <family val="2"/>
        <charset val="162"/>
        <scheme val="minor"/>
      </rPr>
      <t>Çözüm Adımları ve Bilgileri</t>
    </r>
    <r>
      <rPr>
        <sz val="8"/>
        <rFont val="Calibri"/>
        <family val="2"/>
        <charset val="162"/>
        <scheme val="minor"/>
      </rPr>
      <t xml:space="preserve">
Solution Steps And Information</t>
    </r>
  </si>
  <si>
    <r>
      <rPr>
        <b/>
        <sz val="8"/>
        <color theme="1"/>
        <rFont val="Calibri"/>
        <family val="2"/>
        <charset val="162"/>
        <scheme val="minor"/>
      </rPr>
      <t>Tamir İçin Gerekli Parçalar</t>
    </r>
    <r>
      <rPr>
        <sz val="8"/>
        <color theme="1"/>
        <rFont val="Calibri"/>
        <family val="2"/>
        <charset val="162"/>
        <scheme val="minor"/>
      </rPr>
      <t xml:space="preserve">
Needed Parts For Repairing</t>
    </r>
  </si>
  <si>
    <r>
      <rPr>
        <b/>
        <sz val="8"/>
        <color theme="1"/>
        <rFont val="Calibri"/>
        <family val="2"/>
        <charset val="162"/>
        <scheme val="minor"/>
      </rPr>
      <t xml:space="preserve">Maliyet </t>
    </r>
    <r>
      <rPr>
        <sz val="8"/>
        <color theme="1"/>
        <rFont val="Calibri"/>
        <family val="2"/>
        <charset val="162"/>
        <scheme val="minor"/>
      </rPr>
      <t xml:space="preserve">
Cost</t>
    </r>
  </si>
  <si>
    <t>Project</t>
  </si>
  <si>
    <r>
      <t xml:space="preserve"> Araç Numarası
</t>
    </r>
    <r>
      <rPr>
        <sz val="8"/>
        <color rgb="FF000000"/>
        <rFont val="Calibri"/>
        <family val="2"/>
        <charset val="162"/>
        <scheme val="minor"/>
      </rPr>
      <t>Vehicle Number</t>
    </r>
  </si>
  <si>
    <r>
      <t xml:space="preserve">      Araç Module
</t>
    </r>
    <r>
      <rPr>
        <sz val="8"/>
        <color rgb="FF000000"/>
        <rFont val="Calibri"/>
        <family val="2"/>
        <charset val="162"/>
        <scheme val="minor"/>
      </rPr>
      <t>Vehicle Module</t>
    </r>
  </si>
  <si>
    <r>
      <t xml:space="preserve">Araç Kilometresi
</t>
    </r>
    <r>
      <rPr>
        <sz val="8"/>
        <color theme="1"/>
        <rFont val="Calibri"/>
        <family val="2"/>
        <charset val="162"/>
        <scheme val="minor"/>
      </rPr>
      <t>Vehicle Kilometer</t>
    </r>
  </si>
  <si>
    <t>FRACAS ID</t>
  </si>
  <si>
    <t>Hata Tarih/Date</t>
  </si>
  <si>
    <r>
      <t xml:space="preserve"> Hata Saat/</t>
    </r>
    <r>
      <rPr>
        <sz val="8"/>
        <rFont val="Calibri"/>
        <family val="2"/>
        <charset val="162"/>
        <scheme val="minor"/>
      </rPr>
      <t>Time</t>
    </r>
  </si>
  <si>
    <r>
      <t xml:space="preserve">Arıza Konumu
</t>
    </r>
    <r>
      <rPr>
        <sz val="8"/>
        <rFont val="Calibri"/>
        <family val="2"/>
        <charset val="162"/>
        <scheme val="minor"/>
      </rPr>
      <t>Failure Location</t>
    </r>
  </si>
  <si>
    <r>
      <t xml:space="preserve">Arıza Tespit Yöntemi
</t>
    </r>
    <r>
      <rPr>
        <sz val="8"/>
        <rFont val="Calibri"/>
        <family val="2"/>
        <charset val="162"/>
        <scheme val="minor"/>
      </rPr>
      <t>Failure Detection Method</t>
    </r>
  </si>
  <si>
    <r>
      <t xml:space="preserve">Kapsam
</t>
    </r>
    <r>
      <rPr>
        <sz val="8"/>
        <rFont val="Calibri"/>
        <family val="2"/>
        <charset val="162"/>
        <scheme val="minor"/>
      </rPr>
      <t>Scope</t>
    </r>
  </si>
  <si>
    <t>İlgili Tedarikçi
Relevant Supplier</t>
  </si>
  <si>
    <r>
      <t xml:space="preserve">Proje Bazında Fracas ID
</t>
    </r>
    <r>
      <rPr>
        <sz val="8"/>
        <rFont val="Calibri"/>
        <family val="2"/>
        <charset val="162"/>
        <scheme val="minor"/>
      </rPr>
      <t>Fracas ID Based on Project</t>
    </r>
  </si>
  <si>
    <r>
      <rPr>
        <b/>
        <sz val="8"/>
        <color theme="1"/>
        <rFont val="Calibri"/>
        <family val="2"/>
        <charset val="162"/>
        <scheme val="minor"/>
      </rPr>
      <t>Arıza Tanımı</t>
    </r>
    <r>
      <rPr>
        <sz val="8"/>
        <color theme="1"/>
        <rFont val="Calibri"/>
        <family val="2"/>
        <charset val="162"/>
        <scheme val="minor"/>
      </rPr>
      <t xml:space="preserve">
Failure Description</t>
    </r>
  </si>
  <si>
    <r>
      <rPr>
        <b/>
        <sz val="8"/>
        <color theme="1"/>
        <rFont val="Calibri"/>
        <family val="2"/>
        <charset val="162"/>
        <scheme val="minor"/>
      </rPr>
      <t>DDU Arıza Sınıfı</t>
    </r>
    <r>
      <rPr>
        <sz val="8"/>
        <color theme="1"/>
        <rFont val="Calibri"/>
        <family val="2"/>
        <charset val="162"/>
        <scheme val="minor"/>
      </rPr>
      <t xml:space="preserve">
DDU Failure Class</t>
    </r>
  </si>
  <si>
    <r>
      <rPr>
        <b/>
        <sz val="8"/>
        <rFont val="Calibri"/>
        <family val="2"/>
        <charset val="162"/>
        <scheme val="minor"/>
      </rPr>
      <t>Arıza Sınıfı</t>
    </r>
    <r>
      <rPr>
        <sz val="8"/>
        <color theme="1"/>
        <rFont val="Calibri"/>
        <family val="2"/>
        <charset val="162"/>
        <scheme val="minor"/>
      </rPr>
      <t xml:space="preserve">
Failure Class</t>
    </r>
  </si>
  <si>
    <r>
      <rPr>
        <b/>
        <sz val="8"/>
        <color theme="1"/>
        <rFont val="Calibri"/>
        <family val="2"/>
        <charset val="162"/>
        <scheme val="minor"/>
      </rPr>
      <t>Arızanın Emniyetle İlgili Şiddet Kategorisi</t>
    </r>
    <r>
      <rPr>
        <sz val="8"/>
        <color theme="1"/>
        <rFont val="Calibri"/>
        <family val="2"/>
        <charset val="162"/>
        <scheme val="minor"/>
      </rPr>
      <t xml:space="preserve">
Safety Related Severity Category of Failure</t>
    </r>
  </si>
  <si>
    <r>
      <rPr>
        <b/>
        <sz val="8"/>
        <rFont val="Calibri"/>
        <family val="2"/>
        <charset val="162"/>
        <scheme val="minor"/>
      </rPr>
      <t>Arıza Kaynağı</t>
    </r>
    <r>
      <rPr>
        <sz val="8"/>
        <rFont val="Calibri"/>
        <family val="2"/>
        <charset val="162"/>
        <scheme val="minor"/>
      </rPr>
      <t xml:space="preserve">
Source of Failure</t>
    </r>
  </si>
  <si>
    <r>
      <rPr>
        <b/>
        <sz val="8"/>
        <rFont val="Calibri"/>
        <family val="2"/>
        <charset val="162"/>
        <scheme val="minor"/>
      </rPr>
      <t>Arıza Tespitini Takiben Yapılan İşlem</t>
    </r>
    <r>
      <rPr>
        <sz val="8"/>
        <rFont val="Calibri"/>
        <family val="2"/>
        <charset val="162"/>
        <scheme val="minor"/>
      </rPr>
      <t xml:space="preserve">
Action Followed by Fault Detection</t>
    </r>
  </si>
  <si>
    <r>
      <rPr>
        <b/>
        <sz val="12"/>
        <rFont val="Calibri"/>
        <family val="2"/>
        <charset val="162"/>
        <scheme val="minor"/>
      </rPr>
      <t>Aksiyon</t>
    </r>
    <r>
      <rPr>
        <sz val="12"/>
        <rFont val="Calibri"/>
        <family val="2"/>
        <charset val="162"/>
        <scheme val="minor"/>
      </rPr>
      <t xml:space="preserve">
Action</t>
    </r>
  </si>
  <si>
    <r>
      <rPr>
        <b/>
        <sz val="12"/>
        <rFont val="Calibri"/>
        <family val="2"/>
        <charset val="162"/>
        <scheme val="minor"/>
      </rPr>
      <t>Garanti Kapsamı</t>
    </r>
    <r>
      <rPr>
        <sz val="12"/>
        <rFont val="Calibri"/>
        <family val="2"/>
        <charset val="162"/>
        <scheme val="minor"/>
      </rPr>
      <t xml:space="preserve">
Warranty Coverage</t>
    </r>
  </si>
  <si>
    <r>
      <rPr>
        <b/>
        <sz val="8"/>
        <rFont val="Calibri"/>
        <family val="2"/>
        <charset val="162"/>
        <scheme val="minor"/>
      </rPr>
      <t>Tamir için Gerekli Personel Sayısı</t>
    </r>
    <r>
      <rPr>
        <sz val="8"/>
        <rFont val="Calibri"/>
        <family val="2"/>
        <charset val="162"/>
        <scheme val="minor"/>
      </rPr>
      <t xml:space="preserve">
Required Personnel Quantity for Repair</t>
    </r>
  </si>
  <si>
    <t>Tamir/Değiştirme Başlama Tarihi
Date of Starting to Repair/Replace</t>
  </si>
  <si>
    <r>
      <rPr>
        <b/>
        <sz val="8"/>
        <color rgb="FF00B050"/>
        <rFont val="Calibri"/>
        <family val="2"/>
        <charset val="162"/>
        <scheme val="minor"/>
      </rPr>
      <t>Tamir/Değiştirme Başlama Saati</t>
    </r>
    <r>
      <rPr>
        <sz val="8"/>
        <color rgb="FF00B050"/>
        <rFont val="Calibri"/>
        <family val="2"/>
        <charset val="162"/>
        <scheme val="minor"/>
      </rPr>
      <t xml:space="preserve">
Time of Starting to Repair/Replace</t>
    </r>
  </si>
  <si>
    <r>
      <rPr>
        <b/>
        <sz val="8"/>
        <color rgb="FFFF0000"/>
        <rFont val="Calibri"/>
        <family val="2"/>
        <charset val="162"/>
        <scheme val="minor"/>
      </rPr>
      <t>Tamir/Değiştirme Bitiş Tarihi</t>
    </r>
    <r>
      <rPr>
        <sz val="8"/>
        <color rgb="FFFF0000"/>
        <rFont val="Calibri"/>
        <family val="2"/>
        <charset val="162"/>
        <scheme val="minor"/>
      </rPr>
      <t xml:space="preserve">
Date of Fnish to Repair/Replace</t>
    </r>
  </si>
  <si>
    <r>
      <rPr>
        <b/>
        <sz val="8"/>
        <rFont val="Calibri"/>
        <family val="2"/>
        <charset val="162"/>
        <scheme val="minor"/>
      </rPr>
      <t>Tamir/Değiştirme Bitiş Saati</t>
    </r>
    <r>
      <rPr>
        <sz val="8"/>
        <rFont val="Calibri"/>
        <family val="2"/>
        <charset val="162"/>
        <scheme val="minor"/>
      </rPr>
      <t xml:space="preserve">
Time of Fnish to Repair/Replace</t>
    </r>
  </si>
  <si>
    <r>
      <rPr>
        <b/>
        <sz val="8"/>
        <rFont val="Calibri"/>
        <family val="2"/>
        <charset val="162"/>
        <scheme val="minor"/>
      </rPr>
      <t>Tamir Süresi (saat)</t>
    </r>
    <r>
      <rPr>
        <sz val="8"/>
        <rFont val="Calibri"/>
        <family val="2"/>
        <charset val="162"/>
        <scheme val="minor"/>
      </rPr>
      <t xml:space="preserve">
Repair Time (hour)</t>
    </r>
  </si>
  <si>
    <r>
      <t xml:space="preserve">Servise Veriliş Tarih
</t>
    </r>
    <r>
      <rPr>
        <sz val="8"/>
        <rFont val="Calibri"/>
        <family val="2"/>
        <charset val="162"/>
        <scheme val="minor"/>
      </rPr>
      <t>Date of Ready to Service</t>
    </r>
  </si>
  <si>
    <r>
      <t xml:space="preserve">Servise Veriliş Saati
</t>
    </r>
    <r>
      <rPr>
        <sz val="8"/>
        <rFont val="Calibri"/>
        <family val="2"/>
        <charset val="162"/>
        <scheme val="minor"/>
      </rPr>
      <t>Time of Ready to Service</t>
    </r>
  </si>
  <si>
    <r>
      <rPr>
        <b/>
        <sz val="8"/>
        <rFont val="Calibri"/>
        <family val="2"/>
        <charset val="162"/>
        <scheme val="minor"/>
      </rPr>
      <t>Arıza Tipi</t>
    </r>
    <r>
      <rPr>
        <sz val="8"/>
        <rFont val="Calibri"/>
        <family val="2"/>
        <charset val="162"/>
        <scheme val="minor"/>
      </rPr>
      <t xml:space="preserve">
Failure Type</t>
    </r>
  </si>
  <si>
    <r>
      <rPr>
        <b/>
        <sz val="8"/>
        <rFont val="Calibri"/>
        <family val="2"/>
        <charset val="162"/>
        <scheme val="minor"/>
      </rPr>
      <t>Detaylı Bilgi</t>
    </r>
    <r>
      <rPr>
        <sz val="8"/>
        <rFont val="Calibri"/>
        <family val="2"/>
        <charset val="162"/>
        <scheme val="minor"/>
      </rPr>
      <t xml:space="preserve">
Detail İnformation</t>
    </r>
  </si>
  <si>
    <r>
      <rPr>
        <b/>
        <sz val="8"/>
        <rFont val="Calibri"/>
        <family val="2"/>
        <charset val="162"/>
        <scheme val="minor"/>
      </rPr>
      <t>NCR Numarası</t>
    </r>
    <r>
      <rPr>
        <sz val="8"/>
        <rFont val="Calibri"/>
        <family val="2"/>
        <charset val="162"/>
        <scheme val="minor"/>
      </rPr>
      <t xml:space="preserve">
NCR Number</t>
    </r>
  </si>
  <si>
    <r>
      <rPr>
        <b/>
        <sz val="8"/>
        <rFont val="Calibri"/>
        <family val="2"/>
        <charset val="162"/>
        <scheme val="minor"/>
      </rPr>
      <t>NCR Kapanış Tarihi</t>
    </r>
    <r>
      <rPr>
        <sz val="8"/>
        <rFont val="Calibri"/>
        <family val="2"/>
        <charset val="162"/>
        <scheme val="minor"/>
      </rPr>
      <t xml:space="preserve">
NCR Closing Date</t>
    </r>
  </si>
  <si>
    <r>
      <rPr>
        <b/>
        <sz val="8"/>
        <rFont val="Calibri"/>
        <family val="2"/>
        <charset val="162"/>
        <scheme val="minor"/>
      </rPr>
      <t>NCR Kapanış Saati</t>
    </r>
    <r>
      <rPr>
        <sz val="8"/>
        <rFont val="Calibri"/>
        <family val="2"/>
        <charset val="162"/>
        <scheme val="minor"/>
      </rPr>
      <t xml:space="preserve">
NCR Closing Time</t>
    </r>
  </si>
  <si>
    <t>Kompanent MTTR / MDT</t>
  </si>
  <si>
    <t>Araç MTTR / MDT</t>
  </si>
  <si>
    <r>
      <rPr>
        <b/>
        <sz val="8"/>
        <rFont val="Calibri"/>
        <family val="2"/>
        <charset val="162"/>
        <scheme val="minor"/>
      </rPr>
      <t>Ekipman Tedarikçisi</t>
    </r>
    <r>
      <rPr>
        <sz val="8"/>
        <rFont val="Calibri"/>
        <family val="2"/>
        <charset val="162"/>
        <scheme val="minor"/>
      </rPr>
      <t xml:space="preserve">
Equipment Supplier</t>
    </r>
  </si>
  <si>
    <r>
      <rPr>
        <b/>
        <sz val="8"/>
        <color theme="1"/>
        <rFont val="Calibri"/>
        <family val="2"/>
        <charset val="162"/>
        <scheme val="minor"/>
      </rPr>
      <t>Parça Kodu</t>
    </r>
    <r>
      <rPr>
        <sz val="8"/>
        <color theme="1"/>
        <rFont val="Calibri"/>
        <family val="2"/>
        <charset val="162"/>
        <scheme val="minor"/>
      </rPr>
      <t xml:space="preserve">
Part Code</t>
    </r>
  </si>
  <si>
    <r>
      <rPr>
        <b/>
        <sz val="8"/>
        <color theme="1"/>
        <rFont val="Calibri"/>
        <family val="2"/>
        <charset val="162"/>
        <scheme val="minor"/>
      </rPr>
      <t>Seri Numarası</t>
    </r>
    <r>
      <rPr>
        <sz val="8"/>
        <color theme="1"/>
        <rFont val="Calibri"/>
        <family val="2"/>
        <charset val="162"/>
        <scheme val="minor"/>
      </rPr>
      <t xml:space="preserve">
Serial Number</t>
    </r>
  </si>
  <si>
    <r>
      <rPr>
        <b/>
        <sz val="8"/>
        <color theme="1"/>
        <rFont val="Calibri"/>
        <family val="2"/>
        <charset val="162"/>
        <scheme val="minor"/>
      </rPr>
      <t>Parça Adı</t>
    </r>
    <r>
      <rPr>
        <sz val="8"/>
        <color theme="1"/>
        <rFont val="Calibri"/>
        <family val="2"/>
        <charset val="162"/>
        <scheme val="minor"/>
      </rPr>
      <t xml:space="preserve">
Part Name</t>
    </r>
  </si>
  <si>
    <r>
      <rPr>
        <b/>
        <sz val="8"/>
        <color theme="1"/>
        <rFont val="Calibri"/>
        <family val="2"/>
        <charset val="162"/>
        <scheme val="minor"/>
      </rPr>
      <t>Adeti</t>
    </r>
    <r>
      <rPr>
        <sz val="8"/>
        <color theme="1"/>
        <rFont val="Calibri"/>
        <family val="2"/>
        <charset val="162"/>
        <scheme val="minor"/>
      </rPr>
      <t xml:space="preserve">
Quantity</t>
    </r>
  </si>
  <si>
    <r>
      <rPr>
        <b/>
        <sz val="8"/>
        <color theme="1"/>
        <rFont val="Calibri"/>
        <family val="2"/>
        <charset val="162"/>
        <scheme val="minor"/>
      </rPr>
      <t>Sipariş No</t>
    </r>
    <r>
      <rPr>
        <sz val="8"/>
        <color theme="1"/>
        <rFont val="Calibri"/>
        <family val="2"/>
        <charset val="162"/>
        <scheme val="minor"/>
      </rPr>
      <t xml:space="preserve">
Order No</t>
    </r>
  </si>
  <si>
    <r>
      <rPr>
        <b/>
        <sz val="8"/>
        <color theme="1"/>
        <rFont val="Calibri"/>
        <family val="2"/>
        <charset val="162"/>
        <scheme val="minor"/>
      </rPr>
      <t>Sipariş Tarihi</t>
    </r>
    <r>
      <rPr>
        <sz val="8"/>
        <color theme="1"/>
        <rFont val="Calibri"/>
        <family val="2"/>
        <charset val="162"/>
        <scheme val="minor"/>
      </rPr>
      <t xml:space="preserve">
Order Date</t>
    </r>
  </si>
  <si>
    <r>
      <rPr>
        <b/>
        <sz val="8"/>
        <color theme="1"/>
        <rFont val="Calibri"/>
        <family val="2"/>
        <charset val="162"/>
        <scheme val="minor"/>
      </rPr>
      <t>Teslim Tarihi</t>
    </r>
    <r>
      <rPr>
        <sz val="8"/>
        <color theme="1"/>
        <rFont val="Calibri"/>
        <family val="2"/>
        <charset val="162"/>
        <scheme val="minor"/>
      </rPr>
      <t xml:space="preserve">
Delivery Date</t>
    </r>
  </si>
  <si>
    <r>
      <rPr>
        <b/>
        <sz val="8"/>
        <color theme="1"/>
        <rFont val="Calibri"/>
        <family val="2"/>
        <charset val="162"/>
        <scheme val="minor"/>
      </rPr>
      <t>Malzeme Maliyeti</t>
    </r>
    <r>
      <rPr>
        <sz val="8"/>
        <color theme="1"/>
        <rFont val="Calibri"/>
        <family val="2"/>
        <charset val="162"/>
        <scheme val="minor"/>
      </rPr>
      <t xml:space="preserve">
Material Cost</t>
    </r>
  </si>
  <si>
    <r>
      <t>İşçilik Maliyeti</t>
    </r>
    <r>
      <rPr>
        <sz val="8"/>
        <rFont val="Calibri"/>
        <family val="2"/>
        <charset val="162"/>
        <scheme val="minor"/>
      </rPr>
      <t xml:space="preserve">
Labor Cost</t>
    </r>
  </si>
  <si>
    <t>GDM7X4</t>
  </si>
  <si>
    <t>TS#6</t>
  </si>
  <si>
    <t>MC2</t>
  </si>
  <si>
    <r>
      <rPr>
        <b/>
        <sz val="11"/>
        <rFont val="Arial"/>
        <family val="2"/>
        <charset val="162"/>
      </rPr>
      <t>FRACAS(Hata Raporlama Analizi ve Düzeltici Aksiyon Sitemi) Formu</t>
    </r>
    <r>
      <rPr>
        <sz val="11"/>
        <rFont val="Arial"/>
        <family val="2"/>
        <charset val="162"/>
      </rPr>
      <t xml:space="preserve">
FRACAS(Failure Reporting Analysis And Corrective Action System) Form </t>
    </r>
  </si>
  <si>
    <r>
      <rPr>
        <b/>
        <sz val="11"/>
        <rFont val="Arial"/>
        <family val="2"/>
        <charset val="162"/>
      </rPr>
      <t>Proje Pik Saatleri</t>
    </r>
    <r>
      <rPr>
        <sz val="11"/>
        <rFont val="Arial"/>
        <family val="2"/>
        <charset val="162"/>
      </rPr>
      <t xml:space="preserve">
Proje Peak Times</t>
    </r>
  </si>
  <si>
    <r>
      <rPr>
        <b/>
        <sz val="11"/>
        <rFont val="Arial"/>
        <family val="2"/>
        <charset val="162"/>
      </rPr>
      <t>Proje Ort Hız</t>
    </r>
    <r>
      <rPr>
        <sz val="11"/>
        <rFont val="Arial"/>
        <family val="2"/>
        <charset val="162"/>
      </rPr>
      <t xml:space="preserve">
Proje Avr. Speed</t>
    </r>
  </si>
  <si>
    <r>
      <rPr>
        <b/>
        <sz val="11"/>
        <color theme="1"/>
        <rFont val="Calibri"/>
        <family val="2"/>
        <charset val="162"/>
        <scheme val="minor"/>
      </rPr>
      <t>Araç Bilgileri</t>
    </r>
    <r>
      <rPr>
        <sz val="11"/>
        <color theme="1"/>
        <rFont val="Calibri"/>
        <family val="2"/>
        <charset val="162"/>
        <scheme val="minor"/>
      </rPr>
      <t xml:space="preserve">
Vhicle Information</t>
    </r>
  </si>
  <si>
    <r>
      <rPr>
        <b/>
        <sz val="11"/>
        <color theme="1"/>
        <rFont val="Calibri"/>
        <family val="2"/>
        <charset val="162"/>
        <scheme val="minor"/>
      </rPr>
      <t>Problem Bilgileri</t>
    </r>
    <r>
      <rPr>
        <sz val="11"/>
        <color theme="1"/>
        <rFont val="Calibri"/>
        <family val="2"/>
        <charset val="162"/>
        <scheme val="minor"/>
      </rPr>
      <t xml:space="preserve">
Failure Information</t>
    </r>
  </si>
  <si>
    <r>
      <rPr>
        <b/>
        <sz val="11"/>
        <rFont val="Arial"/>
        <family val="2"/>
        <charset val="162"/>
      </rPr>
      <t>Çözüm Adımları ve Bilgileri</t>
    </r>
    <r>
      <rPr>
        <sz val="11"/>
        <rFont val="Arial"/>
        <family val="2"/>
        <charset val="162"/>
      </rPr>
      <t xml:space="preserve">
Solution Steps And Information</t>
    </r>
  </si>
  <si>
    <r>
      <rPr>
        <b/>
        <sz val="11"/>
        <color theme="1"/>
        <rFont val="Calibri"/>
        <family val="2"/>
        <charset val="162"/>
        <scheme val="minor"/>
      </rPr>
      <t>Tamir İçin Gerekli Parçalar</t>
    </r>
    <r>
      <rPr>
        <sz val="11"/>
        <color theme="1"/>
        <rFont val="Calibri"/>
        <family val="2"/>
        <charset val="162"/>
        <scheme val="minor"/>
      </rPr>
      <t xml:space="preserve">
Needed Parts For Repairing</t>
    </r>
  </si>
  <si>
    <r>
      <rPr>
        <b/>
        <sz val="11"/>
        <color theme="1"/>
        <rFont val="Calibri"/>
        <family val="2"/>
        <charset val="162"/>
        <scheme val="minor"/>
      </rPr>
      <t xml:space="preserve">Maliyet </t>
    </r>
    <r>
      <rPr>
        <sz val="11"/>
        <color theme="1"/>
        <rFont val="Calibri"/>
        <family val="2"/>
        <charset val="162"/>
        <scheme val="minor"/>
      </rPr>
      <t xml:space="preserve">
Cost</t>
    </r>
  </si>
  <si>
    <t>SSH Detayı</t>
  </si>
  <si>
    <r>
      <t xml:space="preserve"> Araç Numarası
</t>
    </r>
    <r>
      <rPr>
        <sz val="11"/>
        <color rgb="FF000000"/>
        <rFont val="Calibri"/>
        <family val="2"/>
        <charset val="162"/>
      </rPr>
      <t>Vehicle Number</t>
    </r>
  </si>
  <si>
    <r>
      <t xml:space="preserve">      Araç Module
</t>
    </r>
    <r>
      <rPr>
        <sz val="11"/>
        <color rgb="FF000000"/>
        <rFont val="Calibri"/>
        <family val="2"/>
        <charset val="162"/>
        <scheme val="minor"/>
      </rPr>
      <t>Vehicle Module</t>
    </r>
  </si>
  <si>
    <r>
      <t xml:space="preserve">Araç Kilometresi
</t>
    </r>
    <r>
      <rPr>
        <sz val="11"/>
        <color theme="1"/>
        <rFont val="Calibri"/>
        <family val="2"/>
        <charset val="162"/>
        <scheme val="minor"/>
      </rPr>
      <t>Vehicle Kilometer</t>
    </r>
  </si>
  <si>
    <r>
      <t>Hata Tarih/</t>
    </r>
    <r>
      <rPr>
        <sz val="11"/>
        <rFont val="Calibri"/>
        <family val="2"/>
        <charset val="162"/>
        <scheme val="minor"/>
      </rPr>
      <t>Date</t>
    </r>
  </si>
  <si>
    <r>
      <t xml:space="preserve"> Hata Saat/</t>
    </r>
    <r>
      <rPr>
        <sz val="11"/>
        <rFont val="Calibri"/>
        <family val="2"/>
        <charset val="162"/>
        <scheme val="minor"/>
      </rPr>
      <t>Time</t>
    </r>
  </si>
  <si>
    <r>
      <t xml:space="preserve">Arıza Konumu
</t>
    </r>
    <r>
      <rPr>
        <sz val="11"/>
        <rFont val="Calibri"/>
        <family val="2"/>
        <charset val="162"/>
        <scheme val="minor"/>
      </rPr>
      <t>Failure Location</t>
    </r>
  </si>
  <si>
    <r>
      <t xml:space="preserve">Arıza Tespit Yöntemi
</t>
    </r>
    <r>
      <rPr>
        <sz val="11"/>
        <rFont val="Calibri"/>
        <family val="2"/>
        <charset val="162"/>
        <scheme val="minor"/>
      </rPr>
      <t>Failure Detection Method</t>
    </r>
  </si>
  <si>
    <r>
      <t xml:space="preserve">Kapsam
</t>
    </r>
    <r>
      <rPr>
        <sz val="11"/>
        <rFont val="Calibri"/>
        <family val="2"/>
        <charset val="162"/>
        <scheme val="minor"/>
      </rPr>
      <t>Scope</t>
    </r>
  </si>
  <si>
    <r>
      <t xml:space="preserve">İlgili Tedarikçi
</t>
    </r>
    <r>
      <rPr>
        <sz val="11"/>
        <rFont val="Calibri"/>
        <family val="2"/>
        <charset val="162"/>
        <scheme val="minor"/>
      </rPr>
      <t>Relevant Supplier</t>
    </r>
  </si>
  <si>
    <r>
      <t xml:space="preserve">Proje Bazında Fracas ID
</t>
    </r>
    <r>
      <rPr>
        <sz val="11"/>
        <rFont val="Calibri"/>
        <family val="2"/>
        <charset val="162"/>
        <scheme val="minor"/>
      </rPr>
      <t>Fracas ID Based on Project</t>
    </r>
  </si>
  <si>
    <r>
      <rPr>
        <b/>
        <sz val="11"/>
        <color theme="1"/>
        <rFont val="Calibri"/>
        <family val="2"/>
        <charset val="162"/>
        <scheme val="minor"/>
      </rPr>
      <t>Arıza Tanımı</t>
    </r>
    <r>
      <rPr>
        <sz val="11"/>
        <color theme="1"/>
        <rFont val="Calibri"/>
        <family val="2"/>
        <charset val="162"/>
        <scheme val="minor"/>
      </rPr>
      <t xml:space="preserve">
Failure Description</t>
    </r>
  </si>
  <si>
    <r>
      <rPr>
        <b/>
        <sz val="11"/>
        <color theme="1"/>
        <rFont val="Calibri"/>
        <family val="2"/>
        <charset val="162"/>
        <scheme val="minor"/>
      </rPr>
      <t>DDU Arıza Sınıfı</t>
    </r>
    <r>
      <rPr>
        <sz val="11"/>
        <color theme="1"/>
        <rFont val="Calibri"/>
        <family val="2"/>
        <charset val="162"/>
        <scheme val="minor"/>
      </rPr>
      <t xml:space="preserve">
DDU Failure Class</t>
    </r>
  </si>
  <si>
    <r>
      <rPr>
        <b/>
        <sz val="11"/>
        <rFont val="Calibri"/>
        <family val="2"/>
        <charset val="162"/>
        <scheme val="minor"/>
      </rPr>
      <t>Arıza Sınıfı</t>
    </r>
    <r>
      <rPr>
        <sz val="11"/>
        <color theme="1"/>
        <rFont val="Calibri"/>
        <family val="2"/>
        <charset val="162"/>
        <scheme val="minor"/>
      </rPr>
      <t xml:space="preserve">
Failure Class</t>
    </r>
  </si>
  <si>
    <r>
      <rPr>
        <b/>
        <sz val="11"/>
        <color theme="1"/>
        <rFont val="Calibri"/>
        <family val="2"/>
        <charset val="162"/>
        <scheme val="minor"/>
      </rPr>
      <t>Arızanın Emniyetle İlgili Şiddet Kategorisi</t>
    </r>
    <r>
      <rPr>
        <sz val="11"/>
        <color theme="1"/>
        <rFont val="Calibri"/>
        <family val="2"/>
        <charset val="162"/>
        <scheme val="minor"/>
      </rPr>
      <t xml:space="preserve">
Safety Related Severity Category of Failure</t>
    </r>
  </si>
  <si>
    <r>
      <rPr>
        <b/>
        <sz val="11"/>
        <rFont val="Arial"/>
        <family val="2"/>
        <charset val="162"/>
      </rPr>
      <t>Arıza Kaynağı</t>
    </r>
    <r>
      <rPr>
        <sz val="11"/>
        <rFont val="Arial"/>
        <family val="2"/>
        <charset val="162"/>
      </rPr>
      <t xml:space="preserve">
Source of Failure</t>
    </r>
  </si>
  <si>
    <r>
      <rPr>
        <b/>
        <sz val="11"/>
        <rFont val="Arial"/>
        <family val="2"/>
        <charset val="162"/>
      </rPr>
      <t>Arıza Tespitini Takiben Yapılan İşlem</t>
    </r>
    <r>
      <rPr>
        <sz val="11"/>
        <rFont val="Arial"/>
        <family val="2"/>
        <charset val="162"/>
      </rPr>
      <t xml:space="preserve">
Action Followed by Fault Detection</t>
    </r>
  </si>
  <si>
    <r>
      <rPr>
        <b/>
        <sz val="11"/>
        <rFont val="Arial"/>
        <family val="2"/>
        <charset val="162"/>
      </rPr>
      <t>Aksiyon</t>
    </r>
    <r>
      <rPr>
        <sz val="11"/>
        <rFont val="Arial"/>
        <family val="2"/>
        <charset val="162"/>
      </rPr>
      <t xml:space="preserve">
Action</t>
    </r>
  </si>
  <si>
    <r>
      <rPr>
        <b/>
        <sz val="11"/>
        <rFont val="Arial"/>
        <family val="2"/>
        <charset val="162"/>
      </rPr>
      <t>Garanti Kapsamı</t>
    </r>
    <r>
      <rPr>
        <sz val="11"/>
        <rFont val="Arial"/>
        <family val="2"/>
        <charset val="162"/>
      </rPr>
      <t xml:space="preserve">
Warranty Coverage</t>
    </r>
  </si>
  <si>
    <r>
      <rPr>
        <b/>
        <sz val="11"/>
        <rFont val="Arial"/>
        <family val="2"/>
        <charset val="162"/>
      </rPr>
      <t>Tamir için Gerekli Personel Sayısı</t>
    </r>
    <r>
      <rPr>
        <sz val="11"/>
        <rFont val="Arial"/>
        <family val="2"/>
        <charset val="162"/>
      </rPr>
      <t xml:space="preserve">
Required Personnel Quantity for Repair</t>
    </r>
  </si>
  <si>
    <r>
      <rPr>
        <b/>
        <sz val="11"/>
        <rFont val="Arial"/>
        <family val="2"/>
        <charset val="162"/>
      </rPr>
      <t>Tamir/Değiştirme Başlama Tarihi</t>
    </r>
    <r>
      <rPr>
        <sz val="11"/>
        <rFont val="Arial"/>
        <family val="2"/>
        <charset val="162"/>
      </rPr>
      <t xml:space="preserve">
Date of Starting to Repair/Replace</t>
    </r>
  </si>
  <si>
    <r>
      <rPr>
        <b/>
        <sz val="11"/>
        <rFont val="Arial"/>
        <family val="2"/>
        <charset val="162"/>
      </rPr>
      <t>Tamir/Değiştirme Başlama Saati</t>
    </r>
    <r>
      <rPr>
        <sz val="11"/>
        <rFont val="Arial"/>
        <family val="2"/>
        <charset val="162"/>
      </rPr>
      <t xml:space="preserve">
Time of Starting to Repair/Replace</t>
    </r>
  </si>
  <si>
    <r>
      <rPr>
        <b/>
        <sz val="11"/>
        <rFont val="Arial"/>
        <family val="2"/>
        <charset val="162"/>
      </rPr>
      <t>Tamir/Değiştirme Bitiş Tarihi</t>
    </r>
    <r>
      <rPr>
        <sz val="11"/>
        <rFont val="Arial"/>
        <family val="2"/>
        <charset val="162"/>
      </rPr>
      <t xml:space="preserve">
Date of Fnish to Repair/Replace</t>
    </r>
  </si>
  <si>
    <r>
      <rPr>
        <b/>
        <sz val="11"/>
        <rFont val="Arial"/>
        <family val="2"/>
        <charset val="162"/>
      </rPr>
      <t>Tamir/Değiştirme Bitiş Saati</t>
    </r>
    <r>
      <rPr>
        <sz val="11"/>
        <rFont val="Arial"/>
        <family val="2"/>
        <charset val="162"/>
      </rPr>
      <t xml:space="preserve">
Time of Fnish to Repair/Replace</t>
    </r>
  </si>
  <si>
    <r>
      <rPr>
        <b/>
        <sz val="11"/>
        <rFont val="Arial"/>
        <family val="2"/>
        <charset val="162"/>
      </rPr>
      <t>Tamir Süresi (saat)</t>
    </r>
    <r>
      <rPr>
        <sz val="11"/>
        <rFont val="Arial"/>
        <family val="2"/>
        <charset val="162"/>
      </rPr>
      <t xml:space="preserve">
Repair Time (hour)</t>
    </r>
  </si>
  <si>
    <r>
      <t xml:space="preserve">Servise Veriliş Tarih
</t>
    </r>
    <r>
      <rPr>
        <sz val="11"/>
        <rFont val="Calibri"/>
        <family val="2"/>
        <charset val="162"/>
        <scheme val="minor"/>
      </rPr>
      <t>Date of Ready to Service</t>
    </r>
  </si>
  <si>
    <r>
      <t xml:space="preserve">Servise Veriliş Saati
</t>
    </r>
    <r>
      <rPr>
        <sz val="11"/>
        <rFont val="Calibri"/>
        <family val="2"/>
        <charset val="162"/>
        <scheme val="minor"/>
      </rPr>
      <t>Time of Ready to Service</t>
    </r>
  </si>
  <si>
    <r>
      <rPr>
        <b/>
        <sz val="11"/>
        <rFont val="Arial"/>
        <family val="2"/>
        <charset val="162"/>
      </rPr>
      <t>Arıza Tipi</t>
    </r>
    <r>
      <rPr>
        <sz val="11"/>
        <rFont val="Arial"/>
        <family val="2"/>
        <charset val="162"/>
      </rPr>
      <t xml:space="preserve">
Failure Type</t>
    </r>
  </si>
  <si>
    <r>
      <rPr>
        <b/>
        <sz val="11"/>
        <rFont val="Arial"/>
        <family val="2"/>
        <charset val="162"/>
      </rPr>
      <t>Detaylı Bilgi</t>
    </r>
    <r>
      <rPr>
        <sz val="11"/>
        <rFont val="Arial"/>
        <family val="2"/>
        <charset val="162"/>
      </rPr>
      <t xml:space="preserve">
Detail İnformation</t>
    </r>
  </si>
  <si>
    <r>
      <rPr>
        <b/>
        <sz val="11"/>
        <rFont val="Arial"/>
        <family val="2"/>
        <charset val="162"/>
      </rPr>
      <t>NCR Numarası</t>
    </r>
    <r>
      <rPr>
        <sz val="11"/>
        <rFont val="Arial"/>
        <family val="2"/>
        <charset val="162"/>
      </rPr>
      <t xml:space="preserve">
NCR Number</t>
    </r>
  </si>
  <si>
    <r>
      <rPr>
        <b/>
        <sz val="11"/>
        <rFont val="Arial"/>
        <family val="2"/>
        <charset val="162"/>
      </rPr>
      <t>NCR Kapanış Tarihi</t>
    </r>
    <r>
      <rPr>
        <sz val="11"/>
        <rFont val="Arial"/>
        <family val="2"/>
        <charset val="162"/>
      </rPr>
      <t xml:space="preserve">
NCR Closing Date</t>
    </r>
  </si>
  <si>
    <r>
      <rPr>
        <b/>
        <sz val="11"/>
        <rFont val="Arial"/>
        <family val="2"/>
        <charset val="162"/>
      </rPr>
      <t>NCR Kapanış Saati</t>
    </r>
    <r>
      <rPr>
        <sz val="11"/>
        <rFont val="Arial"/>
        <family val="2"/>
        <charset val="162"/>
      </rPr>
      <t xml:space="preserve">
NCR Closing Time</t>
    </r>
  </si>
  <si>
    <r>
      <rPr>
        <b/>
        <sz val="11"/>
        <rFont val="Arial"/>
        <family val="2"/>
        <charset val="162"/>
      </rPr>
      <t>Ekipman Tedarikçisi</t>
    </r>
    <r>
      <rPr>
        <sz val="11"/>
        <rFont val="Arial"/>
        <family val="2"/>
        <charset val="162"/>
      </rPr>
      <t xml:space="preserve">
Equipment Supplier</t>
    </r>
  </si>
  <si>
    <r>
      <rPr>
        <b/>
        <sz val="11"/>
        <color theme="1"/>
        <rFont val="Calibri"/>
        <family val="2"/>
        <charset val="162"/>
        <scheme val="minor"/>
      </rPr>
      <t>Parça Kodu</t>
    </r>
    <r>
      <rPr>
        <sz val="11"/>
        <color theme="1"/>
        <rFont val="Calibri"/>
        <family val="2"/>
        <charset val="162"/>
        <scheme val="minor"/>
      </rPr>
      <t xml:space="preserve">
Part Code</t>
    </r>
  </si>
  <si>
    <r>
      <rPr>
        <b/>
        <sz val="11"/>
        <color theme="1"/>
        <rFont val="Calibri"/>
        <family val="2"/>
        <charset val="162"/>
        <scheme val="minor"/>
      </rPr>
      <t>Seri Numarası</t>
    </r>
    <r>
      <rPr>
        <sz val="11"/>
        <color theme="1"/>
        <rFont val="Calibri"/>
        <family val="2"/>
        <charset val="162"/>
        <scheme val="minor"/>
      </rPr>
      <t xml:space="preserve">
Serial Number</t>
    </r>
  </si>
  <si>
    <r>
      <rPr>
        <b/>
        <sz val="11"/>
        <color theme="1"/>
        <rFont val="Calibri"/>
        <family val="2"/>
        <charset val="162"/>
        <scheme val="minor"/>
      </rPr>
      <t>Parça Adı</t>
    </r>
    <r>
      <rPr>
        <sz val="11"/>
        <color theme="1"/>
        <rFont val="Calibri"/>
        <family val="2"/>
        <charset val="162"/>
        <scheme val="minor"/>
      </rPr>
      <t xml:space="preserve">
Part Name</t>
    </r>
  </si>
  <si>
    <r>
      <rPr>
        <b/>
        <sz val="11"/>
        <color theme="1"/>
        <rFont val="Calibri"/>
        <family val="2"/>
        <charset val="162"/>
        <scheme val="minor"/>
      </rPr>
      <t>Adeti</t>
    </r>
    <r>
      <rPr>
        <sz val="11"/>
        <color theme="1"/>
        <rFont val="Calibri"/>
        <family val="2"/>
        <charset val="162"/>
        <scheme val="minor"/>
      </rPr>
      <t xml:space="preserve">
Quantity</t>
    </r>
  </si>
  <si>
    <r>
      <rPr>
        <b/>
        <sz val="11"/>
        <color theme="1"/>
        <rFont val="Calibri"/>
        <family val="2"/>
        <charset val="162"/>
        <scheme val="minor"/>
      </rPr>
      <t>Sipariş No</t>
    </r>
    <r>
      <rPr>
        <sz val="11"/>
        <color theme="1"/>
        <rFont val="Calibri"/>
        <family val="2"/>
        <charset val="162"/>
        <scheme val="minor"/>
      </rPr>
      <t xml:space="preserve">
Order No</t>
    </r>
  </si>
  <si>
    <r>
      <rPr>
        <b/>
        <sz val="11"/>
        <color theme="1"/>
        <rFont val="Calibri"/>
        <family val="2"/>
        <charset val="162"/>
        <scheme val="minor"/>
      </rPr>
      <t>Sipariş Tarihi</t>
    </r>
    <r>
      <rPr>
        <sz val="11"/>
        <color theme="1"/>
        <rFont val="Calibri"/>
        <family val="2"/>
        <charset val="162"/>
        <scheme val="minor"/>
      </rPr>
      <t xml:space="preserve">
Order Date</t>
    </r>
  </si>
  <si>
    <r>
      <rPr>
        <b/>
        <sz val="11"/>
        <color theme="1"/>
        <rFont val="Calibri"/>
        <family val="2"/>
        <charset val="162"/>
        <scheme val="minor"/>
      </rPr>
      <t>Teslim Tarihi</t>
    </r>
    <r>
      <rPr>
        <sz val="11"/>
        <color theme="1"/>
        <rFont val="Calibri"/>
        <family val="2"/>
        <charset val="162"/>
        <scheme val="minor"/>
      </rPr>
      <t xml:space="preserve">
Delivery Date</t>
    </r>
  </si>
  <si>
    <r>
      <rPr>
        <b/>
        <sz val="11"/>
        <color theme="1"/>
        <rFont val="Calibri"/>
        <family val="2"/>
        <charset val="162"/>
        <scheme val="minor"/>
      </rPr>
      <t>Malzeme Maliyeti</t>
    </r>
    <r>
      <rPr>
        <sz val="11"/>
        <color theme="1"/>
        <rFont val="Calibri"/>
        <family val="2"/>
        <charset val="162"/>
        <scheme val="minor"/>
      </rPr>
      <t xml:space="preserve">
Material Cost</t>
    </r>
  </si>
  <si>
    <r>
      <t>İşçilik Maliyeti</t>
    </r>
    <r>
      <rPr>
        <sz val="11"/>
        <rFont val="Calibri"/>
        <family val="2"/>
        <charset val="162"/>
        <scheme val="minor"/>
      </rPr>
      <t xml:space="preserve">
Labor Cost</t>
    </r>
  </si>
  <si>
    <t>No</t>
  </si>
  <si>
    <t>Photo URL</t>
  </si>
  <si>
    <t>Arıza Resmi</t>
  </si>
  <si>
    <t>KAY_5+6</t>
  </si>
  <si>
    <t>https://www.appsheet.com/Template/gettablefileurl?appname=KAY5_6_Failure_Lists-654943&amp;tableName=SAYFA1&amp;filename=Sayfa1_Images%2Fd73e757f.Resim.130815.jpg</t>
  </si>
  <si>
    <t>KAY_5+7</t>
  </si>
  <si>
    <t>KAY_5+8</t>
  </si>
  <si>
    <t>KAY_5+9</t>
  </si>
  <si>
    <t>KAY_5+10</t>
  </si>
  <si>
    <t>KAY_5+11</t>
  </si>
  <si>
    <t>KAY_5+12</t>
  </si>
  <si>
    <t>KAY_5+13</t>
  </si>
  <si>
    <t>KAY_5+14</t>
  </si>
  <si>
    <t>KAY_5+15</t>
  </si>
  <si>
    <t>KAY_5+16</t>
  </si>
  <si>
    <t>KAY_5+17</t>
  </si>
  <si>
    <t>KAY_5+18</t>
  </si>
  <si>
    <t>KAY_5+19</t>
  </si>
  <si>
    <t>KAY_5+20</t>
  </si>
  <si>
    <t>KAY_5+21</t>
  </si>
  <si>
    <t>KAY_5+22</t>
  </si>
  <si>
    <t>KAY_5+23</t>
  </si>
  <si>
    <t>KAY_5+24</t>
  </si>
  <si>
    <t>KAY_5+25</t>
  </si>
  <si>
    <t>KAY_5+26</t>
  </si>
  <si>
    <t>KAY_5+27</t>
  </si>
  <si>
    <t>KAY_5+28</t>
  </si>
  <si>
    <t>KAY_5+29</t>
  </si>
  <si>
    <t>KAY_5+30</t>
  </si>
  <si>
    <t>KAY_5+31</t>
  </si>
  <si>
    <t>KAY_5+32</t>
  </si>
  <si>
    <t>KAY_5+33</t>
  </si>
  <si>
    <t>KAY_5+34</t>
  </si>
  <si>
    <t>KAY_5+35</t>
  </si>
  <si>
    <t>KAY_5+36</t>
  </si>
  <si>
    <t>KAY_5+37</t>
  </si>
  <si>
    <t>KAY_5+38</t>
  </si>
  <si>
    <t>KAY_5+39</t>
  </si>
  <si>
    <t>KAY_5+40</t>
  </si>
  <si>
    <t>KAY_5+41</t>
  </si>
  <si>
    <t>KAY_5+42</t>
  </si>
  <si>
    <t>KAY_5+43</t>
  </si>
  <si>
    <t>KAY_5+44</t>
  </si>
  <si>
    <t>KAY_5+45</t>
  </si>
  <si>
    <t>KAY_5+46</t>
  </si>
  <si>
    <t>KAY_5+47</t>
  </si>
  <si>
    <t>KAY_5+48</t>
  </si>
  <si>
    <t>KAY_5+49</t>
  </si>
  <si>
    <t>KAY_5+50</t>
  </si>
  <si>
    <t>KAY_5+51</t>
  </si>
  <si>
    <t>KAY_5+52</t>
  </si>
  <si>
    <t>KAY_5+53</t>
  </si>
  <si>
    <t>KAY_5+54</t>
  </si>
  <si>
    <t>KAY_5+55</t>
  </si>
  <si>
    <t>KAY_5+56</t>
  </si>
  <si>
    <t>KAY_5+57</t>
  </si>
  <si>
    <t>KAY_5+58</t>
  </si>
  <si>
    <t>KAY_5+59</t>
  </si>
  <si>
    <t>KAY_5+60</t>
  </si>
  <si>
    <t>KAY_5+61</t>
  </si>
  <si>
    <t>KAY_5+62</t>
  </si>
  <si>
    <t>KAY_5+63</t>
  </si>
  <si>
    <t>KAY_5+64</t>
  </si>
  <si>
    <t>KAY_5+65</t>
  </si>
  <si>
    <t>KAY_5+66</t>
  </si>
  <si>
    <t>KAY_5+67</t>
  </si>
  <si>
    <t>KAY_5+68</t>
  </si>
  <si>
    <t>KAY_5+69</t>
  </si>
  <si>
    <t>KAY_5+70</t>
  </si>
  <si>
    <t>KAY_5+71</t>
  </si>
  <si>
    <t>KAY_5+72</t>
  </si>
  <si>
    <t>KAY_5+73</t>
  </si>
  <si>
    <t>KAY_5+74</t>
  </si>
  <si>
    <t>KAY_5+75</t>
  </si>
  <si>
    <t>KAY_5+76</t>
  </si>
  <si>
    <t>KAY_5+77</t>
  </si>
  <si>
    <t>KAY_5+78</t>
  </si>
  <si>
    <t>KAY_5+79</t>
  </si>
  <si>
    <t>KAY_5+80</t>
  </si>
  <si>
    <t>KAY_5+81</t>
  </si>
  <si>
    <t>KAY_5+82</t>
  </si>
  <si>
    <t>KAY_5+83</t>
  </si>
  <si>
    <t>KAY_5+84</t>
  </si>
  <si>
    <t>KAY_5+85</t>
  </si>
  <si>
    <t>KAY_5+86</t>
  </si>
  <si>
    <t>KAY_5+87</t>
  </si>
  <si>
    <t>KAY_5+88</t>
  </si>
  <si>
    <t>KAY_5+89</t>
  </si>
  <si>
    <t>KAY_5+90</t>
  </si>
  <si>
    <t>KAY_5+91</t>
  </si>
  <si>
    <t>KAY_5+92</t>
  </si>
  <si>
    <t>KAY_5+93</t>
  </si>
  <si>
    <t>KAY_5+94</t>
  </si>
  <si>
    <t>KAY_5+95</t>
  </si>
  <si>
    <t>KAY_5+96</t>
  </si>
  <si>
    <t>KAY_5+97</t>
  </si>
  <si>
    <t>KAY_5+98</t>
  </si>
  <si>
    <t>KAY_5+99</t>
  </si>
  <si>
    <t>KAY_5+100</t>
  </si>
  <si>
    <t>KAY_5+101</t>
  </si>
  <si>
    <t>KAY_5+102</t>
  </si>
  <si>
    <t>KAY_5+103</t>
  </si>
  <si>
    <t>KAY_5+104</t>
  </si>
  <si>
    <t>KAY_5+105</t>
  </si>
  <si>
    <t>KAY_5+106</t>
  </si>
  <si>
    <t>KAY_5+107</t>
  </si>
  <si>
    <t>KAY_5+108</t>
  </si>
  <si>
    <t>KAY_5+109</t>
  </si>
  <si>
    <t>KAY_5+110</t>
  </si>
  <si>
    <t>KAY_5+111</t>
  </si>
  <si>
    <t>KAY_5+112</t>
  </si>
  <si>
    <t>KAY_5+113</t>
  </si>
  <si>
    <t>KAY_5+114</t>
  </si>
  <si>
    <t>KAY_5+115</t>
  </si>
  <si>
    <t>KAY_5+116</t>
  </si>
  <si>
    <t>KAY_5+117</t>
  </si>
  <si>
    <t>KAY_5+118</t>
  </si>
  <si>
    <t>KAY_5+119</t>
  </si>
  <si>
    <t>KAY_5+120</t>
  </si>
  <si>
    <t>KAY_5+121</t>
  </si>
  <si>
    <t>KAY_5+122</t>
  </si>
  <si>
    <t>KAY_5+123</t>
  </si>
  <si>
    <t>KAY_5+124</t>
  </si>
  <si>
    <t>KAY_5+125</t>
  </si>
  <si>
    <t>KAY_5+126</t>
  </si>
  <si>
    <t>KAY_5+127</t>
  </si>
  <si>
    <t>KAY_5+128</t>
  </si>
  <si>
    <t>KAY_5+129</t>
  </si>
  <si>
    <t>KAY_5+130</t>
  </si>
  <si>
    <t>KAY_5+131</t>
  </si>
  <si>
    <t>KAY_5+132</t>
  </si>
  <si>
    <t>KAY_5+133</t>
  </si>
  <si>
    <t>KAY_5+134</t>
  </si>
  <si>
    <t>KAY_5+135</t>
  </si>
  <si>
    <t>KAY_5+136</t>
  </si>
  <si>
    <t>KAY_5+137</t>
  </si>
  <si>
    <t>KAY_5+138</t>
  </si>
  <si>
    <t>KAY_5+139</t>
  </si>
  <si>
    <t>KAY_5+140</t>
  </si>
  <si>
    <t>KAY_5+141</t>
  </si>
  <si>
    <t>KAY_5+142</t>
  </si>
  <si>
    <t>KAY_5+143</t>
  </si>
  <si>
    <t>KAY_5+144</t>
  </si>
  <si>
    <t>KAY_5+145</t>
  </si>
  <si>
    <t>KAY_5+146</t>
  </si>
  <si>
    <t>KAY_5+147</t>
  </si>
  <si>
    <t>KAY_5+148</t>
  </si>
  <si>
    <t>KAY_5+149</t>
  </si>
  <si>
    <t>KAY_5+150</t>
  </si>
  <si>
    <t>KAY_5+151</t>
  </si>
  <si>
    <t>KAY_5+152</t>
  </si>
  <si>
    <t>KAY_5+153</t>
  </si>
  <si>
    <t>KAY_5+154</t>
  </si>
  <si>
    <t>KAY_5+155</t>
  </si>
  <si>
    <t>KAY_5+156</t>
  </si>
  <si>
    <t>KAY_5+157</t>
  </si>
  <si>
    <t>KAY_5+158</t>
  </si>
  <si>
    <t>KAY_5+159</t>
  </si>
  <si>
    <t>KAY_5+160</t>
  </si>
  <si>
    <t>KAY_5+161</t>
  </si>
  <si>
    <t>KAY_5+162</t>
  </si>
  <si>
    <t>KAY_5+163</t>
  </si>
  <si>
    <t>KAY_5+164</t>
  </si>
  <si>
    <t>KAY_5+165</t>
  </si>
  <si>
    <t>KAY_5+166</t>
  </si>
  <si>
    <t>KAY_5+167</t>
  </si>
  <si>
    <t>KAY_5+168</t>
  </si>
  <si>
    <t>KAY_5+169</t>
  </si>
  <si>
    <t>KAY_5+170</t>
  </si>
  <si>
    <t>KAY_5+171</t>
  </si>
  <si>
    <t>KAY_5+172</t>
  </si>
  <si>
    <t>KAY_5+173</t>
  </si>
  <si>
    <t>KAY_5+174</t>
  </si>
  <si>
    <t>KAY_5+175</t>
  </si>
  <si>
    <t>KAY_5+176</t>
  </si>
  <si>
    <t>KAY_5+177</t>
  </si>
  <si>
    <t>KAY_5+178</t>
  </si>
  <si>
    <t>KAY_5+179</t>
  </si>
  <si>
    <t>KAY_5+180</t>
  </si>
  <si>
    <t>KAY_5+181</t>
  </si>
  <si>
    <t>KAY_5+182</t>
  </si>
  <si>
    <t>KAY_5+183</t>
  </si>
  <si>
    <t>KAY_5+184</t>
  </si>
  <si>
    <t>KAY_5+185</t>
  </si>
  <si>
    <t>KAY_5+186</t>
  </si>
  <si>
    <t>KAY_5+187</t>
  </si>
  <si>
    <t>KAY_5+188</t>
  </si>
  <si>
    <t>KAY_5+189</t>
  </si>
  <si>
    <t>KAY_5+190</t>
  </si>
  <si>
    <t>KAY_5+191</t>
  </si>
  <si>
    <t>KAY_5+192</t>
  </si>
  <si>
    <t>KAY_5+193</t>
  </si>
  <si>
    <t>KAY_5+194</t>
  </si>
  <si>
    <t>KAY_5+195</t>
  </si>
  <si>
    <t>KAY_5+196</t>
  </si>
  <si>
    <t>KAY_5+197</t>
  </si>
  <si>
    <t>KAY_5+198</t>
  </si>
  <si>
    <t>KAY_5+199</t>
  </si>
  <si>
    <t>KAY_5+200</t>
  </si>
  <si>
    <t>KAY_5+201</t>
  </si>
  <si>
    <t>KAY_5+202</t>
  </si>
  <si>
    <t>KAY_5+203</t>
  </si>
  <si>
    <t>KAY_5+204</t>
  </si>
  <si>
    <t>KAY_5+205</t>
  </si>
  <si>
    <t>KAY_5+206</t>
  </si>
  <si>
    <t>KAY_5+207</t>
  </si>
  <si>
    <t>KAY_5+208</t>
  </si>
  <si>
    <t>KAY_5+209</t>
  </si>
  <si>
    <t>KAY_5+210</t>
  </si>
  <si>
    <t>KAY_5+211</t>
  </si>
  <si>
    <t>KAY_5+212</t>
  </si>
  <si>
    <t>KAY_5+213</t>
  </si>
  <si>
    <t>KAY_5+214</t>
  </si>
  <si>
    <t>KAY_5+215</t>
  </si>
  <si>
    <t>KAY_5+216</t>
  </si>
  <si>
    <t>KAY_5+217</t>
  </si>
  <si>
    <t>KAY_5+218</t>
  </si>
  <si>
    <t>KAY_5+219</t>
  </si>
  <si>
    <t>KAY_5+220</t>
  </si>
  <si>
    <t>KAY_5+221</t>
  </si>
  <si>
    <t>KAY_5+222</t>
  </si>
  <si>
    <t>KAY_5+223</t>
  </si>
  <si>
    <t>KAY_5+224</t>
  </si>
  <si>
    <t>KAY_5+225</t>
  </si>
  <si>
    <t>KAY_5+226</t>
  </si>
  <si>
    <t>KAY_5+227</t>
  </si>
  <si>
    <t>KAY_5+228</t>
  </si>
  <si>
    <t>KAY_5+229</t>
  </si>
  <si>
    <t>KAY_5+230</t>
  </si>
  <si>
    <t>KAY_5+231</t>
  </si>
  <si>
    <t>KAY_5+232</t>
  </si>
  <si>
    <t>KAY_5+233</t>
  </si>
  <si>
    <t>KAY_5+234</t>
  </si>
  <si>
    <t>KAY_5+235</t>
  </si>
  <si>
    <t>KAY_5+236</t>
  </si>
  <si>
    <t>KAY_5+237</t>
  </si>
  <si>
    <t>KAY_5+238</t>
  </si>
  <si>
    <t>KAY_5+239</t>
  </si>
  <si>
    <t>KAY_5+240</t>
  </si>
  <si>
    <t>KAY_5+241</t>
  </si>
  <si>
    <t>KAY_5+242</t>
  </si>
  <si>
    <t>KAY_5+243</t>
  </si>
  <si>
    <t>KAY_5+244</t>
  </si>
  <si>
    <t>KAY_5+245</t>
  </si>
  <si>
    <t>KAY_5+246</t>
  </si>
  <si>
    <t>KAY_5+247</t>
  </si>
  <si>
    <t>KAY_5+248</t>
  </si>
  <si>
    <t>KAY_5+249</t>
  </si>
  <si>
    <t>KAY_5+250</t>
  </si>
  <si>
    <t>KAY_5+251</t>
  </si>
  <si>
    <t>KAY_5+252</t>
  </si>
  <si>
    <t>KAY_5+253</t>
  </si>
  <si>
    <t>KAY_5+254</t>
  </si>
  <si>
    <t>KAY_5+255</t>
  </si>
  <si>
    <t>KAY_5+256</t>
  </si>
  <si>
    <t>KAY_5+257</t>
  </si>
  <si>
    <t>KAY_5+258</t>
  </si>
  <si>
    <t>KAY_5+259</t>
  </si>
  <si>
    <t>KAY_5+260</t>
  </si>
  <si>
    <t>KAY_5+261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</si>
</sst>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1F]d\ mmmm\ yyyy;@"/>
    <numFmt numFmtId="165" formatCode="[$-41F]d\ mmmm\ yy;@"/>
    <numFmt numFmtId="166" formatCode="dd/mm/yy;@"/>
    <numFmt numFmtId="167" formatCode="_-[$€-2]\ * #,##0.00_-;\-[$€-2]\ * #,##0.00_-;_-[$€-2]\ * &quot;-&quot;??_-;_-@_-"/>
    <numFmt numFmtId="168" formatCode="0.0"/>
    <numFmt numFmtId="169" formatCode="d/m/yy\ hh:mm;@"/>
    <numFmt numFmtId="170" formatCode="[$-F400]h:mm:ss\ AM/PM"/>
  </numFmts>
  <fonts count="38">
    <font>
      <sz val="11"/>
      <color theme="1"/>
      <name val="Calibri"/>
      <family val="2"/>
      <charset val="162"/>
      <scheme val="minor"/>
    </font>
    <font>
      <sz val="10"/>
      <name val="Arial"/>
      <family val="2"/>
      <charset val="162"/>
    </font>
    <font>
      <sz val="11"/>
      <color theme="1"/>
      <name val="Calibri"/>
      <family val="2"/>
      <scheme val="minor"/>
    </font>
    <font>
      <sz val="8"/>
      <color theme="1"/>
      <name val="Calibri"/>
      <family val="2"/>
      <charset val="162"/>
      <scheme val="minor"/>
    </font>
    <font>
      <sz val="10"/>
      <name val="Arial"/>
      <family val="2"/>
      <charset val="162"/>
    </font>
    <font>
      <u/>
      <sz val="11"/>
      <color theme="10"/>
      <name val="Calibri"/>
      <family val="2"/>
      <charset val="162"/>
    </font>
    <font>
      <u/>
      <sz val="10"/>
      <color theme="10"/>
      <name val="Arial"/>
      <family val="2"/>
      <charset val="162"/>
    </font>
    <font>
      <sz val="10"/>
      <name val="Arial"/>
      <family val="2"/>
      <charset val="162"/>
    </font>
    <font>
      <b/>
      <sz val="11"/>
      <color theme="1"/>
      <name val="Calibri"/>
      <family val="2"/>
      <charset val="162"/>
      <scheme val="minor"/>
    </font>
    <font>
      <sz val="11"/>
      <color theme="1"/>
      <name val="Calibri"/>
      <family val="2"/>
      <charset val="162"/>
      <scheme val="minor"/>
    </font>
    <font>
      <sz val="8"/>
      <name val="Calibri"/>
      <family val="2"/>
      <charset val="162"/>
      <scheme val="minor"/>
    </font>
    <font>
      <b/>
      <sz val="11"/>
      <name val="Calibri"/>
      <family val="2"/>
      <charset val="162"/>
      <scheme val="minor"/>
    </font>
    <font>
      <u/>
      <sz val="11"/>
      <color theme="10"/>
      <name val="Calibri"/>
      <family val="2"/>
      <scheme val="minor"/>
    </font>
    <font>
      <sz val="11"/>
      <color rgb="FFFF0000"/>
      <name val="Calibri"/>
      <family val="2"/>
      <charset val="162"/>
      <scheme val="minor"/>
    </font>
    <font>
      <sz val="11"/>
      <name val="Arial"/>
      <family val="2"/>
      <charset val="162"/>
    </font>
    <font>
      <b/>
      <sz val="11"/>
      <name val="Arial"/>
      <family val="2"/>
      <charset val="162"/>
    </font>
    <font>
      <b/>
      <sz val="11"/>
      <name val="Calibri"/>
      <family val="2"/>
      <charset val="162"/>
    </font>
    <font>
      <b/>
      <sz val="11"/>
      <color rgb="FF000000"/>
      <name val="Calibri"/>
      <family val="2"/>
      <charset val="162"/>
    </font>
    <font>
      <sz val="11"/>
      <color rgb="FF000000"/>
      <name val="Calibri"/>
      <family val="2"/>
      <charset val="162"/>
    </font>
    <font>
      <b/>
      <sz val="11"/>
      <color rgb="FF000000"/>
      <name val="Calibri"/>
      <family val="2"/>
      <charset val="162"/>
      <scheme val="minor"/>
    </font>
    <font>
      <sz val="11"/>
      <color rgb="FF000000"/>
      <name val="Calibri"/>
      <family val="2"/>
      <charset val="162"/>
      <scheme val="minor"/>
    </font>
    <font>
      <sz val="11"/>
      <name val="Calibri"/>
      <family val="2"/>
      <charset val="162"/>
      <scheme val="minor"/>
    </font>
    <font>
      <sz val="11"/>
      <color theme="1"/>
      <name val="Arial"/>
      <family val="2"/>
      <charset val="162"/>
    </font>
    <font>
      <sz val="11"/>
      <color rgb="FFFF0000"/>
      <name val="Arial"/>
      <family val="2"/>
      <charset val="162"/>
    </font>
    <font>
      <b/>
      <sz val="11"/>
      <color rgb="FFFF0000"/>
      <name val="Arial"/>
      <family val="2"/>
      <charset val="162"/>
    </font>
    <font>
      <b/>
      <sz val="8"/>
      <color theme="1"/>
      <name val="Calibri"/>
      <family val="2"/>
      <charset val="162"/>
      <scheme val="minor"/>
    </font>
    <font>
      <b/>
      <sz val="8"/>
      <name val="Calibri"/>
      <family val="2"/>
      <charset val="162"/>
      <scheme val="minor"/>
    </font>
    <font>
      <sz val="8"/>
      <color rgb="FFFF0000"/>
      <name val="Calibri"/>
      <family val="2"/>
      <charset val="162"/>
      <scheme val="minor"/>
    </font>
    <font>
      <b/>
      <sz val="8"/>
      <color rgb="FFFF0000"/>
      <name val="Calibri"/>
      <family val="2"/>
      <charset val="162"/>
      <scheme val="minor"/>
    </font>
    <font>
      <sz val="8"/>
      <color rgb="FF00B050"/>
      <name val="Calibri"/>
      <family val="2"/>
      <charset val="162"/>
      <scheme val="minor"/>
    </font>
    <font>
      <b/>
      <sz val="8"/>
      <color rgb="FF00B050"/>
      <name val="Calibri"/>
      <family val="2"/>
      <charset val="162"/>
      <scheme val="minor"/>
    </font>
    <font>
      <sz val="9"/>
      <color indexed="81"/>
      <name val="Tahoma"/>
      <family val="2"/>
      <charset val="162"/>
    </font>
    <font>
      <b/>
      <sz val="9"/>
      <color indexed="81"/>
      <name val="Tahoma"/>
      <family val="2"/>
      <charset val="162"/>
    </font>
    <font>
      <b/>
      <sz val="8"/>
      <color rgb="FF000000"/>
      <name val="Calibri"/>
      <family val="2"/>
      <charset val="162"/>
      <scheme val="minor"/>
    </font>
    <font>
      <sz val="8"/>
      <color rgb="FF000000"/>
      <name val="Calibri"/>
      <family val="2"/>
      <charset val="162"/>
      <scheme val="minor"/>
    </font>
    <font>
      <sz val="16"/>
      <color rgb="FFFF0000"/>
      <name val="Calibri"/>
      <family val="2"/>
      <charset val="162"/>
      <scheme val="minor"/>
    </font>
    <font>
      <sz val="12"/>
      <name val="Calibri"/>
      <family val="2"/>
      <charset val="162"/>
      <scheme val="minor"/>
    </font>
    <font>
      <b/>
      <sz val="12"/>
      <name val="Calibri"/>
      <family val="2"/>
      <charset val="162"/>
      <scheme val="minor"/>
    </font>
  </fonts>
  <fills count="1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92D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s>
  <cellStyleXfs count="35">
    <xf numFmtId="0" fontId="0" fillId="0" borderId="0"/>
    <xf numFmtId="0" fontId="2" fillId="0" borderId="0"/>
    <xf numFmtId="0" fontId="4" fillId="0" borderId="0"/>
    <xf numFmtId="0" fontId="5" fillId="0" borderId="0" applyNumberFormat="0" applyFill="0" applyBorder="0" applyAlignment="0" applyProtection="0">
      <alignment vertical="top"/>
      <protection locked="0"/>
    </xf>
    <xf numFmtId="0" fontId="1" fillId="0" borderId="0"/>
    <xf numFmtId="0" fontId="6" fillId="0" borderId="0" applyNumberFormat="0" applyFill="0" applyBorder="0" applyAlignment="0" applyProtection="0">
      <alignment vertical="top"/>
      <protection locked="0"/>
    </xf>
    <xf numFmtId="0" fontId="7" fillId="0" borderId="0"/>
    <xf numFmtId="0" fontId="1" fillId="0" borderId="0"/>
    <xf numFmtId="0" fontId="1" fillId="0" borderId="0"/>
    <xf numFmtId="0" fontId="9" fillId="0" borderId="0"/>
    <xf numFmtId="0" fontId="1" fillId="0" borderId="0"/>
    <xf numFmtId="0" fontId="9" fillId="0" borderId="0"/>
    <xf numFmtId="0" fontId="1" fillId="0" borderId="0"/>
    <xf numFmtId="0" fontId="9"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pplyNumberFormat="0" applyFill="0" applyBorder="0" applyAlignment="0" applyProtection="0"/>
    <xf numFmtId="0" fontId="6" fillId="0" borderId="0" applyNumberFormat="0" applyFill="0" applyBorder="0" applyAlignment="0" applyProtection="0"/>
  </cellStyleXfs>
  <cellXfs count="205">
    <xf numFmtId="0" fontId="0" fillId="0" borderId="0" xfId="0"/>
    <xf numFmtId="0" fontId="3" fillId="0" borderId="1" xfId="0" applyFont="1" applyBorder="1" applyAlignment="1" applyProtection="1">
      <alignment horizontal="center" vertical="center" textRotation="90" wrapText="1"/>
      <protection locked="0"/>
    </xf>
    <xf numFmtId="0" fontId="14" fillId="0" borderId="6" xfId="8" applyFont="1" applyBorder="1" applyProtection="1">
      <protection locked="0"/>
    </xf>
    <xf numFmtId="0" fontId="14" fillId="0" borderId="6" xfId="8" applyFont="1" applyBorder="1" applyAlignment="1" applyProtection="1">
      <alignment vertical="center" wrapText="1"/>
      <protection locked="0"/>
    </xf>
    <xf numFmtId="0" fontId="14" fillId="0" borderId="0" xfId="8" applyFont="1" applyAlignment="1" applyProtection="1">
      <alignment horizontal="left" vertical="center" wrapText="1"/>
      <protection locked="0"/>
    </xf>
    <xf numFmtId="164" fontId="14" fillId="3" borderId="0" xfId="8" applyNumberFormat="1" applyFont="1" applyFill="1" applyAlignment="1" applyProtection="1">
      <alignment horizontal="center" vertical="center" textRotation="90"/>
      <protection locked="0"/>
    </xf>
    <xf numFmtId="0" fontId="14" fillId="6" borderId="0" xfId="8" applyFont="1" applyFill="1" applyAlignment="1" applyProtection="1">
      <alignment horizontal="right" vertical="center" wrapText="1"/>
      <protection locked="0"/>
    </xf>
    <xf numFmtId="170" fontId="14" fillId="6" borderId="0" xfId="8" applyNumberFormat="1" applyFont="1" applyFill="1" applyAlignment="1" applyProtection="1">
      <alignment horizontal="center" vertical="center" textRotation="90"/>
      <protection locked="0"/>
    </xf>
    <xf numFmtId="0" fontId="14" fillId="6" borderId="0" xfId="8" applyFont="1" applyFill="1" applyAlignment="1" applyProtection="1">
      <alignment horizontal="center" vertical="center" wrapText="1"/>
      <protection locked="0"/>
    </xf>
    <xf numFmtId="167" fontId="14" fillId="6" borderId="0" xfId="8" applyNumberFormat="1" applyFont="1" applyFill="1" applyAlignment="1" applyProtection="1">
      <alignment horizontal="center" vertical="center" textRotation="90"/>
      <protection locked="0"/>
    </xf>
    <xf numFmtId="0" fontId="14" fillId="7" borderId="0" xfId="8" applyFont="1" applyFill="1" applyAlignment="1" applyProtection="1">
      <alignment horizontal="center" vertical="center" textRotation="90" wrapText="1"/>
      <protection locked="0"/>
    </xf>
    <xf numFmtId="0" fontId="14" fillId="0" borderId="0" xfId="8" applyFont="1" applyProtection="1">
      <protection locked="0"/>
    </xf>
    <xf numFmtId="0" fontId="9" fillId="2" borderId="0" xfId="0" applyFont="1" applyFill="1" applyProtection="1">
      <protection locked="0"/>
    </xf>
    <xf numFmtId="0" fontId="9" fillId="2" borderId="0" xfId="0" applyFont="1" applyFill="1" applyAlignment="1" applyProtection="1">
      <alignment textRotation="90" wrapText="1"/>
      <protection locked="0"/>
    </xf>
    <xf numFmtId="0" fontId="9" fillId="2" borderId="0" xfId="0" applyFont="1" applyFill="1" applyAlignment="1" applyProtection="1">
      <alignment textRotation="90"/>
      <protection locked="0"/>
    </xf>
    <xf numFmtId="170" fontId="9" fillId="2" borderId="0" xfId="0" applyNumberFormat="1" applyFont="1" applyFill="1" applyAlignment="1" applyProtection="1">
      <alignment textRotation="90"/>
      <protection locked="0"/>
    </xf>
    <xf numFmtId="0" fontId="9" fillId="2" borderId="6" xfId="0" applyFont="1" applyFill="1" applyBorder="1" applyProtection="1">
      <protection locked="0"/>
    </xf>
    <xf numFmtId="0" fontId="9" fillId="2" borderId="7" xfId="0" applyFont="1" applyFill="1" applyBorder="1" applyProtection="1">
      <protection locked="0"/>
    </xf>
    <xf numFmtId="0" fontId="9" fillId="2" borderId="4" xfId="0" applyFont="1" applyFill="1" applyBorder="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wrapText="1"/>
      <protection locked="0"/>
    </xf>
    <xf numFmtId="0" fontId="9" fillId="0" borderId="0" xfId="0" applyFont="1" applyAlignment="1" applyProtection="1">
      <alignment vertical="center"/>
      <protection locked="0"/>
    </xf>
    <xf numFmtId="0" fontId="9" fillId="0" borderId="0" xfId="0" applyFont="1" applyProtection="1">
      <protection locked="0"/>
    </xf>
    <xf numFmtId="0" fontId="9" fillId="0" borderId="1" xfId="0" applyFont="1" applyBorder="1" applyAlignment="1" applyProtection="1">
      <alignment vertical="center" textRotation="90" wrapText="1"/>
      <protection locked="0"/>
    </xf>
    <xf numFmtId="0" fontId="9" fillId="0" borderId="1" xfId="0" applyFont="1" applyBorder="1" applyAlignment="1" applyProtection="1">
      <alignment horizontal="center" vertical="center" textRotation="90" wrapText="1"/>
      <protection locked="0"/>
    </xf>
    <xf numFmtId="0" fontId="16" fillId="5" borderId="1" xfId="3" applyFont="1" applyFill="1" applyBorder="1" applyAlignment="1" applyProtection="1">
      <alignment horizontal="center" vertical="center" textRotation="90" wrapText="1"/>
      <protection locked="0"/>
    </xf>
    <xf numFmtId="0" fontId="17" fillId="5" borderId="1" xfId="3" applyFont="1" applyFill="1" applyBorder="1" applyAlignment="1" applyProtection="1">
      <alignment horizontal="center" vertical="center" textRotation="90" wrapText="1"/>
      <protection locked="0"/>
    </xf>
    <xf numFmtId="0" fontId="19" fillId="0" borderId="1" xfId="0" applyFont="1" applyBorder="1" applyAlignment="1" applyProtection="1">
      <alignment horizontal="center" vertical="center" textRotation="90" wrapText="1"/>
      <protection locked="0"/>
    </xf>
    <xf numFmtId="0" fontId="8" fillId="0" borderId="1" xfId="0" applyFont="1" applyBorder="1" applyAlignment="1" applyProtection="1">
      <alignment horizontal="center" vertical="center" textRotation="90" wrapText="1"/>
      <protection locked="0"/>
    </xf>
    <xf numFmtId="0" fontId="16" fillId="0" borderId="1" xfId="3" applyFont="1" applyFill="1" applyBorder="1" applyAlignment="1" applyProtection="1">
      <alignment horizontal="center" vertical="center" textRotation="90" wrapText="1"/>
      <protection locked="0"/>
    </xf>
    <xf numFmtId="0" fontId="11" fillId="0" borderId="1" xfId="0" applyFont="1" applyBorder="1" applyAlignment="1" applyProtection="1">
      <alignment horizontal="center" vertical="center" textRotation="90" wrapText="1"/>
      <protection locked="0"/>
    </xf>
    <xf numFmtId="0" fontId="11" fillId="5" borderId="1" xfId="0" applyFont="1" applyFill="1" applyBorder="1" applyAlignment="1" applyProtection="1">
      <alignment horizontal="center" vertical="center" textRotation="90" wrapText="1"/>
      <protection locked="0"/>
    </xf>
    <xf numFmtId="0" fontId="11" fillId="4" borderId="1" xfId="0" applyFont="1" applyFill="1" applyBorder="1" applyAlignment="1" applyProtection="1">
      <alignment horizontal="center" vertical="center" textRotation="90" wrapText="1"/>
      <protection locked="0"/>
    </xf>
    <xf numFmtId="0" fontId="9" fillId="5" borderId="1" xfId="0" applyFont="1" applyFill="1" applyBorder="1" applyAlignment="1" applyProtection="1">
      <alignment horizontal="center" vertical="center" textRotation="90" wrapText="1"/>
      <protection locked="0"/>
    </xf>
    <xf numFmtId="0" fontId="9" fillId="5" borderId="2" xfId="0" applyFont="1" applyFill="1" applyBorder="1" applyAlignment="1" applyProtection="1">
      <alignment horizontal="center" vertical="center" textRotation="90" wrapText="1"/>
      <protection locked="0"/>
    </xf>
    <xf numFmtId="0" fontId="9" fillId="5" borderId="1" xfId="0" applyFont="1" applyFill="1" applyBorder="1" applyAlignment="1" applyProtection="1">
      <alignment horizontal="center" vertical="top" textRotation="90" wrapText="1"/>
      <protection locked="0"/>
    </xf>
    <xf numFmtId="165" fontId="14" fillId="5" borderId="1" xfId="0" applyNumberFormat="1" applyFont="1" applyFill="1" applyBorder="1" applyAlignment="1" applyProtection="1">
      <alignment horizontal="center" vertical="center" textRotation="90" wrapText="1"/>
      <protection locked="0"/>
    </xf>
    <xf numFmtId="165" fontId="14" fillId="0" borderId="1" xfId="0" applyNumberFormat="1" applyFont="1" applyBorder="1" applyAlignment="1" applyProtection="1">
      <alignment horizontal="center" vertical="center" wrapText="1"/>
      <protection locked="0"/>
    </xf>
    <xf numFmtId="165" fontId="14" fillId="0" borderId="1" xfId="0" applyNumberFormat="1" applyFont="1" applyBorder="1" applyAlignment="1" applyProtection="1">
      <alignment horizontal="center" vertical="center" textRotation="90" wrapText="1"/>
      <protection locked="0"/>
    </xf>
    <xf numFmtId="170" fontId="14" fillId="0" borderId="1" xfId="0" applyNumberFormat="1" applyFont="1" applyBorder="1" applyAlignment="1" applyProtection="1">
      <alignment horizontal="center" vertical="center" textRotation="90" wrapText="1"/>
      <protection locked="0"/>
    </xf>
    <xf numFmtId="165" fontId="14" fillId="4" borderId="1" xfId="0" applyNumberFormat="1" applyFont="1" applyFill="1" applyBorder="1" applyAlignment="1" applyProtection="1">
      <alignment horizontal="center" vertical="center" textRotation="90" wrapText="1"/>
      <protection locked="0"/>
    </xf>
    <xf numFmtId="1" fontId="14" fillId="3" borderId="1" xfId="0" applyNumberFormat="1" applyFont="1" applyFill="1" applyBorder="1" applyAlignment="1" applyProtection="1">
      <alignment horizontal="center" vertical="center" textRotation="90" wrapText="1"/>
      <protection locked="0"/>
    </xf>
    <xf numFmtId="1" fontId="14" fillId="6" borderId="1" xfId="0" applyNumberFormat="1" applyFont="1" applyFill="1" applyBorder="1" applyAlignment="1" applyProtection="1">
      <alignment horizontal="center" vertical="center" textRotation="90" wrapText="1"/>
      <protection locked="0"/>
    </xf>
    <xf numFmtId="0" fontId="11" fillId="4" borderId="1" xfId="0" applyFont="1" applyFill="1" applyBorder="1" applyAlignment="1">
      <alignment horizontal="center" vertical="center" textRotation="90" wrapText="1"/>
    </xf>
    <xf numFmtId="0" fontId="14" fillId="0" borderId="1" xfId="0" applyFont="1" applyBorder="1" applyAlignment="1" applyProtection="1">
      <alignment horizontal="center" vertical="center" textRotation="90" wrapText="1"/>
      <protection locked="0"/>
    </xf>
    <xf numFmtId="1" fontId="9" fillId="3" borderId="1" xfId="0" quotePrefix="1" applyNumberFormat="1" applyFont="1" applyFill="1" applyBorder="1" applyAlignment="1" applyProtection="1">
      <alignment horizontal="center" vertical="center" textRotation="90" wrapText="1"/>
      <protection locked="0"/>
    </xf>
    <xf numFmtId="0" fontId="9" fillId="0" borderId="9" xfId="0" applyFont="1" applyBorder="1" applyAlignment="1" applyProtection="1">
      <alignment horizontal="center" vertical="center" textRotation="90" wrapText="1"/>
      <protection locked="0"/>
    </xf>
    <xf numFmtId="0" fontId="9" fillId="0" borderId="9" xfId="0" applyFont="1" applyBorder="1" applyAlignment="1" applyProtection="1">
      <alignment vertical="center" textRotation="90" wrapText="1"/>
      <protection locked="0"/>
    </xf>
    <xf numFmtId="0" fontId="16" fillId="0" borderId="1" xfId="3" applyFont="1" applyFill="1" applyBorder="1" applyAlignment="1" applyProtection="1">
      <alignment horizontal="center" textRotation="90" wrapText="1"/>
      <protection locked="0"/>
    </xf>
    <xf numFmtId="0" fontId="17" fillId="0" borderId="1" xfId="3" applyFont="1" applyFill="1" applyBorder="1" applyAlignment="1" applyProtection="1">
      <alignment horizontal="left" vertical="center" textRotation="90" wrapText="1"/>
      <protection locked="0"/>
    </xf>
    <xf numFmtId="0" fontId="19" fillId="0" borderId="1" xfId="0" applyFont="1" applyBorder="1" applyAlignment="1" applyProtection="1">
      <alignment horizontal="left" vertical="center" textRotation="90" wrapText="1"/>
      <protection locked="0"/>
    </xf>
    <xf numFmtId="0" fontId="8" fillId="0" borderId="1" xfId="0" applyFont="1" applyBorder="1" applyAlignment="1" applyProtection="1">
      <alignment horizontal="right" vertical="center" textRotation="90" wrapText="1"/>
      <protection locked="0"/>
    </xf>
    <xf numFmtId="0" fontId="16" fillId="0" borderId="1" xfId="3" applyFont="1" applyFill="1" applyBorder="1" applyAlignment="1" applyProtection="1">
      <alignment horizontal="right" vertical="center" textRotation="90" wrapText="1"/>
      <protection locked="0"/>
    </xf>
    <xf numFmtId="165" fontId="14" fillId="0" borderId="1" xfId="0" applyNumberFormat="1" applyFont="1" applyBorder="1" applyAlignment="1" applyProtection="1">
      <alignment horizontal="center" vertical="top" textRotation="90" wrapText="1"/>
      <protection locked="0"/>
    </xf>
    <xf numFmtId="170" fontId="14" fillId="0" borderId="1" xfId="0" applyNumberFormat="1" applyFont="1" applyBorder="1" applyAlignment="1" applyProtection="1">
      <alignment horizontal="center" vertical="top" textRotation="90" wrapText="1"/>
      <protection locked="0"/>
    </xf>
    <xf numFmtId="165" fontId="14" fillId="4" borderId="1" xfId="0" applyNumberFormat="1" applyFont="1" applyFill="1" applyBorder="1" applyAlignment="1" applyProtection="1">
      <alignment horizontal="center" vertical="top" textRotation="90" wrapText="1"/>
      <protection locked="0"/>
    </xf>
    <xf numFmtId="0" fontId="11" fillId="4" borderId="3" xfId="0" applyFont="1" applyFill="1" applyBorder="1" applyAlignment="1" applyProtection="1">
      <alignment horizontal="center" vertical="center" textRotation="90" wrapText="1"/>
      <protection locked="0"/>
    </xf>
    <xf numFmtId="0" fontId="9" fillId="0" borderId="0" xfId="0" applyFont="1" applyAlignment="1" applyProtection="1">
      <alignment horizontal="center" vertical="center" textRotation="90" wrapText="1"/>
      <protection locked="0"/>
    </xf>
    <xf numFmtId="0" fontId="9" fillId="0" borderId="0" xfId="0" applyFont="1" applyAlignment="1" applyProtection="1">
      <alignment vertical="center" textRotation="90" wrapText="1"/>
      <protection locked="0"/>
    </xf>
    <xf numFmtId="0" fontId="9" fillId="5" borderId="1" xfId="0" applyFont="1" applyFill="1" applyBorder="1" applyAlignment="1" applyProtection="1">
      <alignment horizontal="center" vertical="center" textRotation="90"/>
      <protection locked="0"/>
    </xf>
    <xf numFmtId="166" fontId="9" fillId="0" borderId="1" xfId="0" applyNumberFormat="1" applyFont="1" applyBorder="1" applyAlignment="1" applyProtection="1">
      <alignment horizontal="center" vertical="center" textRotation="90"/>
      <protection locked="0"/>
    </xf>
    <xf numFmtId="170" fontId="9" fillId="0" borderId="1" xfId="0" applyNumberFormat="1" applyFont="1" applyBorder="1" applyAlignment="1" applyProtection="1">
      <alignment horizontal="center" vertical="center" textRotation="90"/>
      <protection locked="0"/>
    </xf>
    <xf numFmtId="0" fontId="13" fillId="5" borderId="1" xfId="0" applyFont="1" applyFill="1" applyBorder="1" applyAlignment="1" applyProtection="1">
      <alignment horizontal="center" vertical="center" textRotation="90"/>
      <protection locked="0"/>
    </xf>
    <xf numFmtId="0" fontId="13" fillId="4" borderId="1" xfId="0" applyFont="1" applyFill="1" applyBorder="1" applyAlignment="1">
      <alignment horizontal="center" vertical="center" textRotation="90"/>
    </xf>
    <xf numFmtId="0" fontId="22" fillId="0" borderId="1" xfId="0" applyFont="1" applyBorder="1" applyAlignment="1" applyProtection="1">
      <alignment horizontal="left" vertical="center" wrapText="1"/>
      <protection locked="0"/>
    </xf>
    <xf numFmtId="165" fontId="14" fillId="5" borderId="1" xfId="0" applyNumberFormat="1" applyFont="1" applyFill="1" applyBorder="1" applyAlignment="1" applyProtection="1">
      <alignment horizontal="center" vertical="center" textRotation="90"/>
      <protection locked="0"/>
    </xf>
    <xf numFmtId="2" fontId="23" fillId="0" borderId="1" xfId="0" applyNumberFormat="1" applyFont="1" applyBorder="1" applyAlignment="1" applyProtection="1">
      <alignment horizontal="left" vertical="center" wrapText="1"/>
      <protection locked="0"/>
    </xf>
    <xf numFmtId="165" fontId="23" fillId="5" borderId="1" xfId="0" applyNumberFormat="1" applyFont="1" applyFill="1" applyBorder="1" applyAlignment="1" applyProtection="1">
      <alignment horizontal="center" vertical="center" textRotation="90"/>
      <protection locked="0"/>
    </xf>
    <xf numFmtId="1" fontId="24" fillId="0" borderId="1" xfId="0" applyNumberFormat="1" applyFont="1" applyBorder="1" applyAlignment="1" applyProtection="1">
      <alignment horizontal="center" vertical="center" textRotation="90"/>
      <protection locked="0"/>
    </xf>
    <xf numFmtId="169" fontId="9" fillId="4" borderId="1" xfId="0" applyNumberFormat="1" applyFont="1" applyFill="1" applyBorder="1" applyAlignment="1">
      <alignment horizontal="center" vertical="center" textRotation="90"/>
    </xf>
    <xf numFmtId="166" fontId="13" fillId="0" borderId="1" xfId="0" applyNumberFormat="1" applyFont="1" applyBorder="1" applyAlignment="1" applyProtection="1">
      <alignment horizontal="center" vertical="center" textRotation="90"/>
      <protection locked="0"/>
    </xf>
    <xf numFmtId="168" fontId="15" fillId="4" borderId="1" xfId="0" applyNumberFormat="1" applyFont="1" applyFill="1" applyBorder="1" applyAlignment="1">
      <alignment horizontal="center" vertical="center" textRotation="90"/>
    </xf>
    <xf numFmtId="1" fontId="9" fillId="3" borderId="1" xfId="0" quotePrefix="1" applyNumberFormat="1" applyFont="1" applyFill="1" applyBorder="1" applyAlignment="1" applyProtection="1">
      <alignment horizontal="center" vertical="center" textRotation="90"/>
      <protection locked="0"/>
    </xf>
    <xf numFmtId="1" fontId="9" fillId="3" borderId="1" xfId="0" quotePrefix="1" applyNumberFormat="1" applyFont="1" applyFill="1" applyBorder="1" applyAlignment="1" applyProtection="1">
      <alignment horizontal="center" vertical="center"/>
      <protection locked="0"/>
    </xf>
    <xf numFmtId="0" fontId="9" fillId="0" borderId="1" xfId="0" applyFont="1" applyBorder="1" applyProtection="1">
      <protection locked="0"/>
    </xf>
    <xf numFmtId="167" fontId="8" fillId="0" borderId="1" xfId="0" applyNumberFormat="1" applyFont="1" applyBorder="1" applyAlignment="1" applyProtection="1">
      <alignment horizontal="center" vertical="center" textRotation="90"/>
      <protection locked="0"/>
    </xf>
    <xf numFmtId="167" fontId="15" fillId="4" borderId="3" xfId="0" applyNumberFormat="1" applyFont="1" applyFill="1" applyBorder="1" applyAlignment="1">
      <alignment horizontal="center" vertical="center" textRotation="90"/>
    </xf>
    <xf numFmtId="0" fontId="9" fillId="0" borderId="8" xfId="0" applyFont="1" applyBorder="1" applyAlignment="1" applyProtection="1">
      <alignment horizontal="center" vertical="center" wrapText="1"/>
      <protection locked="0"/>
    </xf>
    <xf numFmtId="0" fontId="5" fillId="0" borderId="8" xfId="3" applyBorder="1" applyAlignment="1" applyProtection="1">
      <alignment horizontal="center" vertical="center" wrapText="1"/>
      <protection locked="0"/>
    </xf>
    <xf numFmtId="0" fontId="9" fillId="0" borderId="8" xfId="0" applyFont="1" applyBorder="1" applyAlignment="1" applyProtection="1">
      <alignment vertical="center"/>
      <protection locked="0"/>
    </xf>
    <xf numFmtId="0" fontId="9" fillId="0" borderId="0" xfId="0" applyFont="1" applyAlignment="1" applyProtection="1">
      <alignment textRotation="90" wrapText="1"/>
      <protection locked="0"/>
    </xf>
    <xf numFmtId="0" fontId="9" fillId="0" borderId="0" xfId="0" applyFont="1" applyAlignment="1" applyProtection="1">
      <alignment textRotation="90"/>
      <protection locked="0"/>
    </xf>
    <xf numFmtId="170" fontId="9" fillId="0" borderId="0" xfId="0" applyNumberFormat="1" applyFont="1" applyAlignment="1" applyProtection="1">
      <alignment textRotation="90"/>
      <protection locked="0"/>
    </xf>
    <xf numFmtId="0" fontId="9" fillId="3" borderId="0" xfId="0" applyFont="1" applyFill="1" applyProtection="1">
      <protection locked="0"/>
    </xf>
    <xf numFmtId="0" fontId="3" fillId="2" borderId="0" xfId="0" applyFont="1" applyFill="1" applyProtection="1">
      <protection locked="0"/>
    </xf>
    <xf numFmtId="0" fontId="3" fillId="2" borderId="0" xfId="0" applyFont="1" applyFill="1" applyAlignment="1" applyProtection="1">
      <alignment textRotation="90" wrapText="1"/>
      <protection locked="0"/>
    </xf>
    <xf numFmtId="0" fontId="3" fillId="2" borderId="0" xfId="0" applyFont="1" applyFill="1" applyAlignment="1" applyProtection="1">
      <alignment textRotation="90"/>
      <protection locked="0"/>
    </xf>
    <xf numFmtId="0" fontId="3" fillId="0" borderId="0" xfId="0" applyFont="1" applyAlignment="1" applyProtection="1">
      <alignment wrapText="1"/>
      <protection locked="0"/>
    </xf>
    <xf numFmtId="0" fontId="3" fillId="0" borderId="0" xfId="0" applyFont="1" applyProtection="1">
      <protection locked="0"/>
    </xf>
    <xf numFmtId="0" fontId="3" fillId="0" borderId="1" xfId="0" applyFont="1" applyBorder="1" applyAlignment="1" applyProtection="1">
      <alignment vertical="center" textRotation="90" wrapText="1"/>
      <protection locked="0"/>
    </xf>
    <xf numFmtId="0" fontId="3" fillId="0" borderId="0" xfId="0" applyFont="1" applyAlignment="1" applyProtection="1">
      <alignment textRotation="90" wrapText="1"/>
      <protection locked="0"/>
    </xf>
    <xf numFmtId="0" fontId="3" fillId="0" borderId="0" xfId="0" applyFont="1" applyAlignment="1" applyProtection="1">
      <alignment textRotation="90"/>
      <protection locked="0"/>
    </xf>
    <xf numFmtId="0" fontId="30" fillId="2" borderId="0" xfId="0" applyFont="1" applyFill="1" applyAlignment="1" applyProtection="1">
      <alignment textRotation="90"/>
      <protection locked="0"/>
    </xf>
    <xf numFmtId="0" fontId="30" fillId="0" borderId="0" xfId="0" applyFont="1" applyAlignment="1" applyProtection="1">
      <alignment textRotation="90"/>
      <protection locked="0"/>
    </xf>
    <xf numFmtId="170" fontId="29" fillId="2" borderId="0" xfId="0" applyNumberFormat="1" applyFont="1" applyFill="1" applyAlignment="1" applyProtection="1">
      <alignment textRotation="90"/>
      <protection locked="0"/>
    </xf>
    <xf numFmtId="170" fontId="29" fillId="0" borderId="0" xfId="0" applyNumberFormat="1" applyFont="1" applyAlignment="1" applyProtection="1">
      <alignment textRotation="90"/>
      <protection locked="0"/>
    </xf>
    <xf numFmtId="0" fontId="28" fillId="2" borderId="0" xfId="0" applyFont="1" applyFill="1" applyProtection="1">
      <protection locked="0"/>
    </xf>
    <xf numFmtId="0" fontId="28" fillId="0" borderId="0" xfId="0" applyFont="1" applyProtection="1">
      <protection locked="0"/>
    </xf>
    <xf numFmtId="0" fontId="10" fillId="0" borderId="6" xfId="8" applyFont="1" applyBorder="1" applyProtection="1">
      <protection locked="0"/>
    </xf>
    <xf numFmtId="0" fontId="10" fillId="0" borderId="6" xfId="8" applyFont="1" applyBorder="1" applyAlignment="1" applyProtection="1">
      <alignment vertical="center" wrapText="1"/>
      <protection locked="0"/>
    </xf>
    <xf numFmtId="0" fontId="28" fillId="0" borderId="6" xfId="8" applyFont="1" applyBorder="1" applyAlignment="1" applyProtection="1">
      <alignment vertical="center" wrapText="1"/>
      <protection locked="0"/>
    </xf>
    <xf numFmtId="164" fontId="10" fillId="3" borderId="0" xfId="8" applyNumberFormat="1" applyFont="1" applyFill="1" applyAlignment="1" applyProtection="1">
      <alignment horizontal="center" vertical="center" textRotation="90"/>
      <protection locked="0"/>
    </xf>
    <xf numFmtId="170" fontId="10" fillId="6" borderId="0" xfId="8" applyNumberFormat="1" applyFont="1" applyFill="1" applyAlignment="1" applyProtection="1">
      <alignment horizontal="center" vertical="center" textRotation="90"/>
      <protection locked="0"/>
    </xf>
    <xf numFmtId="0" fontId="10" fillId="7" borderId="0" xfId="8" applyFont="1" applyFill="1" applyAlignment="1" applyProtection="1">
      <alignment horizontal="center" vertical="center" textRotation="90" wrapText="1"/>
      <protection locked="0"/>
    </xf>
    <xf numFmtId="0" fontId="10" fillId="0" borderId="0" xfId="8" applyFont="1" applyProtection="1">
      <protection locked="0"/>
    </xf>
    <xf numFmtId="0" fontId="10" fillId="0" borderId="0" xfId="8" applyFont="1" applyAlignment="1" applyProtection="1">
      <alignment horizontal="left" vertical="center" textRotation="90" wrapText="1"/>
      <protection locked="0"/>
    </xf>
    <xf numFmtId="0" fontId="10" fillId="6" borderId="0" xfId="8" applyFont="1" applyFill="1" applyAlignment="1" applyProtection="1">
      <alignment horizontal="right" vertical="center" textRotation="90" wrapText="1"/>
      <protection locked="0"/>
    </xf>
    <xf numFmtId="0" fontId="3" fillId="2" borderId="6" xfId="0" applyFont="1" applyFill="1" applyBorder="1" applyAlignment="1" applyProtection="1">
      <alignment textRotation="90"/>
      <protection locked="0"/>
    </xf>
    <xf numFmtId="0" fontId="3" fillId="2" borderId="7" xfId="0" applyFont="1" applyFill="1" applyBorder="1" applyAlignment="1" applyProtection="1">
      <alignment textRotation="90"/>
      <protection locked="0"/>
    </xf>
    <xf numFmtId="0" fontId="3" fillId="2" borderId="4" xfId="0" applyFont="1" applyFill="1" applyBorder="1" applyAlignment="1" applyProtection="1">
      <alignment textRotation="90"/>
      <protection locked="0"/>
    </xf>
    <xf numFmtId="165" fontId="10" fillId="0" borderId="4" xfId="0" applyNumberFormat="1" applyFont="1" applyBorder="1" applyAlignment="1" applyProtection="1">
      <alignment horizontal="center" vertical="center" textRotation="90" wrapText="1"/>
      <protection locked="0"/>
    </xf>
    <xf numFmtId="0" fontId="3" fillId="0" borderId="5" xfId="0" applyFont="1" applyBorder="1" applyAlignment="1" applyProtection="1">
      <alignment horizontal="center" vertical="center" textRotation="90" wrapText="1"/>
      <protection locked="0"/>
    </xf>
    <xf numFmtId="0" fontId="3" fillId="3" borderId="0" xfId="0" applyFont="1" applyFill="1" applyAlignment="1" applyProtection="1">
      <alignment textRotation="90"/>
      <protection locked="0"/>
    </xf>
    <xf numFmtId="0" fontId="10" fillId="0" borderId="6" xfId="8" applyFont="1" applyBorder="1" applyAlignment="1" applyProtection="1">
      <alignment vertical="center" textRotation="90" wrapText="1"/>
      <protection locked="0"/>
    </xf>
    <xf numFmtId="49" fontId="3" fillId="2" borderId="0" xfId="0" applyNumberFormat="1" applyFont="1" applyFill="1" applyAlignment="1" applyProtection="1">
      <alignment textRotation="90"/>
      <protection locked="0"/>
    </xf>
    <xf numFmtId="49" fontId="3" fillId="0" borderId="0" xfId="0" applyNumberFormat="1" applyFont="1" applyAlignment="1" applyProtection="1">
      <alignment textRotation="90"/>
      <protection locked="0"/>
    </xf>
    <xf numFmtId="0" fontId="3" fillId="2" borderId="7" xfId="0" applyFont="1" applyFill="1" applyBorder="1" applyAlignment="1" applyProtection="1">
      <alignment horizontal="right" vertical="center"/>
      <protection locked="0"/>
    </xf>
    <xf numFmtId="0" fontId="3" fillId="0" borderId="0" xfId="0" applyFont="1" applyAlignment="1" applyProtection="1">
      <alignment horizontal="right" vertical="center"/>
      <protection locked="0"/>
    </xf>
    <xf numFmtId="1" fontId="3" fillId="10" borderId="9" xfId="0" quotePrefix="1" applyNumberFormat="1" applyFont="1" applyFill="1" applyBorder="1" applyAlignment="1" applyProtection="1">
      <alignment horizontal="center" vertical="center" textRotation="90" wrapText="1"/>
      <protection locked="0"/>
    </xf>
    <xf numFmtId="0" fontId="3" fillId="5" borderId="2" xfId="0" applyFont="1" applyFill="1" applyBorder="1" applyAlignment="1" applyProtection="1">
      <alignment horizontal="center" vertical="center" textRotation="90"/>
      <protection locked="0"/>
    </xf>
    <xf numFmtId="0" fontId="3" fillId="5" borderId="2" xfId="0" applyFont="1" applyFill="1" applyBorder="1" applyAlignment="1">
      <alignment horizontal="center" vertical="center" textRotation="90"/>
    </xf>
    <xf numFmtId="0" fontId="3" fillId="0" borderId="2" xfId="0" applyFont="1" applyBorder="1" applyAlignment="1">
      <alignment horizontal="center" vertical="center" wrapText="1"/>
    </xf>
    <xf numFmtId="0" fontId="3" fillId="0" borderId="2" xfId="0" applyFont="1" applyBorder="1" applyAlignment="1" applyProtection="1">
      <alignment horizontal="center" vertical="center" textRotation="90" wrapText="1"/>
      <protection locked="0"/>
    </xf>
    <xf numFmtId="166" fontId="28" fillId="0" borderId="2" xfId="0" applyNumberFormat="1" applyFont="1" applyBorder="1" applyAlignment="1" applyProtection="1">
      <alignment horizontal="center" vertical="center" textRotation="90"/>
      <protection locked="0"/>
    </xf>
    <xf numFmtId="170" fontId="25" fillId="0" borderId="2" xfId="0" applyNumberFormat="1" applyFont="1" applyBorder="1" applyAlignment="1" applyProtection="1">
      <alignment horizontal="center" vertical="center" textRotation="90"/>
      <protection locked="0"/>
    </xf>
    <xf numFmtId="0" fontId="27" fillId="5" borderId="2" xfId="0" applyFont="1" applyFill="1" applyBorder="1" applyAlignment="1" applyProtection="1">
      <alignment horizontal="center" vertical="center" textRotation="90"/>
      <protection locked="0"/>
    </xf>
    <xf numFmtId="0" fontId="27" fillId="4" borderId="2" xfId="0" applyFont="1" applyFill="1" applyBorder="1" applyAlignment="1">
      <alignment horizontal="center" vertical="center" textRotation="90"/>
    </xf>
    <xf numFmtId="0" fontId="3" fillId="0" borderId="2" xfId="0" applyFont="1" applyBorder="1" applyAlignment="1" applyProtection="1">
      <alignment horizontal="left" vertical="center" wrapText="1"/>
      <protection locked="0"/>
    </xf>
    <xf numFmtId="0" fontId="3" fillId="5" borderId="2" xfId="0" applyFont="1" applyFill="1" applyBorder="1" applyAlignment="1" applyProtection="1">
      <alignment horizontal="center" vertical="center" textRotation="90" wrapText="1"/>
      <protection locked="0"/>
    </xf>
    <xf numFmtId="165" fontId="10" fillId="5" borderId="2" xfId="0" applyNumberFormat="1" applyFont="1" applyFill="1" applyBorder="1" applyAlignment="1" applyProtection="1">
      <alignment horizontal="center" vertical="center" textRotation="90"/>
      <protection locked="0"/>
    </xf>
    <xf numFmtId="2" fontId="27" fillId="0" borderId="2" xfId="0" applyNumberFormat="1" applyFont="1" applyBorder="1" applyAlignment="1" applyProtection="1">
      <alignment horizontal="left" vertical="center" wrapText="1"/>
      <protection locked="0"/>
    </xf>
    <xf numFmtId="1" fontId="28" fillId="0" borderId="2" xfId="0" applyNumberFormat="1" applyFont="1" applyBorder="1" applyAlignment="1" applyProtection="1">
      <alignment horizontal="center" vertical="center" textRotation="90"/>
      <protection locked="0"/>
    </xf>
    <xf numFmtId="166" fontId="30" fillId="0" borderId="2" xfId="0" applyNumberFormat="1" applyFont="1" applyBorder="1" applyAlignment="1" applyProtection="1">
      <alignment horizontal="center" vertical="center" textRotation="90"/>
      <protection locked="0"/>
    </xf>
    <xf numFmtId="170" fontId="30" fillId="0" borderId="2" xfId="0" applyNumberFormat="1" applyFont="1" applyBorder="1" applyAlignment="1" applyProtection="1">
      <alignment horizontal="center" vertical="center" textRotation="90"/>
      <protection locked="0"/>
    </xf>
    <xf numFmtId="169" fontId="25" fillId="4" borderId="2" xfId="0" applyNumberFormat="1" applyFont="1" applyFill="1" applyBorder="1" applyAlignment="1">
      <alignment horizontal="center" vertical="center" textRotation="90"/>
    </xf>
    <xf numFmtId="170" fontId="3" fillId="0" borderId="2" xfId="0" applyNumberFormat="1" applyFont="1" applyBorder="1" applyAlignment="1" applyProtection="1">
      <alignment horizontal="center" vertical="center" textRotation="90"/>
      <protection locked="0"/>
    </xf>
    <xf numFmtId="168" fontId="26" fillId="4" borderId="2" xfId="0" applyNumberFormat="1" applyFont="1" applyFill="1" applyBorder="1" applyAlignment="1">
      <alignment horizontal="center" vertical="center" textRotation="90"/>
    </xf>
    <xf numFmtId="166" fontId="3" fillId="0" borderId="2" xfId="0" applyNumberFormat="1" applyFont="1" applyBorder="1" applyAlignment="1" applyProtection="1">
      <alignment horizontal="center" vertical="center" textRotation="90"/>
      <protection locked="0"/>
    </xf>
    <xf numFmtId="169" fontId="3" fillId="4" borderId="2" xfId="0" applyNumberFormat="1" applyFont="1" applyFill="1" applyBorder="1" applyAlignment="1">
      <alignment horizontal="center" vertical="center" textRotation="90"/>
    </xf>
    <xf numFmtId="165" fontId="10" fillId="5" borderId="2" xfId="0" applyNumberFormat="1" applyFont="1" applyFill="1" applyBorder="1" applyAlignment="1" applyProtection="1">
      <alignment horizontal="center" vertical="center" textRotation="90" wrapText="1"/>
      <protection locked="0"/>
    </xf>
    <xf numFmtId="1" fontId="10" fillId="3" borderId="2" xfId="0" applyNumberFormat="1" applyFont="1" applyFill="1" applyBorder="1" applyAlignment="1" applyProtection="1">
      <alignment horizontal="center" vertical="center" textRotation="90" wrapText="1"/>
      <protection locked="0"/>
    </xf>
    <xf numFmtId="1" fontId="3" fillId="3" borderId="2" xfId="0" quotePrefix="1" applyNumberFormat="1" applyFont="1" applyFill="1" applyBorder="1" applyAlignment="1" applyProtection="1">
      <alignment horizontal="center" vertical="center" textRotation="90"/>
      <protection locked="0"/>
    </xf>
    <xf numFmtId="0" fontId="3" fillId="0" borderId="2" xfId="0" applyFont="1" applyBorder="1" applyAlignment="1" applyProtection="1">
      <alignment horizontal="center" vertical="center" textRotation="90"/>
      <protection locked="0"/>
    </xf>
    <xf numFmtId="0" fontId="3" fillId="0" borderId="2" xfId="0" applyFont="1" applyBorder="1" applyAlignment="1" applyProtection="1">
      <alignment textRotation="90"/>
      <protection locked="0"/>
    </xf>
    <xf numFmtId="167" fontId="25" fillId="0" borderId="2" xfId="0" applyNumberFormat="1" applyFont="1" applyBorder="1" applyAlignment="1" applyProtection="1">
      <alignment horizontal="right" vertical="center"/>
      <protection locked="0"/>
    </xf>
    <xf numFmtId="167" fontId="26" fillId="4" borderId="10" xfId="0" applyNumberFormat="1" applyFont="1" applyFill="1" applyBorder="1" applyAlignment="1">
      <alignment horizontal="center" vertical="center" textRotation="90"/>
    </xf>
    <xf numFmtId="3" fontId="3" fillId="0" borderId="2" xfId="0" applyNumberFormat="1" applyFont="1" applyBorder="1" applyAlignment="1" applyProtection="1">
      <alignment horizontal="center" vertical="center" textRotation="90" wrapText="1"/>
      <protection locked="0"/>
    </xf>
    <xf numFmtId="2" fontId="27" fillId="8" borderId="2" xfId="0" applyNumberFormat="1" applyFont="1" applyFill="1" applyBorder="1" applyAlignment="1" applyProtection="1">
      <alignment horizontal="left" vertical="center" wrapText="1"/>
      <protection locked="0"/>
    </xf>
    <xf numFmtId="0" fontId="26" fillId="5" borderId="9" xfId="3" applyFont="1" applyFill="1" applyBorder="1" applyAlignment="1" applyProtection="1">
      <alignment horizontal="center" vertical="center" textRotation="90" wrapText="1"/>
      <protection locked="0"/>
    </xf>
    <xf numFmtId="0" fontId="33" fillId="5" borderId="9" xfId="3" applyFont="1" applyFill="1" applyBorder="1" applyAlignment="1" applyProtection="1">
      <alignment horizontal="center" vertical="center" textRotation="90" wrapText="1"/>
      <protection locked="0"/>
    </xf>
    <xf numFmtId="0" fontId="33" fillId="0" borderId="9" xfId="0" applyFont="1" applyBorder="1" applyAlignment="1" applyProtection="1">
      <alignment horizontal="center" vertical="center" textRotation="90" wrapText="1"/>
      <protection locked="0"/>
    </xf>
    <xf numFmtId="0" fontId="25" fillId="0" borderId="9" xfId="0" applyFont="1" applyBorder="1" applyAlignment="1" applyProtection="1">
      <alignment horizontal="center" vertical="center" textRotation="90" wrapText="1"/>
      <protection locked="0"/>
    </xf>
    <xf numFmtId="0" fontId="26" fillId="0" borderId="9" xfId="3" applyFont="1" applyFill="1" applyBorder="1" applyAlignment="1" applyProtection="1">
      <alignment horizontal="center" vertical="center" textRotation="90" wrapText="1"/>
      <protection locked="0"/>
    </xf>
    <xf numFmtId="0" fontId="28" fillId="0" borderId="9" xfId="0" applyFont="1" applyBorder="1" applyAlignment="1" applyProtection="1">
      <alignment horizontal="center" vertical="center" textRotation="90" wrapText="1"/>
      <protection locked="0"/>
    </xf>
    <xf numFmtId="0" fontId="26" fillId="0" borderId="9" xfId="0" applyFont="1" applyBorder="1" applyAlignment="1" applyProtection="1">
      <alignment horizontal="center" vertical="center" textRotation="90" wrapText="1"/>
      <protection locked="0"/>
    </xf>
    <xf numFmtId="0" fontId="26" fillId="5" borderId="9" xfId="0" applyFont="1" applyFill="1" applyBorder="1" applyAlignment="1" applyProtection="1">
      <alignment horizontal="center" vertical="center" textRotation="90" wrapText="1"/>
      <protection locked="0"/>
    </xf>
    <xf numFmtId="0" fontId="10" fillId="10" borderId="9" xfId="0" applyFont="1" applyFill="1" applyBorder="1" applyAlignment="1" applyProtection="1">
      <alignment horizontal="center" vertical="center" textRotation="90" wrapText="1"/>
      <protection locked="0"/>
    </xf>
    <xf numFmtId="0" fontId="26" fillId="4" borderId="9" xfId="0" applyFont="1" applyFill="1" applyBorder="1" applyAlignment="1" applyProtection="1">
      <alignment horizontal="center" vertical="center" textRotation="90" wrapText="1"/>
      <protection locked="0"/>
    </xf>
    <xf numFmtId="0" fontId="3" fillId="0" borderId="9" xfId="0" applyFont="1" applyBorder="1" applyAlignment="1" applyProtection="1">
      <alignment horizontal="center" vertical="center" wrapText="1"/>
      <protection locked="0"/>
    </xf>
    <xf numFmtId="0" fontId="3" fillId="5" borderId="9" xfId="0" applyFont="1" applyFill="1" applyBorder="1" applyAlignment="1" applyProtection="1">
      <alignment horizontal="center" vertical="center" textRotation="90" wrapText="1"/>
      <protection locked="0"/>
    </xf>
    <xf numFmtId="0" fontId="3" fillId="5" borderId="11" xfId="0" applyFont="1" applyFill="1" applyBorder="1" applyAlignment="1" applyProtection="1">
      <alignment horizontal="center" vertical="center" textRotation="90" wrapText="1"/>
      <protection locked="0"/>
    </xf>
    <xf numFmtId="0" fontId="3" fillId="5" borderId="9" xfId="0" applyFont="1" applyFill="1" applyBorder="1" applyAlignment="1" applyProtection="1">
      <alignment horizontal="center" vertical="top" textRotation="90" wrapText="1"/>
      <protection locked="0"/>
    </xf>
    <xf numFmtId="165" fontId="10" fillId="5" borderId="9" xfId="0" applyNumberFormat="1" applyFont="1" applyFill="1" applyBorder="1" applyAlignment="1" applyProtection="1">
      <alignment horizontal="center" vertical="center" textRotation="90" wrapText="1"/>
      <protection locked="0"/>
    </xf>
    <xf numFmtId="165" fontId="10" fillId="0" borderId="9" xfId="0" applyNumberFormat="1" applyFont="1" applyBorder="1" applyAlignment="1" applyProtection="1">
      <alignment horizontal="center" vertical="center" wrapText="1"/>
      <protection locked="0"/>
    </xf>
    <xf numFmtId="165" fontId="10" fillId="0" borderId="9" xfId="0" applyNumberFormat="1" applyFont="1" applyBorder="1" applyAlignment="1" applyProtection="1">
      <alignment horizontal="center" vertical="center" textRotation="90" wrapText="1"/>
      <protection locked="0"/>
    </xf>
    <xf numFmtId="165" fontId="30" fillId="0" borderId="9" xfId="0" applyNumberFormat="1" applyFont="1" applyBorder="1" applyAlignment="1" applyProtection="1">
      <alignment horizontal="center" vertical="center" textRotation="90" wrapText="1"/>
      <protection locked="0"/>
    </xf>
    <xf numFmtId="170" fontId="29" fillId="0" borderId="9" xfId="0" applyNumberFormat="1" applyFont="1" applyBorder="1" applyAlignment="1" applyProtection="1">
      <alignment horizontal="center" vertical="center" textRotation="90" wrapText="1"/>
      <protection locked="0"/>
    </xf>
    <xf numFmtId="165" fontId="10" fillId="4" borderId="9" xfId="0" applyNumberFormat="1" applyFont="1" applyFill="1" applyBorder="1" applyAlignment="1" applyProtection="1">
      <alignment horizontal="center" vertical="center" textRotation="90" wrapText="1"/>
      <protection locked="0"/>
    </xf>
    <xf numFmtId="165" fontId="27" fillId="0" borderId="9" xfId="0" applyNumberFormat="1" applyFont="1" applyBorder="1" applyAlignment="1" applyProtection="1">
      <alignment horizontal="center" vertical="center" textRotation="90" wrapText="1"/>
      <protection locked="0"/>
    </xf>
    <xf numFmtId="1" fontId="10" fillId="10" borderId="9" xfId="0" applyNumberFormat="1" applyFont="1" applyFill="1" applyBorder="1" applyAlignment="1" applyProtection="1">
      <alignment horizontal="center" vertical="center" textRotation="90" wrapText="1"/>
      <protection locked="0"/>
    </xf>
    <xf numFmtId="0" fontId="26" fillId="4" borderId="9" xfId="0" applyFont="1" applyFill="1" applyBorder="1" applyAlignment="1">
      <alignment horizontal="center" vertical="center" textRotation="90" wrapText="1"/>
    </xf>
    <xf numFmtId="0" fontId="10" fillId="0" borderId="9" xfId="0" applyFont="1" applyBorder="1" applyAlignment="1" applyProtection="1">
      <alignment horizontal="center" vertical="center" textRotation="90" wrapText="1"/>
      <protection locked="0"/>
    </xf>
    <xf numFmtId="1" fontId="3" fillId="3" borderId="9" xfId="0" quotePrefix="1" applyNumberFormat="1" applyFont="1" applyFill="1" applyBorder="1" applyAlignment="1" applyProtection="1">
      <alignment horizontal="center" vertical="center" textRotation="90" wrapText="1"/>
      <protection locked="0"/>
    </xf>
    <xf numFmtId="0" fontId="3" fillId="10" borderId="9" xfId="0" applyFont="1" applyFill="1" applyBorder="1" applyAlignment="1" applyProtection="1">
      <alignment horizontal="center" vertical="center" textRotation="90" wrapText="1"/>
      <protection locked="0"/>
    </xf>
    <xf numFmtId="0" fontId="3" fillId="9" borderId="9" xfId="0" applyFont="1" applyFill="1" applyBorder="1" applyAlignment="1" applyProtection="1">
      <alignment vertical="center" textRotation="90" wrapText="1"/>
      <protection locked="0"/>
    </xf>
    <xf numFmtId="0" fontId="3" fillId="0" borderId="9" xfId="0" applyFont="1" applyBorder="1" applyAlignment="1" applyProtection="1">
      <alignment vertical="center" textRotation="90" wrapText="1"/>
      <protection locked="0"/>
    </xf>
    <xf numFmtId="0" fontId="3" fillId="6" borderId="9" xfId="0" applyFont="1" applyFill="1" applyBorder="1" applyAlignment="1" applyProtection="1">
      <alignment vertical="center" textRotation="90" wrapText="1"/>
      <protection locked="0"/>
    </xf>
    <xf numFmtId="1" fontId="10" fillId="9" borderId="9" xfId="0" applyNumberFormat="1" applyFont="1" applyFill="1" applyBorder="1" applyAlignment="1" applyProtection="1">
      <alignment horizontal="center" vertical="center" textRotation="90" wrapText="1"/>
      <protection locked="0"/>
    </xf>
    <xf numFmtId="2" fontId="35" fillId="8" borderId="2" xfId="0" applyNumberFormat="1" applyFont="1" applyFill="1" applyBorder="1" applyAlignment="1" applyProtection="1">
      <alignment horizontal="left" vertical="center" wrapText="1"/>
      <protection locked="0"/>
    </xf>
    <xf numFmtId="165" fontId="36" fillId="10" borderId="9" xfId="0" applyNumberFormat="1" applyFont="1" applyFill="1" applyBorder="1" applyAlignment="1" applyProtection="1">
      <alignment horizontal="center" vertical="center" textRotation="90" wrapText="1"/>
      <protection locked="0"/>
    </xf>
    <xf numFmtId="49" fontId="36" fillId="10" borderId="9" xfId="0" applyNumberFormat="1" applyFont="1" applyFill="1" applyBorder="1" applyAlignment="1" applyProtection="1">
      <alignment horizontal="center" vertical="center" textRotation="90" wrapText="1"/>
      <protection locked="0"/>
    </xf>
    <xf numFmtId="0" fontId="3" fillId="0" borderId="1"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165" fontId="14" fillId="0" borderId="4" xfId="0" applyNumberFormat="1"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10" fillId="0" borderId="6" xfId="8" applyFont="1" applyBorder="1" applyAlignment="1" applyProtection="1">
      <alignment horizontal="left" vertical="center" textRotation="90" wrapText="1"/>
      <protection locked="0"/>
    </xf>
    <xf numFmtId="0" fontId="10" fillId="0" borderId="6" xfId="8" applyFont="1" applyBorder="1" applyAlignment="1" applyProtection="1">
      <alignment horizontal="center" vertical="center" wrapText="1"/>
      <protection locked="0"/>
    </xf>
    <xf numFmtId="0" fontId="10" fillId="6" borderId="6" xfId="8" applyFont="1" applyFill="1" applyBorder="1" applyAlignment="1" applyProtection="1">
      <alignment horizontal="center" vertical="center" textRotation="90" wrapText="1"/>
      <protection locked="0"/>
    </xf>
    <xf numFmtId="0" fontId="3" fillId="2" borderId="7" xfId="0" applyFont="1" applyFill="1" applyBorder="1" applyAlignment="1" applyProtection="1">
      <alignment horizontal="center" textRotation="90"/>
      <protection locked="0"/>
    </xf>
    <xf numFmtId="0" fontId="3" fillId="0" borderId="1" xfId="0" applyFont="1" applyBorder="1" applyAlignment="1" applyProtection="1">
      <alignment horizontal="center" vertical="center" wrapText="1"/>
      <protection locked="0"/>
    </xf>
    <xf numFmtId="165" fontId="10" fillId="0" borderId="3" xfId="0" applyNumberFormat="1" applyFont="1" applyBorder="1" applyAlignment="1" applyProtection="1">
      <alignment horizontal="center" vertical="center" wrapText="1"/>
      <protection locked="0"/>
    </xf>
    <xf numFmtId="165" fontId="10" fillId="0" borderId="4" xfId="0" applyNumberFormat="1"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165" fontId="14" fillId="0" borderId="3" xfId="0" applyNumberFormat="1" applyFont="1" applyBorder="1" applyAlignment="1" applyProtection="1">
      <alignment horizontal="center" vertical="center" wrapText="1"/>
      <protection locked="0"/>
    </xf>
    <xf numFmtId="165" fontId="14" fillId="0" borderId="4" xfId="0" applyNumberFormat="1"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14" fillId="0" borderId="6" xfId="8" applyFont="1" applyBorder="1" applyAlignment="1" applyProtection="1">
      <alignment horizontal="center" vertical="center" wrapText="1"/>
      <protection locked="0"/>
    </xf>
    <xf numFmtId="0" fontId="14" fillId="0" borderId="6" xfId="8" applyFont="1" applyBorder="1" applyAlignment="1" applyProtection="1">
      <alignment horizontal="left" vertical="center" wrapText="1"/>
      <protection locked="0"/>
    </xf>
    <xf numFmtId="0" fontId="14" fillId="6" borderId="6" xfId="8" applyFont="1" applyFill="1" applyBorder="1" applyAlignment="1" applyProtection="1">
      <alignment horizontal="center" vertical="center" wrapText="1"/>
      <protection locked="0"/>
    </xf>
    <xf numFmtId="0" fontId="9" fillId="2" borderId="7" xfId="0" applyFont="1" applyFill="1" applyBorder="1" applyAlignment="1" applyProtection="1">
      <alignment horizontal="center"/>
      <protection locked="0"/>
    </xf>
  </cellXfs>
  <cellStyles count="35">
    <cellStyle name="Hyperlink" xfId="34" xr:uid="{05558C03-07E7-40A6-953F-C8D105479326}"/>
    <cellStyle name="Köprü" xfId="3" builtinId="8"/>
    <cellStyle name="Köprü 2" xfId="5" xr:uid="{00000000-0005-0000-0000-000001000000}"/>
    <cellStyle name="Köprü 3" xfId="33" xr:uid="{C68A16F6-1799-4F79-94B4-E57170820083}"/>
    <cellStyle name="Normal" xfId="0" builtinId="0"/>
    <cellStyle name="Normal 2" xfId="1" xr:uid="{00000000-0005-0000-0000-000003000000}"/>
    <cellStyle name="Normal 2 2" xfId="9" xr:uid="{00000000-0005-0000-0000-000004000000}"/>
    <cellStyle name="Normal 2 3" xfId="10" xr:uid="{00000000-0005-0000-0000-000005000000}"/>
    <cellStyle name="Normal 3" xfId="2" xr:uid="{00000000-0005-0000-0000-000006000000}"/>
    <cellStyle name="Normal 3 2" xfId="7" xr:uid="{00000000-0005-0000-0000-000007000000}"/>
    <cellStyle name="Normal 3 2 2" xfId="27" xr:uid="{00000000-0005-0000-0000-000008000000}"/>
    <cellStyle name="Normal 3 2 3" xfId="24" xr:uid="{00000000-0005-0000-0000-000009000000}"/>
    <cellStyle name="Normal 3 2 4" xfId="30" xr:uid="{00000000-0005-0000-0000-00000A000000}"/>
    <cellStyle name="Normal 3 2 5" xfId="21" xr:uid="{00000000-0005-0000-0000-00000B000000}"/>
    <cellStyle name="Normal 3 2 6" xfId="18" xr:uid="{00000000-0005-0000-0000-00000C000000}"/>
    <cellStyle name="Normal 3 2 7" xfId="15" xr:uid="{00000000-0005-0000-0000-00000D000000}"/>
    <cellStyle name="Normal 3 3" xfId="11" xr:uid="{00000000-0005-0000-0000-00000E000000}"/>
    <cellStyle name="Normal 4" xfId="4" xr:uid="{00000000-0005-0000-0000-00000F000000}"/>
    <cellStyle name="Normal 4 2" xfId="28" xr:uid="{00000000-0005-0000-0000-000010000000}"/>
    <cellStyle name="Normal 4 3" xfId="25" xr:uid="{00000000-0005-0000-0000-000011000000}"/>
    <cellStyle name="Normal 4 4" xfId="32" xr:uid="{00000000-0005-0000-0000-000012000000}"/>
    <cellStyle name="Normal 4 5" xfId="22" xr:uid="{00000000-0005-0000-0000-000013000000}"/>
    <cellStyle name="Normal 4 6" xfId="19" xr:uid="{00000000-0005-0000-0000-000014000000}"/>
    <cellStyle name="Normal 4 7" xfId="16" xr:uid="{00000000-0005-0000-0000-000015000000}"/>
    <cellStyle name="Normal 5" xfId="6" xr:uid="{00000000-0005-0000-0000-000016000000}"/>
    <cellStyle name="Normal 5 2" xfId="29" xr:uid="{00000000-0005-0000-0000-000017000000}"/>
    <cellStyle name="Normal 5 3" xfId="26" xr:uid="{00000000-0005-0000-0000-000018000000}"/>
    <cellStyle name="Normal 5 4" xfId="31" xr:uid="{00000000-0005-0000-0000-000019000000}"/>
    <cellStyle name="Normal 5 5" xfId="23" xr:uid="{00000000-0005-0000-0000-00001A000000}"/>
    <cellStyle name="Normal 5 6" xfId="20" xr:uid="{00000000-0005-0000-0000-00001B000000}"/>
    <cellStyle name="Normal 5 7" xfId="17" xr:uid="{00000000-0005-0000-0000-00001C000000}"/>
    <cellStyle name="Normal 5 8" xfId="12" xr:uid="{00000000-0005-0000-0000-00001D000000}"/>
    <cellStyle name="Normal 6" xfId="13" xr:uid="{00000000-0005-0000-0000-00001E000000}"/>
    <cellStyle name="Normal 7" xfId="14" xr:uid="{00000000-0005-0000-0000-00001F000000}"/>
    <cellStyle name="Normal_10273" xfId="8" xr:uid="{00000000-0005-0000-0000-000020000000}"/>
  </cellStyles>
  <dxfs count="6">
    <dxf>
      <font>
        <b/>
        <i/>
        <color auto="1"/>
      </font>
      <fill>
        <patternFill>
          <bgColor rgb="FFFFFF00"/>
        </patternFill>
      </fill>
    </dxf>
    <dxf>
      <font>
        <b val="0"/>
        <i/>
      </font>
      <fill>
        <patternFill>
          <bgColor rgb="FF00B050"/>
        </patternFill>
      </fill>
    </dxf>
    <dxf>
      <font>
        <b val="0"/>
        <i/>
      </font>
      <fill>
        <patternFill>
          <bgColor rgb="FFFF0000"/>
        </patternFill>
      </fill>
    </dxf>
    <dxf>
      <font>
        <b/>
        <i/>
        <color auto="1"/>
      </font>
      <fill>
        <patternFill>
          <bgColor rgb="FFFFFF00"/>
        </patternFill>
      </fill>
    </dxf>
    <dxf>
      <font>
        <b val="0"/>
        <i/>
      </font>
      <fill>
        <patternFill>
          <bgColor rgb="FF00B050"/>
        </patternFill>
      </fill>
    </dxf>
    <dxf>
      <font>
        <b val="0"/>
        <i/>
      </font>
      <fill>
        <patternFill>
          <bgColor rgb="FFFF0000"/>
        </patternFill>
      </fill>
    </dxf>
  </dxfs>
  <tableStyles count="0" defaultTableStyle="TableStyleMedium9" defaultPivotStyle="PivotStyleLight16"/>
  <colors>
    <mruColors>
      <color rgb="FF341902"/>
      <color rgb="FFB2B2B2"/>
      <color rgb="FF843F06"/>
      <color rgb="FF800000"/>
      <color rgb="FFFEF1E6"/>
      <color rgb="FFD56509"/>
      <color rgb="FFF575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microsoft.com/office/2020/07/relationships/rdRichValueWebImage" Target="richData/rdRichValueWebImage.xml"/><Relationship Id="rId5" Type="http://schemas.openxmlformats.org/officeDocument/2006/relationships/externalLink" Target="externalLinks/externalLink3.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2.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119343</xdr:colOff>
      <xdr:row>0</xdr:row>
      <xdr:rowOff>107016</xdr:rowOff>
    </xdr:from>
    <xdr:to>
      <xdr:col>4</xdr:col>
      <xdr:colOff>28543</xdr:colOff>
      <xdr:row>0</xdr:row>
      <xdr:rowOff>369906</xdr:rowOff>
    </xdr:to>
    <xdr:pic>
      <xdr:nvPicPr>
        <xdr:cNvPr id="2" name="1 Resim">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19343" y="107016"/>
          <a:ext cx="1197876" cy="262890"/>
        </a:xfrm>
        <a:prstGeom prst="rect">
          <a:avLst/>
        </a:prstGeom>
      </xdr:spPr>
    </xdr:pic>
    <xdr:clientData/>
  </xdr:twoCellAnchor>
  <xdr:oneCellAnchor>
    <xdr:from>
      <xdr:col>12</xdr:col>
      <xdr:colOff>952500</xdr:colOff>
      <xdr:row>134</xdr:row>
      <xdr:rowOff>0</xdr:rowOff>
    </xdr:from>
    <xdr:ext cx="184731" cy="264560"/>
    <xdr:sp macro="" textlink="">
      <xdr:nvSpPr>
        <xdr:cNvPr id="3" name="2 Metin kutusu">
          <a:extLst>
            <a:ext uri="{FF2B5EF4-FFF2-40B4-BE49-F238E27FC236}">
              <a16:creationId xmlns:a16="http://schemas.microsoft.com/office/drawing/2014/main" id="{00000000-0008-0000-0100-000003000000}"/>
            </a:ext>
          </a:extLst>
        </xdr:cNvPr>
        <xdr:cNvSpPr txBox="1"/>
      </xdr:nvSpPr>
      <xdr:spPr>
        <a:xfrm>
          <a:off x="3076575" y="91815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12</xdr:col>
      <xdr:colOff>952500</xdr:colOff>
      <xdr:row>134</xdr:row>
      <xdr:rowOff>0</xdr:rowOff>
    </xdr:from>
    <xdr:ext cx="184731" cy="264560"/>
    <xdr:sp macro="" textlink="">
      <xdr:nvSpPr>
        <xdr:cNvPr id="7" name="6 Metin kutusu">
          <a:extLst>
            <a:ext uri="{FF2B5EF4-FFF2-40B4-BE49-F238E27FC236}">
              <a16:creationId xmlns:a16="http://schemas.microsoft.com/office/drawing/2014/main" id="{00000000-0008-0000-0100-000007000000}"/>
            </a:ext>
          </a:extLst>
        </xdr:cNvPr>
        <xdr:cNvSpPr txBox="1"/>
      </xdr:nvSpPr>
      <xdr:spPr>
        <a:xfrm>
          <a:off x="5715000" y="18948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12</xdr:col>
      <xdr:colOff>952500</xdr:colOff>
      <xdr:row>134</xdr:row>
      <xdr:rowOff>0</xdr:rowOff>
    </xdr:from>
    <xdr:ext cx="184731" cy="264560"/>
    <xdr:sp macro="" textlink="">
      <xdr:nvSpPr>
        <xdr:cNvPr id="8" name="7 Metin kutusu">
          <a:extLst>
            <a:ext uri="{FF2B5EF4-FFF2-40B4-BE49-F238E27FC236}">
              <a16:creationId xmlns:a16="http://schemas.microsoft.com/office/drawing/2014/main" id="{00000000-0008-0000-0100-000008000000}"/>
            </a:ext>
          </a:extLst>
        </xdr:cNvPr>
        <xdr:cNvSpPr txBox="1"/>
      </xdr:nvSpPr>
      <xdr:spPr>
        <a:xfrm>
          <a:off x="5715000" y="55143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161925</xdr:colOff>
      <xdr:row>0</xdr:row>
      <xdr:rowOff>114300</xdr:rowOff>
    </xdr:from>
    <xdr:to>
      <xdr:col>3</xdr:col>
      <xdr:colOff>149678</xdr:colOff>
      <xdr:row>0</xdr:row>
      <xdr:rowOff>381000</xdr:rowOff>
    </xdr:to>
    <xdr:pic>
      <xdr:nvPicPr>
        <xdr:cNvPr id="2" name="1 Resim">
          <a:extLst>
            <a:ext uri="{FF2B5EF4-FFF2-40B4-BE49-F238E27FC236}">
              <a16:creationId xmlns:a16="http://schemas.microsoft.com/office/drawing/2014/main" id="{02FDE3BC-3F57-4EC1-A659-D2D4AF6EC391}"/>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161925" y="114300"/>
          <a:ext cx="1206953" cy="266700"/>
        </a:xfrm>
        <a:prstGeom prst="rect">
          <a:avLst/>
        </a:prstGeom>
      </xdr:spPr>
    </xdr:pic>
    <xdr:clientData/>
  </xdr:twoCellAnchor>
  <xdr:oneCellAnchor>
    <xdr:from>
      <xdr:col>12</xdr:col>
      <xdr:colOff>952500</xdr:colOff>
      <xdr:row>9</xdr:row>
      <xdr:rowOff>0</xdr:rowOff>
    </xdr:from>
    <xdr:ext cx="184731" cy="264560"/>
    <xdr:sp macro="" textlink="">
      <xdr:nvSpPr>
        <xdr:cNvPr id="3" name="2 Metin kutusu">
          <a:extLst>
            <a:ext uri="{FF2B5EF4-FFF2-40B4-BE49-F238E27FC236}">
              <a16:creationId xmlns:a16="http://schemas.microsoft.com/office/drawing/2014/main" id="{16CB8F33-38FA-49A7-80BD-D806335FFAD8}"/>
            </a:ext>
          </a:extLst>
        </xdr:cNvPr>
        <xdr:cNvSpPr txBox="1"/>
      </xdr:nvSpPr>
      <xdr:spPr>
        <a:xfrm>
          <a:off x="4991100" y="7619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12</xdr:col>
      <xdr:colOff>952500</xdr:colOff>
      <xdr:row>9</xdr:row>
      <xdr:rowOff>0</xdr:rowOff>
    </xdr:from>
    <xdr:ext cx="184731" cy="264560"/>
    <xdr:sp macro="" textlink="">
      <xdr:nvSpPr>
        <xdr:cNvPr id="4" name="6 Metin kutusu">
          <a:extLst>
            <a:ext uri="{FF2B5EF4-FFF2-40B4-BE49-F238E27FC236}">
              <a16:creationId xmlns:a16="http://schemas.microsoft.com/office/drawing/2014/main" id="{7BB0C9B3-481C-4EDC-8195-863B99C7FD10}"/>
            </a:ext>
          </a:extLst>
        </xdr:cNvPr>
        <xdr:cNvSpPr txBox="1"/>
      </xdr:nvSpPr>
      <xdr:spPr>
        <a:xfrm>
          <a:off x="4991100" y="7619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12</xdr:col>
      <xdr:colOff>952500</xdr:colOff>
      <xdr:row>9</xdr:row>
      <xdr:rowOff>0</xdr:rowOff>
    </xdr:from>
    <xdr:ext cx="184731" cy="264560"/>
    <xdr:sp macro="" textlink="">
      <xdr:nvSpPr>
        <xdr:cNvPr id="5" name="7 Metin kutusu">
          <a:extLst>
            <a:ext uri="{FF2B5EF4-FFF2-40B4-BE49-F238E27FC236}">
              <a16:creationId xmlns:a16="http://schemas.microsoft.com/office/drawing/2014/main" id="{0FF16064-7369-447A-B0C1-E4432D0E7D9E}"/>
            </a:ext>
          </a:extLst>
        </xdr:cNvPr>
        <xdr:cNvSpPr txBox="1"/>
      </xdr:nvSpPr>
      <xdr:spPr>
        <a:xfrm>
          <a:off x="4991100" y="7619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0.4.1\ortak\ortak_tcv\Users\genceratalay\AppData\Local\Microsoft\Windows\Temporary%20Internet%20Files\Content.Outlook\RXUWHSVV\Hakan%20B&#246;cekli\1.%20Ara&#231;%20Kalite%20Kontrol%20Dol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zankayatr-my.sharepoint.com/personal/ahmetsaipdogan_bozankaya_com/Documents/SSH/6-Antalya(15)%20Tramway/5-RAMS/Bozankaya/2000_D&#305;&#351;%20Kaynak/100_Gebze-Dar&#305;ca%20Metrosu/Kupl&#246;r/RAM-LCC_v1.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ozankayatr.sharepoint.com/sites/deneme2/Shared%20Documents/GDM7x4/GDM7x4%20Failure%20List.xlsx" TargetMode="External"/><Relationship Id="rId1" Type="http://schemas.openxmlformats.org/officeDocument/2006/relationships/externalLinkPath" Target="https://bozankayatr.sharepoint.com/sites/deneme2/Shared%20Documents/GDM7x4/GDM7x4%20Failure%20Lis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ozankayatr.sharepoint.com/sites/deneme2/Shared%20Documents/KAY5+6/KAY5+6%20Failure%20Lists.xlsx" TargetMode="External"/><Relationship Id="rId1" Type="http://schemas.openxmlformats.org/officeDocument/2006/relationships/externalLinkPath" Target="https://bozankayatr.sharepoint.com/sites/deneme2/Shared%20Documents/KAY5+6/KAY5+6%20Failure%20Lis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1. Araç Kalite Kontrol Verileri"/>
      <sheetName val="Hata Sınıfları"/>
      <sheetName val="Hata Durumu"/>
      <sheetName val="Hata Kaynağı"/>
      <sheetName val="Hata Giderme Yöntemi"/>
      <sheetName val="Araç Bazı KM"/>
      <sheetName val="Hata Çeşidi&amp;Adet"/>
      <sheetName val="Hata Kaynağı&amp;Adet"/>
      <sheetName val="Kalitesizlik Maliytlerine Et."/>
      <sheetName val="123"/>
      <sheetName val="Maliyet Bazlı Hata Parato"/>
      <sheetName val="Sayfa2"/>
      <sheetName val="KG-F27 Toplantı Tutanağı"/>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Prerequisit"/>
      <sheetName val="PM"/>
      <sheetName val="SSL"/>
      <sheetName val="CM-REL"/>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4oC6iiO906xu0uX1MEmYbo9YPItgGVCr1uv86s2m8i2XYUX4SVuS7JIOGRqIpG6" itemId="01FCBKB6REDDBP7VEAYFALN4KA35GBZ7ST">
      <xxl21:absoluteUrl r:id="rId2"/>
    </xxl21:alternateUrls>
    <sheetNames>
      <sheetName val="Documents"/>
      <sheetName val="Sayfa2"/>
      <sheetName val="i"/>
      <sheetName val="Sayfa1"/>
      <sheetName val="Sayfa1 (2)"/>
      <sheetName val="Report (2)"/>
      <sheetName val="Report"/>
      <sheetName val="GDM7x4 NCR Eski"/>
      <sheetName val="BOM (2)"/>
      <sheetName val="BOM"/>
      <sheetName val="GDM7x4 NCR    YEDEK"/>
      <sheetName val="GDM7x4 NCR"/>
      <sheetName val="benzersiz veriler"/>
      <sheetName val="Sayfa3"/>
      <sheetName val="Sayfa4"/>
    </sheetNames>
    <sheetDataSet>
      <sheetData sheetId="0"/>
      <sheetData sheetId="1"/>
      <sheetData sheetId="2"/>
      <sheetData sheetId="3">
        <row r="2">
          <cell r="A2" t="str">
            <v>32044b1f</v>
          </cell>
          <cell r="B2" t="str">
            <v>FRACAS-GDM-001</v>
          </cell>
          <cell r="E2">
            <v>44943</v>
          </cell>
          <cell r="F2">
            <v>44943.423726851855</v>
          </cell>
          <cell r="G2" t="str">
            <v>TS#1</v>
          </cell>
          <cell r="H2" t="str">
            <v>T</v>
          </cell>
          <cell r="I2" t="str">
            <v>Depo/Depot</v>
          </cell>
          <cell r="J2" t="str">
            <v>C-Uyarı, sürüş devamlılığı</v>
          </cell>
          <cell r="K2" t="str">
            <v>Devreye Alma(Servise Başlamadan Önceki Süreç)</v>
          </cell>
          <cell r="L2" t="str">
            <v>HVSG kutu kapağını sabitleyen vidaların bozulması.</v>
          </cell>
          <cell r="M2" t="str">
            <v>T modülde  , HVSG kutu kapağını sabitleyen vidaların kulanımda bozulma gerçekleşiyor. Vidaların ince çaplı olması sonucunda kapağın ağırlığını kaldırmadığı gözlemlenmiştir.</v>
          </cell>
          <cell r="N2">
            <v>100</v>
          </cell>
          <cell r="P2" t="str">
            <v>C(Sisteme etki etmeyen arıza)</v>
          </cell>
          <cell r="Q2" t="str">
            <v>N.A(Yaralanma yok)</v>
          </cell>
          <cell r="R2" t="str">
            <v>Bozankaya</v>
          </cell>
          <cell r="T2">
            <v>44943</v>
          </cell>
          <cell r="U2">
            <v>44943.423726851855</v>
          </cell>
          <cell r="V2" t="str">
            <v>Bozankaya</v>
          </cell>
          <cell r="W2"/>
          <cell r="X2"/>
          <cell r="Y2"/>
          <cell r="Z2"/>
          <cell r="AA2"/>
          <cell r="AB2"/>
          <cell r="AC2" t="str">
            <v>41-HBR-23-003</v>
          </cell>
          <cell r="AD2"/>
          <cell r="AE2" t="str">
            <v/>
          </cell>
          <cell r="AH2" t="str">
            <v/>
          </cell>
          <cell r="AN2"/>
          <cell r="AP2" t="str">
            <v>(I) İlk defa karşılaşılan arıza</v>
          </cell>
          <cell r="AQ2" t="str">
            <v/>
          </cell>
          <cell r="AR2"/>
          <cell r="AU2" t="str">
            <v>HVSG</v>
          </cell>
          <cell r="AX2" t="str">
            <v>https://www.appsheet.com/Template/gettablefileurl?appname=GDM7x4_Failure_List-654943&amp;tableName=SAYFA1&amp;filename=Sayfa1_Images%2F32044b1f.Resim.125311.jpg</v>
          </cell>
        </row>
        <row r="3">
          <cell r="A3" t="str">
            <v>e810e6be</v>
          </cell>
          <cell r="B3" t="str">
            <v>FRACAS-GDM-002</v>
          </cell>
          <cell r="E3">
            <v>45197</v>
          </cell>
          <cell r="F3">
            <v>45197</v>
          </cell>
          <cell r="G3" t="str">
            <v>TS#1</v>
          </cell>
          <cell r="H3" t="str">
            <v>Mc1</v>
          </cell>
          <cell r="I3" t="str">
            <v>Depo/Depot</v>
          </cell>
          <cell r="J3" t="str">
            <v>C-Uyarı, sürüş devamlılığı</v>
          </cell>
          <cell r="K3" t="str">
            <v>Devreye Alma(Servise Başlamadan Önceki Süreç)</v>
          </cell>
          <cell r="L3" t="str">
            <v>Sol arka kabinetin iç ve dış kapakları kapatılmadan sevk edilmiştir. Sigortaların dış kapağa sürtmesinden dolayı boya atması olmuştur.</v>
          </cell>
          <cell r="M3" t="str">
            <v>Tamir süreci başlatıldı. Kalite bölümüne NCR oluşturuldu</v>
          </cell>
          <cell r="N3">
            <v>1</v>
          </cell>
          <cell r="P3" t="str">
            <v>C(Sisteme etki etmeyen arıza)</v>
          </cell>
          <cell r="Q3" t="str">
            <v>N.A(Yaralanma yok)</v>
          </cell>
          <cell r="R3" t="str">
            <v>Bozankaya</v>
          </cell>
          <cell r="T3">
            <v>45197</v>
          </cell>
          <cell r="U3">
            <v>45197</v>
          </cell>
          <cell r="V3" t="str">
            <v>Bozankaya</v>
          </cell>
          <cell r="W3"/>
          <cell r="X3"/>
          <cell r="Y3"/>
          <cell r="Z3"/>
          <cell r="AA3"/>
          <cell r="AB3"/>
          <cell r="AC3"/>
          <cell r="AD3"/>
          <cell r="AE3" t="str">
            <v/>
          </cell>
          <cell r="AH3" t="str">
            <v/>
          </cell>
          <cell r="AN3">
            <v>2</v>
          </cell>
          <cell r="AP3" t="str">
            <v>(I) İlk defa karşılaşılan arıza</v>
          </cell>
          <cell r="AQ3" t="str">
            <v/>
          </cell>
          <cell r="AR3"/>
          <cell r="AU3" t="str">
            <v>E-Kabinet</v>
          </cell>
          <cell r="AX3" t="str">
            <v>https://www.appsheet.com/Template/gettablefileurl?appname=GDM7x4_Failure_List-654943&amp;tableName=SAYFA1&amp;filename=Sayfa1_Images%2Fe810e6be.Resim.080647.jpg</v>
          </cell>
        </row>
        <row r="4">
          <cell r="A4" t="str">
            <v>5b470935</v>
          </cell>
          <cell r="B4" t="str">
            <v>FRACAS-GDM-003</v>
          </cell>
          <cell r="E4">
            <v>45197</v>
          </cell>
          <cell r="F4">
            <v>45197</v>
          </cell>
          <cell r="G4" t="str">
            <v>TS#1</v>
          </cell>
          <cell r="H4" t="str">
            <v>Mc1</v>
          </cell>
          <cell r="I4" t="str">
            <v>Depo/Depot</v>
          </cell>
          <cell r="J4" t="str">
            <v>C-Uyarı, sürüş devamlılığı</v>
          </cell>
          <cell r="K4" t="str">
            <v>Devreye Alma(Servise Başlamadan Önceki Süreç)</v>
          </cell>
          <cell r="L4" t="str">
            <v>Sol e kabinet kilit mekanizmaları ayarsızdır, kilit braket süngeri eksiktir.</v>
          </cell>
          <cell r="M4" t="str">
            <v>Tamir süreci başlatıldı. Kalite bölümüne NCR oluşturuldu</v>
          </cell>
          <cell r="N4">
            <v>3</v>
          </cell>
          <cell r="P4" t="str">
            <v>C(Sisteme etki etmeyen arıza)</v>
          </cell>
          <cell r="Q4" t="str">
            <v>N.A(Yaralanma yok)</v>
          </cell>
          <cell r="R4" t="str">
            <v>Bozankaya</v>
          </cell>
          <cell r="T4">
            <v>45197</v>
          </cell>
          <cell r="U4">
            <v>45197</v>
          </cell>
          <cell r="V4" t="str">
            <v>Bozankaya</v>
          </cell>
          <cell r="W4"/>
          <cell r="X4"/>
          <cell r="Y4"/>
          <cell r="Z4"/>
          <cell r="AA4"/>
          <cell r="AB4"/>
          <cell r="AC4"/>
          <cell r="AD4"/>
          <cell r="AE4" t="str">
            <v/>
          </cell>
          <cell r="AH4" t="str">
            <v/>
          </cell>
          <cell r="AN4">
            <v>2</v>
          </cell>
          <cell r="AP4" t="str">
            <v>(I) İlk defa karşılaşılan arıza</v>
          </cell>
          <cell r="AQ4" t="str">
            <v/>
          </cell>
          <cell r="AR4"/>
          <cell r="AU4" t="str">
            <v>E-Kabinet</v>
          </cell>
          <cell r="AX4" t="str">
            <v>https://www.appsheet.com/Template/gettablefileurl?appname=GDM7x4_Failure_List-654943&amp;tableName=SAYFA1&amp;filename=Sayfa1_Images%2F5b470935.Resim.080754.jpg</v>
          </cell>
        </row>
        <row r="5">
          <cell r="A5" t="str">
            <v>68f67169</v>
          </cell>
          <cell r="B5" t="str">
            <v>FRACAS-GDM-004</v>
          </cell>
          <cell r="E5">
            <v>45197</v>
          </cell>
          <cell r="F5">
            <v>45197</v>
          </cell>
          <cell r="G5" t="str">
            <v>TS#1</v>
          </cell>
          <cell r="H5" t="str">
            <v>Mc2</v>
          </cell>
          <cell r="I5" t="str">
            <v>Depo/Depot</v>
          </cell>
          <cell r="J5" t="str">
            <v>C-Uyarı, sürüş devamlılığı</v>
          </cell>
          <cell r="K5" t="str">
            <v>Devreye Alma(Servise Başlamadan Önceki Süreç)</v>
          </cell>
          <cell r="L5" t="str">
            <v>Kontak anahtarı eğilmiş. Darbe almıştır.</v>
          </cell>
          <cell r="M5" t="str">
            <v>Tamir süreci başlatıldı. Kalite bölümüne NCR oluşturuldu</v>
          </cell>
          <cell r="N5">
            <v>5</v>
          </cell>
          <cell r="P5" t="str">
            <v>C(Sisteme etki etmeyen arıza)</v>
          </cell>
          <cell r="Q5" t="str">
            <v>N.A(Yaralanma yok)</v>
          </cell>
          <cell r="R5" t="str">
            <v>Bozankaya</v>
          </cell>
          <cell r="T5">
            <v>45197</v>
          </cell>
          <cell r="U5">
            <v>45197</v>
          </cell>
          <cell r="V5" t="str">
            <v>Bozankaya</v>
          </cell>
          <cell r="W5"/>
          <cell r="X5"/>
          <cell r="Y5"/>
          <cell r="Z5"/>
          <cell r="AA5"/>
          <cell r="AB5"/>
          <cell r="AC5"/>
          <cell r="AD5"/>
          <cell r="AE5"/>
          <cell r="AH5"/>
          <cell r="AN5">
            <v>2</v>
          </cell>
          <cell r="AP5" t="str">
            <v>(I) İlk defa karşılaşılan arıza</v>
          </cell>
          <cell r="AQ5" t="str">
            <v/>
          </cell>
          <cell r="AR5"/>
          <cell r="AU5" t="str">
            <v>Kabin Masası</v>
          </cell>
          <cell r="AX5" t="str">
            <v>https://www.appsheet.com/Template/gettablefileurl?appname=GDM7x4_Failure_List-654943&amp;tableName=SAYFA1&amp;filename=Sayfa1_Images%2F68f67169.Resim.130750.jpg</v>
          </cell>
        </row>
        <row r="6">
          <cell r="A6" t="str">
            <v>e9bde652</v>
          </cell>
          <cell r="B6" t="str">
            <v>FRACAS-GDM-005</v>
          </cell>
          <cell r="E6">
            <v>45197</v>
          </cell>
          <cell r="F6">
            <v>45197</v>
          </cell>
          <cell r="G6" t="str">
            <v>TS#1</v>
          </cell>
          <cell r="H6" t="str">
            <v>Mc1</v>
          </cell>
          <cell r="I6" t="str">
            <v>Depo/Depot</v>
          </cell>
          <cell r="J6" t="str">
            <v>C-Uyarı, sürüş devamlılığı</v>
          </cell>
          <cell r="K6" t="str">
            <v>Devreye Alma(Servise Başlamadan Önceki Süreç)</v>
          </cell>
          <cell r="L6" t="str">
            <v>Kapı üstü LCD ekranlarından 3 tanesinde LCD ekran üst camı yok.</v>
          </cell>
          <cell r="M6" t="str">
            <v>Tamir süreci başlatıldı. Kalite bölümüne NCR oluşturuldu</v>
          </cell>
          <cell r="N6">
            <v>7</v>
          </cell>
          <cell r="P6" t="str">
            <v>C(Sisteme etki etmeyen arıza)</v>
          </cell>
          <cell r="Q6" t="str">
            <v>N.A(Yaralanma yok)</v>
          </cell>
          <cell r="R6" t="str">
            <v>Bozankaya</v>
          </cell>
          <cell r="T6">
            <v>45197</v>
          </cell>
          <cell r="U6">
            <v>45197</v>
          </cell>
          <cell r="V6" t="str">
            <v>Piton</v>
          </cell>
          <cell r="W6"/>
          <cell r="X6"/>
          <cell r="Y6"/>
          <cell r="Z6"/>
          <cell r="AA6"/>
          <cell r="AB6"/>
          <cell r="AC6"/>
          <cell r="AD6"/>
          <cell r="AE6"/>
          <cell r="AH6"/>
          <cell r="AN6">
            <v>2</v>
          </cell>
          <cell r="AP6" t="str">
            <v>(I) İlk defa karşılaşılan arıza</v>
          </cell>
          <cell r="AQ6" t="str">
            <v/>
          </cell>
          <cell r="AR6"/>
          <cell r="AU6" t="str">
            <v>PA/PIS/CCTV</v>
          </cell>
          <cell r="AX6" t="str">
            <v>https://www.appsheet.com/Template/gettablefileurl?appname=GDM7x4_Failure_List-654943&amp;tableName=SAYFA1&amp;filename=Sayfa1_Images%2Fe9bde652.Resim.134339.jpg</v>
          </cell>
        </row>
        <row r="7">
          <cell r="A7" t="str">
            <v>5ad6ba0c</v>
          </cell>
          <cell r="B7" t="str">
            <v>FRACAS-GDM-006</v>
          </cell>
          <cell r="E7">
            <v>45197</v>
          </cell>
          <cell r="F7">
            <v>45197</v>
          </cell>
          <cell r="G7" t="str">
            <v>TS#1</v>
          </cell>
          <cell r="H7" t="str">
            <v>Mc1</v>
          </cell>
          <cell r="I7" t="str">
            <v>Depo/Depot</v>
          </cell>
          <cell r="J7" t="str">
            <v>C-Uyarı, sürüş devamlılığı</v>
          </cell>
          <cell r="K7" t="str">
            <v>Devreye Alma(Servise Başlamadan Önceki Süreç)</v>
          </cell>
          <cell r="L7" t="str">
            <v>Tüm körük iç kapamaları yanlış paketlemeden dolayı hasar almıştır</v>
          </cell>
          <cell r="M7" t="str">
            <v>Tamir süreci başlatıldı. Kalite bölümüne NCR oluşturuldu</v>
          </cell>
          <cell r="N7">
            <v>9</v>
          </cell>
          <cell r="P7" t="str">
            <v>C(Sisteme etki etmeyen arıza)</v>
          </cell>
          <cell r="Q7" t="str">
            <v>N.A(Yaralanma yok)</v>
          </cell>
          <cell r="R7" t="str">
            <v>Bozankaya</v>
          </cell>
          <cell r="T7">
            <v>45197</v>
          </cell>
          <cell r="U7">
            <v>45197</v>
          </cell>
          <cell r="V7" t="str">
            <v>Bozankaya</v>
          </cell>
          <cell r="W7"/>
          <cell r="X7"/>
          <cell r="Y7"/>
          <cell r="Z7"/>
          <cell r="AA7"/>
          <cell r="AB7"/>
          <cell r="AC7"/>
          <cell r="AD7"/>
          <cell r="AE7"/>
          <cell r="AH7"/>
          <cell r="AN7">
            <v>2</v>
          </cell>
          <cell r="AP7" t="str">
            <v>(I) İlk defa karşılaşılan arıza</v>
          </cell>
          <cell r="AQ7" t="str">
            <v/>
          </cell>
          <cell r="AR7"/>
          <cell r="AU7" t="str">
            <v>İç Giydirme</v>
          </cell>
          <cell r="AX7" t="str">
            <v>https://www.appsheet.com/Template/gettablefileurl?appname=GDM7x4_Failure_List-654943&amp;tableName=SAYFA1&amp;filename=Sayfa1_Images%2F5ad6ba0c.Resim.182922.jpg</v>
          </cell>
        </row>
        <row r="8">
          <cell r="A8" t="str">
            <v>63948053</v>
          </cell>
          <cell r="B8" t="str">
            <v>FRACAS-GDM-007</v>
          </cell>
          <cell r="E8">
            <v>45198</v>
          </cell>
          <cell r="F8">
            <v>45198</v>
          </cell>
          <cell r="G8" t="str">
            <v>TS#1</v>
          </cell>
          <cell r="H8" t="str">
            <v>M</v>
          </cell>
          <cell r="I8" t="str">
            <v>Depo/Depot</v>
          </cell>
          <cell r="J8" t="str">
            <v>C-Uyarı, sürüş devamlılığı</v>
          </cell>
          <cell r="K8" t="str">
            <v>Devreye Alma(Servise Başlamadan Önceki Süreç)</v>
          </cell>
          <cell r="L8" t="str">
            <v>Klima montaj cıvatasının tam sıkılmamış gevşek halde durmaktadır</v>
          </cell>
          <cell r="M8" t="str">
            <v>Tamir süreci başlatıldı. Kalite bölümüne NCR oluşturuldu</v>
          </cell>
          <cell r="N8">
            <v>10</v>
          </cell>
          <cell r="P8" t="str">
            <v>C(Sisteme etki etmeyen arıza)</v>
          </cell>
          <cell r="Q8" t="str">
            <v>N.A(Yaralanma yok)</v>
          </cell>
          <cell r="R8" t="str">
            <v>Bozankaya</v>
          </cell>
          <cell r="T8">
            <v>45198</v>
          </cell>
          <cell r="U8">
            <v>45198</v>
          </cell>
          <cell r="V8" t="str">
            <v>Bozankaya</v>
          </cell>
          <cell r="W8"/>
          <cell r="X8"/>
          <cell r="Y8"/>
          <cell r="Z8"/>
          <cell r="AA8"/>
          <cell r="AB8"/>
          <cell r="AC8"/>
          <cell r="AD8"/>
          <cell r="AE8"/>
          <cell r="AH8"/>
          <cell r="AN8">
            <v>2</v>
          </cell>
          <cell r="AP8" t="str">
            <v>(I) İlk defa karşılaşılan arıza</v>
          </cell>
          <cell r="AQ8">
            <v>45199</v>
          </cell>
          <cell r="AR8">
            <v>45199.510081018518</v>
          </cell>
          <cell r="AU8" t="str">
            <v>HVAC</v>
          </cell>
          <cell r="AX8" t="str">
            <v>https://www.appsheet.com/Template/gettablefileurl?appname=GDM7x4_Failure_List-654943&amp;tableName=SAYFA1&amp;filename=Sayfa1_Images%2F63948053.Resim.090828.jpg</v>
          </cell>
        </row>
        <row r="9">
          <cell r="A9" t="str">
            <v>3072109c</v>
          </cell>
          <cell r="B9" t="str">
            <v>FRACAS-GDM-008</v>
          </cell>
          <cell r="E9">
            <v>45198</v>
          </cell>
          <cell r="F9">
            <v>45198</v>
          </cell>
          <cell r="G9" t="str">
            <v>TS#1</v>
          </cell>
          <cell r="H9" t="str">
            <v>M</v>
          </cell>
          <cell r="I9" t="str">
            <v>Depo/Depot</v>
          </cell>
          <cell r="J9" t="str">
            <v>C-Uyarı, sürüş devamlılığı</v>
          </cell>
          <cell r="K9" t="str">
            <v>Devreye Alma(Servise Başlamadan Önceki Süreç)</v>
          </cell>
          <cell r="L9" t="str">
            <v>Vida ve şase bağlantılarının tork işaret boyası sökülüyor.</v>
          </cell>
          <cell r="M9" t="str">
            <v>Tamir süreci başlatıldı. Kalite bölümüne NCR oluşturuldu</v>
          </cell>
          <cell r="N9">
            <v>12</v>
          </cell>
          <cell r="P9" t="str">
            <v>C(Sisteme etki etmeyen arıza)</v>
          </cell>
          <cell r="Q9" t="str">
            <v>N.A(Yaralanma yok)</v>
          </cell>
          <cell r="R9" t="str">
            <v>Bozankaya</v>
          </cell>
          <cell r="T9">
            <v>45198</v>
          </cell>
          <cell r="U9">
            <v>45198</v>
          </cell>
          <cell r="V9" t="str">
            <v>Bozankaya</v>
          </cell>
          <cell r="W9"/>
          <cell r="X9"/>
          <cell r="Y9"/>
          <cell r="Z9"/>
          <cell r="AA9"/>
          <cell r="AB9"/>
          <cell r="AC9"/>
          <cell r="AD9"/>
          <cell r="AE9"/>
          <cell r="AH9"/>
          <cell r="AN9">
            <v>2</v>
          </cell>
          <cell r="AP9" t="str">
            <v>(I) İlk defa karşılaşılan arıza</v>
          </cell>
          <cell r="AQ9">
            <v>45201</v>
          </cell>
          <cell r="AR9">
            <v>45201.510277777779</v>
          </cell>
          <cell r="AU9" t="str">
            <v>HVAC</v>
          </cell>
          <cell r="AX9" t="str">
            <v>https://www.appsheet.com/Template/gettablefileurl?appname=GDM7x4_Failure_List-654943&amp;tableName=SAYFA1&amp;filename=Sayfa1_Images%2F3072109c.Resim.100524.jpg</v>
          </cell>
        </row>
        <row r="10">
          <cell r="A10" t="str">
            <v>d0dad3fb</v>
          </cell>
          <cell r="B10" t="str">
            <v>FRACAS-GDM-009</v>
          </cell>
          <cell r="E10">
            <v>45203</v>
          </cell>
          <cell r="F10">
            <v>45203</v>
          </cell>
          <cell r="G10" t="str">
            <v>TS#1</v>
          </cell>
          <cell r="H10" t="str">
            <v>M</v>
          </cell>
          <cell r="I10" t="str">
            <v>Depo/Depot</v>
          </cell>
          <cell r="J10" t="str">
            <v>C-Uyarı, sürüş devamlılığı</v>
          </cell>
          <cell r="K10" t="str">
            <v>Devreye Alma(Servise Başlamadan Önceki Süreç)</v>
          </cell>
          <cell r="L10" t="str">
            <v>X205.B Konnektörinin sabitleme vidası eksik olduğu tepsit edildi.</v>
          </cell>
          <cell r="M10" t="str">
            <v>Tamir süreci başlatıldı. Kalite bölümüne NCR oluşturuldu</v>
          </cell>
          <cell r="N10">
            <v>14</v>
          </cell>
          <cell r="P10" t="str">
            <v>C(Sisteme etki etmeyen arıza)</v>
          </cell>
          <cell r="Q10" t="str">
            <v>N.A(Yaralanma yok)</v>
          </cell>
          <cell r="R10" t="str">
            <v>Bozankaya</v>
          </cell>
          <cell r="T10">
            <v>45203</v>
          </cell>
          <cell r="U10">
            <v>45203</v>
          </cell>
          <cell r="V10" t="str">
            <v>Bozankaya</v>
          </cell>
          <cell r="W10"/>
          <cell r="X10"/>
          <cell r="Y10"/>
          <cell r="Z10"/>
          <cell r="AA10"/>
          <cell r="AB10"/>
          <cell r="AC10"/>
          <cell r="AD10"/>
          <cell r="AE10"/>
          <cell r="AH10"/>
          <cell r="AN10">
            <v>2</v>
          </cell>
          <cell r="AP10" t="str">
            <v>(I) İlk defa karşılaşılan arıza</v>
          </cell>
          <cell r="AQ10">
            <v>45238</v>
          </cell>
          <cell r="AR10">
            <v>45238.510462962964</v>
          </cell>
          <cell r="AU10" t="str">
            <v>E-Kabinet</v>
          </cell>
          <cell r="AX10" t="str">
            <v>https://www.appsheet.com/Template/gettablefileurl?appname=GDM7x4_Failure_List-654943&amp;tableName=SAYFA1&amp;filename=Sayfa1_Images%2Fd0dad3fb.Resim.065354.jpg</v>
          </cell>
        </row>
        <row r="11">
          <cell r="A11" t="str">
            <v>8de95b70</v>
          </cell>
          <cell r="B11" t="str">
            <v>FRACAS-GDM-010</v>
          </cell>
          <cell r="E11">
            <v>45203</v>
          </cell>
          <cell r="F11">
            <v>45203</v>
          </cell>
          <cell r="G11" t="str">
            <v>TS#1</v>
          </cell>
          <cell r="H11" t="str">
            <v>T</v>
          </cell>
          <cell r="I11" t="str">
            <v>Depo/Depot</v>
          </cell>
          <cell r="J11" t="str">
            <v>C-Uyarı, sürüş devamlılığı</v>
          </cell>
          <cell r="K11" t="str">
            <v>Devreye Alma(Servise Başlamadan Önceki Süreç)</v>
          </cell>
          <cell r="L11" t="str">
            <v>41 pano x402B konnektörünün sabitleme vidası eksiktir.</v>
          </cell>
          <cell r="M11" t="str">
            <v>Tamir süreci başlatıldı. Kalite bölümüne NCR oluşturuldu</v>
          </cell>
          <cell r="N11">
            <v>15</v>
          </cell>
          <cell r="P11" t="str">
            <v>C(Sisteme etki etmeyen arıza)</v>
          </cell>
          <cell r="Q11" t="str">
            <v>N.A(Yaralanma yok)</v>
          </cell>
          <cell r="R11" t="str">
            <v>Bozankaya</v>
          </cell>
          <cell r="T11">
            <v>45203</v>
          </cell>
          <cell r="U11">
            <v>45203</v>
          </cell>
          <cell r="V11" t="str">
            <v>Bozankaya</v>
          </cell>
          <cell r="W11"/>
          <cell r="X11"/>
          <cell r="Y11"/>
          <cell r="Z11"/>
          <cell r="AA11"/>
          <cell r="AB11"/>
          <cell r="AC11"/>
          <cell r="AD11"/>
          <cell r="AE11"/>
          <cell r="AH11"/>
          <cell r="AN11">
            <v>2</v>
          </cell>
          <cell r="AP11" t="str">
            <v>(I) İlk defa karşılaşılan arıza</v>
          </cell>
          <cell r="AQ11">
            <v>45219</v>
          </cell>
          <cell r="AR11">
            <v>45219.510613425926</v>
          </cell>
          <cell r="AU11" t="str">
            <v>E-Kabinet</v>
          </cell>
          <cell r="AX11" t="str">
            <v>https://www.appsheet.com/Template/gettablefileurl?appname=GDM7x4_Failure_List-654943&amp;tableName=SAYFA1&amp;filename=Sayfa1_Images%2F8de95b70.Resim.071633.jpg</v>
          </cell>
        </row>
        <row r="12">
          <cell r="A12" t="str">
            <v>610eaf0a</v>
          </cell>
          <cell r="B12" t="str">
            <v>FRACAS-GDM-011</v>
          </cell>
          <cell r="E12">
            <v>45205</v>
          </cell>
          <cell r="F12">
            <v>45205</v>
          </cell>
          <cell r="G12" t="str">
            <v>TS#1</v>
          </cell>
          <cell r="H12" t="str">
            <v>Mc1</v>
          </cell>
          <cell r="I12" t="str">
            <v>Depo/Depot</v>
          </cell>
          <cell r="J12" t="str">
            <v>C-Uyarı, sürüş devamlılığı</v>
          </cell>
          <cell r="K12" t="str">
            <v>Devreye Alma(Servise Başlamadan Önceki Süreç)</v>
          </cell>
          <cell r="L12" t="str">
            <v>LAN2 slotunun kapağı eksiktir, montaj edilmemiştir.</v>
          </cell>
          <cell r="M12" t="str">
            <v>Tamir süreci başlatıldı. Kalite bölümüne NCR oluşturuldu</v>
          </cell>
          <cell r="N12">
            <v>17</v>
          </cell>
          <cell r="P12" t="str">
            <v>C(Sisteme etki etmeyen arıza)</v>
          </cell>
          <cell r="Q12" t="str">
            <v>N.A(Yaralanma yok)</v>
          </cell>
          <cell r="R12" t="str">
            <v>Bozankaya</v>
          </cell>
          <cell r="T12">
            <v>45205</v>
          </cell>
          <cell r="U12">
            <v>45205</v>
          </cell>
          <cell r="V12" t="str">
            <v>Bozankaya</v>
          </cell>
          <cell r="W12"/>
          <cell r="X12"/>
          <cell r="Y12"/>
          <cell r="Z12"/>
          <cell r="AA12"/>
          <cell r="AB12"/>
          <cell r="AC12"/>
          <cell r="AD12"/>
          <cell r="AE12"/>
          <cell r="AH12"/>
          <cell r="AN12">
            <v>2</v>
          </cell>
          <cell r="AP12" t="str">
            <v>(I) İlk defa karşılaşılan arıza</v>
          </cell>
          <cell r="AQ12" t="str">
            <v/>
          </cell>
          <cell r="AR12"/>
          <cell r="AU12" t="str">
            <v>Sinyalizasyon</v>
          </cell>
          <cell r="AX12" t="str">
            <v>https://www.appsheet.com/Template/gettablefileurl?appname=GDM7x4_Failure_List-654943&amp;tableName=SAYFA1&amp;filename=Sayfa1_Images%2F610eaf0a.Resim.074500.jpg</v>
          </cell>
        </row>
        <row r="13">
          <cell r="A13" t="str">
            <v>aa200f5f</v>
          </cell>
          <cell r="B13" t="str">
            <v>FRACAS-GDM-012</v>
          </cell>
          <cell r="E13">
            <v>45205</v>
          </cell>
          <cell r="F13">
            <v>45205</v>
          </cell>
          <cell r="G13" t="str">
            <v>TS#1</v>
          </cell>
          <cell r="H13" t="str">
            <v>Mc2</v>
          </cell>
          <cell r="I13" t="str">
            <v>Depo/Depot</v>
          </cell>
          <cell r="J13" t="str">
            <v>C-Uyarı, sürüş devamlılığı</v>
          </cell>
          <cell r="K13" t="str">
            <v>Devreye Alma(Servise Başlamadan Önceki Süreç)</v>
          </cell>
          <cell r="L13" t="str">
            <v>Silecek fonksiyonu çalışmıyor. Kontaklar çekiyor ama fiziksel bir eylem gerçekleşmemektedir.</v>
          </cell>
          <cell r="M13" t="str">
            <v>Tamir süreci başlatıldı. Kalite bölümüne NCR oluşturuldu</v>
          </cell>
          <cell r="N13">
            <v>18</v>
          </cell>
          <cell r="P13" t="str">
            <v>C(Sisteme etki etmeyen arıza)</v>
          </cell>
          <cell r="Q13" t="str">
            <v>N.A(Yaralanma yok)</v>
          </cell>
          <cell r="R13" t="str">
            <v>Bozankaya</v>
          </cell>
          <cell r="T13">
            <v>45205</v>
          </cell>
          <cell r="U13">
            <v>45205</v>
          </cell>
          <cell r="V13" t="str">
            <v>Bozankaya</v>
          </cell>
          <cell r="W13"/>
          <cell r="X13"/>
          <cell r="Y13"/>
          <cell r="Z13"/>
          <cell r="AA13"/>
          <cell r="AB13"/>
          <cell r="AC13"/>
          <cell r="AD13"/>
          <cell r="AE13" t="str">
            <v/>
          </cell>
          <cell r="AH13">
            <v>45231</v>
          </cell>
          <cell r="AN13">
            <v>2</v>
          </cell>
          <cell r="AP13" t="str">
            <v>(I) İlk defa karşılaşılan arıza</v>
          </cell>
          <cell r="AQ13">
            <v>45209</v>
          </cell>
          <cell r="AR13">
            <v>45209.510763888888</v>
          </cell>
          <cell r="AU13" t="str">
            <v>Kabin Masası</v>
          </cell>
          <cell r="AX13" t="str">
            <v>https://www.appsheet.com/Template/gettablefileurl?appname=GDM7x4_Failure_List-654943&amp;tableName=SAYFA1&amp;filename=Sayfa1_Images%2Faa200f5f.Resim.114331.jpg</v>
          </cell>
        </row>
        <row r="14">
          <cell r="A14" t="str">
            <v>de873d76</v>
          </cell>
          <cell r="B14" t="str">
            <v>FRACAS-GDM-013</v>
          </cell>
          <cell r="E14">
            <v>45205</v>
          </cell>
          <cell r="F14">
            <v>45205</v>
          </cell>
          <cell r="G14" t="str">
            <v>TS#1</v>
          </cell>
          <cell r="H14" t="str">
            <v>Mc2</v>
          </cell>
          <cell r="I14" t="str">
            <v>Depo/Depot</v>
          </cell>
          <cell r="J14" t="str">
            <v>C-Uyarı, sürüş devamlılığı</v>
          </cell>
          <cell r="K14" t="str">
            <v>Devreye Alma(Servise Başlamadan Önceki Süreç)</v>
          </cell>
          <cell r="L14" t="str">
            <v>İç ve dış anons çalışmıyor.</v>
          </cell>
          <cell r="M14" t="str">
            <v>Tamir süreci başlatıldı. Kalite bölümüne NCR oluşturuldu</v>
          </cell>
          <cell r="N14">
            <v>20</v>
          </cell>
          <cell r="P14" t="str">
            <v>C(Sisteme etki etmeyen arıza)</v>
          </cell>
          <cell r="Q14" t="str">
            <v>N.A(Yaralanma yok)</v>
          </cell>
          <cell r="R14" t="str">
            <v>Bozankaya</v>
          </cell>
          <cell r="T14">
            <v>45205</v>
          </cell>
          <cell r="U14">
            <v>45205</v>
          </cell>
          <cell r="V14" t="str">
            <v>Piton</v>
          </cell>
          <cell r="W14"/>
          <cell r="X14"/>
          <cell r="Y14"/>
          <cell r="Z14"/>
          <cell r="AA14"/>
          <cell r="AB14"/>
          <cell r="AC14"/>
          <cell r="AD14"/>
          <cell r="AE14"/>
          <cell r="AH14"/>
          <cell r="AN14">
            <v>2</v>
          </cell>
          <cell r="AP14" t="str">
            <v>(I) İlk defa karşılaşılan arıza</v>
          </cell>
          <cell r="AQ14">
            <v>45328</v>
          </cell>
          <cell r="AR14">
            <v>45328.581145833334</v>
          </cell>
          <cell r="AU14" t="str">
            <v>Kabin Masası</v>
          </cell>
          <cell r="AX14" t="str">
            <v>https://www.appsheet.com/Template/gettablefileurl?appname=GDM7x4_Failure_List-654943&amp;tableName=SAYFA1&amp;filename=Sayfa1_Images%2Fde873d76.Resim.114803.jpg</v>
          </cell>
        </row>
        <row r="15">
          <cell r="A15" t="str">
            <v>0ce02abe</v>
          </cell>
          <cell r="B15" t="str">
            <v>FRACAS-GDM-014</v>
          </cell>
          <cell r="E15">
            <v>45206</v>
          </cell>
          <cell r="F15">
            <v>45206</v>
          </cell>
          <cell r="G15" t="str">
            <v>TS#1</v>
          </cell>
          <cell r="H15" t="str">
            <v>Mc2</v>
          </cell>
          <cell r="I15" t="str">
            <v>Depo/Depot</v>
          </cell>
          <cell r="J15" t="str">
            <v>C-Uyarı, sürüş devamlılığı</v>
          </cell>
          <cell r="K15" t="str">
            <v>Devreye Alma(Servise Başlamadan Önceki Süreç)</v>
          </cell>
          <cell r="L15" t="str">
            <v>Afiş tablosu düşüyor. Çift taraflı bant tutmuyor.</v>
          </cell>
          <cell r="M15" t="str">
            <v>Tamir süreci başlatıldı. Kalite bölümüne NCR oluşturuldu</v>
          </cell>
          <cell r="N15">
            <v>22</v>
          </cell>
          <cell r="P15" t="str">
            <v>C(Sisteme etki etmeyen arıza)</v>
          </cell>
          <cell r="Q15" t="str">
            <v>N.A(Yaralanma yok)</v>
          </cell>
          <cell r="R15" t="str">
            <v>Bozankaya</v>
          </cell>
          <cell r="T15">
            <v>45206</v>
          </cell>
          <cell r="U15">
            <v>45206</v>
          </cell>
          <cell r="V15" t="str">
            <v>Bozankaya</v>
          </cell>
          <cell r="W15"/>
          <cell r="X15"/>
          <cell r="Y15"/>
          <cell r="Z15"/>
          <cell r="AA15"/>
          <cell r="AB15"/>
          <cell r="AC15"/>
          <cell r="AD15"/>
          <cell r="AE15"/>
          <cell r="AH15"/>
          <cell r="AN15">
            <v>2</v>
          </cell>
          <cell r="AP15" t="str">
            <v>(I) İlk defa karşılaşılan arıza</v>
          </cell>
          <cell r="AQ15" t="str">
            <v/>
          </cell>
          <cell r="AR15"/>
          <cell r="AU15" t="str">
            <v>İç Giydirme</v>
          </cell>
          <cell r="AX15" t="str">
            <v>https://www.appsheet.com/Template/gettablefileurl?appname=GDM7x4_Failure_List-654943&amp;tableName=SAYFA1&amp;filename=Sayfa1_Images%2F0ce02abe.Resim.083120.jpg</v>
          </cell>
        </row>
        <row r="16">
          <cell r="A16" t="str">
            <v>c0a6713a</v>
          </cell>
          <cell r="B16" t="str">
            <v>FRACAS-GDM-015</v>
          </cell>
          <cell r="E16">
            <v>45208</v>
          </cell>
          <cell r="F16">
            <v>45208</v>
          </cell>
          <cell r="G16" t="str">
            <v>TS#1</v>
          </cell>
          <cell r="H16" t="str">
            <v>Mc1</v>
          </cell>
          <cell r="I16" t="str">
            <v>Depo/Depot</v>
          </cell>
          <cell r="J16" t="str">
            <v>C-Uyarı, sürüş devamlılığı</v>
          </cell>
          <cell r="K16" t="str">
            <v>Devreye Alma(Servise Başlamadan Önceki Süreç)</v>
          </cell>
          <cell r="L16" t="str">
            <v>Deray sensörlerinde arıza olduğu gözlemlenmektedir.</v>
          </cell>
          <cell r="M16" t="str">
            <v>Tamir süreci başlatıldı. Kalite bölümüne NCR oluşturuldu</v>
          </cell>
          <cell r="N16">
            <v>27</v>
          </cell>
          <cell r="P16" t="str">
            <v>C(Sisteme etki etmeyen arıza)</v>
          </cell>
          <cell r="Q16" t="str">
            <v>N.A(Yaralanma yok)</v>
          </cell>
          <cell r="R16" t="str">
            <v>Bozankaya</v>
          </cell>
          <cell r="T16">
            <v>45208</v>
          </cell>
          <cell r="U16">
            <v>45208</v>
          </cell>
          <cell r="V16" t="str">
            <v>Bozankaya</v>
          </cell>
          <cell r="W16"/>
          <cell r="X16"/>
          <cell r="Y16"/>
          <cell r="Z16"/>
          <cell r="AA16"/>
          <cell r="AB16"/>
          <cell r="AC16"/>
          <cell r="AD16"/>
          <cell r="AE16"/>
          <cell r="AH16"/>
          <cell r="AN16">
            <v>2</v>
          </cell>
          <cell r="AP16" t="str">
            <v>(I) İlk defa karşılaşılan arıza</v>
          </cell>
          <cell r="AQ16" t="str">
            <v/>
          </cell>
          <cell r="AR16"/>
          <cell r="AU16" t="str">
            <v>Boji</v>
          </cell>
          <cell r="AX16" t="str">
            <v>https://www.appsheet.com/Template/gettablefileurl?appname=GDM7x4_Failure_List-654943&amp;tableName=SAYFA1&amp;filename=Sayfa1_Images%2Fc0a6713a.Resim.171628.jpg</v>
          </cell>
        </row>
        <row r="17">
          <cell r="A17" t="str">
            <v>8f6b6ccf</v>
          </cell>
          <cell r="B17" t="str">
            <v>FRACAS-GDM-016</v>
          </cell>
          <cell r="E17">
            <v>45208</v>
          </cell>
          <cell r="F17">
            <v>45208</v>
          </cell>
          <cell r="G17" t="str">
            <v>TS#1</v>
          </cell>
          <cell r="H17" t="str">
            <v>T</v>
          </cell>
          <cell r="I17" t="str">
            <v>Depo/Depot</v>
          </cell>
          <cell r="J17" t="str">
            <v>C-Uyarı, sürüş devamlılığı</v>
          </cell>
          <cell r="K17" t="str">
            <v>Devreye Alma(Servise Başlamadan Önceki Süreç)</v>
          </cell>
          <cell r="L17" t="str">
            <v>Pantograf kendini otomatik indiriyor. Yukarıda kalmıyor.</v>
          </cell>
          <cell r="M17" t="str">
            <v>Tamir süreci başlatıldı. Kalite bölümüne NCR oluşturuldu</v>
          </cell>
          <cell r="N17">
            <v>28</v>
          </cell>
          <cell r="P17" t="str">
            <v>C(Sisteme etki etmeyen arıza)</v>
          </cell>
          <cell r="Q17" t="str">
            <v>N.A(Yaralanma yok)</v>
          </cell>
          <cell r="R17" t="str">
            <v>Bozankaya</v>
          </cell>
          <cell r="T17">
            <v>45208</v>
          </cell>
          <cell r="U17">
            <v>45208</v>
          </cell>
          <cell r="V17" t="str">
            <v>Bozankaya</v>
          </cell>
          <cell r="W17"/>
          <cell r="X17"/>
          <cell r="Y17"/>
          <cell r="Z17"/>
          <cell r="AA17"/>
          <cell r="AB17"/>
          <cell r="AC17"/>
          <cell r="AD17"/>
          <cell r="AE17"/>
          <cell r="AH17"/>
          <cell r="AN17">
            <v>2</v>
          </cell>
          <cell r="AP17" t="str">
            <v>(I) İlk defa karşılaşılan arıza</v>
          </cell>
          <cell r="AQ17">
            <v>45212</v>
          </cell>
          <cell r="AR17">
            <v>45212.581400462965</v>
          </cell>
          <cell r="AU17" t="str">
            <v>Panto</v>
          </cell>
          <cell r="AX17" t="str">
            <v>https://www.appsheet.com/Template/gettablefileurl?appname=GDM7x4_Failure_List-654943&amp;tableName=SAYFA1&amp;filename=Sayfa1_Images%2F8f6b6ccf.Resim.172453.jpg</v>
          </cell>
        </row>
        <row r="18">
          <cell r="A18" t="str">
            <v>1cd7d947</v>
          </cell>
          <cell r="B18" t="str">
            <v>FRACAS-GDM-017</v>
          </cell>
          <cell r="E18">
            <v>45209</v>
          </cell>
          <cell r="F18">
            <v>45209</v>
          </cell>
          <cell r="G18" t="str">
            <v>TS#1</v>
          </cell>
          <cell r="H18" t="str">
            <v>Mc2</v>
          </cell>
          <cell r="I18" t="str">
            <v>Depo/Depot</v>
          </cell>
          <cell r="J18" t="str">
            <v>C-Uyarı, sürüş devamlılığı</v>
          </cell>
          <cell r="K18" t="str">
            <v>Devreye Alma(Servise Başlamadan Önceki Süreç)</v>
          </cell>
          <cell r="L18" t="str">
            <v>MC2 26. Kapı ayarsızlık var. Hassas kenarlar birbirlerini tam karşılamadığı için aralarında boşluk oluşuyor.</v>
          </cell>
          <cell r="M18" t="str">
            <v>Tamir süreci başlatıldı. Kalite bölümüne NCR oluşturuldu</v>
          </cell>
          <cell r="N18">
            <v>30</v>
          </cell>
          <cell r="P18" t="str">
            <v>C(Sisteme etki etmeyen arıza)</v>
          </cell>
          <cell r="Q18" t="str">
            <v>N.A(Yaralanma yok)</v>
          </cell>
          <cell r="R18" t="str">
            <v>Bozankaya</v>
          </cell>
          <cell r="T18">
            <v>45209</v>
          </cell>
          <cell r="U18">
            <v>45209</v>
          </cell>
          <cell r="V18" t="str">
            <v>IFE</v>
          </cell>
          <cell r="W18"/>
          <cell r="X18"/>
          <cell r="Y18"/>
          <cell r="Z18"/>
          <cell r="AA18"/>
          <cell r="AB18"/>
          <cell r="AC18"/>
          <cell r="AD18"/>
          <cell r="AE18"/>
          <cell r="AH18"/>
          <cell r="AN18">
            <v>2</v>
          </cell>
          <cell r="AP18" t="str">
            <v>(I) İlk defa karşılaşılan arıza</v>
          </cell>
          <cell r="AQ18" t="str">
            <v/>
          </cell>
          <cell r="AR18"/>
          <cell r="AU18" t="str">
            <v>Kapı</v>
          </cell>
          <cell r="AX18" t="str">
            <v>https://www.appsheet.com/Template/gettablefileurl?appname=GDM7x4_Failure_List-654943&amp;tableName=SAYFA1&amp;filename=Sayfa1_Images%2F1cd7d947.Resim.121334.jpg</v>
          </cell>
        </row>
        <row r="19">
          <cell r="A19" t="str">
            <v>be3af9e3</v>
          </cell>
          <cell r="B19" t="str">
            <v>FRACAS-GDM-018</v>
          </cell>
          <cell r="E19">
            <v>45209</v>
          </cell>
          <cell r="F19">
            <v>45209</v>
          </cell>
          <cell r="G19" t="str">
            <v>TS#1</v>
          </cell>
          <cell r="H19" t="str">
            <v>Mc2</v>
          </cell>
          <cell r="I19" t="str">
            <v>Depo/Depot</v>
          </cell>
          <cell r="J19" t="str">
            <v>C-Uyarı, sürüş devamlılığı</v>
          </cell>
          <cell r="K19" t="str">
            <v>Devreye Alma(Servise Başlamadan Önceki Süreç)</v>
          </cell>
          <cell r="L19" t="str">
            <v>MC2 28.kapı ayarsızlık var. Hassas kenarlar birbirini tam karşılamadığı için aralarında boşluk oluşuyor.</v>
          </cell>
          <cell r="M19" t="str">
            <v>Tamir süreci başlatıldı. Kalite bölümüne NCR oluşturuldu</v>
          </cell>
          <cell r="N19">
            <v>33</v>
          </cell>
          <cell r="P19" t="str">
            <v>C(Sisteme etki etmeyen arıza)</v>
          </cell>
          <cell r="Q19" t="str">
            <v>N.A(Yaralanma yok)</v>
          </cell>
          <cell r="R19" t="str">
            <v>Bozankaya</v>
          </cell>
          <cell r="T19">
            <v>45209</v>
          </cell>
          <cell r="U19">
            <v>45209</v>
          </cell>
          <cell r="V19" t="str">
            <v>IFE</v>
          </cell>
          <cell r="W19"/>
          <cell r="X19"/>
          <cell r="Y19"/>
          <cell r="Z19"/>
          <cell r="AA19"/>
          <cell r="AB19"/>
          <cell r="AC19"/>
          <cell r="AD19"/>
          <cell r="AE19"/>
          <cell r="AH19"/>
          <cell r="AN19">
            <v>2</v>
          </cell>
          <cell r="AP19" t="str">
            <v>(I) İlk defa karşılaşılan arıza</v>
          </cell>
          <cell r="AQ19" t="str">
            <v/>
          </cell>
          <cell r="AR19"/>
          <cell r="AU19" t="str">
            <v>Kapı</v>
          </cell>
          <cell r="AX19" t="str">
            <v>https://www.appsheet.com/Template/gettablefileurl?appname=GDM7x4_Failure_List-654943&amp;tableName=SAYFA1&amp;filename=Sayfa1_Images%2Fbe3af9e3.Resim.121507.jpg</v>
          </cell>
        </row>
        <row r="20">
          <cell r="A20" t="str">
            <v>3b1da3db</v>
          </cell>
          <cell r="B20" t="str">
            <v>FRACAS-GDM-019</v>
          </cell>
          <cell r="E20">
            <v>45209</v>
          </cell>
          <cell r="F20">
            <v>45209</v>
          </cell>
          <cell r="G20" t="str">
            <v>TS#1</v>
          </cell>
          <cell r="H20" t="str">
            <v>Mc1</v>
          </cell>
          <cell r="I20" t="str">
            <v>Depo/Depot</v>
          </cell>
          <cell r="J20" t="str">
            <v>C-Uyarı, sürüş devamlılığı</v>
          </cell>
          <cell r="K20" t="str">
            <v>Devreye Alma(Servise Başlamadan Önceki Süreç)</v>
          </cell>
          <cell r="L20" t="str">
            <v>Kapı üstü aydınlatmalar çalışmıyor.</v>
          </cell>
          <cell r="M20" t="str">
            <v>Tamir süreci başlatıldı. Kalite bölümüne NCR oluşturuldu</v>
          </cell>
          <cell r="N20">
            <v>35</v>
          </cell>
          <cell r="P20" t="str">
            <v>C(Sisteme etki etmeyen arıza)</v>
          </cell>
          <cell r="Q20" t="str">
            <v>N.A(Yaralanma yok)</v>
          </cell>
          <cell r="R20" t="str">
            <v>Bozankaya</v>
          </cell>
          <cell r="T20">
            <v>45209</v>
          </cell>
          <cell r="U20">
            <v>45209</v>
          </cell>
          <cell r="V20" t="str">
            <v>Bozankaya</v>
          </cell>
          <cell r="W20"/>
          <cell r="X20"/>
          <cell r="Y20"/>
          <cell r="Z20"/>
          <cell r="AA20"/>
          <cell r="AB20"/>
          <cell r="AC20"/>
          <cell r="AD20"/>
          <cell r="AE20"/>
          <cell r="AH20"/>
          <cell r="AN20">
            <v>2</v>
          </cell>
          <cell r="AP20" t="str">
            <v>(I) İlk defa karşılaşılan arıza</v>
          </cell>
          <cell r="AQ20" t="str">
            <v/>
          </cell>
          <cell r="AR20"/>
          <cell r="AU20" t="str">
            <v>Aydınlatma</v>
          </cell>
          <cell r="AX20" t="str">
            <v>https://www.appsheet.com/Template/gettablefileurl?appname=GDM7x4_Failure_List-654943&amp;tableName=SAYFA1&amp;filename=Sayfa1_Images%2F3b1da3db.Resim.122019.jpg</v>
          </cell>
        </row>
        <row r="21">
          <cell r="A21" t="str">
            <v>35543264</v>
          </cell>
          <cell r="B21" t="str">
            <v>FRACAS-GDM-020</v>
          </cell>
          <cell r="E21">
            <v>45209</v>
          </cell>
          <cell r="F21">
            <v>45209</v>
          </cell>
          <cell r="G21" t="str">
            <v>TS#1</v>
          </cell>
          <cell r="H21" t="str">
            <v>Mc2</v>
          </cell>
          <cell r="I21" t="str">
            <v>Depo/Depot</v>
          </cell>
          <cell r="J21" t="str">
            <v>C-Uyarı, sürüş devamlılığı</v>
          </cell>
          <cell r="K21" t="str">
            <v>Devreye Alma(Servise Başlamadan Önceki Süreç)</v>
          </cell>
          <cell r="L21" t="str">
            <v>Kapı üstü aydınlatmalar çalışmıyor</v>
          </cell>
          <cell r="M21" t="str">
            <v>Tamir süreci başlatıldı. Kalite bölümüne NCR oluşturuldu</v>
          </cell>
          <cell r="N21">
            <v>36</v>
          </cell>
          <cell r="P21" t="str">
            <v>C(Sisteme etki etmeyen arıza)</v>
          </cell>
          <cell r="Q21" t="str">
            <v>N.A(Yaralanma yok)</v>
          </cell>
          <cell r="R21" t="str">
            <v>Bozankaya</v>
          </cell>
          <cell r="T21">
            <v>45209</v>
          </cell>
          <cell r="U21">
            <v>45209</v>
          </cell>
          <cell r="V21" t="str">
            <v>Bozankaya</v>
          </cell>
          <cell r="W21"/>
          <cell r="X21"/>
          <cell r="Y21"/>
          <cell r="Z21"/>
          <cell r="AA21"/>
          <cell r="AB21"/>
          <cell r="AC21"/>
          <cell r="AD21"/>
          <cell r="AE21"/>
          <cell r="AH21"/>
          <cell r="AN21">
            <v>2</v>
          </cell>
          <cell r="AP21" t="str">
            <v>(I) İlk defa karşılaşılan arıza</v>
          </cell>
          <cell r="AQ21" t="str">
            <v/>
          </cell>
          <cell r="AR21"/>
          <cell r="AU21" t="str">
            <v>Aydınlatma</v>
          </cell>
          <cell r="AX21" t="str">
            <v>https://www.appsheet.com/Template/gettablefileurl?appname=GDM7x4_Failure_List-654943&amp;tableName=SAYFA1&amp;filename=Sayfa1_Images%2F35543264.Resim.131035.jpg</v>
          </cell>
        </row>
        <row r="22">
          <cell r="A22" t="str">
            <v>339b8de6</v>
          </cell>
          <cell r="B22" t="str">
            <v>FRACAS-GDM-021</v>
          </cell>
          <cell r="E22">
            <v>45209</v>
          </cell>
          <cell r="F22">
            <v>45209</v>
          </cell>
          <cell r="G22" t="str">
            <v>TS#1</v>
          </cell>
          <cell r="H22" t="str">
            <v>M</v>
          </cell>
          <cell r="I22" t="str">
            <v>Depo/Depot</v>
          </cell>
          <cell r="J22" t="str">
            <v>C-Uyarı, sürüş devamlılığı</v>
          </cell>
          <cell r="K22" t="str">
            <v>Devreye Alma(Servise Başlamadan Önceki Süreç)</v>
          </cell>
          <cell r="L22" t="str">
            <v>Kapı üstü aydınlatmalar çalışmıyor</v>
          </cell>
          <cell r="M22" t="str">
            <v>Tamir süreci başlatıldı. Kalite bölümüne NCR oluşturuldu</v>
          </cell>
          <cell r="N22">
            <v>38</v>
          </cell>
          <cell r="P22" t="str">
            <v>C(Sisteme etki etmeyen arıza)</v>
          </cell>
          <cell r="Q22" t="str">
            <v>N.A(Yaralanma yok)</v>
          </cell>
          <cell r="R22" t="str">
            <v>Bozankaya</v>
          </cell>
          <cell r="T22">
            <v>45209</v>
          </cell>
          <cell r="U22">
            <v>45209</v>
          </cell>
          <cell r="V22" t="str">
            <v>Bozankaya</v>
          </cell>
          <cell r="W22"/>
          <cell r="X22"/>
          <cell r="Y22"/>
          <cell r="Z22"/>
          <cell r="AA22"/>
          <cell r="AB22"/>
          <cell r="AC22"/>
          <cell r="AD22"/>
          <cell r="AE22"/>
          <cell r="AH22"/>
          <cell r="AN22">
            <v>2</v>
          </cell>
          <cell r="AP22" t="str">
            <v>(I) İlk defa karşılaşılan arıza</v>
          </cell>
          <cell r="AQ22" t="str">
            <v/>
          </cell>
          <cell r="AR22"/>
          <cell r="AU22" t="str">
            <v>Aydınlatma</v>
          </cell>
          <cell r="AX22" t="str">
            <v>https://www.appsheet.com/Template/gettablefileurl?appname=GDM7x4_Failure_List-654943&amp;tableName=SAYFA1&amp;filename=Sayfa1_Images%2F339b8de6.Resim.131131.jpg</v>
          </cell>
        </row>
        <row r="23">
          <cell r="A23" t="str">
            <v>99482aa6</v>
          </cell>
          <cell r="B23" t="str">
            <v>FRACAS-GDM-022</v>
          </cell>
          <cell r="E23">
            <v>45209</v>
          </cell>
          <cell r="F23">
            <v>45209</v>
          </cell>
          <cell r="G23" t="str">
            <v>TS#1</v>
          </cell>
          <cell r="H23" t="str">
            <v>T</v>
          </cell>
          <cell r="I23" t="str">
            <v>Depo/Depot</v>
          </cell>
          <cell r="J23" t="str">
            <v>C-Uyarı, sürüş devamlılığı</v>
          </cell>
          <cell r="K23" t="str">
            <v>Devreye Alma(Servise Başlamadan Önceki Süreç)</v>
          </cell>
          <cell r="L23" t="str">
            <v>Kapı üstü aydınlatmalar çalışmıyor.</v>
          </cell>
          <cell r="M23" t="str">
            <v>Tamir süreci başlatıldı. Kalite bölümüne NCR oluşturuldu</v>
          </cell>
          <cell r="N23">
            <v>39</v>
          </cell>
          <cell r="P23" t="str">
            <v>C(Sisteme etki etmeyen arıza)</v>
          </cell>
          <cell r="Q23" t="str">
            <v>N.A(Yaralanma yok)</v>
          </cell>
          <cell r="R23" t="str">
            <v>Bozankaya</v>
          </cell>
          <cell r="T23">
            <v>45209</v>
          </cell>
          <cell r="U23">
            <v>45209</v>
          </cell>
          <cell r="V23" t="str">
            <v>Bozankaya</v>
          </cell>
          <cell r="W23"/>
          <cell r="X23"/>
          <cell r="Y23"/>
          <cell r="Z23"/>
          <cell r="AA23"/>
          <cell r="AB23"/>
          <cell r="AC23"/>
          <cell r="AD23"/>
          <cell r="AE23"/>
          <cell r="AH23"/>
          <cell r="AN23">
            <v>2</v>
          </cell>
          <cell r="AP23" t="str">
            <v>(I) İlk defa karşılaşılan arıza</v>
          </cell>
          <cell r="AQ23" t="str">
            <v/>
          </cell>
          <cell r="AR23"/>
          <cell r="AU23" t="str">
            <v>Aydınlatma</v>
          </cell>
          <cell r="AX23" t="str">
            <v>https://www.appsheet.com/Template/gettablefileurl?appname=GDM7x4_Failure_List-654943&amp;tableName=SAYFA1&amp;filename=Sayfa1_Images%2F99482aa6.Resim.131155.jpg</v>
          </cell>
        </row>
        <row r="24">
          <cell r="A24" t="str">
            <v>ebac29e8</v>
          </cell>
          <cell r="B24" t="str">
            <v>FRACAS-GDM-023</v>
          </cell>
          <cell r="E24">
            <v>45209</v>
          </cell>
          <cell r="F24">
            <v>45209</v>
          </cell>
          <cell r="G24" t="str">
            <v>TS#1</v>
          </cell>
          <cell r="H24" t="str">
            <v>Mc2</v>
          </cell>
          <cell r="I24" t="str">
            <v>Depo/Depot</v>
          </cell>
          <cell r="J24" t="str">
            <v>C-Uyarı, sürüş devamlılığı</v>
          </cell>
          <cell r="K24" t="str">
            <v>Devreye Alma(Servise Başlamadan Önceki Süreç)</v>
          </cell>
          <cell r="L24" t="str">
            <v>KC-F09 sigortasına giriş yapılmamış. NB-F17 ve NB-F15 sigortalarına bilgi ucuna giriş yapılmış. Bundan dolay kapı üstü aydınlatmalar çalışmamaktadır. Çekilen kabloların bir çoğu körleme yapılarak bırakılmıştır.</v>
          </cell>
          <cell r="M24" t="str">
            <v>Tamir süreci başlatıldı. Kalite bölümüne NCR oluşturuldu</v>
          </cell>
          <cell r="N24">
            <v>41</v>
          </cell>
          <cell r="P24" t="str">
            <v>C(Sisteme etki etmeyen arıza)</v>
          </cell>
          <cell r="Q24" t="str">
            <v>N.A(Yaralanma yok)</v>
          </cell>
          <cell r="R24" t="str">
            <v>Bozankaya</v>
          </cell>
          <cell r="T24">
            <v>45209</v>
          </cell>
          <cell r="U24">
            <v>45209</v>
          </cell>
          <cell r="V24" t="str">
            <v>Bozankaya</v>
          </cell>
          <cell r="W24"/>
          <cell r="X24"/>
          <cell r="Y24"/>
          <cell r="Z24"/>
          <cell r="AA24"/>
          <cell r="AB24"/>
          <cell r="AC24"/>
          <cell r="AD24"/>
          <cell r="AE24"/>
          <cell r="AH24"/>
          <cell r="AN24">
            <v>2</v>
          </cell>
          <cell r="AP24" t="str">
            <v>(I) İlk defa karşılaşılan arıza</v>
          </cell>
          <cell r="AQ24">
            <v>45231</v>
          </cell>
          <cell r="AR24">
            <v>45231.581956018519</v>
          </cell>
          <cell r="AU24" t="str">
            <v>E-Kabinet</v>
          </cell>
          <cell r="AX24" t="str">
            <v>https://www.appsheet.com/Template/gettablefileurl?appname=GDM7x4_Failure_List-654943&amp;tableName=SAYFA1&amp;filename=Sayfa1_Images%2Febac29e8.Resim.180643.jpg</v>
          </cell>
        </row>
        <row r="25">
          <cell r="A25" t="str">
            <v>52880ce4</v>
          </cell>
          <cell r="B25" t="str">
            <v>FRACAS-GDM-024</v>
          </cell>
          <cell r="E25">
            <v>45211</v>
          </cell>
          <cell r="F25">
            <v>45211</v>
          </cell>
          <cell r="G25" t="str">
            <v>TS#1</v>
          </cell>
          <cell r="H25" t="str">
            <v>Mc2</v>
          </cell>
          <cell r="I25" t="str">
            <v>Depo/Depot</v>
          </cell>
          <cell r="J25" t="str">
            <v>C-Uyarı, sürüş devamlılığı</v>
          </cell>
          <cell r="K25" t="str">
            <v>Devreye Alma(Servise Başlamadan Önceki Süreç)</v>
          </cell>
          <cell r="L25" t="str">
            <v>23" reklam ekranı çalışmıyor.</v>
          </cell>
          <cell r="M25" t="str">
            <v>Tamir süreci başlatıldı. Kalite bölümüne NCR oluşturuldu</v>
          </cell>
          <cell r="N25">
            <v>42</v>
          </cell>
          <cell r="P25" t="str">
            <v>C(Sisteme etki etmeyen arıza)</v>
          </cell>
          <cell r="Q25" t="str">
            <v>N.A(Yaralanma yok)</v>
          </cell>
          <cell r="R25" t="str">
            <v>Bozankaya</v>
          </cell>
          <cell r="T25">
            <v>45211</v>
          </cell>
          <cell r="U25">
            <v>45211</v>
          </cell>
          <cell r="V25" t="str">
            <v>Piton</v>
          </cell>
          <cell r="W25"/>
          <cell r="X25"/>
          <cell r="Y25"/>
          <cell r="Z25"/>
          <cell r="AA25"/>
          <cell r="AB25"/>
          <cell r="AC25"/>
          <cell r="AD25"/>
          <cell r="AE25"/>
          <cell r="AH25"/>
          <cell r="AN25">
            <v>2</v>
          </cell>
          <cell r="AP25" t="str">
            <v>(I) İlk defa karşılaşılan arıza</v>
          </cell>
          <cell r="AQ25">
            <v>45219</v>
          </cell>
          <cell r="AR25">
            <v>45219.582187499997</v>
          </cell>
          <cell r="AU25" t="str">
            <v>İç Giydirme</v>
          </cell>
          <cell r="AX25" t="str">
            <v>https://www.appsheet.com/Template/gettablefileurl?appname=GDM7x4_Failure_List-654943&amp;tableName=SAYFA1&amp;filename=Sayfa1_Images%2F52880ce4.Resim.090118.jpg</v>
          </cell>
        </row>
        <row r="26">
          <cell r="A26" t="str">
            <v>5122d1cf</v>
          </cell>
          <cell r="B26" t="str">
            <v>FRACAS-GDM-025</v>
          </cell>
          <cell r="E26">
            <v>45211</v>
          </cell>
          <cell r="F26">
            <v>45211</v>
          </cell>
          <cell r="G26" t="str">
            <v>TS#1</v>
          </cell>
          <cell r="H26" t="str">
            <v>T</v>
          </cell>
          <cell r="I26" t="str">
            <v>Depo/Depot</v>
          </cell>
          <cell r="J26" t="str">
            <v>C-Uyarı, sürüş devamlılığı</v>
          </cell>
          <cell r="K26" t="str">
            <v>Devreye Alma(Servise Başlamadan Önceki Süreç)</v>
          </cell>
          <cell r="L26" t="str">
            <v>23" ekran çalışyor ama renk kayması var.</v>
          </cell>
          <cell r="M26" t="str">
            <v>Tamir süreci başlatıldı. Kalite bölümüne NCR oluşturuldu</v>
          </cell>
          <cell r="N26">
            <v>45</v>
          </cell>
          <cell r="P26" t="str">
            <v>C(Sisteme etki etmeyen arıza)</v>
          </cell>
          <cell r="Q26" t="str">
            <v>N.A(Yaralanma yok)</v>
          </cell>
          <cell r="R26" t="str">
            <v>Bozankaya</v>
          </cell>
          <cell r="T26">
            <v>45211</v>
          </cell>
          <cell r="U26">
            <v>45211</v>
          </cell>
          <cell r="V26" t="str">
            <v>Piton</v>
          </cell>
          <cell r="W26"/>
          <cell r="X26"/>
          <cell r="Y26"/>
          <cell r="Z26"/>
          <cell r="AA26"/>
          <cell r="AB26"/>
          <cell r="AC26"/>
          <cell r="AD26"/>
          <cell r="AE26"/>
          <cell r="AH26"/>
          <cell r="AN26">
            <v>2</v>
          </cell>
          <cell r="AP26" t="str">
            <v>(I) İlk defa karşılaşılan arıza</v>
          </cell>
          <cell r="AQ26">
            <v>45219</v>
          </cell>
          <cell r="AR26">
            <v>45219.582395833335</v>
          </cell>
          <cell r="AU26" t="str">
            <v>İç Giydirme</v>
          </cell>
          <cell r="AX26" t="str">
            <v>https://www.appsheet.com/Template/gettablefileurl?appname=GDM7x4_Failure_List-654943&amp;tableName=SAYFA1&amp;filename=Sayfa1_Images%2F5122d1cf.Resim.090256.jpg</v>
          </cell>
        </row>
        <row r="27">
          <cell r="A27" t="str">
            <v>cc07a969</v>
          </cell>
          <cell r="B27" t="str">
            <v>FRACAS-GDM-026</v>
          </cell>
          <cell r="E27">
            <v>45211</v>
          </cell>
          <cell r="F27">
            <v>45211</v>
          </cell>
          <cell r="G27" t="str">
            <v>TS#1</v>
          </cell>
          <cell r="H27" t="str">
            <v>Mc1</v>
          </cell>
          <cell r="I27" t="str">
            <v>Depo/Depot</v>
          </cell>
          <cell r="J27" t="str">
            <v>C-Uyarı, sürüş devamlılığı</v>
          </cell>
          <cell r="K27" t="str">
            <v>Devreye Alma(Servise Başlamadan Önceki Süreç)</v>
          </cell>
          <cell r="L27" t="str">
            <v>14 Sigorta panelinde aynı sigortadan 2 adet bulunmaktadır.</v>
          </cell>
          <cell r="M27" t="str">
            <v>Tamir süreci başlatıldı. Kalite bölümüne NCR oluşturuldu</v>
          </cell>
          <cell r="N27">
            <v>47</v>
          </cell>
          <cell r="P27" t="str">
            <v>C(Sisteme etki etmeyen arıza)</v>
          </cell>
          <cell r="Q27" t="str">
            <v>N.A(Yaralanma yok)</v>
          </cell>
          <cell r="R27" t="str">
            <v>Bozankaya</v>
          </cell>
          <cell r="T27">
            <v>45211</v>
          </cell>
          <cell r="U27">
            <v>45211</v>
          </cell>
          <cell r="V27" t="str">
            <v>Bozankaya</v>
          </cell>
          <cell r="W27"/>
          <cell r="X27"/>
          <cell r="Y27"/>
          <cell r="Z27"/>
          <cell r="AA27"/>
          <cell r="AB27"/>
          <cell r="AC27"/>
          <cell r="AD27"/>
          <cell r="AE27"/>
          <cell r="AH27"/>
          <cell r="AN27">
            <v>2</v>
          </cell>
          <cell r="AP27" t="str">
            <v>(I) İlk defa karşılaşılan arıza</v>
          </cell>
          <cell r="AQ27">
            <v>45219</v>
          </cell>
          <cell r="AR27">
            <v>45219.582731481481</v>
          </cell>
          <cell r="AU27" t="str">
            <v>E-Kabinet</v>
          </cell>
          <cell r="AX27" t="str">
            <v>https://www.appsheet.com/Template/gettablefileurl?appname=GDM7x4_Failure_List-654943&amp;tableName=SAYFA1&amp;filename=Sayfa1_Images%2Fcc07a969.Resim.090735.jpg</v>
          </cell>
        </row>
        <row r="28">
          <cell r="A28" t="str">
            <v>19de8e6a</v>
          </cell>
          <cell r="B28" t="str">
            <v>FRACAS-GDM-027</v>
          </cell>
          <cell r="E28">
            <v>45211</v>
          </cell>
          <cell r="F28">
            <v>45211</v>
          </cell>
          <cell r="G28" t="str">
            <v>TS#1</v>
          </cell>
          <cell r="H28" t="str">
            <v>Mc1</v>
          </cell>
          <cell r="I28" t="str">
            <v>Depo/Depot</v>
          </cell>
          <cell r="J28" t="str">
            <v>C-Uyarı, sürüş devamlılığı</v>
          </cell>
          <cell r="K28" t="str">
            <v>Devreye Alma(Servise Başlamadan Önceki Süreç)</v>
          </cell>
          <cell r="L28" t="str">
            <v>MC1 kabinetindeki Aselsan telsizi çalışmıyor.</v>
          </cell>
          <cell r="M28" t="str">
            <v>Tamir süreci başlatıldı. Kalite bölümüne NCR oluşturuldu</v>
          </cell>
          <cell r="N28">
            <v>49</v>
          </cell>
          <cell r="P28" t="str">
            <v>C(Sisteme etki etmeyen arıza)</v>
          </cell>
          <cell r="Q28" t="str">
            <v>N.A(Yaralanma yok)</v>
          </cell>
          <cell r="R28" t="str">
            <v>Bozankaya</v>
          </cell>
          <cell r="T28">
            <v>45211</v>
          </cell>
          <cell r="U28">
            <v>45211</v>
          </cell>
          <cell r="V28" t="str">
            <v>Bozankaya</v>
          </cell>
          <cell r="W28"/>
          <cell r="X28"/>
          <cell r="Y28"/>
          <cell r="Z28"/>
          <cell r="AA28"/>
          <cell r="AB28"/>
          <cell r="AC28"/>
          <cell r="AD28"/>
          <cell r="AE28"/>
          <cell r="AH28"/>
          <cell r="AN28">
            <v>2</v>
          </cell>
          <cell r="AP28" t="str">
            <v>(I) İlk defa karşılaşılan arıza</v>
          </cell>
          <cell r="AQ28">
            <v>45219</v>
          </cell>
          <cell r="AR28">
            <v>45219.582928240743</v>
          </cell>
          <cell r="AU28" t="str">
            <v>Kabin Masası</v>
          </cell>
          <cell r="AX28" t="str">
            <v>https://www.appsheet.com/Template/gettablefileurl?appname=GDM7x4_Failure_List-654943&amp;tableName=SAYFA1&amp;filename=Sayfa1_Images%2F19de8e6a.Resim.092834.jpg</v>
          </cell>
        </row>
        <row r="29">
          <cell r="A29" t="str">
            <v>f1f57c65</v>
          </cell>
          <cell r="B29" t="str">
            <v>FRACAS-GDM-028</v>
          </cell>
          <cell r="E29">
            <v>45211</v>
          </cell>
          <cell r="F29">
            <v>45211</v>
          </cell>
          <cell r="G29" t="str">
            <v>TS#1</v>
          </cell>
          <cell r="H29" t="str">
            <v>Mc2</v>
          </cell>
          <cell r="I29" t="str">
            <v>Depo/Depot</v>
          </cell>
          <cell r="J29" t="str">
            <v>C-Uyarı, sürüş devamlılığı</v>
          </cell>
          <cell r="K29" t="str">
            <v>Devreye Alma(Servise Başlamadan Önceki Süreç)</v>
          </cell>
          <cell r="L29" t="str">
            <v>MC2 Kabinet masasındaki aselsan telsizi çalışmıyor.</v>
          </cell>
          <cell r="M29" t="str">
            <v>Tamir süreci başlatıldı. Kalite bölümüne NCR oluşturuldu</v>
          </cell>
          <cell r="N29">
            <v>50</v>
          </cell>
          <cell r="P29" t="str">
            <v>C(Sisteme etki etmeyen arıza)</v>
          </cell>
          <cell r="Q29" t="str">
            <v>N.A(Yaralanma yok)</v>
          </cell>
          <cell r="R29" t="str">
            <v>Bozankaya</v>
          </cell>
          <cell r="T29">
            <v>45211</v>
          </cell>
          <cell r="U29">
            <v>45211</v>
          </cell>
          <cell r="V29" t="str">
            <v>Bozankaya</v>
          </cell>
          <cell r="W29"/>
          <cell r="X29"/>
          <cell r="Y29"/>
          <cell r="Z29"/>
          <cell r="AA29"/>
          <cell r="AB29"/>
          <cell r="AC29"/>
          <cell r="AD29"/>
          <cell r="AE29"/>
          <cell r="AH29"/>
          <cell r="AN29">
            <v>2</v>
          </cell>
          <cell r="AP29" t="str">
            <v>(I) İlk defa karşılaşılan arıza</v>
          </cell>
          <cell r="AQ29">
            <v>45219</v>
          </cell>
          <cell r="AR29">
            <v>45219.58326388889</v>
          </cell>
          <cell r="AU29" t="str">
            <v>Kabin Masası</v>
          </cell>
          <cell r="AX29" t="str">
            <v>https://www.appsheet.com/Template/gettablefileurl?appname=GDM7x4_Failure_List-654943&amp;tableName=SAYFA1&amp;filename=Sayfa1_Images%2Ff1f57c65.Resim.093315.jpg</v>
          </cell>
        </row>
        <row r="30">
          <cell r="A30" t="str">
            <v>a07c7fc6</v>
          </cell>
          <cell r="B30" t="str">
            <v>FRACAS-GDM-029</v>
          </cell>
          <cell r="E30">
            <v>45218</v>
          </cell>
          <cell r="F30">
            <v>45218</v>
          </cell>
          <cell r="G30" t="str">
            <v>TS#1</v>
          </cell>
          <cell r="H30" t="str">
            <v>Mc1</v>
          </cell>
          <cell r="I30" t="str">
            <v>Depo/Depot</v>
          </cell>
          <cell r="J30" t="str">
            <v>C-Uyarı, sürüş devamlılığı</v>
          </cell>
          <cell r="K30" t="str">
            <v>Devreye Alma(Servise Başlamadan Önceki Süreç)</v>
          </cell>
          <cell r="L30" t="str">
            <v>4. Kapı switch hatalı ürün montajı yapılmış.</v>
          </cell>
          <cell r="M30" t="str">
            <v>Tamir süreci başlatıldı. Kalite bölümüne NCR oluşturuldu</v>
          </cell>
          <cell r="N30">
            <v>52</v>
          </cell>
          <cell r="P30" t="str">
            <v>C(Sisteme etki etmeyen arıza)</v>
          </cell>
          <cell r="Q30" t="str">
            <v>N.A(Yaralanma yok)</v>
          </cell>
          <cell r="R30" t="str">
            <v>Bozankaya</v>
          </cell>
          <cell r="T30">
            <v>45218</v>
          </cell>
          <cell r="U30">
            <v>45218</v>
          </cell>
          <cell r="V30" t="str">
            <v>IFE</v>
          </cell>
          <cell r="W30"/>
          <cell r="X30"/>
          <cell r="Y30"/>
          <cell r="Z30"/>
          <cell r="AA30"/>
          <cell r="AB30"/>
          <cell r="AC30"/>
          <cell r="AD30"/>
          <cell r="AE30"/>
          <cell r="AH30"/>
          <cell r="AN30">
            <v>2</v>
          </cell>
          <cell r="AP30" t="str">
            <v>(I) İlk defa karşılaşılan arıza</v>
          </cell>
          <cell r="AQ30">
            <v>45219</v>
          </cell>
          <cell r="AR30">
            <v>45219.583449074074</v>
          </cell>
          <cell r="AU30" t="str">
            <v>Kapı</v>
          </cell>
          <cell r="AX30" t="str">
            <v>https://www.appsheet.com/Template/gettablefileurl?appname=GDM7x4_Failure_List-654943&amp;tableName=SAYFA1&amp;filename=Sayfa1_Images%2Fa07c7fc6.Resim.111013.jpg</v>
          </cell>
        </row>
        <row r="31">
          <cell r="A31" t="str">
            <v>4a662b08</v>
          </cell>
          <cell r="B31" t="str">
            <v>FRACAS-GDM-030</v>
          </cell>
          <cell r="E31">
            <v>45222</v>
          </cell>
          <cell r="F31">
            <v>45222</v>
          </cell>
          <cell r="G31" t="str">
            <v>TS#1</v>
          </cell>
          <cell r="H31" t="str">
            <v>T</v>
          </cell>
          <cell r="I31" t="str">
            <v>Depo/Depot</v>
          </cell>
          <cell r="J31" t="str">
            <v>C-Uyarı, sürüş devamlılığı</v>
          </cell>
          <cell r="K31" t="str">
            <v>Devreye Alma(Servise Başlamadan Önceki Süreç)</v>
          </cell>
          <cell r="L31" t="str">
            <v>5den 6 ya geçerken haberleşme sağlanamıyor. T modülün MC2 tarafına çalışmıyor.</v>
          </cell>
          <cell r="M31" t="str">
            <v>Tamir süreci başlatıldı. Kalite bölümüne NCR oluşturuldu</v>
          </cell>
          <cell r="N31">
            <v>58</v>
          </cell>
          <cell r="P31" t="str">
            <v>C(Sisteme etki etmeyen arıza)</v>
          </cell>
          <cell r="Q31" t="str">
            <v>N.A(Yaralanma yok)</v>
          </cell>
          <cell r="R31" t="str">
            <v>Bozankaya</v>
          </cell>
          <cell r="T31">
            <v>45222</v>
          </cell>
          <cell r="U31">
            <v>45222</v>
          </cell>
          <cell r="V31" t="str">
            <v>Piton</v>
          </cell>
          <cell r="W31"/>
          <cell r="X31"/>
          <cell r="Y31"/>
          <cell r="Z31"/>
          <cell r="AA31"/>
          <cell r="AB31"/>
          <cell r="AC31"/>
          <cell r="AD31"/>
          <cell r="AE31"/>
          <cell r="AH31"/>
          <cell r="AN31">
            <v>2</v>
          </cell>
          <cell r="AP31" t="str">
            <v>(I) İlk defa karşılaşılan arıza</v>
          </cell>
          <cell r="AQ31">
            <v>45233</v>
          </cell>
          <cell r="AR31">
            <v>45233.583611111113</v>
          </cell>
          <cell r="AU31" t="str">
            <v>PA/PIS/CCTV</v>
          </cell>
          <cell r="AX31" t="str">
            <v>https://www.appsheet.com/Template/gettablefileurl?appname=GDM7x4_Failure_List-654943&amp;tableName=SAYFA1&amp;filename=Sayfa1_Images%2F4a662b08.Resim.080738.jpg</v>
          </cell>
        </row>
        <row r="32">
          <cell r="A32" t="str">
            <v>4fd149af</v>
          </cell>
          <cell r="B32" t="str">
            <v>FRACAS-GDM-031</v>
          </cell>
          <cell r="E32">
            <v>45224</v>
          </cell>
          <cell r="F32">
            <v>45224</v>
          </cell>
          <cell r="G32" t="str">
            <v>TS#1</v>
          </cell>
          <cell r="H32" t="str">
            <v>Mc1</v>
          </cell>
          <cell r="I32" t="str">
            <v>Depo/Depot</v>
          </cell>
          <cell r="J32" t="str">
            <v>C-Uyarı, sürüş devamlılığı</v>
          </cell>
          <cell r="K32" t="str">
            <v>Devreye Alma(Servise Başlamadan Önceki Süreç)</v>
          </cell>
          <cell r="L32" t="str">
            <v>Piton ekibinin papiscu cihazının VGA - HDMI çeviricinin besleme kablosu eksikti.</v>
          </cell>
          <cell r="M32" t="str">
            <v>Tamir süreci başlatıldı. Kalite bölümüne NCR oluşturuldu</v>
          </cell>
          <cell r="N32">
            <v>67</v>
          </cell>
          <cell r="P32" t="str">
            <v>C(Sisteme etki etmeyen arıza)</v>
          </cell>
          <cell r="Q32" t="str">
            <v>N.A(Yaralanma yok)</v>
          </cell>
          <cell r="R32" t="str">
            <v>Bozankaya</v>
          </cell>
          <cell r="T32">
            <v>45224</v>
          </cell>
          <cell r="U32">
            <v>45224</v>
          </cell>
          <cell r="V32" t="str">
            <v>Piton</v>
          </cell>
          <cell r="W32"/>
          <cell r="X32"/>
          <cell r="Y32"/>
          <cell r="Z32"/>
          <cell r="AA32"/>
          <cell r="AB32"/>
          <cell r="AC32"/>
          <cell r="AD32"/>
          <cell r="AE32"/>
          <cell r="AH32"/>
          <cell r="AN32">
            <v>2</v>
          </cell>
          <cell r="AP32" t="str">
            <v>(I) İlk defa karşılaşılan arıza</v>
          </cell>
          <cell r="AQ32">
            <v>45226</v>
          </cell>
          <cell r="AR32">
            <v>45226.583819444444</v>
          </cell>
          <cell r="AU32" t="str">
            <v>PA/PIS/CCTV</v>
          </cell>
          <cell r="AX32" t="str">
            <v>https://www.appsheet.com/Template/gettablefileurl?appname=GDM7x4_Failure_List-654943&amp;tableName=SAYFA1&amp;filename=Sayfa1_Images%2F4fd149af.Resim.160326.jpg</v>
          </cell>
        </row>
        <row r="33">
          <cell r="A33" t="str">
            <v>314f97da</v>
          </cell>
          <cell r="B33" t="str">
            <v>FRACAS-GDM-032</v>
          </cell>
          <cell r="E33">
            <v>45224</v>
          </cell>
          <cell r="F33">
            <v>45224</v>
          </cell>
          <cell r="G33" t="str">
            <v>TS#1</v>
          </cell>
          <cell r="H33" t="str">
            <v>Mc2</v>
          </cell>
          <cell r="I33" t="str">
            <v>Depo/Depot</v>
          </cell>
          <cell r="J33" t="str">
            <v>C-Uyarı, sürüş devamlılığı</v>
          </cell>
          <cell r="K33" t="str">
            <v>Devreye Alma(Servise Başlamadan Önceki Süreç)</v>
          </cell>
          <cell r="L33" t="str">
            <v>Doğru besleme yapılmasına rağmen cihaz düşük voltaj uyarısı vermektedir.</v>
          </cell>
          <cell r="M33" t="str">
            <v>Tamir süreci başlatıldı. Kalite bölümüne NCR oluşturuldu</v>
          </cell>
          <cell r="N33">
            <v>69</v>
          </cell>
          <cell r="P33" t="str">
            <v>C(Sisteme etki etmeyen arıza)</v>
          </cell>
          <cell r="Q33" t="str">
            <v>N.A(Yaralanma yok)</v>
          </cell>
          <cell r="R33" t="str">
            <v>Bozankaya</v>
          </cell>
          <cell r="T33">
            <v>45224</v>
          </cell>
          <cell r="U33">
            <v>45224</v>
          </cell>
          <cell r="V33" t="str">
            <v>Piton</v>
          </cell>
          <cell r="W33"/>
          <cell r="X33"/>
          <cell r="Y33"/>
          <cell r="Z33"/>
          <cell r="AA33"/>
          <cell r="AB33"/>
          <cell r="AC33"/>
          <cell r="AD33"/>
          <cell r="AE33"/>
          <cell r="AH33"/>
          <cell r="AN33">
            <v>2</v>
          </cell>
          <cell r="AP33" t="str">
            <v>(I) İlk defa karşılaşılan arıza</v>
          </cell>
          <cell r="AQ33">
            <v>45233</v>
          </cell>
          <cell r="AR33">
            <v>45233.584004629629</v>
          </cell>
          <cell r="AU33" t="str">
            <v>Kabin Masası</v>
          </cell>
          <cell r="AX33" t="str">
            <v>https://www.appsheet.com/Template/gettablefileurl?appname=GDM7x4_Failure_List-654943&amp;tableName=SAYFA1&amp;filename=Sayfa1_Images%2F314f97da.Resim.172233.jpg</v>
          </cell>
        </row>
        <row r="34">
          <cell r="A34" t="str">
            <v>54f7fefe</v>
          </cell>
          <cell r="B34" t="str">
            <v>FRACAS-GDM-033</v>
          </cell>
          <cell r="E34">
            <v>45230</v>
          </cell>
          <cell r="F34">
            <v>45230</v>
          </cell>
          <cell r="G34" t="str">
            <v>TS#1</v>
          </cell>
          <cell r="H34" t="str">
            <v>Mc1</v>
          </cell>
          <cell r="I34" t="str">
            <v>Depo/Depot</v>
          </cell>
          <cell r="J34" t="str">
            <v>C-Uyarı, sürüş devamlılığı</v>
          </cell>
          <cell r="K34" t="str">
            <v>Devreye Alma(Servise Başlamadan Önceki Süreç)</v>
          </cell>
          <cell r="L34" t="str">
            <v>Ön camdan yansıyan, güzergah LED ekranı, front kamerada rayların görünmesini engelliyor.</v>
          </cell>
          <cell r="M34" t="str">
            <v>Tamir süreci başlatıldı. Kalite bölümüne NCR oluşturuldu</v>
          </cell>
          <cell r="N34">
            <v>70</v>
          </cell>
          <cell r="P34" t="str">
            <v>C(Sisteme etki etmeyen arıza)</v>
          </cell>
          <cell r="Q34" t="str">
            <v>N.A(Yaralanma yok)</v>
          </cell>
          <cell r="R34" t="str">
            <v>Bozankaya</v>
          </cell>
          <cell r="T34">
            <v>45230</v>
          </cell>
          <cell r="U34">
            <v>45230</v>
          </cell>
          <cell r="V34" t="str">
            <v>Piton</v>
          </cell>
          <cell r="W34"/>
          <cell r="X34"/>
          <cell r="Y34"/>
          <cell r="Z34"/>
          <cell r="AA34"/>
          <cell r="AB34"/>
          <cell r="AC34" t="str">
            <v>41-HBR-23-002</v>
          </cell>
          <cell r="AD34"/>
          <cell r="AE34"/>
          <cell r="AH34"/>
          <cell r="AN34">
            <v>2</v>
          </cell>
          <cell r="AP34" t="str">
            <v>(I) İlk defa karşılaşılan arıza</v>
          </cell>
          <cell r="AQ34" t="str">
            <v/>
          </cell>
          <cell r="AR34"/>
          <cell r="AU34" t="str">
            <v>PA/PIS/CCTV</v>
          </cell>
          <cell r="AX34" t="str">
            <v>https://www.appsheet.com/Template/gettablefileurl?appname=GDM7x4_Failure_List-654943&amp;tableName=SAYFA1&amp;filename=Sayfa1_Images%2F54f7fefe.Resim.085532.jpg</v>
          </cell>
        </row>
        <row r="35">
          <cell r="A35" t="str">
            <v>dc1ed435</v>
          </cell>
          <cell r="B35" t="str">
            <v>FRACAS-GDM-034</v>
          </cell>
          <cell r="E35">
            <v>45230</v>
          </cell>
          <cell r="F35">
            <v>45230</v>
          </cell>
          <cell r="G35" t="str">
            <v>TS#1</v>
          </cell>
          <cell r="H35" t="str">
            <v>T</v>
          </cell>
          <cell r="I35" t="str">
            <v>Depo/Depot</v>
          </cell>
          <cell r="J35" t="str">
            <v>C-Uyarı, sürüş devamlılığı</v>
          </cell>
          <cell r="K35" t="str">
            <v>Devreye Alma(Servise Başlamadan Önceki Süreç)</v>
          </cell>
          <cell r="L35" t="str">
            <v>Mc2 vagonundaki ön Güzergah LED panelinde master karttan çıkan kablolar sırasıyla güzergah LED panellere giriş çıkış yapılarak Mc1 vagon ön güzergah LED paneline kadar CAT7 kabloya M12/8pin bağlantısında ekranlara giriş yapılırken pinlerin doğru oturmamasından kaynaklı haberleşme hataları olmaktadır.</v>
          </cell>
          <cell r="M35" t="str">
            <v>Tamir süreci başlatıldı. Kalite bölümüne NCR oluşturuldu</v>
          </cell>
          <cell r="N35">
            <v>73</v>
          </cell>
          <cell r="P35" t="str">
            <v>C(Sisteme etki etmeyen arıza)</v>
          </cell>
          <cell r="Q35" t="str">
            <v>N.A(Yaralanma yok)</v>
          </cell>
          <cell r="R35" t="str">
            <v>Bozankaya</v>
          </cell>
          <cell r="T35">
            <v>45230</v>
          </cell>
          <cell r="U35">
            <v>45230</v>
          </cell>
          <cell r="V35" t="str">
            <v>Piton</v>
          </cell>
          <cell r="W35"/>
          <cell r="X35"/>
          <cell r="Y35"/>
          <cell r="Z35"/>
          <cell r="AA35"/>
          <cell r="AB35"/>
          <cell r="AC35"/>
          <cell r="AD35"/>
          <cell r="AE35"/>
          <cell r="AH35"/>
          <cell r="AN35">
            <v>2</v>
          </cell>
          <cell r="AP35" t="str">
            <v>(I) İlk defa karşılaşılan arıza</v>
          </cell>
          <cell r="AQ35">
            <v>45231</v>
          </cell>
          <cell r="AR35">
            <v>45231.584201388891</v>
          </cell>
          <cell r="AU35" t="str">
            <v>PA/PIS/CCTV</v>
          </cell>
          <cell r="AX35" t="str">
            <v>https://www.appsheet.com/Template/gettablefileurl?appname=GDM7x4_Failure_List-654943&amp;tableName=SAYFA1&amp;filename=Sayfa1_Images%2Fdc1ed435.Resim.085631.jpg</v>
          </cell>
        </row>
        <row r="36">
          <cell r="A36" t="str">
            <v>31626d6d</v>
          </cell>
          <cell r="B36" t="str">
            <v>FRACAS-GDM-035</v>
          </cell>
          <cell r="E36">
            <v>45231</v>
          </cell>
          <cell r="F36">
            <v>45231</v>
          </cell>
          <cell r="G36" t="str">
            <v>TS#1</v>
          </cell>
          <cell r="H36" t="str">
            <v>Mc2</v>
          </cell>
          <cell r="I36" t="str">
            <v>Depo/Depot</v>
          </cell>
          <cell r="J36" t="str">
            <v>C-Uyarı, sürüş devamlılığı</v>
          </cell>
          <cell r="K36" t="str">
            <v>Devreye Alma(Servise Başlamadan Önceki Süreç)</v>
          </cell>
          <cell r="L36" t="str">
            <v>Aselsan telsizinin 4 civatasından 1 tanesinin arkasındaki somun ekik olduğu tespit edilmiştir.</v>
          </cell>
          <cell r="M36" t="str">
            <v>Tamir süreci başlatıldı. Kalite bölümüne NCR oluşturuldu</v>
          </cell>
          <cell r="N36">
            <v>75</v>
          </cell>
          <cell r="P36" t="str">
            <v>C(Sisteme etki etmeyen arıza)</v>
          </cell>
          <cell r="Q36" t="str">
            <v>N.A(Yaralanma yok)</v>
          </cell>
          <cell r="R36" t="str">
            <v>Bozankaya</v>
          </cell>
          <cell r="T36">
            <v>45231</v>
          </cell>
          <cell r="U36">
            <v>45231</v>
          </cell>
          <cell r="V36" t="str">
            <v>Bozankaya</v>
          </cell>
          <cell r="W36"/>
          <cell r="X36"/>
          <cell r="Y36"/>
          <cell r="Z36"/>
          <cell r="AA36"/>
          <cell r="AB36"/>
          <cell r="AC36"/>
          <cell r="AD36"/>
          <cell r="AE36"/>
          <cell r="AH36"/>
          <cell r="AN36">
            <v>2</v>
          </cell>
          <cell r="AP36" t="str">
            <v>(I) İlk defa karşılaşılan arıza</v>
          </cell>
          <cell r="AQ36">
            <v>45233</v>
          </cell>
          <cell r="AR36">
            <v>45233.584363425929</v>
          </cell>
          <cell r="AU36" t="str">
            <v>Kabin Masası</v>
          </cell>
          <cell r="AX36" t="str">
            <v>https://www.appsheet.com/Template/gettablefileurl?appname=GDM7x4_Failure_List-654943&amp;tableName=SAYFA1&amp;filename=Sayfa1_Images%2F31626d6d.Resim.133348.jpg</v>
          </cell>
        </row>
        <row r="37">
          <cell r="A37" t="str">
            <v>1b8a1cbb</v>
          </cell>
          <cell r="B37" t="str">
            <v>FRACAS-GDM-036</v>
          </cell>
          <cell r="E37">
            <v>45231</v>
          </cell>
          <cell r="F37">
            <v>45231</v>
          </cell>
          <cell r="G37" t="str">
            <v>TS#1</v>
          </cell>
          <cell r="H37" t="str">
            <v>Mc2</v>
          </cell>
          <cell r="I37" t="str">
            <v>Depo/Depot</v>
          </cell>
          <cell r="J37" t="str">
            <v>C-Uyarı, sürüş devamlılığı</v>
          </cell>
          <cell r="K37" t="str">
            <v>Devreye Alma(Servise Başlamadan Önceki Süreç)</v>
          </cell>
          <cell r="L37" t="str">
            <v>Aselsan anteninin alt kısmında nem tespit edilmiştir. Conta ile antenin krom saç kısmı ıslaklık mevcuttur.</v>
          </cell>
          <cell r="M37" t="str">
            <v>Tamir süreci başlatıldı. Kalite bölümüne NCR oluşturuldu</v>
          </cell>
          <cell r="N37">
            <v>78</v>
          </cell>
          <cell r="P37" t="str">
            <v>C(Sisteme etki etmeyen arıza)</v>
          </cell>
          <cell r="Q37" t="str">
            <v>N.A(Yaralanma yok)</v>
          </cell>
          <cell r="R37" t="str">
            <v>Bozankaya</v>
          </cell>
          <cell r="T37">
            <v>45231</v>
          </cell>
          <cell r="U37">
            <v>45231</v>
          </cell>
          <cell r="V37" t="str">
            <v>Bozankaya</v>
          </cell>
          <cell r="W37"/>
          <cell r="X37"/>
          <cell r="Y37"/>
          <cell r="Z37"/>
          <cell r="AA37"/>
          <cell r="AB37"/>
          <cell r="AC37"/>
          <cell r="AD37"/>
          <cell r="AE37" t="str">
            <v/>
          </cell>
          <cell r="AH37">
            <v>45233</v>
          </cell>
          <cell r="AN37">
            <v>2</v>
          </cell>
          <cell r="AP37" t="str">
            <v>(I) İlk defa karşılaşılan arıza</v>
          </cell>
          <cell r="AQ37">
            <v>45232</v>
          </cell>
          <cell r="AR37">
            <v>45232.584652777776</v>
          </cell>
          <cell r="AU37" t="str">
            <v>Dış Giydirme</v>
          </cell>
          <cell r="AX37" t="str">
            <v>https://www.appsheet.com/Template/gettablefileurl?appname=GDM7x4_Failure_List-654943&amp;tableName=SAYFA1&amp;filename=Sayfa1_Images%2F1b8a1cbb.Resim.134823.jpg</v>
          </cell>
        </row>
        <row r="38">
          <cell r="A38" t="str">
            <v>e17d7388</v>
          </cell>
          <cell r="B38" t="str">
            <v>FRACAS-GDM-037</v>
          </cell>
          <cell r="E38">
            <v>45231</v>
          </cell>
          <cell r="F38">
            <v>45231</v>
          </cell>
          <cell r="G38" t="str">
            <v>TS#1</v>
          </cell>
          <cell r="H38" t="str">
            <v>T</v>
          </cell>
          <cell r="I38" t="str">
            <v>Depo/Depot</v>
          </cell>
          <cell r="J38" t="str">
            <v>C-Uyarı, sürüş devamlılığı</v>
          </cell>
          <cell r="K38" t="str">
            <v>Devreye Alma(Servise Başlamadan Önceki Süreç)</v>
          </cell>
          <cell r="L38" t="str">
            <v>LVSG kutusunun civataları her açılış ve kapanışta sorun çıkarmatadır. Civataların sıyırıyor, diş kaptırıyor ve diş aşınması oluyor. Bunun sonucun da kapak kapanmakta zorluk yaşanmaktadır.</v>
          </cell>
          <cell r="M38" t="str">
            <v>Tamir süreci başlatıldı. Kalite bölümüne NCR oluşturuldu</v>
          </cell>
          <cell r="N38">
            <v>79</v>
          </cell>
          <cell r="P38" t="str">
            <v>C(Sisteme etki etmeyen arıza)</v>
          </cell>
          <cell r="Q38" t="str">
            <v>N.A(Yaralanma yok)</v>
          </cell>
          <cell r="R38" t="str">
            <v>Bozankaya</v>
          </cell>
          <cell r="T38">
            <v>45231</v>
          </cell>
          <cell r="U38">
            <v>45231</v>
          </cell>
          <cell r="V38" t="str">
            <v>ABB</v>
          </cell>
          <cell r="W38"/>
          <cell r="X38"/>
          <cell r="Y38"/>
          <cell r="Z38"/>
          <cell r="AA38"/>
          <cell r="AB38"/>
          <cell r="AC38"/>
          <cell r="AD38"/>
          <cell r="AE38"/>
          <cell r="AH38"/>
          <cell r="AN38">
            <v>2</v>
          </cell>
          <cell r="AP38" t="str">
            <v>(I) İlk defa karşılaşılan arıza</v>
          </cell>
          <cell r="AQ38" t="str">
            <v/>
          </cell>
          <cell r="AR38"/>
          <cell r="AU38" t="str">
            <v>Yardımcı Güç Ünitesi</v>
          </cell>
          <cell r="AX38" t="str">
            <v>https://www.appsheet.com/Template/gettablefileurl?appname=GDM7x4_Failure_List-654943&amp;tableName=SAYFA1&amp;filename=Sayfa1_Images%2Fe17d7388.Resim.141657.jpg</v>
          </cell>
        </row>
        <row r="39">
          <cell r="A39" t="str">
            <v>36a742d1</v>
          </cell>
          <cell r="B39" t="str">
            <v>FRACAS-GDM-038</v>
          </cell>
          <cell r="E39">
            <v>45231</v>
          </cell>
          <cell r="F39">
            <v>45231</v>
          </cell>
          <cell r="G39" t="str">
            <v>TS#1</v>
          </cell>
          <cell r="H39" t="str">
            <v>T</v>
          </cell>
          <cell r="I39" t="str">
            <v>Depo/Depot</v>
          </cell>
          <cell r="J39" t="str">
            <v>C-Uyarı, sürüş devamlılığı</v>
          </cell>
          <cell r="K39" t="str">
            <v>Devreye Alma(Servise Başlamadan Önceki Süreç)</v>
          </cell>
          <cell r="L39" t="str">
            <v>LVSG kapağının switch tam olarak basmamaktadır. Kapağın altındaki switch basması gerek alan küçük yapıldığından kapak aşağı kaymaktadır.</v>
          </cell>
          <cell r="M39" t="str">
            <v>Tamir süreci başlatıldı. Kalite bölümüne NCR oluşturuldu</v>
          </cell>
          <cell r="N39">
            <v>82</v>
          </cell>
          <cell r="P39" t="str">
            <v>C(Sisteme etki etmeyen arıza)</v>
          </cell>
          <cell r="Q39" t="str">
            <v>N.A(Yaralanma yok)</v>
          </cell>
          <cell r="R39" t="str">
            <v>Bozankaya</v>
          </cell>
          <cell r="T39">
            <v>45231</v>
          </cell>
          <cell r="U39">
            <v>45231</v>
          </cell>
          <cell r="V39" t="str">
            <v>ABB</v>
          </cell>
          <cell r="W39"/>
          <cell r="X39"/>
          <cell r="Y39"/>
          <cell r="Z39"/>
          <cell r="AA39"/>
          <cell r="AB39"/>
          <cell r="AC39"/>
          <cell r="AD39"/>
          <cell r="AE39"/>
          <cell r="AH39"/>
          <cell r="AN39">
            <v>2</v>
          </cell>
          <cell r="AP39" t="str">
            <v>(I) İlk defa karşılaşılan arıza</v>
          </cell>
          <cell r="AQ39" t="str">
            <v/>
          </cell>
          <cell r="AR39"/>
          <cell r="AU39" t="str">
            <v>Yardımcı Güç Ünitesi</v>
          </cell>
          <cell r="AX39" t="str">
            <v>https://www.appsheet.com/Template/gettablefileurl?appname=GDM7x4_Failure_List-654943&amp;tableName=SAYFA1&amp;filename=Sayfa1_Images%2F36a742d1.Resim.142249.jpg</v>
          </cell>
        </row>
        <row r="40">
          <cell r="A40" t="str">
            <v>5e35fd9a</v>
          </cell>
          <cell r="B40" t="str">
            <v>FRACAS-GDM-039</v>
          </cell>
          <cell r="E40">
            <v>45232</v>
          </cell>
          <cell r="F40">
            <v>45232</v>
          </cell>
          <cell r="G40" t="str">
            <v>TS#1</v>
          </cell>
          <cell r="H40" t="str">
            <v>Mc1</v>
          </cell>
          <cell r="I40" t="str">
            <v>Depo/Depot</v>
          </cell>
          <cell r="J40" t="str">
            <v>C-Uyarı, sürüş devamlılığı</v>
          </cell>
          <cell r="K40" t="str">
            <v>Devreye Alma(Servise Başlamadan Önceki Süreç)</v>
          </cell>
          <cell r="L40" t="str">
            <v>Bakım anahtarı çalışmıyor.</v>
          </cell>
          <cell r="M40" t="str">
            <v>Tamir süreci başlatıldı. Kalite bölümüne NCR oluşturuldu</v>
          </cell>
          <cell r="N40">
            <v>83</v>
          </cell>
          <cell r="P40" t="str">
            <v>C(Sisteme etki etmeyen arıza)</v>
          </cell>
          <cell r="Q40" t="str">
            <v>N.A(Yaralanma yok)</v>
          </cell>
          <cell r="R40" t="str">
            <v>Bozankaya</v>
          </cell>
          <cell r="T40">
            <v>45232</v>
          </cell>
          <cell r="U40">
            <v>45232</v>
          </cell>
          <cell r="V40" t="str">
            <v>Bozankaya</v>
          </cell>
          <cell r="W40"/>
          <cell r="X40"/>
          <cell r="Y40"/>
          <cell r="Z40"/>
          <cell r="AA40"/>
          <cell r="AB40"/>
          <cell r="AC40"/>
          <cell r="AD40"/>
          <cell r="AE40"/>
          <cell r="AH40"/>
          <cell r="AN40">
            <v>2</v>
          </cell>
          <cell r="AP40" t="str">
            <v>(I) İlk defa karşılaşılan arıza</v>
          </cell>
          <cell r="AQ40">
            <v>45238</v>
          </cell>
          <cell r="AR40">
            <v>45238.585104166668</v>
          </cell>
          <cell r="AU40" t="str">
            <v>E-Kabinet</v>
          </cell>
          <cell r="AX40" t="str">
            <v>https://www.appsheet.com/Template/gettablefileurl?appname=GDM7x4_Failure_List-654943&amp;tableName=SAYFA1&amp;filename=Sayfa1_Images%2F5e35fd9a.Resim.080147.jpg</v>
          </cell>
        </row>
        <row r="41">
          <cell r="A41" t="str">
            <v>c6ba3ada</v>
          </cell>
          <cell r="B41" t="str">
            <v>FRACAS-GDM-040</v>
          </cell>
          <cell r="E41">
            <v>45233</v>
          </cell>
          <cell r="F41">
            <v>45233</v>
          </cell>
          <cell r="G41" t="str">
            <v>TS#2</v>
          </cell>
          <cell r="H41" t="str">
            <v>Mc2</v>
          </cell>
          <cell r="I41" t="str">
            <v>Depo/Depot</v>
          </cell>
          <cell r="J41" t="str">
            <v>C-Uyarı, sürüş devamlılığı</v>
          </cell>
          <cell r="K41" t="str">
            <v>Devreye Alma(Servise Başlamadan Önceki Süreç)</v>
          </cell>
          <cell r="L41" t="str">
            <v>Jumper sabitleme braketinin 1 adet vidası eksik</v>
          </cell>
          <cell r="M41" t="str">
            <v>Tamir süreci başlatıldı. Kalite bölümüne NCR oluşturuldu</v>
          </cell>
          <cell r="N41">
            <v>0</v>
          </cell>
          <cell r="P41" t="str">
            <v>C(Sisteme etki etmeyen arıza)</v>
          </cell>
          <cell r="Q41" t="str">
            <v>N.A(Yaralanma yok)</v>
          </cell>
          <cell r="R41" t="str">
            <v>Bozankaya</v>
          </cell>
          <cell r="T41">
            <v>45233</v>
          </cell>
          <cell r="U41">
            <v>45233</v>
          </cell>
          <cell r="V41" t="str">
            <v>Bozankaya</v>
          </cell>
          <cell r="W41"/>
          <cell r="X41"/>
          <cell r="Y41"/>
          <cell r="Z41"/>
          <cell r="AA41"/>
          <cell r="AB41"/>
          <cell r="AC41"/>
          <cell r="AD41"/>
          <cell r="AE41"/>
          <cell r="AH41"/>
          <cell r="AN41">
            <v>2</v>
          </cell>
          <cell r="AP41" t="str">
            <v>(I) İlk defa karşılaşılan arıza</v>
          </cell>
          <cell r="AQ41" t="str">
            <v/>
          </cell>
          <cell r="AR41"/>
          <cell r="AU41" t="str">
            <v>Dış Giydirme</v>
          </cell>
          <cell r="AX41" t="str">
            <v>https://www.appsheet.com/Template/gettablefileurl?appname=GDM7x4_Failure_List-654943&amp;tableName=SAYFA1&amp;filename=Sayfa1_Images%2Fc6ba3ada.Resim.082209.jpg</v>
          </cell>
        </row>
        <row r="42">
          <cell r="A42" t="str">
            <v>2f036a34</v>
          </cell>
          <cell r="B42" t="str">
            <v>FRACAS-GDM-041</v>
          </cell>
          <cell r="E42">
            <v>45233</v>
          </cell>
          <cell r="F42">
            <v>45233</v>
          </cell>
          <cell r="G42" t="str">
            <v>TS#2</v>
          </cell>
          <cell r="H42" t="str">
            <v>T</v>
          </cell>
          <cell r="I42" t="str">
            <v>Depo/Depot</v>
          </cell>
          <cell r="J42" t="str">
            <v>C-Uyarı, sürüş devamlılığı</v>
          </cell>
          <cell r="K42" t="str">
            <v>Devreye Alma(Servise Başlamadan Önceki Süreç)</v>
          </cell>
          <cell r="L42" t="str">
            <v>Jumper sabitleme braketinin 6 adet vidası eksik.</v>
          </cell>
          <cell r="M42" t="str">
            <v>Tamir süreci başlatıldı. Kalite bölümüne NCR oluşturuldu</v>
          </cell>
          <cell r="N42">
            <v>0</v>
          </cell>
          <cell r="P42" t="str">
            <v>C(Sisteme etki etmeyen arıza)</v>
          </cell>
          <cell r="Q42" t="str">
            <v>N.A(Yaralanma yok)</v>
          </cell>
          <cell r="R42" t="str">
            <v>Bozankaya</v>
          </cell>
          <cell r="T42">
            <v>45233</v>
          </cell>
          <cell r="U42">
            <v>45233</v>
          </cell>
          <cell r="V42" t="str">
            <v>Bozankaya</v>
          </cell>
          <cell r="W42"/>
          <cell r="X42"/>
          <cell r="Y42"/>
          <cell r="Z42"/>
          <cell r="AA42"/>
          <cell r="AB42"/>
          <cell r="AC42"/>
          <cell r="AD42"/>
          <cell r="AE42"/>
          <cell r="AH42"/>
          <cell r="AN42">
            <v>2</v>
          </cell>
          <cell r="AP42" t="str">
            <v>(I) İlk defa karşılaşılan arıza</v>
          </cell>
          <cell r="AQ42">
            <v>45289</v>
          </cell>
          <cell r="AR42">
            <v>45289.585451388892</v>
          </cell>
          <cell r="AU42" t="str">
            <v>Dış Giydirme</v>
          </cell>
          <cell r="AX42" t="str">
            <v>https://www.appsheet.com/Template/gettablefileurl?appname=GDM7x4_Failure_List-654943&amp;tableName=SAYFA1&amp;filename=Sayfa1_Images%2F2f036a34.Resim.082918.jpg</v>
          </cell>
        </row>
        <row r="43">
          <cell r="A43" t="str">
            <v>d6f52f80</v>
          </cell>
          <cell r="B43" t="str">
            <v>FRACAS-GDM-042</v>
          </cell>
          <cell r="E43">
            <v>45233</v>
          </cell>
          <cell r="F43">
            <v>45233</v>
          </cell>
          <cell r="G43" t="str">
            <v>TS#2</v>
          </cell>
          <cell r="H43" t="str">
            <v>Mc2</v>
          </cell>
          <cell r="I43" t="str">
            <v>Depo/Depot</v>
          </cell>
          <cell r="J43" t="str">
            <v>C-Uyarı, sürüş devamlılığı</v>
          </cell>
          <cell r="K43" t="str">
            <v>Devreye Alma(Servise Başlamadan Önceki Süreç)</v>
          </cell>
          <cell r="L43" t="str">
            <v>Tutunma barlarının montajı yapılmamıştır.</v>
          </cell>
          <cell r="M43" t="str">
            <v>Tamir süreci başlatıldı. Kalite bölümüne NCR oluşturuldu</v>
          </cell>
          <cell r="N43">
            <v>0</v>
          </cell>
          <cell r="P43" t="str">
            <v>C(Sisteme etki etmeyen arıza)</v>
          </cell>
          <cell r="Q43" t="str">
            <v>N.A(Yaralanma yok)</v>
          </cell>
          <cell r="R43" t="str">
            <v>Bozankaya</v>
          </cell>
          <cell r="T43">
            <v>45233</v>
          </cell>
          <cell r="U43">
            <v>45233</v>
          </cell>
          <cell r="V43" t="str">
            <v>Bozankaya</v>
          </cell>
          <cell r="W43"/>
          <cell r="X43"/>
          <cell r="Y43"/>
          <cell r="Z43"/>
          <cell r="AA43"/>
          <cell r="AB43"/>
          <cell r="AC43"/>
          <cell r="AD43"/>
          <cell r="AE43"/>
          <cell r="AH43"/>
          <cell r="AN43">
            <v>2</v>
          </cell>
          <cell r="AP43" t="str">
            <v>(I) İlk defa karşılaşılan arıza</v>
          </cell>
          <cell r="AQ43" t="str">
            <v/>
          </cell>
          <cell r="AR43"/>
          <cell r="AU43" t="str">
            <v>İç Giydirme</v>
          </cell>
          <cell r="AX43" t="str">
            <v>https://www.appsheet.com/Template/gettablefileurl?appname=GDM7x4_Failure_List-654943&amp;tableName=SAYFA1&amp;filename=Sayfa1_Images%2Fd6f52f80.Resim.131107.jpg</v>
          </cell>
        </row>
        <row r="44">
          <cell r="A44" t="str">
            <v>21675bca</v>
          </cell>
          <cell r="B44" t="str">
            <v>FRACAS-GDM-043</v>
          </cell>
          <cell r="E44">
            <v>45233</v>
          </cell>
          <cell r="F44">
            <v>45233</v>
          </cell>
          <cell r="G44" t="str">
            <v>TS#2</v>
          </cell>
          <cell r="H44" t="str">
            <v>Mc2</v>
          </cell>
          <cell r="I44" t="str">
            <v>Depo/Depot</v>
          </cell>
          <cell r="J44" t="str">
            <v>C-Uyarı, sürüş devamlılığı</v>
          </cell>
          <cell r="K44" t="str">
            <v>Devreye Alma(Servise Başlamadan Önceki Süreç)</v>
          </cell>
          <cell r="L44" t="str">
            <v>Yangın tüpü montajı yapılmamıştır.</v>
          </cell>
          <cell r="M44" t="str">
            <v>Tamir süreci başlatıldı. Kalite bölümüne NCR oluşturuldu</v>
          </cell>
          <cell r="N44">
            <v>0</v>
          </cell>
          <cell r="P44" t="str">
            <v>C(Sisteme etki etmeyen arıza)</v>
          </cell>
          <cell r="Q44" t="str">
            <v>N.A(Yaralanma yok)</v>
          </cell>
          <cell r="R44" t="str">
            <v>Bozankaya</v>
          </cell>
          <cell r="T44">
            <v>45233</v>
          </cell>
          <cell r="U44">
            <v>45233</v>
          </cell>
          <cell r="V44" t="str">
            <v>Bozankaya</v>
          </cell>
          <cell r="W44"/>
          <cell r="X44"/>
          <cell r="Y44"/>
          <cell r="Z44"/>
          <cell r="AA44"/>
          <cell r="AB44"/>
          <cell r="AC44"/>
          <cell r="AD44"/>
          <cell r="AE44"/>
          <cell r="AH44"/>
          <cell r="AN44">
            <v>2</v>
          </cell>
          <cell r="AP44" t="str">
            <v>(I) İlk defa karşılaşılan arıza</v>
          </cell>
          <cell r="AQ44" t="str">
            <v/>
          </cell>
          <cell r="AR44"/>
          <cell r="AU44" t="str">
            <v>İç Giydirme</v>
          </cell>
          <cell r="AX44" t="str">
            <v>https://www.appsheet.com/Template/gettablefileurl?appname=GDM7x4_Failure_List-654943&amp;tableName=SAYFA1&amp;filename=Sayfa1_Images%2F21675bca.Resim.131256.jpg</v>
          </cell>
        </row>
        <row r="45">
          <cell r="A45" t="str">
            <v>0493c1d8</v>
          </cell>
          <cell r="B45" t="str">
            <v>FRACAS-GDM-044</v>
          </cell>
          <cell r="E45">
            <v>45233</v>
          </cell>
          <cell r="F45">
            <v>45233</v>
          </cell>
          <cell r="G45" t="str">
            <v>TS#2</v>
          </cell>
          <cell r="H45" t="str">
            <v>Mc2</v>
          </cell>
          <cell r="I45" t="str">
            <v>Depo/Depot</v>
          </cell>
          <cell r="J45" t="str">
            <v>C-Uyarı, sürüş devamlılığı</v>
          </cell>
          <cell r="K45" t="str">
            <v>Devreye Alma(Servise Başlamadan Önceki Süreç)</v>
          </cell>
          <cell r="L45" t="str">
            <v>Ekran sabit değil ve koruma jelatini sökülmemiş.</v>
          </cell>
          <cell r="M45" t="str">
            <v>Tamir süreci başlatıldı. Kalite bölümüne NCR oluşturuldu</v>
          </cell>
          <cell r="N45">
            <v>0</v>
          </cell>
          <cell r="P45" t="str">
            <v>C(Sisteme etki etmeyen arıza)</v>
          </cell>
          <cell r="Q45" t="str">
            <v>N.A(Yaralanma yok)</v>
          </cell>
          <cell r="R45" t="str">
            <v>Bozankaya</v>
          </cell>
          <cell r="T45">
            <v>45233</v>
          </cell>
          <cell r="U45">
            <v>45233</v>
          </cell>
          <cell r="V45" t="str">
            <v>Piton</v>
          </cell>
          <cell r="W45"/>
          <cell r="X45"/>
          <cell r="Y45"/>
          <cell r="Z45"/>
          <cell r="AA45"/>
          <cell r="AB45"/>
          <cell r="AC45"/>
          <cell r="AD45"/>
          <cell r="AE45"/>
          <cell r="AH45"/>
          <cell r="AN45">
            <v>2</v>
          </cell>
          <cell r="AP45" t="str">
            <v>(I) İlk defa karşılaşılan arıza</v>
          </cell>
          <cell r="AQ45" t="str">
            <v/>
          </cell>
          <cell r="AR45"/>
          <cell r="AU45" t="str">
            <v>İç Giydirme</v>
          </cell>
          <cell r="AX45" t="str">
            <v>https://www.appsheet.com/Template/gettablefileurl?appname=GDM7x4_Failure_List-654943&amp;tableName=SAYFA1&amp;filename=Sayfa1_Images%2F0493c1d8.Resim.131409.jpg</v>
          </cell>
        </row>
        <row r="46">
          <cell r="A46" t="str">
            <v>a438f5be</v>
          </cell>
          <cell r="B46" t="str">
            <v>FRACAS-GDM-045</v>
          </cell>
          <cell r="E46">
            <v>45233</v>
          </cell>
          <cell r="F46">
            <v>45233</v>
          </cell>
          <cell r="G46" t="str">
            <v>TS#2</v>
          </cell>
          <cell r="H46" t="str">
            <v>T</v>
          </cell>
          <cell r="I46" t="str">
            <v>Depo/Depot</v>
          </cell>
          <cell r="J46" t="str">
            <v>C-Uyarı, sürüş devamlılığı</v>
          </cell>
          <cell r="K46" t="str">
            <v>Devreye Alma(Servise Başlamadan Önceki Süreç)</v>
          </cell>
          <cell r="L46" t="str">
            <v>Dikey tutunma barı eksik</v>
          </cell>
          <cell r="M46" t="str">
            <v>Tamir süreci başlatıldı. Kalite bölümüne NCR oluşturuldu</v>
          </cell>
          <cell r="N46">
            <v>0</v>
          </cell>
          <cell r="P46" t="str">
            <v>C(Sisteme etki etmeyen arıza)</v>
          </cell>
          <cell r="Q46" t="str">
            <v>N.A(Yaralanma yok)</v>
          </cell>
          <cell r="R46" t="str">
            <v>Bozankaya</v>
          </cell>
          <cell r="T46">
            <v>45233</v>
          </cell>
          <cell r="U46">
            <v>45233</v>
          </cell>
          <cell r="V46" t="str">
            <v>Bozankaya</v>
          </cell>
          <cell r="W46"/>
          <cell r="X46"/>
          <cell r="Y46"/>
          <cell r="Z46"/>
          <cell r="AA46"/>
          <cell r="AB46"/>
          <cell r="AC46"/>
          <cell r="AD46"/>
          <cell r="AE46"/>
          <cell r="AH46"/>
          <cell r="AN46">
            <v>2</v>
          </cell>
          <cell r="AP46" t="str">
            <v>(I) İlk defa karşılaşılan arıza</v>
          </cell>
          <cell r="AQ46" t="str">
            <v/>
          </cell>
          <cell r="AR46"/>
          <cell r="AU46" t="str">
            <v>İç Giydirme</v>
          </cell>
          <cell r="AX46" t="str">
            <v>https://www.appsheet.com/Template/gettablefileurl?appname=GDM7x4_Failure_List-654943&amp;tableName=SAYFA1&amp;filename=Sayfa1_Images%2Fa438f5be.Resim.132431.jpg</v>
          </cell>
        </row>
        <row r="47">
          <cell r="A47" t="str">
            <v>0b3a82f5</v>
          </cell>
          <cell r="B47" t="str">
            <v>FRACAS-GDM-046</v>
          </cell>
          <cell r="E47">
            <v>45233</v>
          </cell>
          <cell r="F47">
            <v>45233</v>
          </cell>
          <cell r="G47" t="str">
            <v>TS#2</v>
          </cell>
          <cell r="H47" t="str">
            <v>T</v>
          </cell>
          <cell r="I47" t="str">
            <v>Depo/Depot</v>
          </cell>
          <cell r="J47" t="str">
            <v>C-Uyarı, sürüş devamlılığı</v>
          </cell>
          <cell r="K47" t="str">
            <v>Devreye Alma(Servise Başlamadan Önceki Süreç)</v>
          </cell>
          <cell r="L47" t="str">
            <v>Tutunma barı eksik</v>
          </cell>
          <cell r="M47" t="str">
            <v>Tamir süreci başlatıldı. Kalite bölümüne NCR oluşturuldu</v>
          </cell>
          <cell r="N47">
            <v>0</v>
          </cell>
          <cell r="P47" t="str">
            <v>C(Sisteme etki etmeyen arıza)</v>
          </cell>
          <cell r="Q47" t="str">
            <v>N.A(Yaralanma yok)</v>
          </cell>
          <cell r="R47" t="str">
            <v>Bozankaya</v>
          </cell>
          <cell r="T47">
            <v>45233</v>
          </cell>
          <cell r="U47">
            <v>45233</v>
          </cell>
          <cell r="V47" t="str">
            <v>Bozankaya</v>
          </cell>
          <cell r="W47"/>
          <cell r="X47"/>
          <cell r="Y47"/>
          <cell r="Z47"/>
          <cell r="AA47"/>
          <cell r="AB47"/>
          <cell r="AC47"/>
          <cell r="AD47"/>
          <cell r="AE47"/>
          <cell r="AH47"/>
          <cell r="AN47">
            <v>2</v>
          </cell>
          <cell r="AP47" t="str">
            <v>(I) İlk defa karşılaşılan arıza</v>
          </cell>
          <cell r="AQ47" t="str">
            <v/>
          </cell>
          <cell r="AR47"/>
          <cell r="AU47" t="str">
            <v>İç Giydirme</v>
          </cell>
          <cell r="AX47" t="str">
            <v>https://www.appsheet.com/Template/gettablefileurl?appname=GDM7x4_Failure_List-654943&amp;tableName=SAYFA1&amp;filename=Sayfa1_Images%2F0b3a82f5.Resim.132610.jpg</v>
          </cell>
        </row>
        <row r="48">
          <cell r="A48" t="str">
            <v>564dc901</v>
          </cell>
          <cell r="B48" t="str">
            <v>FRACAS-GDM-047</v>
          </cell>
          <cell r="E48">
            <v>45240</v>
          </cell>
          <cell r="F48">
            <v>45240</v>
          </cell>
          <cell r="G48" t="str">
            <v>TS#1</v>
          </cell>
          <cell r="H48" t="str">
            <v>Mc1</v>
          </cell>
          <cell r="I48" t="str">
            <v>Depo/Depot</v>
          </cell>
          <cell r="J48" t="str">
            <v>C-Uyarı, sürüş devamlılığı</v>
          </cell>
          <cell r="K48" t="str">
            <v>Devreye Alma(Servise Başlamadan Önceki Süreç)</v>
          </cell>
          <cell r="L48" t="str">
            <v>JG-K03 rölesi tasarım tarafından tekrar düzenlenerek röle değişimi yapacaktır. Cam rezistansı röleyi bozmaktadır.</v>
          </cell>
          <cell r="M48" t="str">
            <v>Tamir süreci başlatıldı. Kalite bölümüne NCR oluşturuldu</v>
          </cell>
          <cell r="N48">
            <v>101</v>
          </cell>
          <cell r="P48" t="str">
            <v>C(Sisteme etki etmeyen arıza)</v>
          </cell>
          <cell r="Q48" t="str">
            <v>N.A(Yaralanma yok)</v>
          </cell>
          <cell r="R48" t="str">
            <v>Bozankaya</v>
          </cell>
          <cell r="T48">
            <v>45240</v>
          </cell>
          <cell r="U48">
            <v>45240</v>
          </cell>
          <cell r="V48" t="str">
            <v>Bozankaya</v>
          </cell>
          <cell r="W48"/>
          <cell r="X48"/>
          <cell r="Y48"/>
          <cell r="Z48"/>
          <cell r="AA48"/>
          <cell r="AB48"/>
          <cell r="AC48"/>
          <cell r="AD48"/>
          <cell r="AE48"/>
          <cell r="AH48"/>
          <cell r="AN48">
            <v>2</v>
          </cell>
          <cell r="AP48" t="str">
            <v>(I) İlk defa karşılaşılan arıza</v>
          </cell>
          <cell r="AQ48" t="str">
            <v/>
          </cell>
          <cell r="AR48"/>
          <cell r="AU48" t="str">
            <v>E-Kabinet</v>
          </cell>
          <cell r="AX48" t="str">
            <v>https://www.appsheet.com/Template/gettablefileurl?appname=GDM7x4_Failure_List-654943&amp;tableName=SAYFA1&amp;filename=Sayfa1_Images%2F564dc901.Resim.100218.jpg</v>
          </cell>
        </row>
        <row r="49">
          <cell r="A49" t="str">
            <v>95ef4f1a</v>
          </cell>
          <cell r="B49" t="str">
            <v>FRACAS-GDM-048</v>
          </cell>
          <cell r="E49">
            <v>45240</v>
          </cell>
          <cell r="F49">
            <v>45240</v>
          </cell>
          <cell r="G49" t="str">
            <v>TS#1</v>
          </cell>
          <cell r="H49" t="str">
            <v>Mc1</v>
          </cell>
          <cell r="I49" t="str">
            <v>Depo/Depot</v>
          </cell>
          <cell r="J49" t="str">
            <v>C-Uyarı, sürüş devamlılığı</v>
          </cell>
          <cell r="K49" t="str">
            <v>Devreye Alma(Servise Başlamadan Önceki Süreç)</v>
          </cell>
          <cell r="L49" t="str">
            <v>Tüm kapıların eşiğindeki sarı bantlar eksik</v>
          </cell>
          <cell r="M49" t="str">
            <v>Tamir süreci başlatıldı. Kalite bölümüne NCR oluşturuldu</v>
          </cell>
          <cell r="N49">
            <v>104</v>
          </cell>
          <cell r="P49" t="str">
            <v>C(Sisteme etki etmeyen arıza)</v>
          </cell>
          <cell r="Q49" t="str">
            <v>N.A(Yaralanma yok)</v>
          </cell>
          <cell r="R49" t="str">
            <v>Bozankaya</v>
          </cell>
          <cell r="T49">
            <v>45240</v>
          </cell>
          <cell r="U49">
            <v>45240</v>
          </cell>
          <cell r="V49" t="str">
            <v>Bozankaya</v>
          </cell>
          <cell r="W49"/>
          <cell r="X49"/>
          <cell r="Y49"/>
          <cell r="Z49"/>
          <cell r="AA49"/>
          <cell r="AB49"/>
          <cell r="AC49"/>
          <cell r="AD49"/>
          <cell r="AE49"/>
          <cell r="AH49"/>
          <cell r="AN49">
            <v>2</v>
          </cell>
          <cell r="AP49" t="str">
            <v>(I) İlk defa karşılaşılan arıza</v>
          </cell>
          <cell r="AQ49" t="str">
            <v/>
          </cell>
          <cell r="AR49"/>
          <cell r="AU49" t="str">
            <v>İç Giydirme</v>
          </cell>
          <cell r="AX49" t="str">
            <v>https://www.appsheet.com/Template/gettablefileurl?appname=GDM7x4_Failure_List-654943&amp;tableName=SAYFA1&amp;filename=Sayfa1_Images%2F95ef4f1a.Resim.174522.jpg</v>
          </cell>
        </row>
        <row r="50">
          <cell r="A50" t="str">
            <v>b21545d1</v>
          </cell>
          <cell r="B50" t="str">
            <v>FRACAS-GDM-049</v>
          </cell>
          <cell r="E50">
            <v>45240</v>
          </cell>
          <cell r="F50">
            <v>45240</v>
          </cell>
          <cell r="G50" t="str">
            <v>TS#1</v>
          </cell>
          <cell r="H50" t="str">
            <v>M</v>
          </cell>
          <cell r="I50" t="str">
            <v>Depo/Depot</v>
          </cell>
          <cell r="J50" t="str">
            <v>C-Uyarı, sürüş devamlılığı</v>
          </cell>
          <cell r="K50" t="str">
            <v>Devreye Alma(Servise Başlamadan Önceki Süreç)</v>
          </cell>
          <cell r="L50" t="str">
            <v>Tüm kapıların eşiğindeki sarı bant eksik</v>
          </cell>
          <cell r="M50" t="str">
            <v>Tamir süreci başlatıldı. Kalite bölümüne NCR oluşturuldu</v>
          </cell>
          <cell r="N50">
            <v>107</v>
          </cell>
          <cell r="P50" t="str">
            <v>C(Sisteme etki etmeyen arıza)</v>
          </cell>
          <cell r="Q50" t="str">
            <v>N.A(Yaralanma yok)</v>
          </cell>
          <cell r="R50" t="str">
            <v>Bozankaya</v>
          </cell>
          <cell r="T50">
            <v>45240</v>
          </cell>
          <cell r="U50">
            <v>45240</v>
          </cell>
          <cell r="V50" t="str">
            <v>Bozankaya</v>
          </cell>
          <cell r="W50"/>
          <cell r="X50"/>
          <cell r="Y50"/>
          <cell r="Z50"/>
          <cell r="AA50"/>
          <cell r="AB50"/>
          <cell r="AC50"/>
          <cell r="AD50"/>
          <cell r="AE50"/>
          <cell r="AH50"/>
          <cell r="AN50">
            <v>2</v>
          </cell>
          <cell r="AP50" t="str">
            <v>(I) İlk defa karşılaşılan arıza</v>
          </cell>
          <cell r="AQ50" t="str">
            <v/>
          </cell>
          <cell r="AR50"/>
          <cell r="AU50" t="str">
            <v>İç Giydirme</v>
          </cell>
          <cell r="AX50" t="str">
            <v>https://www.appsheet.com/Template/gettablefileurl?appname=GDM7x4_Failure_List-654943&amp;tableName=SAYFA1&amp;filename=Sayfa1_Images%2Fb21545d1.Resim.174635.jpg</v>
          </cell>
        </row>
        <row r="51">
          <cell r="A51" t="str">
            <v>08ca0f59</v>
          </cell>
          <cell r="B51" t="str">
            <v>FRACAS-GDM-050</v>
          </cell>
          <cell r="E51">
            <v>45240</v>
          </cell>
          <cell r="F51">
            <v>45240</v>
          </cell>
          <cell r="G51" t="str">
            <v>TS#1</v>
          </cell>
          <cell r="H51" t="str">
            <v>T</v>
          </cell>
          <cell r="I51" t="str">
            <v>Depo/Depot</v>
          </cell>
          <cell r="J51" t="str">
            <v>C-Uyarı, sürüş devamlılığı</v>
          </cell>
          <cell r="K51" t="str">
            <v>Devreye Alma(Servise Başlamadan Önceki Süreç)</v>
          </cell>
          <cell r="L51" t="str">
            <v>Tüm kapıların eşiğindeki sarı bant eksik</v>
          </cell>
          <cell r="M51" t="str">
            <v>Tamir süreci başlatıldı. Kalite bölümüne NCR oluşturuldu</v>
          </cell>
          <cell r="N51">
            <v>117</v>
          </cell>
          <cell r="P51" t="str">
            <v>C(Sisteme etki etmeyen arıza)</v>
          </cell>
          <cell r="Q51" t="str">
            <v>N.A(Yaralanma yok)</v>
          </cell>
          <cell r="R51" t="str">
            <v>Bozankaya</v>
          </cell>
          <cell r="T51">
            <v>45240</v>
          </cell>
          <cell r="U51">
            <v>45240</v>
          </cell>
          <cell r="V51" t="str">
            <v>Bozankaya</v>
          </cell>
          <cell r="W51"/>
          <cell r="X51"/>
          <cell r="Y51"/>
          <cell r="Z51"/>
          <cell r="AA51"/>
          <cell r="AB51"/>
          <cell r="AC51"/>
          <cell r="AD51"/>
          <cell r="AE51"/>
          <cell r="AH51"/>
          <cell r="AN51">
            <v>2</v>
          </cell>
          <cell r="AP51" t="str">
            <v>(I) İlk defa karşılaşılan arıza</v>
          </cell>
          <cell r="AQ51" t="str">
            <v/>
          </cell>
          <cell r="AR51"/>
          <cell r="AU51" t="str">
            <v>İç Giydirme</v>
          </cell>
          <cell r="AX51" t="str">
            <v>https://www.appsheet.com/Template/gettablefileurl?appname=GDM7x4_Failure_List-654943&amp;tableName=SAYFA1&amp;filename=Sayfa1_Images%2F08ca0f59.Resim.174732.jpg</v>
          </cell>
        </row>
        <row r="52">
          <cell r="A52" t="str">
            <v>a40392d6</v>
          </cell>
          <cell r="B52" t="str">
            <v>FRACAS-GDM-051</v>
          </cell>
          <cell r="E52">
            <v>45247</v>
          </cell>
          <cell r="F52">
            <v>45247</v>
          </cell>
          <cell r="G52" t="str">
            <v>TS#1</v>
          </cell>
          <cell r="H52" t="str">
            <v>Mc1</v>
          </cell>
          <cell r="I52" t="str">
            <v>Depo/Depot</v>
          </cell>
          <cell r="J52" t="str">
            <v>C-Uyarı, sürüş devamlılığı</v>
          </cell>
          <cell r="K52" t="str">
            <v>Devreye Alma(Servise Başlamadan Önceki Süreç)</v>
          </cell>
          <cell r="L52" t="str">
            <v>TCU1, TCU2 VE TCU3 ilk kakışta çalışıyor. Belli bir süre sonra TCU1 tek başkışna çalışıyor.</v>
          </cell>
          <cell r="M52" t="str">
            <v>Tamir süreci başlatıldı. Kalite bölümüne NCR oluşturuldu</v>
          </cell>
          <cell r="N52">
            <v>119</v>
          </cell>
          <cell r="P52" t="str">
            <v>C(Sisteme etki etmeyen arıza)</v>
          </cell>
          <cell r="Q52" t="str">
            <v>N.A(Yaralanma yok)</v>
          </cell>
          <cell r="R52" t="str">
            <v>Bozankaya</v>
          </cell>
          <cell r="T52">
            <v>45247</v>
          </cell>
          <cell r="U52">
            <v>45247</v>
          </cell>
          <cell r="V52" t="str">
            <v>ABB</v>
          </cell>
          <cell r="W52"/>
          <cell r="X52"/>
          <cell r="Y52"/>
          <cell r="Z52"/>
          <cell r="AA52"/>
          <cell r="AB52"/>
          <cell r="AC52"/>
          <cell r="AD52"/>
          <cell r="AE52" t="str">
            <v/>
          </cell>
          <cell r="AH52">
            <v>45260</v>
          </cell>
          <cell r="AN52">
            <v>2</v>
          </cell>
          <cell r="AP52" t="str">
            <v>(I) İlk defa karşılaşılan arıza</v>
          </cell>
          <cell r="AQ52">
            <v>45324</v>
          </cell>
          <cell r="AR52">
            <v>45324.585798611108</v>
          </cell>
          <cell r="AU52" t="str">
            <v>TCMS</v>
          </cell>
          <cell r="AX52" t="str">
            <v>https://www.appsheet.com/Template/gettablefileurl?appname=GDM7x4_Failure_List-654943&amp;tableName=SAYFA1&amp;filename=Sayfa1_Images%2Fa40392d6.Resim.123543.jpg</v>
          </cell>
        </row>
        <row r="53">
          <cell r="A53" t="str">
            <v>2b318631</v>
          </cell>
          <cell r="B53" t="str">
            <v>FRACAS-GDM-052</v>
          </cell>
          <cell r="E53">
            <v>45247</v>
          </cell>
          <cell r="F53">
            <v>45247</v>
          </cell>
          <cell r="G53" t="str">
            <v>TS#2</v>
          </cell>
          <cell r="H53" t="str">
            <v>Mc1</v>
          </cell>
          <cell r="I53" t="str">
            <v>Depo/Depot</v>
          </cell>
          <cell r="J53" t="str">
            <v>C-Uyarı, sürüş devamlılığı</v>
          </cell>
          <cell r="K53" t="str">
            <v>Devreye Alma(Servise Başlamadan Önceki Süreç)</v>
          </cell>
          <cell r="L53" t="str">
            <v>Havalandırma menfezleri ters montaj yapılmış. Bundan dolayı aracın su almaktadır.</v>
          </cell>
          <cell r="M53" t="str">
            <v>Tamir süreci başlatıldı. Kalite bölümüne NCR oluşturuldu</v>
          </cell>
          <cell r="N53">
            <v>0</v>
          </cell>
          <cell r="P53" t="str">
            <v>C(Sisteme etki etmeyen arıza)</v>
          </cell>
          <cell r="Q53" t="str">
            <v>N.A(Yaralanma yok)</v>
          </cell>
          <cell r="R53" t="str">
            <v>Bozankaya</v>
          </cell>
          <cell r="T53">
            <v>45247</v>
          </cell>
          <cell r="U53">
            <v>45247</v>
          </cell>
          <cell r="V53" t="str">
            <v>Bozankaya</v>
          </cell>
          <cell r="W53"/>
          <cell r="X53"/>
          <cell r="Y53"/>
          <cell r="Z53"/>
          <cell r="AA53"/>
          <cell r="AB53"/>
          <cell r="AC53"/>
          <cell r="AD53"/>
          <cell r="AE53" t="str">
            <v/>
          </cell>
          <cell r="AH53">
            <v>45305</v>
          </cell>
          <cell r="AN53">
            <v>2</v>
          </cell>
          <cell r="AP53" t="str">
            <v>(I) İlk defa karşılaşılan arıza</v>
          </cell>
          <cell r="AQ53">
            <v>45270</v>
          </cell>
          <cell r="AR53">
            <v>45270.5859375</v>
          </cell>
          <cell r="AU53" t="str">
            <v>Dış Giydirme</v>
          </cell>
          <cell r="AX53" t="str">
            <v>https://www.appsheet.com/Template/gettablefileurl?appname=GDM7x4_Failure_List-654943&amp;tableName=SAYFA1&amp;filename=Sayfa1_Images%2F2b318631.Resim.195718.jpg</v>
          </cell>
        </row>
        <row r="54">
          <cell r="A54" t="str">
            <v>41a32f8f</v>
          </cell>
          <cell r="B54" t="str">
            <v>FRACAS-GDM-053</v>
          </cell>
          <cell r="E54">
            <v>45247</v>
          </cell>
          <cell r="F54">
            <v>45247</v>
          </cell>
          <cell r="G54" t="str">
            <v>TS#2</v>
          </cell>
          <cell r="H54" t="str">
            <v>M</v>
          </cell>
          <cell r="I54" t="str">
            <v>Depo/Depot</v>
          </cell>
          <cell r="J54" t="str">
            <v>C-Uyarı, sürüş devamlılığı</v>
          </cell>
          <cell r="K54" t="str">
            <v>Devreye Alma(Servise Başlamadan Önceki Süreç)</v>
          </cell>
          <cell r="L54" t="str">
            <v>Havalandırma menfezleri ters montaj yapılmış. Bundan dolayı aracın su almaktadır</v>
          </cell>
          <cell r="M54" t="str">
            <v>Tamir süreci başlatıldı. Kalite bölümüne NCR oluşturuldu</v>
          </cell>
          <cell r="N54">
            <v>0</v>
          </cell>
          <cell r="P54" t="str">
            <v>C(Sisteme etki etmeyen arıza)</v>
          </cell>
          <cell r="Q54" t="str">
            <v>N.A(Yaralanma yok)</v>
          </cell>
          <cell r="R54" t="str">
            <v>Bozankaya</v>
          </cell>
          <cell r="T54">
            <v>45270</v>
          </cell>
          <cell r="U54">
            <v>45270</v>
          </cell>
          <cell r="V54" t="str">
            <v>Bozankaya</v>
          </cell>
          <cell r="W54"/>
          <cell r="X54"/>
          <cell r="Y54"/>
          <cell r="Z54"/>
          <cell r="AA54"/>
          <cell r="AB54"/>
          <cell r="AC54"/>
          <cell r="AD54"/>
          <cell r="AE54" t="str">
            <v/>
          </cell>
          <cell r="AH54" t="str">
            <v/>
          </cell>
          <cell r="AN54">
            <v>2</v>
          </cell>
          <cell r="AP54" t="str">
            <v>(I) İlk defa karşılaşılan arıza</v>
          </cell>
          <cell r="AQ54">
            <v>45270</v>
          </cell>
          <cell r="AR54">
            <v>45270.586180555554</v>
          </cell>
          <cell r="AU54" t="str">
            <v>Dış Giydirme</v>
          </cell>
          <cell r="AX54" t="str">
            <v>https://www.appsheet.com/Template/gettablefileurl?appname=GDM7x4_Failure_List-654943&amp;tableName=SAYFA1&amp;filename=Sayfa1_Images%2F41a32f8f.Resim.195824.jpg</v>
          </cell>
        </row>
        <row r="55">
          <cell r="A55" t="str">
            <v>022690ee</v>
          </cell>
          <cell r="B55" t="str">
            <v>FRACAS-GDM-054</v>
          </cell>
          <cell r="E55">
            <v>45247</v>
          </cell>
          <cell r="F55">
            <v>45247</v>
          </cell>
          <cell r="G55" t="str">
            <v>TS#2</v>
          </cell>
          <cell r="H55" t="str">
            <v>T</v>
          </cell>
          <cell r="I55" t="str">
            <v>Depo/Depot</v>
          </cell>
          <cell r="J55" t="str">
            <v>C-Uyarı, sürüş devamlılığı</v>
          </cell>
          <cell r="K55" t="str">
            <v>Devreye Alma(Servise Başlamadan Önceki Süreç)</v>
          </cell>
          <cell r="L55" t="str">
            <v>Havalandırma menfezleri ters montaj yapılmış. Bundan dolayı aracın su almaktadır</v>
          </cell>
          <cell r="M55" t="str">
            <v>Tamir süreci başlatıldı. Kalite bölümüne NCR oluşturuldu</v>
          </cell>
          <cell r="N55">
            <v>0</v>
          </cell>
          <cell r="P55" t="str">
            <v>C(Sisteme etki etmeyen arıza)</v>
          </cell>
          <cell r="Q55" t="str">
            <v>N.A(Yaralanma yok)</v>
          </cell>
          <cell r="R55" t="str">
            <v>Bozankaya</v>
          </cell>
          <cell r="T55">
            <v>45247</v>
          </cell>
          <cell r="U55">
            <v>45247</v>
          </cell>
          <cell r="V55" t="str">
            <v>Bozankaya</v>
          </cell>
          <cell r="W55"/>
          <cell r="X55"/>
          <cell r="Y55"/>
          <cell r="Z55"/>
          <cell r="AA55"/>
          <cell r="AB55"/>
          <cell r="AC55"/>
          <cell r="AD55"/>
          <cell r="AE55"/>
          <cell r="AH55"/>
          <cell r="AN55">
            <v>2</v>
          </cell>
          <cell r="AP55" t="str">
            <v>(I) İlk defa karşılaşılan arıza</v>
          </cell>
          <cell r="AQ55">
            <v>45270</v>
          </cell>
          <cell r="AR55">
            <v>45270.586284722223</v>
          </cell>
          <cell r="AU55" t="str">
            <v>Dış Giydirme</v>
          </cell>
          <cell r="AX55" t="str">
            <v>https://www.appsheet.com/Template/gettablefileurl?appname=GDM7x4_Failure_List-654943&amp;tableName=SAYFA1&amp;filename=Sayfa1_Images%2F022690ee.Resim.195910.jpg</v>
          </cell>
        </row>
        <row r="56">
          <cell r="A56" t="str">
            <v>d5f3d980</v>
          </cell>
          <cell r="B56" t="str">
            <v>FRACAS-GDM-055</v>
          </cell>
          <cell r="E56">
            <v>45247</v>
          </cell>
          <cell r="F56">
            <v>45247</v>
          </cell>
          <cell r="G56" t="str">
            <v>TS#2</v>
          </cell>
          <cell r="H56" t="str">
            <v>Mc2</v>
          </cell>
          <cell r="I56" t="str">
            <v>Depo/Depot</v>
          </cell>
          <cell r="J56" t="str">
            <v>C-Uyarı, sürüş devamlılığı</v>
          </cell>
          <cell r="K56" t="str">
            <v>Devreye Alma(Servise Başlamadan Önceki Süreç)</v>
          </cell>
          <cell r="L56" t="str">
            <v>Havalandırma menfezleri ters montaj yapılmış. Bundan dolayı aracın su almaktadır</v>
          </cell>
          <cell r="M56" t="str">
            <v>Tamir süreci başlatıldı. Kalite bölümüne NCR oluşturuldu</v>
          </cell>
          <cell r="N56">
            <v>0</v>
          </cell>
          <cell r="P56" t="str">
            <v>C(Sisteme etki etmeyen arıza)</v>
          </cell>
          <cell r="Q56" t="str">
            <v>N.A(Yaralanma yok)</v>
          </cell>
          <cell r="R56" t="str">
            <v>Bozankaya</v>
          </cell>
          <cell r="T56">
            <v>45247</v>
          </cell>
          <cell r="U56">
            <v>45247</v>
          </cell>
          <cell r="V56" t="str">
            <v>Bozankaya</v>
          </cell>
          <cell r="W56"/>
          <cell r="X56"/>
          <cell r="Y56"/>
          <cell r="Z56"/>
          <cell r="AA56"/>
          <cell r="AB56"/>
          <cell r="AC56"/>
          <cell r="AD56"/>
          <cell r="AE56" t="str">
            <v/>
          </cell>
          <cell r="AH56">
            <v>45270</v>
          </cell>
          <cell r="AN56">
            <v>2</v>
          </cell>
          <cell r="AP56" t="str">
            <v>(I) İlk defa karşılaşılan arıza</v>
          </cell>
          <cell r="AQ56">
            <v>45270</v>
          </cell>
          <cell r="AR56">
            <v>45270.586493055554</v>
          </cell>
          <cell r="AU56" t="str">
            <v>Dış Giydirme</v>
          </cell>
          <cell r="AX56" t="str">
            <v>https://www.appsheet.com/Template/gettablefileurl?appname=GDM7x4_Failure_List-654943&amp;tableName=SAYFA1&amp;filename=Sayfa1_Images%2Fd5f3d980.Resim.200049.jpg</v>
          </cell>
        </row>
        <row r="57">
          <cell r="A57" t="str">
            <v>9d6e29e5</v>
          </cell>
          <cell r="B57" t="str">
            <v>FRACAS-GDM-056</v>
          </cell>
          <cell r="E57">
            <v>45272</v>
          </cell>
          <cell r="F57">
            <v>45272</v>
          </cell>
          <cell r="G57" t="str">
            <v>TS#3</v>
          </cell>
          <cell r="H57" t="str">
            <v>M</v>
          </cell>
          <cell r="I57" t="str">
            <v>Depo/Depot</v>
          </cell>
          <cell r="J57" t="str">
            <v>C-Uyarı, sürüş devamlılığı</v>
          </cell>
          <cell r="K57" t="str">
            <v>Devreye Alma(Servise Başlamadan Önceki Süreç)</v>
          </cell>
          <cell r="L57" t="str">
            <v>Jumper sabitleme braketi yamuk</v>
          </cell>
          <cell r="M57" t="str">
            <v>Tamir süreci başlatıldı. Kalite bölümüne NCR oluşturuldu</v>
          </cell>
          <cell r="N57">
            <v>0</v>
          </cell>
          <cell r="P57" t="str">
            <v>C(Sisteme etki etmeyen arıza)</v>
          </cell>
          <cell r="Q57" t="str">
            <v>N.A(Yaralanma yok)</v>
          </cell>
          <cell r="R57" t="str">
            <v>Bozankaya</v>
          </cell>
          <cell r="T57">
            <v>45272</v>
          </cell>
          <cell r="U57">
            <v>45272</v>
          </cell>
          <cell r="V57" t="str">
            <v>Bozankaya</v>
          </cell>
          <cell r="W57"/>
          <cell r="X57"/>
          <cell r="Y57"/>
          <cell r="Z57"/>
          <cell r="AA57"/>
          <cell r="AB57"/>
          <cell r="AC57"/>
          <cell r="AD57"/>
          <cell r="AE57"/>
          <cell r="AH57"/>
          <cell r="AN57">
            <v>2</v>
          </cell>
          <cell r="AP57" t="str">
            <v>(I) İlk defa karşılaşılan arıza</v>
          </cell>
          <cell r="AQ57">
            <v>45329</v>
          </cell>
          <cell r="AR57">
            <v>45329.586678240739</v>
          </cell>
          <cell r="AU57" t="str">
            <v>Dış Giydirme</v>
          </cell>
          <cell r="AX57" t="str">
            <v>https://www.appsheet.com/Template/gettablefileurl?appname=GDM7x4_Failure_List-654943&amp;tableName=SAYFA1&amp;filename=Sayfa1_Images%2F9d6e29e5.Resim.124039.jpg</v>
          </cell>
        </row>
        <row r="58">
          <cell r="A58" t="str">
            <v>75c20f72</v>
          </cell>
          <cell r="B58" t="str">
            <v>FRACAS-GDM-057</v>
          </cell>
          <cell r="E58">
            <v>45272</v>
          </cell>
          <cell r="F58">
            <v>45272</v>
          </cell>
          <cell r="G58" t="str">
            <v>TS#3</v>
          </cell>
          <cell r="H58" t="str">
            <v>Mc1</v>
          </cell>
          <cell r="I58" t="str">
            <v>Depo/Depot</v>
          </cell>
          <cell r="J58" t="str">
            <v>C-Uyarı, sürüş devamlılığı</v>
          </cell>
          <cell r="K58" t="str">
            <v>Devreye Alma(Servise Başlamadan Önceki Süreç)</v>
          </cell>
          <cell r="L58" t="str">
            <v>Jumper sabitleme braketlerinin 12 adet eksik vida tespit edilmiştir.</v>
          </cell>
          <cell r="M58" t="str">
            <v>Tamir süreci başlatıldı. Kalite bölümüne NCR oluşturuldu</v>
          </cell>
          <cell r="N58">
            <v>0</v>
          </cell>
          <cell r="P58" t="str">
            <v>C(Sisteme etki etmeyen arıza)</v>
          </cell>
          <cell r="Q58" t="str">
            <v>N.A(Yaralanma yok)</v>
          </cell>
          <cell r="R58" t="str">
            <v>Bozankaya</v>
          </cell>
          <cell r="T58">
            <v>45272</v>
          </cell>
          <cell r="U58">
            <v>45272</v>
          </cell>
          <cell r="V58" t="str">
            <v>Bozankaya</v>
          </cell>
          <cell r="W58"/>
          <cell r="X58"/>
          <cell r="Y58"/>
          <cell r="Z58"/>
          <cell r="AA58"/>
          <cell r="AB58"/>
          <cell r="AC58"/>
          <cell r="AD58"/>
          <cell r="AE58"/>
          <cell r="AH58"/>
          <cell r="AN58">
            <v>2</v>
          </cell>
          <cell r="AP58" t="str">
            <v>(I) İlk defa karşılaşılan arıza</v>
          </cell>
          <cell r="AQ58">
            <v>45329</v>
          </cell>
          <cell r="AR58">
            <v>45329.586782407408</v>
          </cell>
          <cell r="AU58" t="str">
            <v>Dış Giydirme</v>
          </cell>
          <cell r="AX58" t="str">
            <v>https://www.appsheet.com/Template/gettablefileurl?appname=GDM7x4_Failure_List-654943&amp;tableName=SAYFA1&amp;filename=Sayfa1_Images%2F75c20f72.Resim.125218.jpg</v>
          </cell>
        </row>
        <row r="59">
          <cell r="A59" t="str">
            <v>6c01b9ea</v>
          </cell>
          <cell r="B59" t="str">
            <v>FRACAS-GDM-058</v>
          </cell>
          <cell r="E59">
            <v>45272</v>
          </cell>
          <cell r="F59">
            <v>45272</v>
          </cell>
          <cell r="G59" t="str">
            <v>TS#4</v>
          </cell>
          <cell r="H59" t="str">
            <v>M</v>
          </cell>
          <cell r="I59" t="str">
            <v>Depo/Depot</v>
          </cell>
          <cell r="J59" t="str">
            <v>C-Uyarı, sürüş devamlılığı</v>
          </cell>
          <cell r="K59" t="str">
            <v>Devreye Alma(Servise Başlamadan Önceki Süreç)</v>
          </cell>
          <cell r="L59" t="str">
            <v>Fren teli ezilmiş</v>
          </cell>
          <cell r="M59" t="str">
            <v>Tamir süreci başlatıldı. Kalite bölümüne NCR oluşturuldu</v>
          </cell>
          <cell r="N59">
            <v>0</v>
          </cell>
          <cell r="P59" t="str">
            <v>C(Sisteme etki etmeyen arıza)</v>
          </cell>
          <cell r="Q59" t="str">
            <v>N.A(Yaralanma yok)</v>
          </cell>
          <cell r="R59" t="str">
            <v>Bozankaya</v>
          </cell>
          <cell r="T59">
            <v>45272</v>
          </cell>
          <cell r="U59">
            <v>45272</v>
          </cell>
          <cell r="V59" t="str">
            <v>Knorr</v>
          </cell>
          <cell r="W59"/>
          <cell r="X59"/>
          <cell r="Y59"/>
          <cell r="Z59"/>
          <cell r="AA59"/>
          <cell r="AB59"/>
          <cell r="AC59"/>
          <cell r="AD59"/>
          <cell r="AE59"/>
          <cell r="AH59"/>
          <cell r="AN59">
            <v>2</v>
          </cell>
          <cell r="AP59" t="str">
            <v>(I) İlk defa karşılaşılan arıza</v>
          </cell>
          <cell r="AQ59" t="str">
            <v/>
          </cell>
          <cell r="AR59"/>
          <cell r="AU59" t="str">
            <v>Boji</v>
          </cell>
          <cell r="AX59" t="str">
            <v>https://www.appsheet.com/Template/gettablefileurl?appname=GDM7x4_Failure_List-654943&amp;tableName=SAYFA1&amp;filename=Sayfa1_Images%2F6c01b9ea.Resim.125409.jpg</v>
          </cell>
        </row>
        <row r="60">
          <cell r="A60" t="str">
            <v>d5255760</v>
          </cell>
          <cell r="B60" t="str">
            <v>FRACAS-GDM-059</v>
          </cell>
          <cell r="E60">
            <v>45274</v>
          </cell>
          <cell r="F60">
            <v>45274</v>
          </cell>
          <cell r="G60" t="str">
            <v>TS#4</v>
          </cell>
          <cell r="H60" t="str">
            <v>Mc1</v>
          </cell>
          <cell r="I60" t="str">
            <v>Depo/Depot</v>
          </cell>
          <cell r="J60" t="str">
            <v>C-Uyarı, sürüş devamlılığı</v>
          </cell>
          <cell r="K60" t="str">
            <v>Devreye Alma(Servise Başlamadan Önceki Süreç)</v>
          </cell>
          <cell r="L60" t="str">
            <v>Montaj yapılırken çorap geçirilmemiş</v>
          </cell>
          <cell r="M60" t="str">
            <v>Tamir süreci başlatıldı. Kalite bölümüne NCR oluşturuldu</v>
          </cell>
          <cell r="N60">
            <v>0</v>
          </cell>
          <cell r="P60" t="str">
            <v>C(Sisteme etki etmeyen arıza)</v>
          </cell>
          <cell r="Q60" t="str">
            <v>N.A(Yaralanma yok)</v>
          </cell>
          <cell r="R60" t="str">
            <v>Bozankaya</v>
          </cell>
          <cell r="T60">
            <v>45274</v>
          </cell>
          <cell r="U60">
            <v>45274</v>
          </cell>
          <cell r="V60" t="str">
            <v>Bozankaya</v>
          </cell>
          <cell r="W60"/>
          <cell r="X60"/>
          <cell r="Y60"/>
          <cell r="Z60"/>
          <cell r="AA60"/>
          <cell r="AB60"/>
          <cell r="AC60"/>
          <cell r="AD60"/>
          <cell r="AE60"/>
          <cell r="AH60"/>
          <cell r="AN60">
            <v>2</v>
          </cell>
          <cell r="AP60" t="str">
            <v>(I) İlk defa karşılaşılan arıza</v>
          </cell>
          <cell r="AQ60" t="str">
            <v/>
          </cell>
          <cell r="AR60"/>
          <cell r="AU60" t="str">
            <v>E-Kabinet</v>
          </cell>
          <cell r="AX60" t="str">
            <v>https://www.appsheet.com/Template/gettablefileurl?appname=GDM7x4_Failure_List-654943&amp;tableName=SAYFA1&amp;filename=Sayfa1_Images%2Fd5255760.Resim.120204.jpg</v>
          </cell>
        </row>
        <row r="61">
          <cell r="A61" t="str">
            <v>bb866a96</v>
          </cell>
          <cell r="B61" t="str">
            <v>FRACAS-GDM-060</v>
          </cell>
          <cell r="E61">
            <v>45274</v>
          </cell>
          <cell r="F61">
            <v>45274</v>
          </cell>
          <cell r="G61" t="str">
            <v>TS#4</v>
          </cell>
          <cell r="H61" t="str">
            <v>Mc1</v>
          </cell>
          <cell r="I61" t="str">
            <v>Depo/Depot</v>
          </cell>
          <cell r="J61" t="str">
            <v>C-Uyarı, sürüş devamlılığı</v>
          </cell>
          <cell r="K61" t="str">
            <v>Devreye Alma(Servise Başlamadan Önceki Süreç)</v>
          </cell>
          <cell r="L61" t="str">
            <v>X6 ve x7 montajı yapılmamış</v>
          </cell>
          <cell r="M61" t="str">
            <v>Tamir süreci başlatıldı. Kalite bölümüne NCR oluşturuldu</v>
          </cell>
          <cell r="N61">
            <v>0</v>
          </cell>
          <cell r="P61" t="str">
            <v>C(Sisteme etki etmeyen arıza)</v>
          </cell>
          <cell r="Q61" t="str">
            <v>N.A(Yaralanma yok)</v>
          </cell>
          <cell r="R61" t="str">
            <v>Bozankaya</v>
          </cell>
          <cell r="T61">
            <v>45274</v>
          </cell>
          <cell r="U61">
            <v>45274</v>
          </cell>
          <cell r="V61" t="str">
            <v>Bozankaya</v>
          </cell>
          <cell r="W61"/>
          <cell r="X61"/>
          <cell r="Y61"/>
          <cell r="Z61"/>
          <cell r="AA61"/>
          <cell r="AB61"/>
          <cell r="AC61"/>
          <cell r="AD61"/>
          <cell r="AE61"/>
          <cell r="AH61"/>
          <cell r="AN61">
            <v>2</v>
          </cell>
          <cell r="AP61" t="str">
            <v>(I) İlk defa karşılaşılan arıza</v>
          </cell>
          <cell r="AQ61" t="str">
            <v/>
          </cell>
          <cell r="AR61"/>
          <cell r="AU61" t="str">
            <v>Kapı</v>
          </cell>
          <cell r="AX61" t="str">
            <v>https://www.appsheet.com/Template/gettablefileurl?appname=GDM7x4_Failure_List-654943&amp;tableName=SAYFA1&amp;filename=Sayfa1_Images%2Fbb866a96.Resim.120514.jpg</v>
          </cell>
        </row>
        <row r="62">
          <cell r="A62" t="str">
            <v>b0dfc02e</v>
          </cell>
          <cell r="B62" t="str">
            <v>FRACAS-GDM-061</v>
          </cell>
          <cell r="E62">
            <v>45274</v>
          </cell>
          <cell r="F62">
            <v>45274</v>
          </cell>
          <cell r="G62" t="str">
            <v>TS#4</v>
          </cell>
          <cell r="H62" t="str">
            <v>Mc1</v>
          </cell>
          <cell r="I62" t="str">
            <v>Depo/Depot</v>
          </cell>
          <cell r="J62" t="str">
            <v>C-Uyarı, sürüş devamlılığı</v>
          </cell>
          <cell r="K62" t="str">
            <v>Devreye Alma(Servise Başlamadan Önceki Süreç)</v>
          </cell>
          <cell r="L62" t="str">
            <v>Reklam ekranlarının jelatinleri sökülmeden montajı yapılmıştır.</v>
          </cell>
          <cell r="M62" t="str">
            <v>Tamir süreci başlatıldı. Kalite bölümüne NCR oluşturuldu</v>
          </cell>
          <cell r="N62">
            <v>0</v>
          </cell>
          <cell r="P62" t="str">
            <v>C(Sisteme etki etmeyen arıza)</v>
          </cell>
          <cell r="Q62" t="str">
            <v>N.A(Yaralanma yok)</v>
          </cell>
          <cell r="R62" t="str">
            <v>Bozankaya</v>
          </cell>
          <cell r="T62">
            <v>45274</v>
          </cell>
          <cell r="U62">
            <v>45274</v>
          </cell>
          <cell r="V62" t="str">
            <v>Bozankaya</v>
          </cell>
          <cell r="W62"/>
          <cell r="X62"/>
          <cell r="Y62"/>
          <cell r="Z62"/>
          <cell r="AA62"/>
          <cell r="AB62"/>
          <cell r="AC62"/>
          <cell r="AD62"/>
          <cell r="AE62"/>
          <cell r="AH62"/>
          <cell r="AN62">
            <v>2</v>
          </cell>
          <cell r="AP62" t="str">
            <v>(I) İlk defa karşılaşılan arıza</v>
          </cell>
          <cell r="AQ62" t="str">
            <v/>
          </cell>
          <cell r="AR62"/>
          <cell r="AU62" t="str">
            <v>İç Giydirme</v>
          </cell>
          <cell r="AX62" t="str">
            <v>https://www.appsheet.com/Template/gettablefileurl?appname=GDM7x4_Failure_List-654943&amp;tableName=SAYFA1&amp;filename=Sayfa1_Images%2Fb0dfc02e.Resim.120713.jpg</v>
          </cell>
        </row>
        <row r="63">
          <cell r="A63" t="str">
            <v>281ed034</v>
          </cell>
          <cell r="B63" t="str">
            <v>FRACAS-GDM-062</v>
          </cell>
          <cell r="E63">
            <v>45274</v>
          </cell>
          <cell r="F63">
            <v>45274</v>
          </cell>
          <cell r="G63" t="str">
            <v>TS#4</v>
          </cell>
          <cell r="H63" t="str">
            <v>Mc1</v>
          </cell>
          <cell r="I63" t="str">
            <v>Depo/Depot</v>
          </cell>
          <cell r="J63" t="str">
            <v>C-Uyarı, sürüş devamlılığı</v>
          </cell>
          <cell r="K63" t="str">
            <v>Devreye Alma(Servise Başlamadan Önceki Süreç)</v>
          </cell>
          <cell r="L63" t="str">
            <v>Tava kanallarına yapılan kablolama sabitlenmemiştir.</v>
          </cell>
          <cell r="M63" t="str">
            <v>Tamir süreci başlatıldı. Kalite bölümüne NCR oluşturuldu</v>
          </cell>
          <cell r="N63">
            <v>0</v>
          </cell>
          <cell r="P63" t="str">
            <v>C(Sisteme etki etmeyen arıza)</v>
          </cell>
          <cell r="Q63" t="str">
            <v>N.A(Yaralanma yok)</v>
          </cell>
          <cell r="R63" t="str">
            <v>Bozankaya</v>
          </cell>
          <cell r="T63">
            <v>45274</v>
          </cell>
          <cell r="U63">
            <v>45274</v>
          </cell>
          <cell r="V63" t="str">
            <v>Bozankaya</v>
          </cell>
          <cell r="W63"/>
          <cell r="X63"/>
          <cell r="Y63"/>
          <cell r="Z63"/>
          <cell r="AA63"/>
          <cell r="AB63"/>
          <cell r="AC63"/>
          <cell r="AD63"/>
          <cell r="AE63"/>
          <cell r="AH63"/>
          <cell r="AN63">
            <v>2</v>
          </cell>
          <cell r="AP63" t="str">
            <v>(I) İlk defa karşılaşılan arıza</v>
          </cell>
          <cell r="AQ63" t="str">
            <v/>
          </cell>
          <cell r="AR63"/>
          <cell r="AU63" t="str">
            <v>E-Kabinet</v>
          </cell>
          <cell r="AX63" t="str">
            <v>https://www.appsheet.com/Template/gettablefileurl?appname=GDM7x4_Failure_List-654943&amp;tableName=SAYFA1&amp;filename=Sayfa1_Images%2F281ed034.Resim.120958.jpg</v>
          </cell>
        </row>
        <row r="64">
          <cell r="A64" t="str">
            <v>db05f0a5</v>
          </cell>
          <cell r="B64" t="str">
            <v>FRACAS-GDM-063</v>
          </cell>
          <cell r="E64">
            <v>45274</v>
          </cell>
          <cell r="F64">
            <v>45274</v>
          </cell>
          <cell r="G64" t="str">
            <v>TS#4</v>
          </cell>
          <cell r="H64" t="str">
            <v>Mc1</v>
          </cell>
          <cell r="I64" t="str">
            <v>Depo/Depot</v>
          </cell>
          <cell r="J64" t="str">
            <v>C-Uyarı, sürüş devamlılığı</v>
          </cell>
          <cell r="K64" t="str">
            <v>Devreye Alma(Servise Başlamadan Önceki Süreç)</v>
          </cell>
          <cell r="L64" t="str">
            <v>X11 kablo çorabının içinde proje çizimi çıkmıştır.</v>
          </cell>
          <cell r="M64" t="str">
            <v>Tamir süreci başlatıldı. Kalite bölümüne NCR oluşturuldu</v>
          </cell>
          <cell r="N64">
            <v>0</v>
          </cell>
          <cell r="P64" t="str">
            <v>C(Sisteme etki etmeyen arıza)</v>
          </cell>
          <cell r="Q64" t="str">
            <v>N.A(Yaralanma yok)</v>
          </cell>
          <cell r="R64" t="str">
            <v>Bozankaya</v>
          </cell>
          <cell r="T64">
            <v>45274</v>
          </cell>
          <cell r="U64">
            <v>45274</v>
          </cell>
          <cell r="V64" t="str">
            <v>Bozankaya</v>
          </cell>
          <cell r="W64"/>
          <cell r="X64"/>
          <cell r="Y64"/>
          <cell r="Z64"/>
          <cell r="AA64"/>
          <cell r="AB64"/>
          <cell r="AC64"/>
          <cell r="AD64"/>
          <cell r="AE64"/>
          <cell r="AH64"/>
          <cell r="AN64">
            <v>2</v>
          </cell>
          <cell r="AP64" t="str">
            <v>(I) İlk defa karşılaşılan arıza</v>
          </cell>
          <cell r="AQ64">
            <v>45329</v>
          </cell>
          <cell r="AR64">
            <v>45329.587175925924</v>
          </cell>
          <cell r="AU64" t="str">
            <v>Kapı</v>
          </cell>
          <cell r="AX64" t="str">
            <v>https://www.appsheet.com/Template/gettablefileurl?appname=GDM7x4_Failure_List-654943&amp;tableName=SAYFA1&amp;filename=Sayfa1_Images%2Fdb05f0a5.Resim.121156.jpg</v>
          </cell>
        </row>
        <row r="65">
          <cell r="A65" t="str">
            <v>5e5090ce</v>
          </cell>
          <cell r="B65" t="str">
            <v>FRACAS-GDM-064</v>
          </cell>
          <cell r="E65">
            <v>45274</v>
          </cell>
          <cell r="F65">
            <v>45274</v>
          </cell>
          <cell r="G65" t="str">
            <v>TS#4</v>
          </cell>
          <cell r="H65" t="str">
            <v>Mc1</v>
          </cell>
          <cell r="I65" t="str">
            <v>Depo/Depot</v>
          </cell>
          <cell r="J65" t="str">
            <v>C-Uyarı, sürüş devamlılığı</v>
          </cell>
          <cell r="K65" t="str">
            <v>Devreye Alma(Servise Başlamadan Önceki Süreç)</v>
          </cell>
          <cell r="L65" t="str">
            <v>1. kapı x11 kablo sabitleme kelepçesi eksik</v>
          </cell>
          <cell r="M65" t="str">
            <v>Tamir süreci başlatıldı. Kalite bölümüne NCR oluşturuldu</v>
          </cell>
          <cell r="N65">
            <v>0</v>
          </cell>
          <cell r="P65" t="str">
            <v>C(Sisteme etki etmeyen arıza)</v>
          </cell>
          <cell r="Q65" t="str">
            <v>N.A(Yaralanma yok)</v>
          </cell>
          <cell r="R65" t="str">
            <v>Bozankaya</v>
          </cell>
          <cell r="T65">
            <v>45274</v>
          </cell>
          <cell r="U65">
            <v>45274</v>
          </cell>
          <cell r="V65" t="str">
            <v>Bozankaya</v>
          </cell>
          <cell r="W65"/>
          <cell r="X65"/>
          <cell r="Y65"/>
          <cell r="Z65"/>
          <cell r="AA65"/>
          <cell r="AB65"/>
          <cell r="AC65"/>
          <cell r="AD65"/>
          <cell r="AE65"/>
          <cell r="AH65"/>
          <cell r="AN65">
            <v>2</v>
          </cell>
          <cell r="AP65" t="str">
            <v>(I) İlk defa karşılaşılan arıza</v>
          </cell>
          <cell r="AQ65" t="str">
            <v/>
          </cell>
          <cell r="AR65"/>
          <cell r="AU65" t="str">
            <v>Kapı</v>
          </cell>
          <cell r="AX65" t="str">
            <v>https://www.appsheet.com/Template/gettablefileurl?appname=GDM7x4_Failure_List-654943&amp;tableName=SAYFA1&amp;filename=Sayfa1_Images%2F5e5090ce.Resim.121406.jpg</v>
          </cell>
        </row>
        <row r="66">
          <cell r="A66" t="str">
            <v>1c2d1634</v>
          </cell>
          <cell r="B66" t="str">
            <v>FRACAS-GDM-065</v>
          </cell>
          <cell r="E66">
            <v>45274</v>
          </cell>
          <cell r="F66">
            <v>45274</v>
          </cell>
          <cell r="G66" t="str">
            <v>TS#4</v>
          </cell>
          <cell r="H66" t="str">
            <v>Mc1</v>
          </cell>
          <cell r="I66" t="str">
            <v>Depo/Depot</v>
          </cell>
          <cell r="J66" t="str">
            <v>C-Uyarı, sürüş devamlılığı</v>
          </cell>
          <cell r="K66" t="str">
            <v>Devreye Alma(Servise Başlamadan Önceki Süreç)</v>
          </cell>
          <cell r="L66" t="str">
            <v>Kilit mekanizması çiizmektedir.</v>
          </cell>
          <cell r="M66" t="str">
            <v>Tamir süreci başlatıldı. Kalite bölümüne NCR oluşturuldu</v>
          </cell>
          <cell r="N66">
            <v>0</v>
          </cell>
          <cell r="P66" t="str">
            <v>C(Sisteme etki etmeyen arıza)</v>
          </cell>
          <cell r="Q66" t="str">
            <v>N.A(Yaralanma yok)</v>
          </cell>
          <cell r="R66" t="str">
            <v>Bozankaya</v>
          </cell>
          <cell r="T66">
            <v>45274</v>
          </cell>
          <cell r="U66">
            <v>45274</v>
          </cell>
          <cell r="V66" t="str">
            <v>Bozankaya</v>
          </cell>
          <cell r="W66"/>
          <cell r="X66"/>
          <cell r="Y66"/>
          <cell r="Z66"/>
          <cell r="AA66"/>
          <cell r="AB66"/>
          <cell r="AC66"/>
          <cell r="AD66"/>
          <cell r="AE66"/>
          <cell r="AH66"/>
          <cell r="AN66">
            <v>2</v>
          </cell>
          <cell r="AP66" t="str">
            <v>(I) İlk defa karşılaşılan arıza</v>
          </cell>
          <cell r="AQ66" t="str">
            <v/>
          </cell>
          <cell r="AR66"/>
          <cell r="AU66" t="str">
            <v>Kabin Masası</v>
          </cell>
          <cell r="AX66" t="str">
            <v>https://www.appsheet.com/Template/gettablefileurl?appname=GDM7x4_Failure_List-654943&amp;tableName=SAYFA1&amp;filename=Sayfa1_Images%2F1c2d1634.Resim.122501.jpg</v>
          </cell>
        </row>
        <row r="67">
          <cell r="A67" t="str">
            <v>37bb0868</v>
          </cell>
          <cell r="B67" t="str">
            <v>FRACAS-GDM-066</v>
          </cell>
          <cell r="E67">
            <v>45274</v>
          </cell>
          <cell r="F67">
            <v>45274</v>
          </cell>
          <cell r="G67" t="str">
            <v>TS#4</v>
          </cell>
          <cell r="H67" t="str">
            <v>Mc1</v>
          </cell>
          <cell r="I67" t="str">
            <v>Depo/Depot</v>
          </cell>
          <cell r="J67" t="str">
            <v>C-Uyarı, sürüş devamlılığı</v>
          </cell>
          <cell r="K67" t="str">
            <v>Devreye Alma(Servise Başlamadan Önceki Süreç)</v>
          </cell>
          <cell r="L67" t="str">
            <v>Yangın tüpü eksik</v>
          </cell>
          <cell r="M67" t="str">
            <v>Tamir süreci başlatıldı. Kalite bölümüne NCR oluşturuldu</v>
          </cell>
          <cell r="N67">
            <v>0</v>
          </cell>
          <cell r="P67" t="str">
            <v>C(Sisteme etki etmeyen arıza)</v>
          </cell>
          <cell r="Q67" t="str">
            <v>N.A(Yaralanma yok)</v>
          </cell>
          <cell r="R67" t="str">
            <v>Bozankaya</v>
          </cell>
          <cell r="T67">
            <v>45274</v>
          </cell>
          <cell r="U67">
            <v>45274</v>
          </cell>
          <cell r="V67" t="str">
            <v>Bozankaya</v>
          </cell>
          <cell r="W67"/>
          <cell r="X67"/>
          <cell r="Y67"/>
          <cell r="Z67"/>
          <cell r="AA67"/>
          <cell r="AB67"/>
          <cell r="AC67"/>
          <cell r="AD67"/>
          <cell r="AE67"/>
          <cell r="AH67"/>
          <cell r="AN67">
            <v>2</v>
          </cell>
          <cell r="AP67" t="str">
            <v>(I) İlk defa karşılaşılan arıza</v>
          </cell>
          <cell r="AQ67" t="str">
            <v/>
          </cell>
          <cell r="AR67"/>
          <cell r="AU67" t="str">
            <v>İç Giydirme</v>
          </cell>
          <cell r="AX67" t="str">
            <v>https://www.appsheet.com/Template/gettablefileurl?appname=GDM7x4_Failure_List-654943&amp;tableName=SAYFA1&amp;filename=Sayfa1_Images%2F37bb0868.Resim.122720.jpg</v>
          </cell>
        </row>
        <row r="68">
          <cell r="A68" t="str">
            <v>5ff15067</v>
          </cell>
          <cell r="B68" t="str">
            <v>FRACAS-GDM-067</v>
          </cell>
          <cell r="E68">
            <v>45274</v>
          </cell>
          <cell r="F68">
            <v>45274</v>
          </cell>
          <cell r="G68" t="str">
            <v>TS#4</v>
          </cell>
          <cell r="H68" t="str">
            <v>Mc1</v>
          </cell>
          <cell r="I68" t="str">
            <v>Depo/Depot</v>
          </cell>
          <cell r="J68" t="str">
            <v>C-Uyarı, sürüş devamlılığı</v>
          </cell>
          <cell r="K68" t="str">
            <v>Devreye Alma(Servise Başlamadan Önceki Süreç)</v>
          </cell>
          <cell r="L68" t="str">
            <v>Kamera ile yangın sensörü yanlış kontak yapılmıştır.</v>
          </cell>
          <cell r="M68" t="str">
            <v>Tamir süreci başlatıldı. Kalite bölümüne NCR oluşturuldu</v>
          </cell>
          <cell r="N68">
            <v>0</v>
          </cell>
          <cell r="P68" t="str">
            <v>C(Sisteme etki etmeyen arıza)</v>
          </cell>
          <cell r="Q68" t="str">
            <v>N.A(Yaralanma yok)</v>
          </cell>
          <cell r="R68" t="str">
            <v>Bozankaya</v>
          </cell>
          <cell r="T68">
            <v>45274</v>
          </cell>
          <cell r="U68">
            <v>45274</v>
          </cell>
          <cell r="V68" t="str">
            <v>Piton</v>
          </cell>
          <cell r="W68"/>
          <cell r="X68"/>
          <cell r="Y68"/>
          <cell r="Z68"/>
          <cell r="AA68"/>
          <cell r="AB68"/>
          <cell r="AC68"/>
          <cell r="AD68"/>
          <cell r="AE68"/>
          <cell r="AH68"/>
          <cell r="AN68">
            <v>2</v>
          </cell>
          <cell r="AP68" t="str">
            <v>(I) İlk defa karşılaşılan arıza</v>
          </cell>
          <cell r="AQ68" t="str">
            <v/>
          </cell>
          <cell r="AR68"/>
          <cell r="AU68" t="str">
            <v>İç Giydirme</v>
          </cell>
          <cell r="AX68" t="str">
            <v>https://www.appsheet.com/Template/gettablefileurl?appname=GDM7x4_Failure_List-654943&amp;tableName=SAYFA1&amp;filename=Sayfa1_Images%2F5ff15067.Resim.122907.jpg</v>
          </cell>
        </row>
        <row r="69">
          <cell r="A69" t="str">
            <v>330fab93</v>
          </cell>
          <cell r="B69" t="str">
            <v>FRACAS-GDM-068</v>
          </cell>
          <cell r="E69">
            <v>45274</v>
          </cell>
          <cell r="F69">
            <v>45274</v>
          </cell>
          <cell r="G69" t="str">
            <v>TS#4</v>
          </cell>
          <cell r="H69" t="str">
            <v>Mc1</v>
          </cell>
          <cell r="I69" t="str">
            <v>Depo/Depot</v>
          </cell>
          <cell r="J69" t="str">
            <v>C-Uyarı, sürüş devamlılığı</v>
          </cell>
          <cell r="K69" t="str">
            <v>Devreye Alma(Servise Başlamadan Önceki Süreç)</v>
          </cell>
          <cell r="L69" t="str">
            <v>Konektör sabitleme vidaları eksik</v>
          </cell>
          <cell r="M69" t="str">
            <v>Tamir süreci başlatıldı. Kalite bölümüne NCR oluşturuldu</v>
          </cell>
          <cell r="N69">
            <v>0</v>
          </cell>
          <cell r="P69" t="str">
            <v>C(Sisteme etki etmeyen arıza)</v>
          </cell>
          <cell r="Q69" t="str">
            <v>N.A(Yaralanma yok)</v>
          </cell>
          <cell r="R69" t="str">
            <v>Bozankaya</v>
          </cell>
          <cell r="T69">
            <v>45274</v>
          </cell>
          <cell r="U69">
            <v>45274</v>
          </cell>
          <cell r="V69" t="str">
            <v>Bozankaya</v>
          </cell>
          <cell r="W69"/>
          <cell r="X69"/>
          <cell r="Y69"/>
          <cell r="Z69"/>
          <cell r="AA69"/>
          <cell r="AB69"/>
          <cell r="AC69"/>
          <cell r="AD69"/>
          <cell r="AE69"/>
          <cell r="AH69"/>
          <cell r="AN69">
            <v>2</v>
          </cell>
          <cell r="AP69" t="str">
            <v>(I) İlk defa karşılaşılan arıza</v>
          </cell>
          <cell r="AQ69" t="str">
            <v/>
          </cell>
          <cell r="AR69"/>
          <cell r="AU69" t="str">
            <v>E-Kabinet</v>
          </cell>
          <cell r="AX69" t="str">
            <v>https://www.appsheet.com/Template/gettablefileurl?appname=GDM7x4_Failure_List-654943&amp;tableName=SAYFA1&amp;filename=Sayfa1_Images%2F330fab93.Resim.123731.jpg</v>
          </cell>
        </row>
        <row r="70">
          <cell r="A70" t="str">
            <v>cdc728e3</v>
          </cell>
          <cell r="B70" t="str">
            <v>FRACAS-GDM-069</v>
          </cell>
          <cell r="E70">
            <v>45274</v>
          </cell>
          <cell r="F70">
            <v>45274</v>
          </cell>
          <cell r="G70" t="str">
            <v>TS#4</v>
          </cell>
          <cell r="H70" t="str">
            <v>M</v>
          </cell>
          <cell r="I70" t="str">
            <v>Depo/Depot</v>
          </cell>
          <cell r="J70" t="str">
            <v>C-Uyarı, sürüş devamlılığı</v>
          </cell>
          <cell r="K70" t="str">
            <v>Devreye Alma(Servise Başlamadan Önceki Süreç)</v>
          </cell>
          <cell r="L70" t="str">
            <v>16. Kapı x11 kablo sabitleme kelepçesi eksik</v>
          </cell>
          <cell r="M70" t="str">
            <v>Tamir süreci başlatıldı. Kalite bölümüne NCR oluşturuldu</v>
          </cell>
          <cell r="N70">
            <v>0</v>
          </cell>
          <cell r="P70" t="str">
            <v>C(Sisteme etki etmeyen arıza)</v>
          </cell>
          <cell r="Q70" t="str">
            <v>N.A(Yaralanma yok)</v>
          </cell>
          <cell r="R70" t="str">
            <v>Bozankaya</v>
          </cell>
          <cell r="T70">
            <v>45274</v>
          </cell>
          <cell r="U70">
            <v>45274</v>
          </cell>
          <cell r="V70" t="str">
            <v>Bozankaya</v>
          </cell>
          <cell r="W70"/>
          <cell r="X70"/>
          <cell r="Y70"/>
          <cell r="Z70"/>
          <cell r="AA70"/>
          <cell r="AB70"/>
          <cell r="AC70"/>
          <cell r="AD70"/>
          <cell r="AE70"/>
          <cell r="AH70"/>
          <cell r="AN70">
            <v>2</v>
          </cell>
          <cell r="AP70" t="str">
            <v>(I) İlk defa karşılaşılan arıza</v>
          </cell>
          <cell r="AQ70" t="str">
            <v/>
          </cell>
          <cell r="AR70"/>
          <cell r="AU70" t="str">
            <v>Kapı</v>
          </cell>
          <cell r="AX70" t="str">
            <v>https://www.appsheet.com/Template/gettablefileurl?appname=GDM7x4_Failure_List-654943&amp;tableName=SAYFA1&amp;filename=Sayfa1_Images%2Fcdc728e3.Resim.123920.jpg</v>
          </cell>
        </row>
        <row r="71">
          <cell r="A71" t="str">
            <v>0cd1aca5</v>
          </cell>
          <cell r="B71" t="str">
            <v>FRACAS-GDM-070</v>
          </cell>
          <cell r="E71">
            <v>45280</v>
          </cell>
          <cell r="F71">
            <v>45280</v>
          </cell>
          <cell r="G71" t="str">
            <v>TS#4</v>
          </cell>
          <cell r="H71" t="str">
            <v>Mc1</v>
          </cell>
          <cell r="I71" t="str">
            <v>Depo/Depot</v>
          </cell>
          <cell r="J71" t="str">
            <v>C-Uyarı, sürüş devamlılığı</v>
          </cell>
          <cell r="K71" t="str">
            <v>Devreye Alma(Servise Başlamadan Önceki Süreç)</v>
          </cell>
          <cell r="L71" t="str">
            <v>Araç sahaya geldiğinde ön cam üstü trim yerinde ayrılmıştı.</v>
          </cell>
          <cell r="M71" t="str">
            <v>Tamir süreci başlatıldı. Kalite bölümüne NCR oluşturuldu</v>
          </cell>
          <cell r="N71">
            <v>0</v>
          </cell>
          <cell r="P71" t="str">
            <v>C(Sisteme etki etmeyen arıza)</v>
          </cell>
          <cell r="Q71" t="str">
            <v>N.A(Yaralanma yok)</v>
          </cell>
          <cell r="R71" t="str">
            <v>Bozankaya</v>
          </cell>
          <cell r="T71">
            <v>45280</v>
          </cell>
          <cell r="U71">
            <v>45280</v>
          </cell>
          <cell r="V71" t="str">
            <v>Bozankaya</v>
          </cell>
          <cell r="W71"/>
          <cell r="X71"/>
          <cell r="Y71"/>
          <cell r="Z71"/>
          <cell r="AA71"/>
          <cell r="AB71"/>
          <cell r="AC71"/>
          <cell r="AD71"/>
          <cell r="AE71"/>
          <cell r="AH71"/>
          <cell r="AN71">
            <v>2</v>
          </cell>
          <cell r="AP71" t="str">
            <v>(I) İlk defa karşılaşılan arıza</v>
          </cell>
          <cell r="AQ71" t="str">
            <v/>
          </cell>
          <cell r="AR71"/>
          <cell r="AU71" t="str">
            <v>İç Giydirme</v>
          </cell>
          <cell r="AX71" t="str">
            <v>https://www.appsheet.com/Template/gettablefileurl?appname=GDM7x4_Failure_List-654943&amp;tableName=SAYFA1&amp;filename=Sayfa1_Images%2F0cd1aca5.Resim.113708.jpg</v>
          </cell>
        </row>
        <row r="72">
          <cell r="A72" t="str">
            <v>ff0d7137</v>
          </cell>
          <cell r="B72" t="str">
            <v>FRACAS-GDM-071</v>
          </cell>
          <cell r="E72">
            <v>45280</v>
          </cell>
          <cell r="F72">
            <v>45280</v>
          </cell>
          <cell r="G72" t="str">
            <v>TS#4</v>
          </cell>
          <cell r="H72" t="str">
            <v>Mc1</v>
          </cell>
          <cell r="I72" t="str">
            <v>Depo/Depot</v>
          </cell>
          <cell r="J72" t="str">
            <v>C-Uyarı, sürüş devamlılığı</v>
          </cell>
          <cell r="K72" t="str">
            <v>Devreye Alma(Servise Başlamadan Önceki Süreç)</v>
          </cell>
          <cell r="L72" t="str">
            <v>Yangın tüpü eksik</v>
          </cell>
          <cell r="M72" t="str">
            <v>Tamir süreci başlatıldı. Kalite bölümüne NCR oluşturuldu</v>
          </cell>
          <cell r="N72">
            <v>0</v>
          </cell>
          <cell r="P72" t="str">
            <v>C(Sisteme etki etmeyen arıza)</v>
          </cell>
          <cell r="Q72" t="str">
            <v>N.A(Yaralanma yok)</v>
          </cell>
          <cell r="R72" t="str">
            <v>Bozankaya</v>
          </cell>
          <cell r="T72">
            <v>45280</v>
          </cell>
          <cell r="U72">
            <v>45280</v>
          </cell>
          <cell r="V72" t="str">
            <v>Bozankaya</v>
          </cell>
          <cell r="W72"/>
          <cell r="X72"/>
          <cell r="Y72"/>
          <cell r="Z72"/>
          <cell r="AA72"/>
          <cell r="AB72"/>
          <cell r="AC72"/>
          <cell r="AD72"/>
          <cell r="AE72"/>
          <cell r="AH72"/>
          <cell r="AN72">
            <v>2</v>
          </cell>
          <cell r="AP72" t="str">
            <v>(I) İlk defa karşılaşılan arıza</v>
          </cell>
          <cell r="AQ72" t="str">
            <v/>
          </cell>
          <cell r="AR72"/>
          <cell r="AU72" t="str">
            <v>Yangın</v>
          </cell>
          <cell r="AX72" t="str">
            <v>https://www.appsheet.com/Template/gettablefileurl?appname=GDM7x4_Failure_List-654943&amp;tableName=SAYFA1&amp;filename=Sayfa1_Images%2Fff0d7137.Resim.114611.jpg</v>
          </cell>
        </row>
        <row r="73">
          <cell r="A73" t="str">
            <v>35007615</v>
          </cell>
          <cell r="B73" t="str">
            <v>FRACAS-GDM-072</v>
          </cell>
          <cell r="E73">
            <v>45280</v>
          </cell>
          <cell r="F73">
            <v>45280</v>
          </cell>
          <cell r="G73" t="str">
            <v>TS#4</v>
          </cell>
          <cell r="H73" t="str">
            <v>Mc1</v>
          </cell>
          <cell r="I73" t="str">
            <v>Depo/Depot</v>
          </cell>
          <cell r="J73" t="str">
            <v>C-Uyarı, sürüş devamlılığı</v>
          </cell>
          <cell r="K73" t="str">
            <v>Devreye Alma(Servise Başlamadan Önceki Süreç)</v>
          </cell>
          <cell r="L73" t="str">
            <v>Pano kapağı ile sigorta kapağın birbirine değiyor bunun sonucunda 24V sigortaları ve pano kapağının arkası çizilerek zarar veriyor.</v>
          </cell>
          <cell r="M73" t="str">
            <v>Tamir süreci başlatıldı. Kalite bölümüne NCR oluşturuldu</v>
          </cell>
          <cell r="N73">
            <v>0</v>
          </cell>
          <cell r="P73" t="str">
            <v>C(Sisteme etki etmeyen arıza)</v>
          </cell>
          <cell r="Q73" t="str">
            <v>N.A(Yaralanma yok)</v>
          </cell>
          <cell r="R73" t="str">
            <v>Bozankaya</v>
          </cell>
          <cell r="T73">
            <v>45280</v>
          </cell>
          <cell r="U73">
            <v>45280</v>
          </cell>
          <cell r="V73" t="str">
            <v>Bozankaya</v>
          </cell>
          <cell r="W73"/>
          <cell r="X73"/>
          <cell r="Y73"/>
          <cell r="Z73"/>
          <cell r="AA73"/>
          <cell r="AB73"/>
          <cell r="AC73"/>
          <cell r="AD73"/>
          <cell r="AE73"/>
          <cell r="AH73"/>
          <cell r="AN73">
            <v>2</v>
          </cell>
          <cell r="AP73" t="str">
            <v>(I) İlk defa karşılaşılan arıza</v>
          </cell>
          <cell r="AQ73" t="str">
            <v/>
          </cell>
          <cell r="AR73"/>
          <cell r="AU73" t="str">
            <v>İç Giydirme</v>
          </cell>
          <cell r="AX73" t="str">
            <v>https://www.appsheet.com/Template/gettablefileurl?appname=GDM7x4_Failure_List-654943&amp;tableName=SAYFA1&amp;filename=Sayfa1_Images%2F35007615.Resim.115123.jpg</v>
          </cell>
        </row>
        <row r="74">
          <cell r="A74" t="str">
            <v>7f85f57c</v>
          </cell>
          <cell r="B74" t="str">
            <v>FRACAS-GDM-073</v>
          </cell>
          <cell r="E74">
            <v>45280</v>
          </cell>
          <cell r="F74">
            <v>45280</v>
          </cell>
          <cell r="G74" t="str">
            <v>TS#4</v>
          </cell>
          <cell r="H74" t="str">
            <v>T</v>
          </cell>
          <cell r="I74" t="str">
            <v>Depo/Depot</v>
          </cell>
          <cell r="J74" t="str">
            <v>C-Uyarı, sürüş devamlılığı</v>
          </cell>
          <cell r="K74" t="str">
            <v>Devreye Alma(Servise Başlamadan Önceki Süreç)</v>
          </cell>
          <cell r="L74" t="str">
            <v>24. Kapı x11 konnektör kablo sabitleme montajı yapılmamış.</v>
          </cell>
          <cell r="M74" t="str">
            <v>Tamir süreci başlatıldı. Kalite bölümüne NCR oluşturuldu</v>
          </cell>
          <cell r="N74">
            <v>0</v>
          </cell>
          <cell r="P74" t="str">
            <v>C(Sisteme etki etmeyen arıza)</v>
          </cell>
          <cell r="Q74" t="str">
            <v>N.A(Yaralanma yok)</v>
          </cell>
          <cell r="R74" t="str">
            <v>Bozankaya</v>
          </cell>
          <cell r="T74">
            <v>45280</v>
          </cell>
          <cell r="U74">
            <v>45280</v>
          </cell>
          <cell r="V74" t="str">
            <v>Bozankaya</v>
          </cell>
          <cell r="W74"/>
          <cell r="X74"/>
          <cell r="Y74"/>
          <cell r="Z74"/>
          <cell r="AA74"/>
          <cell r="AB74"/>
          <cell r="AC74"/>
          <cell r="AD74"/>
          <cell r="AE74"/>
          <cell r="AH74"/>
          <cell r="AN74">
            <v>2</v>
          </cell>
          <cell r="AP74" t="str">
            <v>(I) İlk defa karşılaşılan arıza</v>
          </cell>
          <cell r="AQ74" t="str">
            <v/>
          </cell>
          <cell r="AR74"/>
          <cell r="AU74" t="str">
            <v>Kapı</v>
          </cell>
          <cell r="AX74" t="str">
            <v>https://www.appsheet.com/Template/gettablefileurl?appname=GDM7x4_Failure_List-654943&amp;tableName=SAYFA1&amp;filename=Sayfa1_Images%2F7f85f57c.Resim.115530.jpg</v>
          </cell>
        </row>
        <row r="75">
          <cell r="A75" t="str">
            <v>87890b69</v>
          </cell>
          <cell r="B75" t="str">
            <v>FRACAS-GDM-074</v>
          </cell>
          <cell r="E75">
            <v>45280</v>
          </cell>
          <cell r="F75">
            <v>45280</v>
          </cell>
          <cell r="G75" t="str">
            <v>TS#4</v>
          </cell>
          <cell r="H75" t="str">
            <v>T</v>
          </cell>
          <cell r="I75" t="str">
            <v>Depo/Depot</v>
          </cell>
          <cell r="J75" t="str">
            <v>C-Uyarı, sürüş devamlılığı</v>
          </cell>
          <cell r="K75" t="str">
            <v>Devreye Alma(Servise Başlamadan Önceki Süreç)</v>
          </cell>
          <cell r="L75" t="str">
            <v>22. Kapı x11 konnektör kablo sabitleme montajı yapılmamış</v>
          </cell>
          <cell r="M75" t="str">
            <v>Tamir süreci başlatıldı. Kalite bölümüne NCR oluşturuldu</v>
          </cell>
          <cell r="N75">
            <v>0</v>
          </cell>
          <cell r="P75" t="str">
            <v>C(Sisteme etki etmeyen arıza)</v>
          </cell>
          <cell r="Q75" t="str">
            <v>N.A(Yaralanma yok)</v>
          </cell>
          <cell r="R75" t="str">
            <v>Bozankaya</v>
          </cell>
          <cell r="T75">
            <v>45280</v>
          </cell>
          <cell r="U75">
            <v>45280</v>
          </cell>
          <cell r="V75" t="str">
            <v>Bozankaya</v>
          </cell>
          <cell r="W75"/>
          <cell r="X75"/>
          <cell r="Y75"/>
          <cell r="Z75"/>
          <cell r="AA75"/>
          <cell r="AB75"/>
          <cell r="AC75"/>
          <cell r="AD75"/>
          <cell r="AE75"/>
          <cell r="AH75"/>
          <cell r="AN75">
            <v>2</v>
          </cell>
          <cell r="AP75" t="str">
            <v>(I) İlk defa karşılaşılan arıza</v>
          </cell>
          <cell r="AQ75" t="str">
            <v/>
          </cell>
          <cell r="AR75"/>
          <cell r="AU75" t="str">
            <v>Kapı</v>
          </cell>
          <cell r="AX75" t="str">
            <v>https://www.appsheet.com/Template/gettablefileurl?appname=GDM7x4_Failure_List-654943&amp;tableName=SAYFA1&amp;filename=Sayfa1_Images%2F87890b69.Resim.115947.jpg</v>
          </cell>
        </row>
        <row r="76">
          <cell r="A76" t="str">
            <v>564660c5</v>
          </cell>
          <cell r="B76" t="str">
            <v>FRACAS-GDM-075</v>
          </cell>
          <cell r="E76">
            <v>45280</v>
          </cell>
          <cell r="F76">
            <v>45280</v>
          </cell>
          <cell r="G76" t="str">
            <v>TS#4</v>
          </cell>
          <cell r="H76" t="str">
            <v>T</v>
          </cell>
          <cell r="I76" t="str">
            <v>Depo/Depot</v>
          </cell>
          <cell r="J76" t="str">
            <v>C-Uyarı, sürüş devamlılığı</v>
          </cell>
          <cell r="K76" t="str">
            <v>Devreye Alma(Servise Başlamadan Önceki Süreç)</v>
          </cell>
          <cell r="L76" t="str">
            <v>Yangın tüpü eksik</v>
          </cell>
          <cell r="M76" t="str">
            <v>Tamir süreci başlatıldı. Kalite bölümüne NCR oluşturuldu</v>
          </cell>
          <cell r="N76">
            <v>0</v>
          </cell>
          <cell r="P76" t="str">
            <v>C(Sisteme etki etmeyen arıza)</v>
          </cell>
          <cell r="Q76" t="str">
            <v>N.A(Yaralanma yok)</v>
          </cell>
          <cell r="R76" t="str">
            <v>Bozankaya</v>
          </cell>
          <cell r="T76">
            <v>45280</v>
          </cell>
          <cell r="U76">
            <v>45280</v>
          </cell>
          <cell r="V76" t="str">
            <v>Bozankaya</v>
          </cell>
          <cell r="W76"/>
          <cell r="X76"/>
          <cell r="Y76"/>
          <cell r="Z76"/>
          <cell r="AA76"/>
          <cell r="AB76"/>
          <cell r="AC76"/>
          <cell r="AD76"/>
          <cell r="AE76"/>
          <cell r="AH76"/>
          <cell r="AN76">
            <v>2</v>
          </cell>
          <cell r="AP76" t="str">
            <v>(I) İlk defa karşılaşılan arıza</v>
          </cell>
          <cell r="AQ76" t="str">
            <v/>
          </cell>
          <cell r="AR76"/>
          <cell r="AU76" t="str">
            <v>Yangın</v>
          </cell>
          <cell r="AX76" t="str">
            <v>https://www.appsheet.com/Template/gettablefileurl?appname=GDM7x4_Failure_List-654943&amp;tableName=SAYFA1&amp;filename=Sayfa1_Images%2F564660c5.Resim.120600.jpg</v>
          </cell>
        </row>
        <row r="77">
          <cell r="A77" t="str">
            <v>4ab1344a</v>
          </cell>
          <cell r="B77" t="str">
            <v>FRACAS-GDM-076</v>
          </cell>
          <cell r="E77">
            <v>45280</v>
          </cell>
          <cell r="F77">
            <v>45280</v>
          </cell>
          <cell r="G77" t="str">
            <v>TS#4</v>
          </cell>
          <cell r="H77" t="str">
            <v>M</v>
          </cell>
          <cell r="I77" t="str">
            <v>Depo/Depot</v>
          </cell>
          <cell r="J77" t="str">
            <v>C-Uyarı, sürüş devamlılığı</v>
          </cell>
          <cell r="K77" t="str">
            <v>Devreye Alma(Servise Başlamadan Önceki Süreç)</v>
          </cell>
          <cell r="L77" t="str">
            <v>10. Kapı x11 konnektörü kablo sabitleme montajı yapılmamış</v>
          </cell>
          <cell r="M77" t="str">
            <v>Tamir süreci başlatıldı. Kalite bölümüne NCR oluşturuldu</v>
          </cell>
          <cell r="N77">
            <v>0</v>
          </cell>
          <cell r="P77" t="str">
            <v>C(Sisteme etki etmeyen arıza)</v>
          </cell>
          <cell r="Q77" t="str">
            <v>N.A(Yaralanma yok)</v>
          </cell>
          <cell r="R77" t="str">
            <v>Bozankaya</v>
          </cell>
          <cell r="T77">
            <v>45280</v>
          </cell>
          <cell r="U77">
            <v>45280</v>
          </cell>
          <cell r="V77" t="str">
            <v>IFE</v>
          </cell>
          <cell r="W77"/>
          <cell r="X77"/>
          <cell r="Y77"/>
          <cell r="Z77"/>
          <cell r="AA77"/>
          <cell r="AB77"/>
          <cell r="AC77"/>
          <cell r="AD77"/>
          <cell r="AE77"/>
          <cell r="AH77"/>
          <cell r="AN77">
            <v>2</v>
          </cell>
          <cell r="AP77" t="str">
            <v>(I) İlk defa karşılaşılan arıza</v>
          </cell>
          <cell r="AQ77" t="str">
            <v/>
          </cell>
          <cell r="AR77"/>
          <cell r="AU77" t="str">
            <v>Kapı</v>
          </cell>
          <cell r="AX77" t="str">
            <v>https://www.appsheet.com/Template/gettablefileurl?appname=GDM7x4_Failure_List-654943&amp;tableName=SAYFA1&amp;filename=Sayfa1_Images%2F4ab1344a.Resim.121839.jpg</v>
          </cell>
        </row>
        <row r="78">
          <cell r="A78" t="str">
            <v>53108888</v>
          </cell>
          <cell r="B78" t="str">
            <v>FRACAS-GDM-077</v>
          </cell>
          <cell r="E78">
            <v>45280</v>
          </cell>
          <cell r="F78">
            <v>45280</v>
          </cell>
          <cell r="G78" t="str">
            <v>TS#4</v>
          </cell>
          <cell r="H78" t="str">
            <v>Mc2</v>
          </cell>
          <cell r="I78" t="str">
            <v>Depo/Depot</v>
          </cell>
          <cell r="J78" t="str">
            <v>C-Uyarı, sürüş devamlılığı</v>
          </cell>
          <cell r="K78" t="str">
            <v>Devreye Alma(Servise Başlamadan Önceki Süreç)</v>
          </cell>
          <cell r="L78" t="str">
            <v>Kilit mekanizması kapin masasını çizmektedir.</v>
          </cell>
          <cell r="M78" t="str">
            <v>Tamir süreci başlatıldı. Kalite bölümüne NCR oluşturuldu</v>
          </cell>
          <cell r="N78">
            <v>0</v>
          </cell>
          <cell r="P78" t="str">
            <v>C(Sisteme etki etmeyen arıza)</v>
          </cell>
          <cell r="Q78" t="str">
            <v>N.A(Yaralanma yok)</v>
          </cell>
          <cell r="R78" t="str">
            <v>Bozankaya</v>
          </cell>
          <cell r="T78">
            <v>45280</v>
          </cell>
          <cell r="U78">
            <v>45280</v>
          </cell>
          <cell r="V78" t="str">
            <v>Bozankaya</v>
          </cell>
          <cell r="W78"/>
          <cell r="X78"/>
          <cell r="Y78"/>
          <cell r="Z78"/>
          <cell r="AA78"/>
          <cell r="AB78"/>
          <cell r="AC78"/>
          <cell r="AD78"/>
          <cell r="AE78"/>
          <cell r="AH78"/>
          <cell r="AN78">
            <v>2</v>
          </cell>
          <cell r="AP78" t="str">
            <v>(I) İlk defa karşılaşılan arıza</v>
          </cell>
          <cell r="AQ78" t="str">
            <v/>
          </cell>
          <cell r="AR78"/>
          <cell r="AU78" t="str">
            <v>Kabin Masası</v>
          </cell>
          <cell r="AX78" t="str">
            <v>https://www.appsheet.com/Template/gettablefileurl?appname=GDM7x4_Failure_List-654943&amp;tableName=SAYFA1&amp;filename=Sayfa1_Images%2F53108888.Resim.122809.jpg</v>
          </cell>
        </row>
        <row r="79">
          <cell r="A79" t="str">
            <v>2ae5968f</v>
          </cell>
          <cell r="B79" t="str">
            <v>FRACAS-GDM-078</v>
          </cell>
          <cell r="E79">
            <v>45280</v>
          </cell>
          <cell r="F79">
            <v>45280</v>
          </cell>
          <cell r="G79" t="str">
            <v>TS#1</v>
          </cell>
          <cell r="H79" t="str">
            <v>T</v>
          </cell>
          <cell r="I79" t="str">
            <v>Depo/Depot</v>
          </cell>
          <cell r="J79" t="str">
            <v>C-Uyarı, sürüş devamlılığı</v>
          </cell>
          <cell r="K79" t="str">
            <v>Devreye Alma(Servise Başlamadan Önceki Süreç)</v>
          </cell>
          <cell r="L79" t="str">
            <v>Trim pano kapağı ile sigorta kapağı birbirine tesası sonucu sigorta kırılmıştır.</v>
          </cell>
          <cell r="M79" t="str">
            <v>Tamir süreci başlatıldı. Kalite bölümüne NCR oluşturuldu</v>
          </cell>
          <cell r="N79">
            <v>296</v>
          </cell>
          <cell r="P79" t="str">
            <v>C(Sisteme etki etmeyen arıza)</v>
          </cell>
          <cell r="Q79" t="str">
            <v>N.A(Yaralanma yok)</v>
          </cell>
          <cell r="R79" t="str">
            <v>Bozankaya</v>
          </cell>
          <cell r="T79">
            <v>45280</v>
          </cell>
          <cell r="U79">
            <v>45280</v>
          </cell>
          <cell r="V79" t="str">
            <v>Bozankaya</v>
          </cell>
          <cell r="W79"/>
          <cell r="X79"/>
          <cell r="Y79"/>
          <cell r="Z79"/>
          <cell r="AA79"/>
          <cell r="AB79"/>
          <cell r="AC79" t="str">
            <v>41-HBR-23-005</v>
          </cell>
          <cell r="AD79"/>
          <cell r="AE79"/>
          <cell r="AH79"/>
          <cell r="AN79">
            <v>2</v>
          </cell>
          <cell r="AP79" t="str">
            <v>(I) İlk defa karşılaşılan arıza</v>
          </cell>
          <cell r="AQ79" t="str">
            <v/>
          </cell>
          <cell r="AR79"/>
          <cell r="AU79" t="str">
            <v>E-Kabinet</v>
          </cell>
          <cell r="AX79" t="str">
            <v>https://www.appsheet.com/Template/gettablefileurl?appname=GDM7x4_Failure_List-654943&amp;tableName=SAYFA1&amp;filename=Sayfa1_Images%2F2ae5968f.Resim.130154.png</v>
          </cell>
        </row>
        <row r="80">
          <cell r="A80" t="str">
            <v>4c5d8a0a</v>
          </cell>
          <cell r="B80" t="str">
            <v>FRACAS-GDM-079</v>
          </cell>
          <cell r="E80">
            <v>45282</v>
          </cell>
          <cell r="F80">
            <v>45282</v>
          </cell>
          <cell r="G80" t="str">
            <v>TS#1</v>
          </cell>
          <cell r="H80" t="str">
            <v>Mc1</v>
          </cell>
          <cell r="I80" t="str">
            <v>Depo/Depot</v>
          </cell>
          <cell r="J80" t="str">
            <v>C-Uyarı, sürüş devamlılığı</v>
          </cell>
          <cell r="K80" t="str">
            <v>Devreye Alma(Servise Başlamadan Önceki Süreç)</v>
          </cell>
          <cell r="L80" t="str">
            <v>Tüm aracın tavanındaki klimaların, pantografın ve fren rezistanslarının ayak kısımları boyalı değildir.</v>
          </cell>
          <cell r="M80" t="str">
            <v>Tamir süreci başlatıldı. Kalite bölümüne NCR oluşturuldu</v>
          </cell>
          <cell r="N80">
            <v>298</v>
          </cell>
          <cell r="P80" t="str">
            <v>C(Sisteme etki etmeyen arıza)</v>
          </cell>
          <cell r="Q80" t="str">
            <v>N.A(Yaralanma yok)</v>
          </cell>
          <cell r="R80" t="str">
            <v>Bozankaya</v>
          </cell>
          <cell r="T80">
            <v>45282</v>
          </cell>
          <cell r="U80">
            <v>45282</v>
          </cell>
          <cell r="V80" t="str">
            <v>Bozankaya</v>
          </cell>
          <cell r="W80"/>
          <cell r="X80"/>
          <cell r="Y80"/>
          <cell r="Z80"/>
          <cell r="AA80"/>
          <cell r="AB80"/>
          <cell r="AC80"/>
          <cell r="AD80"/>
          <cell r="AE80"/>
          <cell r="AH80"/>
          <cell r="AN80">
            <v>2</v>
          </cell>
          <cell r="AP80" t="str">
            <v>(I) İlk defa karşılaşılan arıza</v>
          </cell>
          <cell r="AQ80" t="str">
            <v/>
          </cell>
          <cell r="AR80"/>
          <cell r="AU80" t="str">
            <v>Dış Giydirme</v>
          </cell>
          <cell r="AX80" t="str">
            <v>https://www.appsheet.com/Template/gettablefileurl?appname=GDM7x4_Failure_List-654943&amp;tableName=SAYFA1&amp;filename=Sayfa1_Images%2F4c5d8a0a.Resim.085423.jpg</v>
          </cell>
        </row>
        <row r="81">
          <cell r="A81" t="str">
            <v>2ffeccae</v>
          </cell>
          <cell r="B81" t="str">
            <v>FRACAS-GDM-080</v>
          </cell>
          <cell r="E81">
            <v>45282</v>
          </cell>
          <cell r="F81">
            <v>45282</v>
          </cell>
          <cell r="G81" t="str">
            <v>TS#4</v>
          </cell>
          <cell r="H81" t="str">
            <v>Mc2</v>
          </cell>
          <cell r="I81" t="str">
            <v>Depo/Depot</v>
          </cell>
          <cell r="J81" t="str">
            <v>C-Uyarı, sürüş devamlılığı</v>
          </cell>
          <cell r="K81" t="str">
            <v>Devreye Alma(Servise Başlamadan Önceki Süreç)</v>
          </cell>
          <cell r="L81" t="str">
            <v>İki Klimanın da koruma saçları hasaralmıştır/eğilmiştir.</v>
          </cell>
          <cell r="M81" t="str">
            <v>Tamir süreci başlatıldı. Kalite bölümüne NCR oluşturuldu</v>
          </cell>
          <cell r="N81">
            <v>302</v>
          </cell>
          <cell r="P81" t="str">
            <v>C(Sisteme etki etmeyen arıza)</v>
          </cell>
          <cell r="Q81" t="str">
            <v>N.A(Yaralanma yok)</v>
          </cell>
          <cell r="R81" t="str">
            <v>Bozankaya</v>
          </cell>
          <cell r="T81">
            <v>45282</v>
          </cell>
          <cell r="U81">
            <v>45282</v>
          </cell>
          <cell r="V81" t="str">
            <v>Yazkar</v>
          </cell>
          <cell r="W81"/>
          <cell r="X81"/>
          <cell r="Y81"/>
          <cell r="Z81"/>
          <cell r="AA81"/>
          <cell r="AB81"/>
          <cell r="AC81"/>
          <cell r="AD81"/>
          <cell r="AE81"/>
          <cell r="AH81"/>
          <cell r="AN81">
            <v>2</v>
          </cell>
          <cell r="AP81" t="str">
            <v>(I) İlk defa karşılaşılan arıza</v>
          </cell>
          <cell r="AQ81" t="str">
            <v/>
          </cell>
          <cell r="AR81"/>
          <cell r="AU81" t="str">
            <v>HVAC</v>
          </cell>
          <cell r="AX81" t="str">
            <v>https://www.appsheet.com/Template/gettablefileurl?appname=GDM7x4_Failure_List-654943&amp;tableName=SAYFA1&amp;filename=Sayfa1_Images%2F2ffeccae.Resim.090443.jpg</v>
          </cell>
        </row>
        <row r="82">
          <cell r="A82" t="str">
            <v>c5f7d18f</v>
          </cell>
          <cell r="B82" t="str">
            <v>FRACAS-GDM-081</v>
          </cell>
          <cell r="E82">
            <v>45308</v>
          </cell>
          <cell r="F82">
            <v>45308.870138888888</v>
          </cell>
          <cell r="G82" t="str">
            <v>TS#1</v>
          </cell>
          <cell r="H82" t="str">
            <v>Mc1</v>
          </cell>
          <cell r="I82" t="str">
            <v>Depo/Depot</v>
          </cell>
          <cell r="J82" t="str">
            <v>C-Uyarı, sürüş devamlılığı</v>
          </cell>
          <cell r="K82" t="str">
            <v>Devreye Alma(Servise Başlamadan Önceki Süreç)</v>
          </cell>
          <cell r="L82" t="str">
            <v>Koltuk altı ısıtıcı koltuğu el değmeyecek kadar ısıtmakta. Konforu etkileyecek kadar koltuklar ısınıyor ve boyasında matlaşma oluşmuş. En az 3 adette kararma mevcut. Seri no lar: M.022023027,  M.022023010,   M.022023014</v>
          </cell>
          <cell r="M82"/>
          <cell r="N82">
            <v>306</v>
          </cell>
          <cell r="P82" t="str">
            <v>C(Sisteme etki etmeyen arıza)</v>
          </cell>
          <cell r="Q82" t="str">
            <v>N.A(Yaralanma yok)</v>
          </cell>
          <cell r="R82" t="str">
            <v>Bozankaya</v>
          </cell>
          <cell r="T82">
            <v>45309</v>
          </cell>
          <cell r="U82">
            <v>45309.413194444445</v>
          </cell>
          <cell r="V82" t="str">
            <v>Yazkar</v>
          </cell>
          <cell r="W82" t="str">
            <v>Koltuk altı ısıtıcı</v>
          </cell>
          <cell r="X82" t="str">
            <v>M.022023027 , M.022023010 , M.022023014</v>
          </cell>
          <cell r="Y82">
            <v>3</v>
          </cell>
          <cell r="Z82" t="str">
            <v>M.022023027</v>
          </cell>
          <cell r="AA82" t="str">
            <v>Evet</v>
          </cell>
          <cell r="AB82" t="str">
            <v>Yazılım güncelleme</v>
          </cell>
          <cell r="AC82" t="str">
            <v>41-HBR-23-007</v>
          </cell>
          <cell r="AD82"/>
          <cell r="AE82" t="str">
            <v/>
          </cell>
          <cell r="AH82" t="str">
            <v/>
          </cell>
          <cell r="AN82">
            <v>2</v>
          </cell>
          <cell r="AP82" t="str">
            <v>(I) İlk defa karşılaşılan arıza</v>
          </cell>
          <cell r="AQ82" t="str">
            <v/>
          </cell>
          <cell r="AR82"/>
          <cell r="AU82" t="str">
            <v>HVAC</v>
          </cell>
          <cell r="AX82" t="str">
            <v>https://www.appsheet.com/Template/gettablefileurl?appname=GDM7x4_Failure_List-654943&amp;tableName=SAYFA1&amp;filename=Sayfa1_Images%2Fc5f7d18f.Resim.054750.jpg</v>
          </cell>
        </row>
        <row r="83">
          <cell r="A83" t="str">
            <v>90ec0837</v>
          </cell>
          <cell r="B83" t="str">
            <v>FRACAS-GDM-082</v>
          </cell>
          <cell r="E83">
            <v>45315</v>
          </cell>
          <cell r="F83">
            <v>45315.5625</v>
          </cell>
          <cell r="G83" t="str">
            <v>TS#2</v>
          </cell>
          <cell r="H83" t="str">
            <v>Mc2</v>
          </cell>
          <cell r="I83" t="str">
            <v>Depo/Depot</v>
          </cell>
          <cell r="J83" t="str">
            <v>C-Uyarı, sürüş devamlılığı</v>
          </cell>
          <cell r="K83" t="str">
            <v>Devreye Alma(Servise Başlamadan Önceki Süreç)</v>
          </cell>
          <cell r="L83" t="str">
            <v>Deray sensörü</v>
          </cell>
          <cell r="M83" t="str">
            <v>7. Boji Deray sensörü pinleri arası kısa devre olduğu tespit edildi.</v>
          </cell>
          <cell r="N83">
            <v>310</v>
          </cell>
          <cell r="P83" t="str">
            <v>B(Servisten çekmeye etki eden arızalar)</v>
          </cell>
          <cell r="Q83" t="str">
            <v>N.A(Yaralanma yok)</v>
          </cell>
          <cell r="R83" t="str">
            <v>Bozankaya</v>
          </cell>
          <cell r="T83">
            <v>45315</v>
          </cell>
          <cell r="U83">
            <v>45315.708333333336</v>
          </cell>
          <cell r="V83" t="str">
            <v>Bozankaya</v>
          </cell>
          <cell r="W83" t="str">
            <v>Deray sensörü</v>
          </cell>
          <cell r="X83" t="str">
            <v>B170-8001</v>
          </cell>
          <cell r="Y83">
            <v>1</v>
          </cell>
          <cell r="Z83" t="str">
            <v>A1263A5Q2703511</v>
          </cell>
          <cell r="AA83"/>
          <cell r="AB83"/>
          <cell r="AC83" t="str">
            <v>41-HBR-23-008</v>
          </cell>
          <cell r="AD83"/>
          <cell r="AE83" t="str">
            <v/>
          </cell>
          <cell r="AH83">
            <v>45316</v>
          </cell>
          <cell r="AN83">
            <v>2</v>
          </cell>
          <cell r="AP83" t="str">
            <v>(I) İlk defa karşılaşılan arıza</v>
          </cell>
          <cell r="AQ83">
            <v>45316</v>
          </cell>
          <cell r="AR83">
            <v>45316.337754629632</v>
          </cell>
          <cell r="AU83" t="str">
            <v>Boji</v>
          </cell>
          <cell r="AX83" t="str">
            <v>https://www.appsheet.com/Template/gettablefileurl?appname=GDM7x4_Failure_List-654943&amp;tableName=SAYFA1&amp;filename=Sayfa1_Images%2F90ec0837.Resim.131645.jpg</v>
          </cell>
        </row>
        <row r="84">
          <cell r="A84" t="str">
            <v>2a36c6ae</v>
          </cell>
          <cell r="B84" t="str">
            <v>FRACAS-GDM-083</v>
          </cell>
          <cell r="E84">
            <v>45316</v>
          </cell>
          <cell r="F84">
            <v>45316.354166666664</v>
          </cell>
          <cell r="G84" t="str">
            <v>TS#4</v>
          </cell>
          <cell r="H84" t="str">
            <v>Mc2</v>
          </cell>
          <cell r="I84" t="str">
            <v>Depo/Depot</v>
          </cell>
          <cell r="J84" t="str">
            <v>C-Uyarı, sürüş devamlılığı</v>
          </cell>
          <cell r="K84" t="str">
            <v>Devreye Alma(Servise Başlamadan Önceki Süreç)</v>
          </cell>
          <cell r="L84" t="str">
            <v>Graffiti</v>
          </cell>
          <cell r="M84" t="str">
            <v>30. Kapı ile 32. Kapı boyunca graffiti yapılmış.</v>
          </cell>
          <cell r="N84">
            <v>1</v>
          </cell>
          <cell r="P84" t="str">
            <v>C(Sisteme etki etmeyen arıza)</v>
          </cell>
          <cell r="Q84" t="str">
            <v>N.A(Yaralanma yok)</v>
          </cell>
          <cell r="R84" t="str">
            <v>Bozankaya</v>
          </cell>
          <cell r="T84">
            <v>45316</v>
          </cell>
          <cell r="U84">
            <v>45316.364583333336</v>
          </cell>
          <cell r="V84" t="str">
            <v>Bozankaya</v>
          </cell>
          <cell r="W84"/>
          <cell r="X84"/>
          <cell r="Y84">
            <v>1</v>
          </cell>
          <cell r="Z84"/>
          <cell r="AA84"/>
          <cell r="AB84"/>
          <cell r="AC84" t="str">
            <v>41-HBR-23-031</v>
          </cell>
          <cell r="AD84"/>
          <cell r="AE84" t="str">
            <v/>
          </cell>
          <cell r="AH84" t="str">
            <v/>
          </cell>
          <cell r="AN84">
            <v>1</v>
          </cell>
          <cell r="AP84" t="str">
            <v>(II) Birden fazla karşılaşılan arıza</v>
          </cell>
          <cell r="AQ84">
            <v>45355</v>
          </cell>
          <cell r="AR84">
            <v>45355.723171296297</v>
          </cell>
          <cell r="AU84" t="str">
            <v>Dış Giydirme</v>
          </cell>
          <cell r="AX84" t="str">
            <v>https://www.appsheet.com/Template/gettablefileurl?appname=GDM7x4_Failure_List-654943&amp;tableName=SAYFA1&amp;filename=Sayfa1_Images%2F2a36c6ae.Resim.074458.jpg</v>
          </cell>
        </row>
        <row r="85">
          <cell r="A85" t="str">
            <v>8d4771d5</v>
          </cell>
          <cell r="B85" t="str">
            <v>FRACAS-GDM-084</v>
          </cell>
          <cell r="E85">
            <v>45316</v>
          </cell>
          <cell r="F85">
            <v>45316.354166666664</v>
          </cell>
          <cell r="G85" t="str">
            <v>TS#4</v>
          </cell>
          <cell r="H85" t="str">
            <v>Mc2</v>
          </cell>
          <cell r="I85" t="str">
            <v>Depo/Depot</v>
          </cell>
          <cell r="J85" t="str">
            <v>C-Uyarı, sürüş devamlılığı</v>
          </cell>
          <cell r="K85" t="str">
            <v>Devreye Alma(Servise Başlamadan Önceki Süreç)</v>
          </cell>
          <cell r="L85" t="str">
            <v>Graffiti</v>
          </cell>
          <cell r="M85" t="str">
            <v>26. Kapı ile 28. Kapı boyunca Graffiti yapılmıştır.</v>
          </cell>
          <cell r="N85">
            <v>1</v>
          </cell>
          <cell r="P85" t="str">
            <v>C(Sisteme etki etmeyen arıza)</v>
          </cell>
          <cell r="Q85" t="str">
            <v>N.A(Yaralanma yok)</v>
          </cell>
          <cell r="R85" t="str">
            <v>Bozankaya</v>
          </cell>
          <cell r="T85">
            <v>45316</v>
          </cell>
          <cell r="U85">
            <v>45316.364583333336</v>
          </cell>
          <cell r="V85" t="str">
            <v>Bozankaya</v>
          </cell>
          <cell r="W85"/>
          <cell r="X85"/>
          <cell r="Y85">
            <v>1</v>
          </cell>
          <cell r="Z85"/>
          <cell r="AA85"/>
          <cell r="AB85"/>
          <cell r="AC85" t="str">
            <v>41-HBR-23-031</v>
          </cell>
          <cell r="AD85"/>
          <cell r="AE85" t="str">
            <v/>
          </cell>
          <cell r="AH85" t="str">
            <v/>
          </cell>
          <cell r="AN85">
            <v>1</v>
          </cell>
          <cell r="AP85" t="str">
            <v>(II) Birden fazla karşılaşılan arıza</v>
          </cell>
          <cell r="AQ85">
            <v>45355</v>
          </cell>
          <cell r="AR85">
            <v>45355.595520833333</v>
          </cell>
          <cell r="AU85" t="str">
            <v>Dış Giydirme</v>
          </cell>
          <cell r="AX85" t="str">
            <v>https://www.appsheet.com/Template/gettablefileurl?appname=GDM7x4_Failure_List-654943&amp;tableName=SAYFA1&amp;filename=Sayfa1_Images%2F8d4771d5.Resim.074830.jpg</v>
          </cell>
        </row>
        <row r="86">
          <cell r="A86" t="str">
            <v>89ae5f4a</v>
          </cell>
          <cell r="B86" t="str">
            <v>FRACAS-GDM-085</v>
          </cell>
          <cell r="E86">
            <v>45316</v>
          </cell>
          <cell r="F86">
            <v>45316.5625</v>
          </cell>
          <cell r="G86" t="str">
            <v>TS#2</v>
          </cell>
          <cell r="H86" t="str">
            <v>Mc2</v>
          </cell>
          <cell r="I86" t="str">
            <v>Depo/Depot</v>
          </cell>
          <cell r="J86" t="str">
            <v>C-Uyarı, sürüş devamlılığı</v>
          </cell>
          <cell r="K86" t="str">
            <v>Devreye Alma(Servise Başlamadan Önceki Süreç)</v>
          </cell>
          <cell r="L86" t="str">
            <v>29. Kapının DCU güç bağlantısı yapılmasına rağmen ışıkları yanmıyor. Yazılım atılmaya çalışıldığında bağlanılamıyor.</v>
          </cell>
          <cell r="M86"/>
          <cell r="N86">
            <v>310</v>
          </cell>
          <cell r="P86" t="str">
            <v>C(Sisteme etki etmeyen arıza)</v>
          </cell>
          <cell r="Q86" t="str">
            <v>N.A(Yaralanma yok)</v>
          </cell>
          <cell r="R86" t="str">
            <v>Bozankaya</v>
          </cell>
          <cell r="T86">
            <v>45316</v>
          </cell>
          <cell r="U86">
            <v>45316.729166666664</v>
          </cell>
          <cell r="V86" t="str">
            <v>IFE</v>
          </cell>
          <cell r="W86" t="str">
            <v>DCU</v>
          </cell>
          <cell r="X86" t="str">
            <v>B170-8001</v>
          </cell>
          <cell r="Y86">
            <v>1</v>
          </cell>
          <cell r="Z86" t="str">
            <v>4637 1475 0002</v>
          </cell>
          <cell r="AA86"/>
          <cell r="AB86"/>
          <cell r="AC86" t="str">
            <v>41-HBR-23-009</v>
          </cell>
          <cell r="AD86"/>
          <cell r="AE86" t="str">
            <v/>
          </cell>
          <cell r="AH86" t="str">
            <v/>
          </cell>
          <cell r="AN86">
            <v>2</v>
          </cell>
          <cell r="AP86" t="str">
            <v>(I) İlk defa karşılaşılan arıza</v>
          </cell>
          <cell r="AQ86">
            <v>45317</v>
          </cell>
          <cell r="AR86">
            <v>45317.509236111109</v>
          </cell>
          <cell r="AU86" t="str">
            <v>Kapı</v>
          </cell>
          <cell r="AX86" t="str">
            <v>https://www.appsheet.com/Template/gettablefileurl?appname=GDM7x4_Failure_List-654943&amp;tableName=SAYFA1&amp;filename=Sayfa1_Images%2F89ae5f4a.Resim.130529.png</v>
          </cell>
        </row>
        <row r="87">
          <cell r="A87" t="str">
            <v>e561d825</v>
          </cell>
          <cell r="B87" t="str">
            <v>FRACAS-GDM-086</v>
          </cell>
          <cell r="E87">
            <v>45316</v>
          </cell>
          <cell r="F87">
            <v>45316.666666666664</v>
          </cell>
          <cell r="G87" t="str">
            <v>TS#2</v>
          </cell>
          <cell r="H87" t="str">
            <v>Mc2</v>
          </cell>
          <cell r="I87" t="str">
            <v>Depo/Depot</v>
          </cell>
          <cell r="J87" t="str">
            <v>C-Uyarı, sürüş devamlılığı</v>
          </cell>
          <cell r="K87" t="str">
            <v>Devreye Alma(Servise Başlamadan Önceki Süreç)</v>
          </cell>
          <cell r="L87" t="str">
            <v xml:space="preserve">  + 59 pano MC2 kapak vidaları yüksek tork uygulandığı için sıyırmış olduğu tespit edildi.</v>
          </cell>
          <cell r="M87"/>
          <cell r="N87">
            <v>313</v>
          </cell>
          <cell r="P87" t="str">
            <v>C(Sisteme etki etmeyen arıza)</v>
          </cell>
          <cell r="Q87" t="str">
            <v>N.A(Yaralanma yok)</v>
          </cell>
          <cell r="R87" t="str">
            <v>Bozankaya</v>
          </cell>
          <cell r="T87">
            <v>45318</v>
          </cell>
          <cell r="U87">
            <v>45318.708333333336</v>
          </cell>
          <cell r="V87" t="str">
            <v>Bozankaya</v>
          </cell>
          <cell r="W87" t="str">
            <v>LHD kablo bağlantı ünitesi SIL2</v>
          </cell>
          <cell r="X87" t="str">
            <v>E955-8010</v>
          </cell>
          <cell r="Y87">
            <v>1</v>
          </cell>
          <cell r="Z87" t="str">
            <v>0001379</v>
          </cell>
          <cell r="AA87"/>
          <cell r="AB87"/>
          <cell r="AC87" t="str">
            <v>41-HBR-23-010</v>
          </cell>
          <cell r="AD87"/>
          <cell r="AE87" t="str">
            <v/>
          </cell>
          <cell r="AH87" t="str">
            <v/>
          </cell>
          <cell r="AN87">
            <v>2</v>
          </cell>
          <cell r="AP87" t="str">
            <v>(I) İlk defa karşılaşılan arıza</v>
          </cell>
          <cell r="AQ87">
            <v>45318</v>
          </cell>
          <cell r="AR87">
            <v>45318.759421296294</v>
          </cell>
          <cell r="AU87" t="str">
            <v>E-Kabinet</v>
          </cell>
          <cell r="AX87" t="str">
            <v>https://www.appsheet.com/Template/gettablefileurl?appname=GDM7x4_Failure_List-654943&amp;tableName=SAYFA1&amp;filename=Sayfa1_Images%2Fe561d825.Resim.112738.png</v>
          </cell>
        </row>
        <row r="88">
          <cell r="A88" t="str">
            <v>75e8f17b</v>
          </cell>
          <cell r="B88" t="str">
            <v>FRACAS-GDM-087</v>
          </cell>
          <cell r="E88">
            <v>45324</v>
          </cell>
          <cell r="F88">
            <v>45324.364583333336</v>
          </cell>
          <cell r="G88" t="str">
            <v>TS#3</v>
          </cell>
          <cell r="H88" t="str">
            <v>Mc2</v>
          </cell>
          <cell r="I88" t="str">
            <v>Depo/Depot</v>
          </cell>
          <cell r="J88" t="str">
            <v>C-Uyarı, sürüş devamlılığı</v>
          </cell>
          <cell r="K88" t="str">
            <v>Devreye Alma(Servise Başlamadan Önceki Süreç)</v>
          </cell>
          <cell r="L88" t="str">
            <v>Diyotlu Klamens Yanması</v>
          </cell>
          <cell r="M88" t="str">
            <v>İvme kolunun fren konumundaki switch yanmasına sebep olan pano içerisindeki diyotlara ters gerilim gelmesi sonucu diyotları yakmış olduğu tespit edildi.</v>
          </cell>
          <cell r="N88">
            <v>1</v>
          </cell>
          <cell r="P88" t="str">
            <v>C(Sisteme etki etmeyen arıza)</v>
          </cell>
          <cell r="Q88" t="str">
            <v>N.A(Yaralanma yok)</v>
          </cell>
          <cell r="R88" t="str">
            <v>Bozankaya</v>
          </cell>
          <cell r="T88">
            <v>45324</v>
          </cell>
          <cell r="U88">
            <v>45324.4375</v>
          </cell>
          <cell r="V88" t="str">
            <v>Bozankaya</v>
          </cell>
          <cell r="W88" t="str">
            <v>4mm2 dörtlü (diyotlu)</v>
          </cell>
          <cell r="X88" t="str">
            <v>E110-7298</v>
          </cell>
          <cell r="Y88">
            <v>3</v>
          </cell>
          <cell r="Z88"/>
          <cell r="AA88"/>
          <cell r="AB88"/>
          <cell r="AC88"/>
          <cell r="AD88"/>
          <cell r="AE88" t="str">
            <v/>
          </cell>
          <cell r="AH88">
            <v>45324</v>
          </cell>
          <cell r="AN88">
            <v>1</v>
          </cell>
          <cell r="AP88" t="str">
            <v>(I) İlk defa karşılaşılan arıza</v>
          </cell>
          <cell r="AQ88">
            <v>45324</v>
          </cell>
          <cell r="AR88">
            <v>45324.645833333336</v>
          </cell>
          <cell r="AU88" t="str">
            <v>E-Kabinet</v>
          </cell>
          <cell r="AX88" t="str">
            <v>https://www.appsheet.com/Template/gettablefileurl?appname=GDM7x4_Failure_List-654943&amp;tableName=SAYFA1&amp;filename=Sayfa1_Images%2F75e8f17b.Resim.075856.jpg</v>
          </cell>
        </row>
        <row r="89">
          <cell r="A89" t="str">
            <v>448aec94</v>
          </cell>
          <cell r="B89" t="str">
            <v>FRACAS-GDM-088</v>
          </cell>
          <cell r="E89">
            <v>45324</v>
          </cell>
          <cell r="F89">
            <v>45324.4375</v>
          </cell>
          <cell r="G89" t="str">
            <v>TS#3</v>
          </cell>
          <cell r="H89" t="str">
            <v>M , T</v>
          </cell>
          <cell r="I89" t="str">
            <v>Depo/Depot</v>
          </cell>
          <cell r="J89" t="str">
            <v>C-Uyarı, sürüş devamlılığı</v>
          </cell>
          <cell r="K89" t="str">
            <v>Devreye Alma(Servise Başlamadan Önceki Süreç)</v>
          </cell>
          <cell r="L89" t="str">
            <v>Jumper Sabitleme Çerçevesi</v>
          </cell>
          <cell r="M89" t="str">
            <v>RTC-M vagonuna ait UD-X831 ve RTD-T vagonuna ait UD-X806 jumper bağlantısının yapıldığı, jumper çerçevesinin vidaları dişleri sıyırarak kitlenmiştir.</v>
          </cell>
          <cell r="N89">
            <v>1</v>
          </cell>
          <cell r="P89" t="str">
            <v>C(Sisteme etki etmeyen arıza)</v>
          </cell>
          <cell r="Q89" t="str">
            <v>N.A(Yaralanma yok)</v>
          </cell>
          <cell r="R89" t="str">
            <v>Bozankaya</v>
          </cell>
          <cell r="T89">
            <v>45324</v>
          </cell>
          <cell r="U89">
            <v>45324.458333333336</v>
          </cell>
          <cell r="V89" t="str">
            <v>Bozankaya</v>
          </cell>
          <cell r="W89" t="str">
            <v>Han 24HPR-Mounting Frame</v>
          </cell>
          <cell r="X89" t="str">
            <v>E110-8074</v>
          </cell>
          <cell r="Y89">
            <v>2</v>
          </cell>
          <cell r="Z89"/>
          <cell r="AA89"/>
          <cell r="AB89" t="str">
            <v>Ekipman değiştirilecek</v>
          </cell>
          <cell r="AC89"/>
          <cell r="AD89"/>
          <cell r="AE89" t="str">
            <v/>
          </cell>
          <cell r="AH89" t="str">
            <v/>
          </cell>
          <cell r="AN89">
            <v>2</v>
          </cell>
          <cell r="AP89" t="str">
            <v>(I) İlk defa karşılaşılan arıza</v>
          </cell>
          <cell r="AQ89">
            <v>45324</v>
          </cell>
          <cell r="AR89">
            <v>45324.5</v>
          </cell>
          <cell r="AU89" t="str">
            <v>Dış Giydirme</v>
          </cell>
          <cell r="AX89" t="str">
            <v>https://www.appsheet.com/Template/gettablefileurl?appname=GDM7x4_Failure_List-654943&amp;tableName=SAYFA1&amp;filename=Sayfa1_Images%2F448aec94.Resim.065408.jpg</v>
          </cell>
        </row>
        <row r="90">
          <cell r="A90" t="str">
            <v>ebfa49bd</v>
          </cell>
          <cell r="B90" t="str">
            <v>FRACAS-GDM-089</v>
          </cell>
          <cell r="E90">
            <v>45327</v>
          </cell>
          <cell r="F90">
            <v>45327.575694444444</v>
          </cell>
          <cell r="G90" t="str">
            <v>TS#2</v>
          </cell>
          <cell r="H90" t="str">
            <v>Mc2</v>
          </cell>
          <cell r="I90" t="str">
            <v>Depo/Depot</v>
          </cell>
          <cell r="J90" t="str">
            <v>C-Uyarı, sürüş devamlılığı</v>
          </cell>
          <cell r="K90" t="str">
            <v>Devreye Alma(Servise Başlamadan Önceki Süreç)</v>
          </cell>
          <cell r="L90" t="str">
            <v>Kapı üstü aydınlatmalar 22V takılması gerekirken 12V takılmış olduğu tespit edildi.</v>
          </cell>
          <cell r="M90"/>
          <cell r="N90">
            <v>313</v>
          </cell>
          <cell r="P90" t="str">
            <v>C(Sisteme etki etmeyen arıza)</v>
          </cell>
          <cell r="Q90" t="str">
            <v>N.A(Yaralanma yok)</v>
          </cell>
          <cell r="R90" t="str">
            <v>Bozankaya</v>
          </cell>
          <cell r="T90">
            <v>45327</v>
          </cell>
          <cell r="U90">
            <v>45327.576388888891</v>
          </cell>
          <cell r="V90" t="str">
            <v>Bozankaya</v>
          </cell>
          <cell r="W90" t="str">
            <v>Kapı üstü aydınlatma</v>
          </cell>
          <cell r="X90" t="str">
            <v>E455-8005</v>
          </cell>
          <cell r="Y90">
            <v>2</v>
          </cell>
          <cell r="Z90"/>
          <cell r="AA90"/>
          <cell r="AB90"/>
          <cell r="AC90" t="str">
            <v>41-HBR-23-012</v>
          </cell>
          <cell r="AD90"/>
          <cell r="AE90" t="str">
            <v/>
          </cell>
          <cell r="AH90" t="str">
            <v/>
          </cell>
          <cell r="AN90"/>
          <cell r="AP90" t="str">
            <v>(I) İlk defa karşılaşılan arıza</v>
          </cell>
          <cell r="AQ90" t="str">
            <v/>
          </cell>
          <cell r="AR90"/>
          <cell r="AU90" t="str">
            <v>Aydınlatma</v>
          </cell>
          <cell r="AX90" t="str">
            <v>https://www.appsheet.com/Template/gettablefileurl?appname=GDM7x4_Failure_List-654943&amp;tableName=SAYFA1&amp;filename=Sayfa1_Images%2Febfa49bd.Resim.105839.jpg</v>
          </cell>
        </row>
        <row r="91">
          <cell r="A91" t="str">
            <v>643f8a29</v>
          </cell>
          <cell r="B91" t="str">
            <v>FRACAS-GDM-090</v>
          </cell>
          <cell r="E91">
            <v>45327</v>
          </cell>
          <cell r="F91">
            <v>45327.6</v>
          </cell>
          <cell r="G91" t="str">
            <v>TS#1</v>
          </cell>
          <cell r="H91" t="str">
            <v>Mc1</v>
          </cell>
          <cell r="I91" t="str">
            <v>Depo/Depot</v>
          </cell>
          <cell r="J91" t="str">
            <v>C-Uyarı, sürüş devamlılığı</v>
          </cell>
          <cell r="K91" t="str">
            <v>Devreye Alma(Servise Başlamadan Önceki Süreç)</v>
          </cell>
          <cell r="L91" t="str">
            <v>Kapı Üstü Aydınlatma arızalı</v>
          </cell>
          <cell r="M91" t="str">
            <v>Kapı üstü aydınlatma ledleri GDM-1 aracına ait 18 adet arızalı olduğu tespit edildi.</v>
          </cell>
          <cell r="N91">
            <v>315</v>
          </cell>
          <cell r="P91" t="str">
            <v>C(Sisteme etki etmeyen arıza)</v>
          </cell>
          <cell r="Q91" t="str">
            <v>N.A(Yaralanma yok)</v>
          </cell>
          <cell r="R91" t="str">
            <v>Bozankaya</v>
          </cell>
          <cell r="T91">
            <v>45327</v>
          </cell>
          <cell r="U91">
            <v>45327.601388888892</v>
          </cell>
          <cell r="V91" t="str">
            <v>Bozankaya</v>
          </cell>
          <cell r="W91" t="str">
            <v>Kapı üstü aydınlatma</v>
          </cell>
          <cell r="X91" t="str">
            <v>E455-8005</v>
          </cell>
          <cell r="Y91">
            <v>18</v>
          </cell>
          <cell r="Z91"/>
          <cell r="AA91"/>
          <cell r="AB91"/>
          <cell r="AC91" t="str">
            <v>41-HBR-23-011</v>
          </cell>
          <cell r="AD91"/>
          <cell r="AE91" t="str">
            <v/>
          </cell>
          <cell r="AH91" t="str">
            <v/>
          </cell>
          <cell r="AN91"/>
          <cell r="AP91" t="str">
            <v>(I) İlk defa karşılaşılan arıza</v>
          </cell>
          <cell r="AQ91" t="str">
            <v/>
          </cell>
          <cell r="AR91"/>
          <cell r="AU91" t="str">
            <v>Aydınlatma</v>
          </cell>
          <cell r="AX91" t="str">
            <v>https://www.appsheet.com/Template/gettablefileurl?appname=GDM7x4_Failure_List-654943&amp;tableName=SAYFA1&amp;filename=Sayfa1_Images%2F643f8a29.Resim.112701.jpg</v>
          </cell>
        </row>
        <row r="92">
          <cell r="A92" t="str">
            <v>05b19d4d</v>
          </cell>
          <cell r="B92" t="str">
            <v>FRACAS-GDM-091</v>
          </cell>
          <cell r="E92">
            <v>45327</v>
          </cell>
          <cell r="F92">
            <v>45327.697916666664</v>
          </cell>
          <cell r="G92" t="str">
            <v>TS#1</v>
          </cell>
          <cell r="H92" t="str">
            <v>M</v>
          </cell>
          <cell r="I92" t="str">
            <v>Depo/Depot</v>
          </cell>
          <cell r="J92" t="str">
            <v>C-Uyarı, sürüş devamlılığı</v>
          </cell>
          <cell r="K92" t="str">
            <v>Devreye Alma(Servise Başlamadan Önceki Süreç)</v>
          </cell>
          <cell r="L92" t="str">
            <v>Klima kontrolcü arızası</v>
          </cell>
          <cell r="M92" t="str">
            <v>05.02.2024 4. Klima 04 nolu klima kontrolcüsünün arızalı olduğu tespit edildi söküldü en kısa sürede yenisi ile değiştirilecek. Eski Seri No:A21547000023 VER:A Medel ile birlikte yazılım ve GUİ çalışması yapıldı.</v>
          </cell>
          <cell r="N92">
            <v>319</v>
          </cell>
          <cell r="P92" t="str">
            <v>B(Servisten çekmeye etki eden arızalar)</v>
          </cell>
          <cell r="Q92" t="str">
            <v>N.A(Yaralanma yok)</v>
          </cell>
          <cell r="R92" t="str">
            <v>Tedarikçi</v>
          </cell>
          <cell r="T92">
            <v>45327</v>
          </cell>
          <cell r="U92">
            <v>45327.698611111111</v>
          </cell>
          <cell r="V92" t="str">
            <v>Yazkar</v>
          </cell>
          <cell r="W92" t="str">
            <v>Yolcu Klima Ünitesi kontrol cihazı</v>
          </cell>
          <cell r="X92" t="str">
            <v>H500-8001</v>
          </cell>
          <cell r="Y92">
            <v>1</v>
          </cell>
          <cell r="Z92" t="str">
            <v>A21547000023 VER:A</v>
          </cell>
          <cell r="AA92" t="str">
            <v>Evet</v>
          </cell>
          <cell r="AB92"/>
          <cell r="AC92" t="str">
            <v>41-HBR-23-013</v>
          </cell>
          <cell r="AD92"/>
          <cell r="AE92" t="str">
            <v/>
          </cell>
          <cell r="AH92" t="str">
            <v/>
          </cell>
          <cell r="AN92">
            <v>1</v>
          </cell>
          <cell r="AP92" t="str">
            <v>(I) İlk defa karşılaşılan arıza</v>
          </cell>
          <cell r="AQ92">
            <v>45328</v>
          </cell>
          <cell r="AR92">
            <v>45328.342951388891</v>
          </cell>
          <cell r="AU92" t="str">
            <v>HVAC</v>
          </cell>
          <cell r="AX92" t="str">
            <v>https://www.appsheet.com/Template/gettablefileurl?appname=GDM7x4_Failure_List-654943&amp;tableName=SAYFA1&amp;filename=Sayfa1_Images%2F05b19d4d.Resim.110757.png</v>
          </cell>
        </row>
        <row r="93">
          <cell r="A93" t="str">
            <v>1d4a505e</v>
          </cell>
          <cell r="B93" t="str">
            <v>FRACAS-GDM-092</v>
          </cell>
          <cell r="E93">
            <v>45328</v>
          </cell>
          <cell r="F93">
            <v>45328.381249999999</v>
          </cell>
          <cell r="G93" t="str">
            <v>TS#3</v>
          </cell>
          <cell r="H93" t="str">
            <v>Mc2</v>
          </cell>
          <cell r="I93" t="str">
            <v>Depo/Depot</v>
          </cell>
          <cell r="J93" t="str">
            <v>A-Sürüşü engeller</v>
          </cell>
          <cell r="K93" t="str">
            <v>Devreye Alma(Servise Başlamadan Önceki Süreç)</v>
          </cell>
          <cell r="L93" t="str">
            <v>İvme kolu arızası</v>
          </cell>
          <cell r="M93" t="str">
            <v>İvme kolunun swicht yandığı tespit edildi.</v>
          </cell>
          <cell r="N93">
            <v>1</v>
          </cell>
          <cell r="P93" t="str">
            <v>B(Servisten çekmeye etki eden arızalar)</v>
          </cell>
          <cell r="Q93" t="str">
            <v>N.A(Yaralanma yok)</v>
          </cell>
          <cell r="R93" t="str">
            <v>Bozankaya</v>
          </cell>
          <cell r="T93">
            <v>45328</v>
          </cell>
          <cell r="U93">
            <v>45328.383333333331</v>
          </cell>
          <cell r="V93" t="str">
            <v>Bozankaya</v>
          </cell>
          <cell r="W93" t="str">
            <v>ANA KONTROLÖR</v>
          </cell>
          <cell r="X93" t="str">
            <v>E300-8002</v>
          </cell>
          <cell r="Y93">
            <v>1</v>
          </cell>
          <cell r="Z93" t="str">
            <v>0AU602166</v>
          </cell>
          <cell r="AA93"/>
          <cell r="AB93"/>
          <cell r="AC93" t="str">
            <v>41-HBR-23-014</v>
          </cell>
          <cell r="AD93"/>
          <cell r="AE93" t="str">
            <v/>
          </cell>
          <cell r="AH93" t="str">
            <v/>
          </cell>
          <cell r="AN93">
            <v>1</v>
          </cell>
          <cell r="AP93" t="str">
            <v>(I) İlk defa karşılaşılan arıza</v>
          </cell>
          <cell r="AQ93">
            <v>45328</v>
          </cell>
          <cell r="AR93">
            <v>45328.383333333331</v>
          </cell>
          <cell r="AU93" t="str">
            <v>Kabin Masası</v>
          </cell>
          <cell r="AX93" t="str">
            <v>https://www.appsheet.com/Template/gettablefileurl?appname=GDM7x4_Failure_List-654943&amp;tableName=SAYFA1&amp;filename=Sayfa1_Images%2F1d4a505e.Resim.061416.jpg</v>
          </cell>
        </row>
        <row r="94">
          <cell r="A94" t="str">
            <v>1929cbde</v>
          </cell>
          <cell r="B94" t="str">
            <v>FRACAS-GDM-093</v>
          </cell>
          <cell r="E94">
            <v>45328</v>
          </cell>
          <cell r="F94">
            <v>45328.384722222225</v>
          </cell>
          <cell r="G94" t="str">
            <v>TS#3</v>
          </cell>
          <cell r="H94" t="str">
            <v>Mc2</v>
          </cell>
          <cell r="I94" t="str">
            <v>Depo/Depot</v>
          </cell>
          <cell r="J94" t="str">
            <v>A-Sürüşü engeller</v>
          </cell>
          <cell r="K94" t="str">
            <v>Devreye Alma(Servise Başlamadan Önceki Süreç)</v>
          </cell>
          <cell r="L94" t="str">
            <v>Acil fren reset butonu yanık olduğu tespit edildi</v>
          </cell>
          <cell r="M94" t="str">
            <v>Acil fren reset butonu yanık olduğu tespit edildi</v>
          </cell>
          <cell r="N94">
            <v>1</v>
          </cell>
          <cell r="P94" t="str">
            <v>B(Servisten çekmeye etki eden arızalar)</v>
          </cell>
          <cell r="Q94" t="str">
            <v>N.A(Yaralanma yok)</v>
          </cell>
          <cell r="R94" t="str">
            <v>Bozankaya</v>
          </cell>
          <cell r="T94">
            <v>45328</v>
          </cell>
          <cell r="U94">
            <v>45328.385416666664</v>
          </cell>
          <cell r="V94" t="str">
            <v>Bozankaya</v>
          </cell>
          <cell r="W94" t="str">
            <v>TURUNCU AYDINLATMALI YAYLI PUSHBUTTON</v>
          </cell>
          <cell r="X94" t="str">
            <v>E300-8068</v>
          </cell>
          <cell r="Y94">
            <v>1</v>
          </cell>
          <cell r="Z94" t="str">
            <v>?</v>
          </cell>
          <cell r="AA94"/>
          <cell r="AB94" t="str">
            <v>Ekipman değiştirilecek</v>
          </cell>
          <cell r="AC94" t="str">
            <v>41-HBR-23-015</v>
          </cell>
          <cell r="AD94"/>
          <cell r="AE94" t="str">
            <v/>
          </cell>
          <cell r="AH94" t="str">
            <v/>
          </cell>
          <cell r="AN94">
            <v>1</v>
          </cell>
          <cell r="AP94" t="str">
            <v>(I) İlk defa karşılaşılan arıza</v>
          </cell>
          <cell r="AQ94">
            <v>45328</v>
          </cell>
          <cell r="AR94">
            <v>45328.392361111109</v>
          </cell>
          <cell r="AU94" t="str">
            <v>Kabin Masası</v>
          </cell>
          <cell r="AX94" t="str">
            <v>https://www.appsheet.com/Template/gettablefileurl?appname=GDM7x4_Failure_List-654943&amp;tableName=SAYFA1&amp;filename=Sayfa1_Images%2F1929cbde.Resim.061627.jpg</v>
          </cell>
        </row>
        <row r="95">
          <cell r="A95" t="str">
            <v>e3c3acc9</v>
          </cell>
          <cell r="B95" t="str">
            <v>FRACAS-GDM-094</v>
          </cell>
          <cell r="E95">
            <v>45328</v>
          </cell>
          <cell r="F95">
            <v>45328.386111111111</v>
          </cell>
          <cell r="G95" t="str">
            <v>TS#3</v>
          </cell>
          <cell r="H95" t="str">
            <v>Mc1</v>
          </cell>
          <cell r="I95" t="str">
            <v>Depo/Depot</v>
          </cell>
          <cell r="J95" t="str">
            <v>C-Uyarı, sürüş devamlılığı</v>
          </cell>
          <cell r="K95" t="str">
            <v>Devreye Alma(Servise Başlamadan Önceki Süreç)</v>
          </cell>
          <cell r="L95" t="str">
            <v>Silecek motoru arızası</v>
          </cell>
          <cell r="M95" t="str">
            <v>Devreye alınırken çalışmamıştır.</v>
          </cell>
          <cell r="N95">
            <v>1</v>
          </cell>
          <cell r="P95" t="str">
            <v>C(Sisteme etki etmeyen arıza)</v>
          </cell>
          <cell r="Q95" t="str">
            <v>N.A(Yaralanma yok)</v>
          </cell>
          <cell r="R95" t="str">
            <v>Bozankaya</v>
          </cell>
          <cell r="T95">
            <v>45328</v>
          </cell>
          <cell r="U95">
            <v>45328.386805555558</v>
          </cell>
          <cell r="V95" t="str">
            <v>Bozankaya</v>
          </cell>
          <cell r="W95" t="str">
            <v>SİLECEK SİSTEMİ MONTAJI</v>
          </cell>
          <cell r="X95" t="str">
            <v>M100-0801</v>
          </cell>
          <cell r="Y95">
            <v>1</v>
          </cell>
          <cell r="Z95" t="str">
            <v>?</v>
          </cell>
          <cell r="AA95"/>
          <cell r="AB95" t="str">
            <v>Arıza çözülecek</v>
          </cell>
          <cell r="AC95" t="str">
            <v>41-HBR-23-016</v>
          </cell>
          <cell r="AD95"/>
          <cell r="AE95" t="str">
            <v/>
          </cell>
          <cell r="AH95" t="str">
            <v/>
          </cell>
          <cell r="AN95">
            <v>1</v>
          </cell>
          <cell r="AP95" t="str">
            <v>(I) İlk defa karşılaşılan arıza</v>
          </cell>
          <cell r="AQ95">
            <v>45331</v>
          </cell>
          <cell r="AR95">
            <v>45331.391377314816</v>
          </cell>
          <cell r="AU95" t="str">
            <v>Kabin Masası</v>
          </cell>
          <cell r="AX95" t="str">
            <v>https://www.appsheet.com/Template/gettablefileurl?appname=GDM7x4_Failure_List-654943&amp;tableName=SAYFA1&amp;filename=Sayfa1_Images%2Fe3c3acc9.Resim.062001.jpg</v>
          </cell>
        </row>
        <row r="96">
          <cell r="A96" t="str">
            <v>9dc59a17</v>
          </cell>
          <cell r="B96" t="str">
            <v>FRACAS-GDM-095</v>
          </cell>
          <cell r="E96">
            <v>45328</v>
          </cell>
          <cell r="F96">
            <v>45328.388888888891</v>
          </cell>
          <cell r="G96" t="str">
            <v>TS#3</v>
          </cell>
          <cell r="H96" t="str">
            <v>T</v>
          </cell>
          <cell r="I96" t="str">
            <v>Depo/Depot</v>
          </cell>
          <cell r="J96" t="str">
            <v>C-Uyarı, sürüş devamlılığı</v>
          </cell>
          <cell r="K96" t="str">
            <v>Devreye Alma(Servise Başlamadan Önceki Süreç)</v>
          </cell>
          <cell r="L96" t="str">
            <v>Pantograf yukarı rölesi</v>
          </cell>
          <cell r="M96" t="str">
            <v>Pantograf yukarıda bilgi sensör rölesi 24V takılmış(110V olmalı).</v>
          </cell>
          <cell r="N96">
            <v>1</v>
          </cell>
          <cell r="P96" t="str">
            <v>B(Servisten çekmeye etki eden arızalar)</v>
          </cell>
          <cell r="Q96" t="str">
            <v>N.A(Yaralanma yok)</v>
          </cell>
          <cell r="R96" t="str">
            <v>Bozankaya</v>
          </cell>
          <cell r="T96">
            <v>45328</v>
          </cell>
          <cell r="U96">
            <v>45328.390972222223</v>
          </cell>
          <cell r="V96" t="str">
            <v>Bozankaya</v>
          </cell>
          <cell r="W96" t="str">
            <v>1CO 110V SLİM ROLE</v>
          </cell>
          <cell r="X96" t="str">
            <v>E110-8020</v>
          </cell>
          <cell r="Y96">
            <v>1</v>
          </cell>
          <cell r="Z96"/>
          <cell r="AA96"/>
          <cell r="AB96"/>
          <cell r="AC96" t="str">
            <v>41-HBR-23-017</v>
          </cell>
          <cell r="AD96"/>
          <cell r="AE96" t="str">
            <v/>
          </cell>
          <cell r="AH96" t="str">
            <v/>
          </cell>
          <cell r="AN96"/>
          <cell r="AP96" t="str">
            <v>(I) İlk defa karşılaşılan arıza</v>
          </cell>
          <cell r="AQ96" t="str">
            <v/>
          </cell>
          <cell r="AR96"/>
          <cell r="AU96" t="str">
            <v>Panto</v>
          </cell>
          <cell r="AX96" t="str">
            <v>https://www.appsheet.com/Template/gettablefileurl?appname=GDM7x4_Failure_List-654943&amp;tableName=SAYFA1&amp;filename=Sayfa1_Images%2F9dc59a17.Resim.062806.jpg</v>
          </cell>
        </row>
        <row r="97">
          <cell r="A97" t="str">
            <v>c5fe452b</v>
          </cell>
          <cell r="B97" t="str">
            <v>FRACAS-GDM-096</v>
          </cell>
          <cell r="E97">
            <v>45328</v>
          </cell>
          <cell r="F97">
            <v>45328.394444444442</v>
          </cell>
          <cell r="G97" t="str">
            <v>TS#3</v>
          </cell>
          <cell r="H97" t="str">
            <v>T</v>
          </cell>
          <cell r="I97" t="str">
            <v>Depo/Depot</v>
          </cell>
          <cell r="J97" t="str">
            <v>C-Uyarı, sürüş devamlılığı</v>
          </cell>
          <cell r="K97" t="str">
            <v>Devreye Alma(Servise Başlamadan Önceki Süreç)</v>
          </cell>
          <cell r="L97" t="str">
            <v>Pantograf sensörü</v>
          </cell>
          <cell r="M97" t="str">
            <v>Pantograf konum sensörü yanık olduğu tespit edildi.</v>
          </cell>
          <cell r="N97">
            <v>1</v>
          </cell>
          <cell r="P97" t="str">
            <v>C(Sisteme etki etmeyen arıza)</v>
          </cell>
          <cell r="Q97" t="str">
            <v>N.A(Yaralanma yok)</v>
          </cell>
          <cell r="R97" t="str">
            <v>Bozankaya</v>
          </cell>
          <cell r="T97">
            <v>45328</v>
          </cell>
          <cell r="U97">
            <v>45328.395833333336</v>
          </cell>
          <cell r="V97" t="str">
            <v>Bozankaya</v>
          </cell>
          <cell r="W97" t="str">
            <v>PANTOGRAF MİKRO KONUM ANAHTARI</v>
          </cell>
          <cell r="X97" t="str">
            <v>P710-7116</v>
          </cell>
          <cell r="Y97">
            <v>1</v>
          </cell>
          <cell r="Z97"/>
          <cell r="AA97"/>
          <cell r="AB97"/>
          <cell r="AC97" t="str">
            <v>41-HBR-23-018</v>
          </cell>
          <cell r="AD97"/>
          <cell r="AE97" t="str">
            <v/>
          </cell>
          <cell r="AH97" t="str">
            <v/>
          </cell>
          <cell r="AN97">
            <v>1</v>
          </cell>
          <cell r="AP97" t="str">
            <v>(I) İlk defa karşılaşılan arıza</v>
          </cell>
          <cell r="AQ97">
            <v>45328</v>
          </cell>
          <cell r="AR97">
            <v>45328.395833333336</v>
          </cell>
          <cell r="AU97" t="str">
            <v>Panto</v>
          </cell>
          <cell r="AX97" t="str">
            <v>https://www.appsheet.com/Template/gettablefileurl?appname=GDM7x4_Failure_List-654943&amp;tableName=SAYFA1&amp;filename=Sayfa1_Images%2Fc5fe452b.Resim.115000.jpg</v>
          </cell>
        </row>
        <row r="98">
          <cell r="A98" t="str">
            <v>f16b4962</v>
          </cell>
          <cell r="B98" t="str">
            <v>FRACAS-GDM-097</v>
          </cell>
          <cell r="E98">
            <v>45328</v>
          </cell>
          <cell r="F98">
            <v>45328.4</v>
          </cell>
          <cell r="G98" t="str">
            <v>TS#3</v>
          </cell>
          <cell r="H98" t="str">
            <v>T</v>
          </cell>
          <cell r="I98" t="str">
            <v>Depo/Depot</v>
          </cell>
          <cell r="J98" t="str">
            <v>C-Uyarı, sürüş devamlılığı</v>
          </cell>
          <cell r="K98" t="str">
            <v>Devreye Alma(Servise Başlamadan Önceki Süreç)</v>
          </cell>
          <cell r="L98" t="str">
            <v>İç aydınlatma</v>
          </cell>
          <cell r="M98" t="str">
            <v>Araç içi aydınlatma LEDdriver arızalı olduğu tespit edildi.</v>
          </cell>
          <cell r="N98">
            <v>1</v>
          </cell>
          <cell r="P98" t="str">
            <v>C(Sisteme etki etmeyen arıza)</v>
          </cell>
          <cell r="Q98" t="str">
            <v>N.A(Yaralanma yok)</v>
          </cell>
          <cell r="R98" t="str">
            <v>Bozankaya</v>
          </cell>
          <cell r="T98">
            <v>45328</v>
          </cell>
          <cell r="U98">
            <v>45328.4</v>
          </cell>
          <cell r="V98" t="str">
            <v>Bozankaya</v>
          </cell>
          <cell r="W98" t="str">
            <v>Led driver</v>
          </cell>
          <cell r="X98" t="str">
            <v>E826-8015</v>
          </cell>
          <cell r="Y98">
            <v>1</v>
          </cell>
          <cell r="Z98" t="str">
            <v>22.1558 DFC 2022(R1)</v>
          </cell>
          <cell r="AA98"/>
          <cell r="AB98"/>
          <cell r="AC98" t="str">
            <v>41-HBR-23-019</v>
          </cell>
          <cell r="AD98"/>
          <cell r="AE98" t="str">
            <v/>
          </cell>
          <cell r="AH98" t="str">
            <v/>
          </cell>
          <cell r="AN98"/>
          <cell r="AP98" t="str">
            <v>(I) İlk defa karşılaşılan arıza</v>
          </cell>
          <cell r="AQ98" t="str">
            <v/>
          </cell>
          <cell r="AR98"/>
          <cell r="AU98" t="str">
            <v>Aydınlatma</v>
          </cell>
          <cell r="AX98" t="str">
            <v>https://www.appsheet.com/Template/gettablefileurl?appname=GDM7x4_Failure_List-654943&amp;tableName=SAYFA1&amp;filename=Sayfa1_Images%2Ff16b4962.Resim.063734.jpg</v>
          </cell>
        </row>
        <row r="99">
          <cell r="A99" t="str">
            <v>cbf8413c</v>
          </cell>
          <cell r="B99" t="str">
            <v>FRACAS-GDM-098</v>
          </cell>
          <cell r="E99">
            <v>45328</v>
          </cell>
          <cell r="F99">
            <v>45328.400694444441</v>
          </cell>
          <cell r="G99" t="str">
            <v>TS#3</v>
          </cell>
          <cell r="H99" t="str">
            <v>Mc1</v>
          </cell>
          <cell r="I99" t="str">
            <v>Depo/Depot</v>
          </cell>
          <cell r="J99" t="str">
            <v>C-Uyarı, sürüş devamlılığı</v>
          </cell>
          <cell r="K99" t="str">
            <v>Devreye Alma(Servise Başlamadan Önceki Süreç)</v>
          </cell>
          <cell r="L99" t="str">
            <v>Dashboard pantograf bilgi ledi rengi yanlış</v>
          </cell>
          <cell r="M99" t="str">
            <v>Dashboard pantograf aşağıda bilgi ledileri kırmızı olarak montaj edilmiş. Yeşil olması gerekirdi.</v>
          </cell>
          <cell r="N99">
            <v>1</v>
          </cell>
          <cell r="P99" t="str">
            <v>C(Sisteme etki etmeyen arıza)</v>
          </cell>
          <cell r="Q99" t="str">
            <v>N.A(Yaralanma yok)</v>
          </cell>
          <cell r="R99" t="str">
            <v>Bozankaya</v>
          </cell>
          <cell r="T99">
            <v>45328</v>
          </cell>
          <cell r="U99">
            <v>45328.402777777781</v>
          </cell>
          <cell r="V99" t="str">
            <v>Bozankaya</v>
          </cell>
          <cell r="W99" t="str">
            <v>DASHBOARD PANEL MONTAJI</v>
          </cell>
          <cell r="X99" t="str">
            <v>E300-0801</v>
          </cell>
          <cell r="Y99">
            <v>2</v>
          </cell>
          <cell r="Z99"/>
          <cell r="AA99"/>
          <cell r="AB99"/>
          <cell r="AC99" t="str">
            <v>41-HBR-23-020</v>
          </cell>
          <cell r="AD99"/>
          <cell r="AE99" t="str">
            <v/>
          </cell>
          <cell r="AH99" t="str">
            <v/>
          </cell>
          <cell r="AN99"/>
          <cell r="AP99" t="str">
            <v>(I) İlk defa karşılaşılan arıza</v>
          </cell>
          <cell r="AQ99" t="str">
            <v/>
          </cell>
          <cell r="AR99"/>
          <cell r="AU99" t="str">
            <v>Kabin Masası</v>
          </cell>
          <cell r="AX99" t="str">
            <v>https://www.appsheet.com/Template/gettablefileurl?appname=GDM7x4_Failure_List-654943&amp;tableName=SAYFA1&amp;filename=Sayfa1_Images%2Fcbf8413c.Resim.113718.png</v>
          </cell>
        </row>
        <row r="100">
          <cell r="A100" t="str">
            <v>325022b9</v>
          </cell>
          <cell r="B100" t="str">
            <v>FRACAS-GDM-099</v>
          </cell>
          <cell r="E100">
            <v>45328</v>
          </cell>
          <cell r="F100">
            <v>45328.404861111114</v>
          </cell>
          <cell r="G100" t="str">
            <v>TS#1</v>
          </cell>
          <cell r="H100" t="str">
            <v>Mc1</v>
          </cell>
          <cell r="I100" t="str">
            <v>Depo/Depot</v>
          </cell>
          <cell r="J100" t="str">
            <v>C-Uyarı, sürüş devamlılığı</v>
          </cell>
          <cell r="K100" t="str">
            <v>Devreye Alma(Servise Başlamadan Önceki Süreç)</v>
          </cell>
          <cell r="L100" t="str">
            <v>Dashboard çizilmesi</v>
          </cell>
          <cell r="M100" t="str">
            <v xml:space="preserve">Dashboard trim kapağının kilidi dashboard çizilmesine neden olmaktadır.MC1 de. </v>
          </cell>
          <cell r="N100">
            <v>319</v>
          </cell>
          <cell r="P100" t="str">
            <v>C(Sisteme etki etmeyen arıza)</v>
          </cell>
          <cell r="Q100" t="str">
            <v>N.A(Yaralanma yok)</v>
          </cell>
          <cell r="R100" t="str">
            <v>Bozankaya</v>
          </cell>
          <cell r="T100">
            <v>45328</v>
          </cell>
          <cell r="U100">
            <v>45328.40625</v>
          </cell>
          <cell r="V100" t="str">
            <v>Bozankaya</v>
          </cell>
          <cell r="W100" t="str">
            <v>DASHBOARD ANA PANEL SACI</v>
          </cell>
          <cell r="X100" t="str">
            <v>E300-8063</v>
          </cell>
          <cell r="Y100">
            <v>1</v>
          </cell>
          <cell r="Z100"/>
          <cell r="AA100"/>
          <cell r="AB100"/>
          <cell r="AC100" t="str">
            <v>41-HBR-23-021</v>
          </cell>
          <cell r="AD100"/>
          <cell r="AE100" t="str">
            <v/>
          </cell>
          <cell r="AH100" t="str">
            <v/>
          </cell>
          <cell r="AN100"/>
          <cell r="AP100" t="str">
            <v>(I) İlk defa karşılaşılan arıza</v>
          </cell>
          <cell r="AQ100" t="str">
            <v/>
          </cell>
          <cell r="AR100"/>
          <cell r="AU100" t="str">
            <v>Kabin Masası</v>
          </cell>
          <cell r="AX100" t="str">
            <v>https://www.appsheet.com/Template/gettablefileurl?appname=GDM7x4_Failure_List-654943&amp;tableName=SAYFA1&amp;filename=Sayfa1_Images%2F325022b9.Resim.064624.jpg</v>
          </cell>
        </row>
        <row r="101">
          <cell r="A101" t="str">
            <v>07ee0b56</v>
          </cell>
          <cell r="B101" t="str">
            <v>FRACAS-GDM-100</v>
          </cell>
          <cell r="E101">
            <v>45328</v>
          </cell>
          <cell r="F101">
            <v>45328.40902777778</v>
          </cell>
          <cell r="G101" t="str">
            <v>TS#1</v>
          </cell>
          <cell r="H101" t="str">
            <v>Mc1</v>
          </cell>
          <cell r="I101" t="str">
            <v>Depo/Depot</v>
          </cell>
          <cell r="J101" t="str">
            <v>C-Uyarı, sürüş devamlılığı</v>
          </cell>
          <cell r="K101" t="str">
            <v>Devreye Alma(Servise Başlamadan Önceki Süreç)</v>
          </cell>
          <cell r="L101" t="str">
            <v>Kapı üstü ekran camı yok</v>
          </cell>
          <cell r="M101" t="str">
            <v>3 adet kapı üstü ekran camlarının montajı yapılmamıştır. (2. 3. ve 4. Kapılara ait)</v>
          </cell>
          <cell r="N101">
            <v>319</v>
          </cell>
          <cell r="P101" t="str">
            <v>C(Sisteme etki etmeyen arıza)</v>
          </cell>
          <cell r="Q101" t="str">
            <v>N.A(Yaralanma yok)</v>
          </cell>
          <cell r="R101" t="str">
            <v>Bozankaya</v>
          </cell>
          <cell r="T101">
            <v>45328</v>
          </cell>
          <cell r="U101">
            <v>45328.409722222219</v>
          </cell>
          <cell r="V101" t="str">
            <v>Bozankaya</v>
          </cell>
          <cell r="W101" t="str">
            <v>KAPI ÜSTÜ SERVİS KAPAĞI MONTAJI</v>
          </cell>
          <cell r="X101" t="str">
            <v>T546-0805</v>
          </cell>
          <cell r="Y101">
            <v>3</v>
          </cell>
          <cell r="Z101"/>
          <cell r="AA101"/>
          <cell r="AB101"/>
          <cell r="AC101" t="str">
            <v>41-HBR-23-022</v>
          </cell>
          <cell r="AD101"/>
          <cell r="AE101" t="str">
            <v/>
          </cell>
          <cell r="AH101" t="str">
            <v/>
          </cell>
          <cell r="AN101"/>
          <cell r="AP101" t="str">
            <v>(II) Birden fazla karşılaşılan arıza</v>
          </cell>
          <cell r="AQ101" t="str">
            <v/>
          </cell>
          <cell r="AR101"/>
          <cell r="AU101" t="str">
            <v>İç Giydirme</v>
          </cell>
          <cell r="AX101" t="str">
            <v>https://www.appsheet.com/Template/gettablefileurl?appname=GDM7x4_Failure_List-654943&amp;tableName=SAYFA1&amp;filename=Sayfa1_Images%2F07ee0b56.Resim.065304.jpg</v>
          </cell>
        </row>
        <row r="102">
          <cell r="A102" t="str">
            <v>5a6ab6bb</v>
          </cell>
          <cell r="B102" t="str">
            <v>FRACAS-GDM-101</v>
          </cell>
          <cell r="E102">
            <v>45328</v>
          </cell>
          <cell r="F102">
            <v>45328.411805555559</v>
          </cell>
          <cell r="G102" t="str">
            <v>TS#1</v>
          </cell>
          <cell r="H102" t="str">
            <v>Mc2</v>
          </cell>
          <cell r="I102" t="str">
            <v>Depo/Depot</v>
          </cell>
          <cell r="J102" t="str">
            <v>C-Uyarı, sürüş devamlılığı</v>
          </cell>
          <cell r="K102" t="str">
            <v>Devreye Alma(Servise Başlamadan Önceki Süreç)</v>
          </cell>
          <cell r="L102" t="str">
            <v>Kapı üstü ekran camı yok</v>
          </cell>
          <cell r="M102" t="str">
            <v>Bilgilendirme ekranının cam montajı yapılmamıştır.</v>
          </cell>
          <cell r="N102">
            <v>319</v>
          </cell>
          <cell r="P102" t="str">
            <v>C(Sisteme etki etmeyen arıza)</v>
          </cell>
          <cell r="Q102" t="str">
            <v>N.A(Yaralanma yok)</v>
          </cell>
          <cell r="R102" t="str">
            <v>Bozankaya</v>
          </cell>
          <cell r="T102">
            <v>45328</v>
          </cell>
          <cell r="U102">
            <v>45328.412499999999</v>
          </cell>
          <cell r="V102" t="str">
            <v>Bozankaya</v>
          </cell>
          <cell r="W102" t="str">
            <v>KAPI ÜSTÜ SERVİS KAPAĞI MONTAJI</v>
          </cell>
          <cell r="X102" t="str">
            <v>T546-0805</v>
          </cell>
          <cell r="Y102">
            <v>1</v>
          </cell>
          <cell r="Z102"/>
          <cell r="AA102"/>
          <cell r="AB102"/>
          <cell r="AC102" t="str">
            <v>41-HBR-23-022</v>
          </cell>
          <cell r="AD102"/>
          <cell r="AE102" t="str">
            <v/>
          </cell>
          <cell r="AH102" t="str">
            <v/>
          </cell>
          <cell r="AN102"/>
          <cell r="AP102" t="str">
            <v>(I) İlk defa karşılaşılan arıza</v>
          </cell>
          <cell r="AQ102" t="str">
            <v/>
          </cell>
          <cell r="AR102"/>
          <cell r="AU102" t="str">
            <v>İç Giydirme</v>
          </cell>
          <cell r="AX102" t="str">
            <v>https://www.appsheet.com/Template/gettablefileurl?appname=GDM7x4_Failure_List-654943&amp;tableName=SAYFA1&amp;filename=Sayfa1_Images%2F5a6ab6bb.Resim.065455.jpg</v>
          </cell>
        </row>
        <row r="103">
          <cell r="A103" t="str">
            <v>af068fcb</v>
          </cell>
          <cell r="B103" t="str">
            <v>FRACAS-GDM-102</v>
          </cell>
          <cell r="E103">
            <v>45328</v>
          </cell>
          <cell r="F103">
            <v>45328.415277777778</v>
          </cell>
          <cell r="G103" t="str">
            <v>TS#2</v>
          </cell>
          <cell r="H103" t="str">
            <v>Mc1</v>
          </cell>
          <cell r="I103" t="str">
            <v>Depo/Depot</v>
          </cell>
          <cell r="J103" t="str">
            <v>C-Uyarı, sürüş devamlılığı</v>
          </cell>
          <cell r="K103" t="str">
            <v>Devreye Alma(Servise Başlamadan Önceki Süreç)</v>
          </cell>
          <cell r="L103" t="str">
            <v>Kapı üstü ekran camı kırık</v>
          </cell>
          <cell r="M103" t="str">
            <v>4.Kapı üstü ekran camı kırık olduğu tespit edildi.</v>
          </cell>
          <cell r="N103">
            <v>1</v>
          </cell>
          <cell r="P103" t="str">
            <v>C(Sisteme etki etmeyen arıza)</v>
          </cell>
          <cell r="Q103" t="str">
            <v>N.A(Yaralanma yok)</v>
          </cell>
          <cell r="R103" t="str">
            <v>Bozankaya</v>
          </cell>
          <cell r="T103">
            <v>45328</v>
          </cell>
          <cell r="U103">
            <v>45328.415972222225</v>
          </cell>
          <cell r="V103" t="str">
            <v>Bozankaya</v>
          </cell>
          <cell r="W103" t="str">
            <v>DRM CAMI</v>
          </cell>
          <cell r="X103" t="str">
            <v>T546-8021</v>
          </cell>
          <cell r="Y103">
            <v>1</v>
          </cell>
          <cell r="Z103"/>
          <cell r="AA103"/>
          <cell r="AB103"/>
          <cell r="AC103" t="str">
            <v>41-HBR-23-023</v>
          </cell>
          <cell r="AD103"/>
          <cell r="AE103" t="str">
            <v/>
          </cell>
          <cell r="AH103" t="str">
            <v/>
          </cell>
          <cell r="AN103"/>
          <cell r="AP103" t="str">
            <v>(I) İlk defa karşılaşılan arıza</v>
          </cell>
          <cell r="AQ103" t="str">
            <v/>
          </cell>
          <cell r="AR103"/>
          <cell r="AU103" t="str">
            <v>İç Giydirme</v>
          </cell>
          <cell r="AX103" t="str">
            <v>https://www.appsheet.com/Template/gettablefileurl?appname=GDM7x4_Failure_List-654943&amp;tableName=SAYFA1&amp;filename=Sayfa1_Images%2Faf068fcb.Resim.070105.jpg</v>
          </cell>
        </row>
        <row r="104">
          <cell r="A104" t="str">
            <v>7635ad1d</v>
          </cell>
          <cell r="B104" t="str">
            <v>FRACAS-GDM-103</v>
          </cell>
          <cell r="E104">
            <v>45328</v>
          </cell>
          <cell r="F104">
            <v>45328.429166666669</v>
          </cell>
          <cell r="G104" t="str">
            <v>TS#4</v>
          </cell>
          <cell r="H104" t="str">
            <v>Mc1 , Mc2</v>
          </cell>
          <cell r="I104" t="str">
            <v>Depo/Depot</v>
          </cell>
          <cell r="J104" t="str">
            <v>C-Uyarı, sürüş devamlılığı</v>
          </cell>
          <cell r="K104" t="str">
            <v>Devreye Alma(Servise Başlamadan Önceki Süreç)</v>
          </cell>
          <cell r="L104" t="str">
            <v>Kamera ve yangın sensörü montajı yanış.</v>
          </cell>
          <cell r="M104" t="str">
            <v>Kamera ve yangın sensörlerinin yerleri konum olarak yanlış montaj yapılmış olduğu tespit edildi. mc1 ve mc2 de</v>
          </cell>
          <cell r="N104">
            <v>1</v>
          </cell>
          <cell r="P104" t="str">
            <v>C(Sisteme etki etmeyen arıza)</v>
          </cell>
          <cell r="Q104" t="str">
            <v>N.A(Yaralanma yok)</v>
          </cell>
          <cell r="R104" t="str">
            <v>Bozankaya</v>
          </cell>
          <cell r="T104">
            <v>45328</v>
          </cell>
          <cell r="U104">
            <v>45328.429861111108</v>
          </cell>
          <cell r="V104" t="str">
            <v>Bozankaya</v>
          </cell>
          <cell r="W104"/>
          <cell r="X104"/>
          <cell r="Y104"/>
          <cell r="Z104"/>
          <cell r="AA104"/>
          <cell r="AB104"/>
          <cell r="AC104" t="str">
            <v>41-HBR-23-024</v>
          </cell>
          <cell r="AD104"/>
          <cell r="AE104" t="str">
            <v/>
          </cell>
          <cell r="AH104" t="str">
            <v/>
          </cell>
          <cell r="AN104"/>
          <cell r="AP104" t="str">
            <v>(II) Birden fazla karşılaşılan arıza</v>
          </cell>
          <cell r="AQ104" t="str">
            <v/>
          </cell>
          <cell r="AR104"/>
          <cell r="AU104" t="str">
            <v>İç Giydirme</v>
          </cell>
          <cell r="AX104" t="str">
            <v>https://www.appsheet.com/Template/gettablefileurl?appname=GDM7x4_Failure_List-654943&amp;tableName=SAYFA1&amp;filename=Sayfa1_Images%2F7635ad1d.Resim.072004.jpg</v>
          </cell>
        </row>
        <row r="105">
          <cell r="A105" t="str">
            <v>96ba022f</v>
          </cell>
          <cell r="B105" t="str">
            <v>FRACAS-GDM-104</v>
          </cell>
          <cell r="E105">
            <v>45328</v>
          </cell>
          <cell r="F105">
            <v>45328.430555555555</v>
          </cell>
          <cell r="G105" t="str">
            <v>TS#2</v>
          </cell>
          <cell r="H105" t="str">
            <v>Mc1</v>
          </cell>
          <cell r="I105" t="str">
            <v>Depo/Depot</v>
          </cell>
          <cell r="J105" t="str">
            <v>C-Uyarı, sürüş devamlılığı</v>
          </cell>
          <cell r="K105" t="str">
            <v>Devreye Alma(Servise Başlamadan Önceki Süreç)</v>
          </cell>
          <cell r="L105" t="str">
            <v>Kamera ve yangın sensörü montajı yanış.</v>
          </cell>
          <cell r="M105" t="str">
            <v>Kamera ve yangın sensörlerinin yerleri konum olarak yanlış montaj yapılmış olduğu tespit edildi. mc1 de</v>
          </cell>
          <cell r="N105">
            <v>1</v>
          </cell>
          <cell r="P105" t="str">
            <v>C(Sisteme etki etmeyen arıza)</v>
          </cell>
          <cell r="Q105" t="str">
            <v>N.A(Yaralanma yok)</v>
          </cell>
          <cell r="R105" t="str">
            <v>Bozankaya</v>
          </cell>
          <cell r="T105">
            <v>45328</v>
          </cell>
          <cell r="U105">
            <v>45328.430555555555</v>
          </cell>
          <cell r="V105" t="str">
            <v>Bozankaya</v>
          </cell>
          <cell r="W105"/>
          <cell r="X105"/>
          <cell r="Y105"/>
          <cell r="Z105"/>
          <cell r="AA105"/>
          <cell r="AB105"/>
          <cell r="AC105" t="str">
            <v>41-HBR-23-025</v>
          </cell>
          <cell r="AD105"/>
          <cell r="AE105" t="str">
            <v/>
          </cell>
          <cell r="AH105" t="str">
            <v/>
          </cell>
          <cell r="AN105"/>
          <cell r="AP105" t="str">
            <v>(II) Birden fazla karşılaşılan arıza</v>
          </cell>
          <cell r="AQ105" t="str">
            <v/>
          </cell>
          <cell r="AR105"/>
          <cell r="AU105" t="str">
            <v>İç Giydirme</v>
          </cell>
          <cell r="AX105" t="str">
            <v>https://www.appsheet.com/Template/gettablefileurl?appname=GDM7x4_Failure_List-654943&amp;tableName=SAYFA1&amp;filename=Sayfa1_Images%2F96ba022f.Resim.072112.jpg</v>
          </cell>
        </row>
        <row r="106">
          <cell r="A106" t="str">
            <v>e244f31f</v>
          </cell>
          <cell r="B106" t="str">
            <v>FRACAS-GDM-105</v>
          </cell>
          <cell r="E106">
            <v>45328</v>
          </cell>
          <cell r="F106">
            <v>45328.435416666667</v>
          </cell>
          <cell r="G106" t="str">
            <v>TS#1</v>
          </cell>
          <cell r="H106" t="str">
            <v>Mc1</v>
          </cell>
          <cell r="I106" t="str">
            <v>Depo/Depot</v>
          </cell>
          <cell r="J106" t="str">
            <v>C-Uyarı, sürüş devamlılığı</v>
          </cell>
          <cell r="K106" t="str">
            <v>Devreye Alma(Servise Başlamadan Önceki Süreç)</v>
          </cell>
          <cell r="L106" t="str">
            <v>Koltuk altı kapama trimi</v>
          </cell>
          <cell r="M106" t="str">
            <v>Koltuk altındaki kapama fren vanaları ve kablo iniş  sistemlerinin trim kapama saçları sürüş esnasın da ses yapmaktadır.</v>
          </cell>
          <cell r="N106">
            <v>319</v>
          </cell>
          <cell r="P106" t="str">
            <v>C(Sisteme etki etmeyen arıza)</v>
          </cell>
          <cell r="Q106" t="str">
            <v>N.A(Yaralanma yok)</v>
          </cell>
          <cell r="R106" t="str">
            <v>Bozankaya</v>
          </cell>
          <cell r="T106">
            <v>45328</v>
          </cell>
          <cell r="U106">
            <v>45328.438194444447</v>
          </cell>
          <cell r="V106" t="str">
            <v>Bozankaya</v>
          </cell>
          <cell r="W106" t="str">
            <v>KOLTUK ALTI VANA KAPAMA TRİMİ</v>
          </cell>
          <cell r="X106"/>
          <cell r="Y106">
            <v>1</v>
          </cell>
          <cell r="Z106"/>
          <cell r="AA106"/>
          <cell r="AB106"/>
          <cell r="AC106" t="str">
            <v>41-HBR-23-026</v>
          </cell>
          <cell r="AD106"/>
          <cell r="AE106" t="str">
            <v/>
          </cell>
          <cell r="AH106" t="str">
            <v/>
          </cell>
          <cell r="AN106"/>
          <cell r="AP106" t="str">
            <v>(I) İlk defa karşılaşılan arıza</v>
          </cell>
          <cell r="AQ106" t="str">
            <v/>
          </cell>
          <cell r="AR106"/>
          <cell r="AU106" t="str">
            <v>İç Giydirme</v>
          </cell>
          <cell r="AX106" t="str">
            <v>https://www.appsheet.com/Template/gettablefileurl?appname=GDM7x4_Failure_List-654943&amp;tableName=SAYFA1&amp;filename=Sayfa1_Images%2Fe244f31f.Resim.073137.jpg</v>
          </cell>
        </row>
        <row r="107">
          <cell r="A107" t="str">
            <v>2e4f3a79</v>
          </cell>
          <cell r="B107" t="str">
            <v>FRACAS-GDM-106</v>
          </cell>
          <cell r="E107">
            <v>45329</v>
          </cell>
          <cell r="F107">
            <v>45329.508333333331</v>
          </cell>
          <cell r="G107" t="str">
            <v>TS#1</v>
          </cell>
          <cell r="H107" t="str">
            <v>Mc2</v>
          </cell>
          <cell r="I107" t="str">
            <v>Depo/Depot</v>
          </cell>
          <cell r="J107" t="str">
            <v>C-Uyarı, sürüş devamlılığı</v>
          </cell>
          <cell r="K107" t="str">
            <v>Devreye Alma(Servise Başlamadan Önceki Süreç)</v>
          </cell>
          <cell r="L107" t="str">
            <v>Kuğu boynu mikrofon 2 tuşlu</v>
          </cell>
          <cell r="M107" t="str">
            <v>Kablo bağlantısı kontrol edildi. Başka bir cihaz ile test edildi. Cihazın arızalı olduğu tespit edildi.</v>
          </cell>
          <cell r="N107">
            <v>319</v>
          </cell>
          <cell r="P107" t="str">
            <v>C(Sisteme etki etmeyen arıza)</v>
          </cell>
          <cell r="Q107" t="str">
            <v>N.A(Yaralanma yok)</v>
          </cell>
          <cell r="R107" t="str">
            <v>Tedarikçi</v>
          </cell>
          <cell r="T107">
            <v>45329</v>
          </cell>
          <cell r="U107">
            <v>45329.509722222225</v>
          </cell>
          <cell r="V107" t="str">
            <v>Piton</v>
          </cell>
          <cell r="W107" t="str">
            <v>KUĞU BOYNU MİKROFON 2 TUŞLU</v>
          </cell>
          <cell r="X107" t="str">
            <v>E820-8006</v>
          </cell>
          <cell r="Y107">
            <v>1</v>
          </cell>
          <cell r="Z107" t="str">
            <v>?</v>
          </cell>
          <cell r="AA107" t="str">
            <v>Evet</v>
          </cell>
          <cell r="AB107" t="str">
            <v>Ekipman değiştirilecek</v>
          </cell>
          <cell r="AC107" t="str">
            <v>41-HBR-23-027</v>
          </cell>
          <cell r="AD107"/>
          <cell r="AE107" t="str">
            <v/>
          </cell>
          <cell r="AH107" t="str">
            <v/>
          </cell>
          <cell r="AN107"/>
          <cell r="AP107" t="str">
            <v>(I) İlk defa karşılaşılan arıza</v>
          </cell>
          <cell r="AQ107" t="str">
            <v/>
          </cell>
          <cell r="AR107"/>
          <cell r="AU107" t="str">
            <v>Kabin Masası</v>
          </cell>
          <cell r="AX107" t="str">
            <v>https://www.appsheet.com/Template/gettablefileurl?appname=GDM7x4_Failure_List-654943&amp;tableName=SAYFA1&amp;filename=Sayfa1_Images%2F2e4f3a79.Resim.091607.jpg</v>
          </cell>
        </row>
        <row r="108">
          <cell r="A108" t="str">
            <v>1e9ce9f0</v>
          </cell>
          <cell r="B108" t="str">
            <v>FRACAS-GDM-107</v>
          </cell>
          <cell r="E108">
            <v>45329</v>
          </cell>
          <cell r="F108">
            <v>45329.520138888889</v>
          </cell>
          <cell r="G108" t="str">
            <v>TS#1</v>
          </cell>
          <cell r="H108" t="str">
            <v>T</v>
          </cell>
          <cell r="I108" t="str">
            <v>Depo/Depot</v>
          </cell>
          <cell r="J108" t="str">
            <v>C-Uyarı, sürüş devamlılığı</v>
          </cell>
          <cell r="K108" t="str">
            <v>Devreye Alma(Servise Başlamadan Önceki Süreç)</v>
          </cell>
          <cell r="L108" t="str">
            <v>Door close not sinyali arızası</v>
          </cell>
          <cell r="M108" t="str">
            <v>Kontroller yapılırken slim rölelerin arızalı olduğu tespit edildi. T vagon +49 NB-K32, NB-K34, NB-K36, NB-K38 değiştirildi.</v>
          </cell>
          <cell r="N108">
            <v>319</v>
          </cell>
          <cell r="P108" t="str">
            <v>C(Sisteme etki etmeyen arıza)</v>
          </cell>
          <cell r="Q108" t="str">
            <v>N.A(Yaralanma yok)</v>
          </cell>
          <cell r="R108" t="str">
            <v>Bozankaya</v>
          </cell>
          <cell r="T108">
            <v>45329</v>
          </cell>
          <cell r="U108">
            <v>45329.522222222222</v>
          </cell>
          <cell r="V108" t="str">
            <v>Bozankaya</v>
          </cell>
          <cell r="W108"/>
          <cell r="X108" t="str">
            <v>E110-7326</v>
          </cell>
          <cell r="Y108">
            <v>4</v>
          </cell>
          <cell r="Z108"/>
          <cell r="AA108"/>
          <cell r="AB108" t="str">
            <v>Ekipman değiştirilecek</v>
          </cell>
          <cell r="AC108" t="str">
            <v>41-HBR-23-028</v>
          </cell>
          <cell r="AD108"/>
          <cell r="AE108" t="str">
            <v/>
          </cell>
          <cell r="AH108" t="str">
            <v/>
          </cell>
          <cell r="AN108">
            <v>1</v>
          </cell>
          <cell r="AP108" t="str">
            <v>(I) İlk defa karşılaşılan arıza</v>
          </cell>
          <cell r="AQ108">
            <v>45352</v>
          </cell>
          <cell r="AR108">
            <v>45352.645740740743</v>
          </cell>
          <cell r="AU108" t="str">
            <v>Kapı</v>
          </cell>
          <cell r="AX108" t="str">
            <v>https://www.appsheet.com/Template/gettablefileurl?appname=GDM7x4_Failure_List-654943&amp;tableName=SAYFA1&amp;filename=Sayfa1_Images%2F1e9ce9f0.Resim.134820.jpg</v>
          </cell>
        </row>
        <row r="109">
          <cell r="A109" t="str">
            <v>f7ca6748</v>
          </cell>
          <cell r="B109" t="str">
            <v>FRACAS-GDM-108</v>
          </cell>
          <cell r="E109">
            <v>45330</v>
          </cell>
          <cell r="F109">
            <v>45330.4375</v>
          </cell>
          <cell r="G109" t="str">
            <v>TS#1</v>
          </cell>
          <cell r="H109" t="str">
            <v>M</v>
          </cell>
          <cell r="I109" t="str">
            <v>Depo/Depot</v>
          </cell>
          <cell r="J109" t="str">
            <v>C-Uyarı, sürüş devamlılığı</v>
          </cell>
          <cell r="K109" t="str">
            <v>Devreye Alma(Servise Başlamadan Önceki Süreç)</v>
          </cell>
          <cell r="L109" t="str">
            <v>Üç faz kontağı arızalı</v>
          </cell>
          <cell r="M109" t="str">
            <v>Koltuk altı ısıtıcıların 3 faz kontaktörü LA-K16 yapışmış olduğu tespit edildi.</v>
          </cell>
          <cell r="N109">
            <v>319</v>
          </cell>
          <cell r="P109" t="str">
            <v>C(Sisteme etki etmeyen arıza)</v>
          </cell>
          <cell r="Q109" t="str">
            <v>N.A(Yaralanma yok)</v>
          </cell>
          <cell r="R109" t="str">
            <v>Bozankaya</v>
          </cell>
          <cell r="T109">
            <v>45331</v>
          </cell>
          <cell r="U109">
            <v>45331.438888888886</v>
          </cell>
          <cell r="V109" t="str">
            <v>Bozankaya</v>
          </cell>
          <cell r="W109" t="str">
            <v>400V AC 25A ABB KONTAKTÖR</v>
          </cell>
          <cell r="X109" t="str">
            <v>E110-8121</v>
          </cell>
          <cell r="Y109">
            <v>1</v>
          </cell>
          <cell r="Z109" t="str">
            <v>A2540935</v>
          </cell>
          <cell r="AA109"/>
          <cell r="AB109"/>
          <cell r="AC109" t="str">
            <v>41-HBR-23-029</v>
          </cell>
          <cell r="AD109"/>
          <cell r="AE109" t="str">
            <v/>
          </cell>
          <cell r="AH109" t="str">
            <v/>
          </cell>
          <cell r="AN109">
            <v>1</v>
          </cell>
          <cell r="AP109" t="str">
            <v>(I) İlk defa karşılaşılan arıza</v>
          </cell>
          <cell r="AQ109">
            <v>45332</v>
          </cell>
          <cell r="AR109">
            <v>45332.520833333336</v>
          </cell>
          <cell r="AU109" t="str">
            <v>HVAC</v>
          </cell>
          <cell r="AX109" t="str">
            <v>https://www.appsheet.com/Template/gettablefileurl?appname=GDM7x4_Failure_List-654943&amp;tableName=SAYFA1&amp;filename=Sayfa1_Images%2Ff7ca6748.Resim.073405.jpg</v>
          </cell>
        </row>
        <row r="110">
          <cell r="A110" t="str">
            <v>88ed35cd</v>
          </cell>
          <cell r="B110" t="str">
            <v>FRACAS-GDM-109</v>
          </cell>
          <cell r="E110">
            <v>45331</v>
          </cell>
          <cell r="F110">
            <v>45331.591666666667</v>
          </cell>
          <cell r="G110" t="str">
            <v>TS#2</v>
          </cell>
          <cell r="H110" t="str">
            <v>Mc2</v>
          </cell>
          <cell r="I110" t="str">
            <v>Depo/Depot</v>
          </cell>
          <cell r="J110" t="str">
            <v>C-Uyarı, sürüş devamlılığı</v>
          </cell>
          <cell r="K110" t="str">
            <v>Devreye Alma(Servise Başlamadan Önceki Süreç)</v>
          </cell>
          <cell r="L110" t="str">
            <v>Ekran camı kırık</v>
          </cell>
          <cell r="M110" t="str">
            <v>30. Kapının üstündeki ekranın camı kırık olduğu tespit edildi.</v>
          </cell>
          <cell r="N110">
            <v>1</v>
          </cell>
          <cell r="P110" t="str">
            <v>C(Sisteme etki etmeyen arıza)</v>
          </cell>
          <cell r="Q110" t="str">
            <v>N.A(Yaralanma yok)</v>
          </cell>
          <cell r="R110" t="str">
            <v>Bozankaya</v>
          </cell>
          <cell r="T110">
            <v>45331</v>
          </cell>
          <cell r="U110">
            <v>45331.592361111114</v>
          </cell>
          <cell r="V110" t="str">
            <v>Bozankaya</v>
          </cell>
          <cell r="W110"/>
          <cell r="X110"/>
          <cell r="Y110">
            <v>1</v>
          </cell>
          <cell r="Z110"/>
          <cell r="AA110"/>
          <cell r="AB110"/>
          <cell r="AC110" t="str">
            <v>41-HBR-23-030</v>
          </cell>
          <cell r="AD110"/>
          <cell r="AE110" t="str">
            <v/>
          </cell>
          <cell r="AH110" t="str">
            <v/>
          </cell>
          <cell r="AN110"/>
          <cell r="AP110" t="str">
            <v>(II) Birden fazla karşılaşılan arıza</v>
          </cell>
          <cell r="AQ110" t="str">
            <v/>
          </cell>
          <cell r="AR110"/>
          <cell r="AU110" t="str">
            <v>İç Giydirme</v>
          </cell>
          <cell r="AX110" t="str">
            <v>https://www.appsheet.com/Template/gettablefileurl?appname=GDM7x4_Failure_List-654943&amp;tableName=SAYFA1&amp;filename=Sayfa1_Images%2F88ed35cd.Resim.111359.jpg</v>
          </cell>
        </row>
        <row r="111">
          <cell r="A111" t="str">
            <v>3b198d17</v>
          </cell>
          <cell r="B111" t="str">
            <v>FRACAS-GDM-110</v>
          </cell>
          <cell r="E111">
            <v>45332</v>
          </cell>
          <cell r="F111">
            <v>45332.433333333334</v>
          </cell>
          <cell r="G111" t="str">
            <v>TS#1</v>
          </cell>
          <cell r="H111" t="str">
            <v>Mc1</v>
          </cell>
          <cell r="I111" t="str">
            <v>Depo/Depot</v>
          </cell>
          <cell r="J111" t="str">
            <v>C-Uyarı, sürüş devamlılığı</v>
          </cell>
          <cell r="K111" t="str">
            <v>Devreye Alma(Servise Başlamadan Önceki Süreç)</v>
          </cell>
          <cell r="L111" t="str">
            <v>Sigorta arızalı</v>
          </cell>
          <cell r="M111" t="str">
            <v>.+49 panoda NB-F10 yandı. Yenisi ile değiştirildi.</v>
          </cell>
          <cell r="N111">
            <v>319</v>
          </cell>
          <cell r="P111" t="str">
            <v>C(Sisteme etki etmeyen arıza)</v>
          </cell>
          <cell r="Q111" t="str">
            <v>N.A(Yaralanma yok)</v>
          </cell>
          <cell r="R111" t="str">
            <v>Bozankaya</v>
          </cell>
          <cell r="T111">
            <v>45332</v>
          </cell>
          <cell r="U111">
            <v>45332.435416666667</v>
          </cell>
          <cell r="V111" t="str">
            <v>Bozankaya</v>
          </cell>
          <cell r="W111" t="str">
            <v>NB-F10 SİGORTASI</v>
          </cell>
          <cell r="X111"/>
          <cell r="Y111">
            <v>1</v>
          </cell>
          <cell r="Z111"/>
          <cell r="AA111"/>
          <cell r="AB111"/>
          <cell r="AC111" t="str">
            <v>41-HBR-23-033</v>
          </cell>
          <cell r="AD111"/>
          <cell r="AE111" t="str">
            <v/>
          </cell>
          <cell r="AH111" t="str">
            <v/>
          </cell>
          <cell r="AN111">
            <v>1</v>
          </cell>
          <cell r="AP111" t="str">
            <v>(I) İlk defa karşılaşılan arıza</v>
          </cell>
          <cell r="AQ111">
            <v>45332</v>
          </cell>
          <cell r="AR111">
            <v>45332.729166666664</v>
          </cell>
          <cell r="AU111" t="str">
            <v>Kapı</v>
          </cell>
          <cell r="AX111" t="str">
            <v>https://www.appsheet.com/Template/gettablefileurl?appname=GDM7x4_Failure_List-654943&amp;tableName=SAYFA1&amp;filename=Sayfa1_Images%2F3b198d17.Resim.060751.jpg</v>
          </cell>
        </row>
        <row r="112">
          <cell r="A112" t="str">
            <v>75479a8b</v>
          </cell>
          <cell r="B112" t="str">
            <v>FRACAS-GDM-111</v>
          </cell>
          <cell r="E112">
            <v>45334</v>
          </cell>
          <cell r="F112">
            <v>45334.510416666664</v>
          </cell>
          <cell r="G112" t="str">
            <v>TS#3</v>
          </cell>
          <cell r="H112" t="str">
            <v>T</v>
          </cell>
          <cell r="I112" t="str">
            <v>Depo/Depot</v>
          </cell>
          <cell r="J112" t="str">
            <v>C-Uyarı, sürüş devamlılığı</v>
          </cell>
          <cell r="K112" t="str">
            <v>Devreye Alma(Servise Başlamadan Önceki Süreç)</v>
          </cell>
          <cell r="L112" t="str">
            <v>Pano Aydınlatması</v>
          </cell>
          <cell r="M112" t="str">
            <v>.+49 pano /  pano içi aydınlatma LED çalışmadığı tespit edildi. Yerinde sökülerek başka yerde test edildi. Çalışmadığı gözlemlendi.</v>
          </cell>
          <cell r="N112">
            <v>1</v>
          </cell>
          <cell r="P112" t="str">
            <v>C(Sisteme etki etmeyen arıza)</v>
          </cell>
          <cell r="Q112" t="str">
            <v>N.A(Yaralanma yok)</v>
          </cell>
          <cell r="R112" t="str">
            <v>Bozankaya</v>
          </cell>
          <cell r="T112">
            <v>45334</v>
          </cell>
          <cell r="U112">
            <v>45334.511805555558</v>
          </cell>
          <cell r="V112" t="str">
            <v>Bozankaya</v>
          </cell>
          <cell r="W112"/>
          <cell r="X112"/>
          <cell r="Y112">
            <v>1</v>
          </cell>
          <cell r="Z112" t="str">
            <v>?</v>
          </cell>
          <cell r="AA112"/>
          <cell r="AB112"/>
          <cell r="AC112" t="str">
            <v>41-HBR-23-032</v>
          </cell>
          <cell r="AD112"/>
          <cell r="AE112" t="str">
            <v/>
          </cell>
          <cell r="AH112" t="str">
            <v/>
          </cell>
          <cell r="AN112">
            <v>1</v>
          </cell>
          <cell r="AP112" t="str">
            <v>(I) İlk defa karşılaşılan arıza</v>
          </cell>
          <cell r="AQ112">
            <v>45334</v>
          </cell>
          <cell r="AR112">
            <v>45334.541666666664</v>
          </cell>
          <cell r="AU112" t="str">
            <v>E-Kabinet</v>
          </cell>
          <cell r="AX112" t="str">
            <v>https://www.appsheet.com/Template/gettablefileurl?appname=GDM7x4_Failure_List-654943&amp;tableName=SAYFA1&amp;filename=Sayfa1_Images%2F75479a8b.Resim.091854.jpg</v>
          </cell>
        </row>
        <row r="113">
          <cell r="A113" t="str">
            <v>2447c2ec</v>
          </cell>
          <cell r="B113" t="str">
            <v>FRACAS-GDM-112</v>
          </cell>
          <cell r="E113">
            <v>45335</v>
          </cell>
          <cell r="F113">
            <v>45335.470833333333</v>
          </cell>
          <cell r="G113" t="str">
            <v>TS#3</v>
          </cell>
          <cell r="H113" t="str">
            <v>Mc2</v>
          </cell>
          <cell r="I113" t="str">
            <v>Depo/Depot</v>
          </cell>
          <cell r="J113" t="str">
            <v>C-Uyarı, sürüş devamlılığı</v>
          </cell>
          <cell r="K113" t="str">
            <v>Devreye Alma(Servise Başlamadan Önceki Süreç)</v>
          </cell>
          <cell r="L113" t="str">
            <v>DOT-732-TW sürücü hatası.</v>
          </cell>
          <cell r="M113"/>
          <cell r="N113">
            <v>1</v>
          </cell>
          <cell r="P113" t="str">
            <v>C(Sisteme etki etmeyen arıza)</v>
          </cell>
          <cell r="Q113" t="str">
            <v>N.A(Yaralanma yok)</v>
          </cell>
          <cell r="R113" t="str">
            <v>Bozankaya</v>
          </cell>
          <cell r="T113">
            <v>45335</v>
          </cell>
          <cell r="U113">
            <v>45335.479166666664</v>
          </cell>
          <cell r="V113" t="str">
            <v>Bozankaya</v>
          </cell>
          <cell r="W113" t="str">
            <v>DOT-732-TW</v>
          </cell>
          <cell r="X113" t="str">
            <v>E110-8007</v>
          </cell>
          <cell r="Y113">
            <v>1</v>
          </cell>
          <cell r="Z113">
            <v>2240342</v>
          </cell>
          <cell r="AA113"/>
          <cell r="AB113" t="str">
            <v>Ekipman değiştirilecek</v>
          </cell>
          <cell r="AC113" t="str">
            <v>41-HBR-23-034</v>
          </cell>
          <cell r="AD113"/>
          <cell r="AE113" t="str">
            <v/>
          </cell>
          <cell r="AH113" t="str">
            <v/>
          </cell>
          <cell r="AN113">
            <v>1</v>
          </cell>
          <cell r="AP113" t="str">
            <v>(I) İlk defa karşılaşılan arıza</v>
          </cell>
          <cell r="AQ113">
            <v>45335</v>
          </cell>
          <cell r="AR113">
            <v>45335.5</v>
          </cell>
          <cell r="AU113" t="str">
            <v>TCMS</v>
          </cell>
          <cell r="AX113" t="str">
            <v>https://www.appsheet.com/Template/gettablefileurl?appname=GDM7x4_Failure_List-654943&amp;tableName=SAYFA1&amp;filename=Sayfa1_Images%2F2447c2ec.Resim.062815.png</v>
          </cell>
        </row>
        <row r="114">
          <cell r="A114" t="str">
            <v>082908d3</v>
          </cell>
          <cell r="B114" t="str">
            <v>FRACAS-GDM-113</v>
          </cell>
          <cell r="E114">
            <v>45337</v>
          </cell>
          <cell r="F114">
            <v>45337.395833333336</v>
          </cell>
          <cell r="G114" t="str">
            <v>TS#1</v>
          </cell>
          <cell r="H114" t="str">
            <v>T</v>
          </cell>
          <cell r="I114" t="str">
            <v>Depo/Depot</v>
          </cell>
          <cell r="J114" t="str">
            <v>C-Uyarı, sürüş devamlılığı</v>
          </cell>
          <cell r="K114" t="str">
            <v>Devreye Alma(Servise Başlamadan Önceki Süreç)</v>
          </cell>
          <cell r="L114" t="str">
            <v>1A SİGORTA 110V</v>
          </cell>
          <cell r="M114" t="str">
            <v>+41 pano sigortanın enerji getirmediğini tespit edildi. Ölçü aleti ile kontrol edildi. Çalışmadığı tespit edildi.</v>
          </cell>
          <cell r="N114">
            <v>320</v>
          </cell>
          <cell r="P114" t="str">
            <v>C(Sisteme etki etmeyen arıza)</v>
          </cell>
          <cell r="Q114" t="str">
            <v>N.A(Yaralanma yok)</v>
          </cell>
          <cell r="R114" t="str">
            <v>Bozankaya</v>
          </cell>
          <cell r="T114">
            <v>45337</v>
          </cell>
          <cell r="U114">
            <v>45337.416666666664</v>
          </cell>
          <cell r="V114" t="str">
            <v>Bozankaya</v>
          </cell>
          <cell r="W114" t="str">
            <v>1A SİGORTA 110V</v>
          </cell>
          <cell r="X114" t="str">
            <v>E110-8053</v>
          </cell>
          <cell r="Y114">
            <v>1</v>
          </cell>
          <cell r="Z114"/>
          <cell r="AA114"/>
          <cell r="AB114"/>
          <cell r="AC114" t="str">
            <v>41-HBR-24-035</v>
          </cell>
          <cell r="AD114"/>
          <cell r="AE114" t="str">
            <v/>
          </cell>
          <cell r="AH114" t="str">
            <v/>
          </cell>
          <cell r="AN114">
            <v>1</v>
          </cell>
          <cell r="AP114" t="str">
            <v>(I) İlk defa karşılaşılan arıza</v>
          </cell>
          <cell r="AQ114">
            <v>45337</v>
          </cell>
          <cell r="AR114">
            <v>45337.458333333336</v>
          </cell>
          <cell r="AU114" t="str">
            <v>Aydınlatma</v>
          </cell>
          <cell r="AX114" t="str">
            <v>https://www.appsheet.com/Template/gettablefileurl?appname=GDM7x4_Failure_List-654943&amp;tableName=SAYFA1&amp;filename=Sayfa1_Images%2F082908d3.Resim.154040.jpg</v>
          </cell>
        </row>
        <row r="115">
          <cell r="A115" t="str">
            <v>8e8c32aa</v>
          </cell>
          <cell r="B115" t="str">
            <v>FRACAS-GDM-114</v>
          </cell>
          <cell r="E115">
            <v>45338</v>
          </cell>
          <cell r="F115">
            <v>45338.416666666664</v>
          </cell>
          <cell r="G115" t="str">
            <v>TS#1</v>
          </cell>
          <cell r="H115" t="str">
            <v>Mc2</v>
          </cell>
          <cell r="I115" t="str">
            <v>Depo/Depot</v>
          </cell>
          <cell r="J115" t="str">
            <v>C-Uyarı, sürüş devamlılığı</v>
          </cell>
          <cell r="K115" t="str">
            <v>Devreye Alma(Servise Başlamadan Önceki Süreç)</v>
          </cell>
          <cell r="L115" t="str">
            <v>Cam rezistans rölesi arızası</v>
          </cell>
          <cell r="M115" t="str">
            <v>Cam rezistansına bağlı JG-K03 rölesi cam rezistansının çektiği akıma dayanmadığı için yanmıştır.</v>
          </cell>
          <cell r="N115">
            <v>320</v>
          </cell>
          <cell r="P115" t="str">
            <v>C(Sisteme etki etmeyen arıza)</v>
          </cell>
          <cell r="Q115" t="str">
            <v>N.A(Yaralanma yok)</v>
          </cell>
          <cell r="R115" t="str">
            <v>Bozankaya</v>
          </cell>
          <cell r="T115">
            <v>45338</v>
          </cell>
          <cell r="U115">
            <v>45338.427083333336</v>
          </cell>
          <cell r="V115" t="str">
            <v>Bozankaya</v>
          </cell>
          <cell r="W115" t="str">
            <v>2 CO ARTECHE 110V RÖLE</v>
          </cell>
          <cell r="X115" t="str">
            <v>E110-8017</v>
          </cell>
          <cell r="Y115">
            <v>2</v>
          </cell>
          <cell r="Z115" t="str">
            <v>220044001317 2207</v>
          </cell>
          <cell r="AA115"/>
          <cell r="AB115"/>
          <cell r="AC115" t="str">
            <v>41-HBR-24-036</v>
          </cell>
          <cell r="AD115"/>
          <cell r="AE115" t="str">
            <v/>
          </cell>
          <cell r="AH115" t="str">
            <v/>
          </cell>
          <cell r="AN115">
            <v>1</v>
          </cell>
          <cell r="AP115" t="str">
            <v>(I) İlk defa karşılaşılan arıza</v>
          </cell>
          <cell r="AQ115">
            <v>45339</v>
          </cell>
          <cell r="AR115">
            <v>45339.479166666664</v>
          </cell>
          <cell r="AU115" t="str">
            <v>E-Kabinet</v>
          </cell>
          <cell r="AX115" t="str">
            <v>https://www.appsheet.com/Template/gettablefileurl?appname=GDM7x4_Failure_List-654943&amp;tableName=SAYFA1&amp;filename=Sayfa1_Images%2F8e8c32aa.Resim.141001.png</v>
          </cell>
        </row>
        <row r="116">
          <cell r="A116" t="str">
            <v>13180dc7</v>
          </cell>
          <cell r="B116" t="str">
            <v>FRACAS-GDM-115</v>
          </cell>
          <cell r="E116">
            <v>45338</v>
          </cell>
          <cell r="F116">
            <v>45338.5625</v>
          </cell>
          <cell r="G116" t="str">
            <v>TS#1</v>
          </cell>
          <cell r="H116" t="str">
            <v>T</v>
          </cell>
          <cell r="I116" t="str">
            <v>Depo/Depot</v>
          </cell>
          <cell r="J116" t="str">
            <v>C-Uyarı, sürüş devamlılığı</v>
          </cell>
          <cell r="K116" t="str">
            <v>Devreye Alma(Servise Başlamadan Önceki Süreç)</v>
          </cell>
          <cell r="L116" t="str">
            <v>GC-K11 rölesi ark oluşmuş</v>
          </cell>
          <cell r="M116" t="str">
            <v>+49 pano GC-K11 rölesinin ark yaptığı tespit edildi. Aracı söndürme tuşuna basıldığında pano içerisinde bazı rölelerin çekti tespit edildi. İkinci kez söndür tuşuna basıldığında rölelerin bıraktığı görüldü. Bununla birlikte GC-F31 sigortasının attığı tespit edildi.  Röle değiştirildi sorun hala devam etmektedir.</v>
          </cell>
          <cell r="N116">
            <v>320</v>
          </cell>
          <cell r="P116" t="str">
            <v>C(Sisteme etki etmeyen arıza)</v>
          </cell>
          <cell r="Q116" t="str">
            <v>N.A(Yaralanma yok)</v>
          </cell>
          <cell r="R116" t="str">
            <v>Bozankaya</v>
          </cell>
          <cell r="T116">
            <v>45338</v>
          </cell>
          <cell r="U116">
            <v>45338.597222222219</v>
          </cell>
          <cell r="V116" t="str">
            <v>Bozankaya</v>
          </cell>
          <cell r="W116" t="str">
            <v>4 CO ARTECHE 110V RÖLE</v>
          </cell>
          <cell r="X116" t="str">
            <v>E110-8018</v>
          </cell>
          <cell r="Y116">
            <v>1</v>
          </cell>
          <cell r="Z116" t="str">
            <v>220044020438 2208</v>
          </cell>
          <cell r="AA116"/>
          <cell r="AB116"/>
          <cell r="AC116" t="str">
            <v>41-HBR-24-037</v>
          </cell>
          <cell r="AD116"/>
          <cell r="AE116" t="str">
            <v/>
          </cell>
          <cell r="AH116" t="str">
            <v/>
          </cell>
          <cell r="AN116"/>
          <cell r="AP116" t="str">
            <v>(I) İlk defa karşılaşılan arıza</v>
          </cell>
          <cell r="AQ116" t="str">
            <v/>
          </cell>
          <cell r="AR116"/>
          <cell r="AU116" t="str">
            <v>E-Kabinet</v>
          </cell>
          <cell r="AX116" t="str">
            <v>https://www.appsheet.com/Template/gettablefileurl?appname=GDM7x4_Failure_List-654943&amp;tableName=SAYFA1&amp;filename=Sayfa1_Images%2F13180dc7.Resim.140911.png</v>
          </cell>
        </row>
        <row r="117">
          <cell r="A117" t="str">
            <v>37c4c749</v>
          </cell>
          <cell r="B117" t="str">
            <v>FRACAS-GDM-116</v>
          </cell>
          <cell r="E117">
            <v>45347</v>
          </cell>
          <cell r="F117">
            <v>45347.4375</v>
          </cell>
          <cell r="G117" t="str">
            <v>TS#7</v>
          </cell>
          <cell r="H117" t="str">
            <v>Mc2</v>
          </cell>
          <cell r="I117" t="str">
            <v>Depo/Depot</v>
          </cell>
          <cell r="J117" t="str">
            <v>C-Uyarı, sürüş devamlılığı</v>
          </cell>
          <cell r="K117" t="str">
            <v>Devreye Alma(Servise Başlamadan Önceki Süreç)</v>
          </cell>
          <cell r="L117" t="str">
            <v>18" RF modülatör arızası</v>
          </cell>
          <cell r="M117" t="str">
            <v>Bilgilendirme ekranlarının RF modülatörü cihazına 110V enerji verildiği halde sistem çalışmadığı tespit edildi.</v>
          </cell>
          <cell r="N117">
            <v>1</v>
          </cell>
          <cell r="P117" t="str">
            <v>C(Sisteme etki etmeyen arıza)</v>
          </cell>
          <cell r="Q117" t="str">
            <v>N.A(Yaralanma yok)</v>
          </cell>
          <cell r="R117" t="str">
            <v>Tedarikçi</v>
          </cell>
          <cell r="T117">
            <v>45347</v>
          </cell>
          <cell r="U117">
            <v>45347.479166666664</v>
          </cell>
          <cell r="V117" t="str">
            <v>Piton</v>
          </cell>
          <cell r="W117" t="str">
            <v>RF modülatör</v>
          </cell>
          <cell r="X117" t="str">
            <v>E840-8010</v>
          </cell>
          <cell r="Y117">
            <v>1</v>
          </cell>
          <cell r="Z117">
            <v>869023002231</v>
          </cell>
          <cell r="AA117"/>
          <cell r="AB117" t="str">
            <v>Ekipman değiştirilecek</v>
          </cell>
          <cell r="AC117"/>
          <cell r="AD117"/>
          <cell r="AE117" t="str">
            <v/>
          </cell>
          <cell r="AH117" t="str">
            <v/>
          </cell>
          <cell r="AN117"/>
          <cell r="AP117" t="str">
            <v>(I) İlk defa karşılaşılan arıza</v>
          </cell>
          <cell r="AQ117" t="str">
            <v/>
          </cell>
          <cell r="AR117"/>
          <cell r="AU117" t="str">
            <v>PA/PIS/CCTV</v>
          </cell>
          <cell r="AX117" t="str">
            <v>https://www.appsheet.com/Template/gettablefileurl?appname=GDM7x4_Failure_List-654943&amp;tableName=SAYFA1&amp;filename=Sayfa1_Images%2F37c4c749.Resim.211842.jpg</v>
          </cell>
        </row>
        <row r="118">
          <cell r="A118" t="str">
            <v>bac83779</v>
          </cell>
          <cell r="B118" t="str">
            <v>FRACAS-GDM-117</v>
          </cell>
          <cell r="E118">
            <v>45347</v>
          </cell>
          <cell r="F118">
            <v>45347.479166666664</v>
          </cell>
          <cell r="G118" t="str">
            <v>TS#3</v>
          </cell>
          <cell r="H118" t="str">
            <v>Mc1</v>
          </cell>
          <cell r="I118" t="str">
            <v>Depo/Depot</v>
          </cell>
          <cell r="J118" t="str">
            <v>C-Uyarı, sürüş devamlılığı</v>
          </cell>
          <cell r="K118" t="str">
            <v>Devreye Alma(Servise Başlamadan Önceki Süreç)</v>
          </cell>
          <cell r="L118" t="str">
            <v>RF Modülatör Arızası</v>
          </cell>
          <cell r="M118" t="str">
            <v>Reklam ekranlarının RF modülatör 110v enerji verildiğinde sigorta attırıyor. Cihazın içi kısa devre olduğu düşünülüyor.</v>
          </cell>
          <cell r="N118">
            <v>1</v>
          </cell>
          <cell r="P118" t="str">
            <v>C(Sisteme etki etmeyen arıza)</v>
          </cell>
          <cell r="Q118" t="str">
            <v>N.A(Yaralanma yok)</v>
          </cell>
          <cell r="R118" t="str">
            <v>Tedarikçi</v>
          </cell>
          <cell r="T118">
            <v>45347</v>
          </cell>
          <cell r="U118">
            <v>45347.520833333336</v>
          </cell>
          <cell r="V118" t="str">
            <v>Stemman</v>
          </cell>
          <cell r="W118" t="str">
            <v>RF modülatör</v>
          </cell>
          <cell r="X118" t="str">
            <v>E840-8010</v>
          </cell>
          <cell r="Y118">
            <v>1</v>
          </cell>
          <cell r="Z118">
            <v>869023002252</v>
          </cell>
          <cell r="AA118"/>
          <cell r="AB118" t="str">
            <v>Ekipman değiştirilecek</v>
          </cell>
          <cell r="AC118"/>
          <cell r="AD118"/>
          <cell r="AE118" t="str">
            <v/>
          </cell>
          <cell r="AH118" t="str">
            <v/>
          </cell>
          <cell r="AN118"/>
          <cell r="AP118" t="str">
            <v>(II) Birden fazla karşılaşılan arıza</v>
          </cell>
          <cell r="AQ118" t="str">
            <v/>
          </cell>
          <cell r="AR118"/>
          <cell r="AU118" t="str">
            <v>PA/PIS/CCTV</v>
          </cell>
          <cell r="AX118" t="str">
            <v>https://www.appsheet.com/Template/gettablefileurl?appname=GDM7x4_Failure_List-654943&amp;tableName=SAYFA1&amp;filename=Sayfa1_Images%2Fbac83779.Resim.212552.jpg</v>
          </cell>
        </row>
        <row r="119">
          <cell r="A119" t="str">
            <v>bb502088</v>
          </cell>
          <cell r="B119" t="str">
            <v>FRACAS-GDM-118</v>
          </cell>
          <cell r="E119">
            <v>45349</v>
          </cell>
          <cell r="F119">
            <v>45349.354166666664</v>
          </cell>
          <cell r="G119" t="str">
            <v>TS#5</v>
          </cell>
          <cell r="H119" t="str">
            <v>M</v>
          </cell>
          <cell r="I119" t="str">
            <v>Depo/Depot</v>
          </cell>
          <cell r="J119" t="str">
            <v>C-Uyarı, sürüş devamlılığı</v>
          </cell>
          <cell r="K119" t="str">
            <v>Devreye Alma(Servise Başlamadan Önceki Süreç)</v>
          </cell>
          <cell r="L119" t="str">
            <v>Reklam ekranı kırık</v>
          </cell>
          <cell r="M119" t="str">
            <v>Metro ilk canlandırıldığında ekranların kontrolleri yapıldı. 9. Kapının yanındaki ekranın darbe aldığını ve kırık olduğu tespit edildi.</v>
          </cell>
          <cell r="N119">
            <v>1</v>
          </cell>
          <cell r="P119" t="str">
            <v>C(Sisteme etki etmeyen arıza)</v>
          </cell>
          <cell r="Q119" t="str">
            <v>N.A(Yaralanma yok)</v>
          </cell>
          <cell r="R119" t="str">
            <v>Tedarikçi</v>
          </cell>
          <cell r="T119">
            <v>45349</v>
          </cell>
          <cell r="U119">
            <v>45349.416666666664</v>
          </cell>
          <cell r="V119" t="str">
            <v>Piton</v>
          </cell>
          <cell r="W119" t="str">
            <v>Dikey LCD 23.5" ekran</v>
          </cell>
          <cell r="X119" t="str">
            <v>E110-8018</v>
          </cell>
          <cell r="Y119">
            <v>1</v>
          </cell>
          <cell r="Z119">
            <v>869023001185</v>
          </cell>
          <cell r="AA119"/>
          <cell r="AB119"/>
          <cell r="AC119" t="str">
            <v>41-HBR-24-038</v>
          </cell>
          <cell r="AD119"/>
          <cell r="AE119" t="str">
            <v/>
          </cell>
          <cell r="AH119" t="str">
            <v/>
          </cell>
          <cell r="AN119"/>
          <cell r="AP119" t="str">
            <v>(I) İlk defa karşılaşılan arıza</v>
          </cell>
          <cell r="AQ119" t="str">
            <v/>
          </cell>
          <cell r="AR119"/>
          <cell r="AU119" t="str">
            <v>PA/PIS/CCTV</v>
          </cell>
          <cell r="AX119" t="str">
            <v>https://www.appsheet.com/Template/gettablefileurl?appname=GDM7x4_Failure_List-654943&amp;tableName=SAYFA1&amp;filename=Sayfa1_Images%2Fbb502088.Resim.112855.jpg</v>
          </cell>
        </row>
        <row r="120">
          <cell r="A120" t="str">
            <v>290467ba</v>
          </cell>
          <cell r="B120" t="str">
            <v>FRACAS-GDM-119</v>
          </cell>
          <cell r="E120">
            <v>45350</v>
          </cell>
          <cell r="F120">
            <v>45350.479166666664</v>
          </cell>
          <cell r="G120" t="str">
            <v>TS#2</v>
          </cell>
          <cell r="H120" t="str">
            <v>Mc1</v>
          </cell>
          <cell r="I120" t="str">
            <v>Depo/Depot</v>
          </cell>
          <cell r="J120" t="str">
            <v>C-Uyarı, sürüş devamlılığı</v>
          </cell>
          <cell r="K120" t="str">
            <v>Devreye Alma(Servise Başlamadan Önceki Süreç)</v>
          </cell>
          <cell r="L120" t="str">
            <v>Klamens Hatalı</v>
          </cell>
          <cell r="M120" t="str">
            <v>2002-1401 klamensi ile 2002-1411 klamensi araç montajı yapılırken karıştırılmış olduğu tespit edildi. Araç içerisinde montajı yapılması gereken 2002-1401 olması gerekirken 2002-1411 montajı yapıldığından sistemler doğru çalışmadığı görüldü.</v>
          </cell>
          <cell r="N120">
            <v>1</v>
          </cell>
          <cell r="P120" t="str">
            <v>C(Sisteme etki etmeyen arıza)</v>
          </cell>
          <cell r="Q120" t="str">
            <v>N.A(Yaralanma yok)</v>
          </cell>
          <cell r="R120" t="str">
            <v>Bozankaya</v>
          </cell>
          <cell r="T120">
            <v>45351</v>
          </cell>
          <cell r="U120">
            <v>45351.395833333336</v>
          </cell>
          <cell r="V120" t="str">
            <v>Bozankaya</v>
          </cell>
          <cell r="W120" t="str">
            <v>4mm2 dörtlü (diyotlu)</v>
          </cell>
          <cell r="X120" t="str">
            <v>E110-7296</v>
          </cell>
          <cell r="Y120">
            <v>8</v>
          </cell>
          <cell r="Z120"/>
          <cell r="AA120"/>
          <cell r="AB120"/>
          <cell r="AD120"/>
          <cell r="AE120" t="str">
            <v/>
          </cell>
          <cell r="AH120" t="str">
            <v/>
          </cell>
          <cell r="AN120">
            <v>1</v>
          </cell>
          <cell r="AP120" t="str">
            <v>(I) İlk defa karşılaşılan arıza</v>
          </cell>
          <cell r="AQ120">
            <v>45350</v>
          </cell>
          <cell r="AR120">
            <v>45350.479166666664</v>
          </cell>
          <cell r="AU120" t="str">
            <v>Kabin Masası</v>
          </cell>
          <cell r="AX120" t="str">
            <v>https://www.appsheet.com/Template/gettablefileurl?appname=GDM7x4_Failure_List-654943&amp;tableName=SAYFA1&amp;filename=Sayfa1_Images%2F290467ba.Resim.072949.jpg</v>
          </cell>
        </row>
        <row r="121">
          <cell r="A121" t="str">
            <v>27722ceb</v>
          </cell>
          <cell r="B121" t="str">
            <v>FRACAS-GDM-120</v>
          </cell>
          <cell r="E121">
            <v>45352</v>
          </cell>
          <cell r="F121">
            <v>45352.375</v>
          </cell>
          <cell r="G121" t="str">
            <v>TS#1</v>
          </cell>
          <cell r="H121" t="str">
            <v>Mc1 , Mc2 , M , T</v>
          </cell>
          <cell r="I121" t="str">
            <v>Depo/Depot</v>
          </cell>
          <cell r="J121" t="str">
            <v>C-Uyarı, sürüş devamlılığı</v>
          </cell>
          <cell r="K121" t="str">
            <v>Devreye Alma(Servise Başlamadan Önceki Süreç)</v>
          </cell>
          <cell r="L121" t="str">
            <v>Elektro Dinamik Fren</v>
          </cell>
          <cell r="M121" t="str">
            <v>Test sürüşleri yapıldığı süreçte aracın Elektro Dinamik Fren(ED) yapıldığında, araç içerisinde yüksek çınlama sesi (manyetik ses) gelmektedir. Elektro Dinamik fren yapıldığında geri besleme voltajı 1850 volt üzerine çıktığı zaman ses başlamaktadır.</v>
          </cell>
          <cell r="N121">
            <v>350</v>
          </cell>
          <cell r="P121" t="str">
            <v>C(Sisteme etki etmeyen arıza)</v>
          </cell>
          <cell r="Q121" t="str">
            <v>N.A(Yaralanma yok)</v>
          </cell>
          <cell r="R121" t="str">
            <v>Bozankaya</v>
          </cell>
          <cell r="T121">
            <v>45371</v>
          </cell>
          <cell r="U121">
            <v>45371.458333333336</v>
          </cell>
          <cell r="V121" t="str">
            <v>Bozankaya</v>
          </cell>
          <cell r="W121"/>
          <cell r="X121"/>
          <cell r="Y121"/>
          <cell r="Z121"/>
          <cell r="AA121"/>
          <cell r="AB121"/>
          <cell r="AC121"/>
          <cell r="AD121"/>
          <cell r="AE121" t="str">
            <v/>
          </cell>
          <cell r="AH121" t="str">
            <v/>
          </cell>
          <cell r="AN121"/>
          <cell r="AP121" t="str">
            <v>(I) İlk defa karşılaşılan arıza</v>
          </cell>
          <cell r="AQ121" t="str">
            <v/>
          </cell>
          <cell r="AR121"/>
          <cell r="AU121" t="str">
            <v>ComboBox</v>
          </cell>
          <cell r="AX121" t="str">
            <v>https://www.appsheet.com/Template/gettablefileurl?appname=GDM7x4_Failure_List-654943&amp;tableName=SAYFA1&amp;filename=Sayfa1_Images%2F27722ceb.Resim.070235.jpg</v>
          </cell>
        </row>
        <row r="122">
          <cell r="A122" t="str">
            <v>383422b8</v>
          </cell>
          <cell r="B122" t="str">
            <v>FRACAS-GDM-121</v>
          </cell>
          <cell r="E122">
            <v>45356</v>
          </cell>
          <cell r="F122">
            <v>45356.521180555559</v>
          </cell>
          <cell r="G122" t="str">
            <v>TS#6</v>
          </cell>
          <cell r="H122" t="str">
            <v>Mc1 , Mc2 , M , T</v>
          </cell>
          <cell r="I122" t="str">
            <v>Depo/Depot</v>
          </cell>
          <cell r="J122" t="str">
            <v>C-Uyarı, sürüş devamlılığı</v>
          </cell>
          <cell r="K122" t="str">
            <v>Devreye Alma(Servise Başlamadan Önceki Süreç)</v>
          </cell>
          <cell r="L122" t="str">
            <v>Körük şase arası açıklıktan dolayı 6. ve 7. setlerde araçların içine su sızıntısı olabileceği tespit edilmiştir.,</v>
          </cell>
          <cell r="M122" t="str">
            <v>kısa vadede durumun engellenmesi için poşet bantlandı</v>
          </cell>
          <cell r="N122">
            <v>1</v>
          </cell>
          <cell r="P122" t="str">
            <v>C(Sisteme etki etmeyen arıza)</v>
          </cell>
          <cell r="Q122" t="str">
            <v>N.A(Yaralanma yok)</v>
          </cell>
          <cell r="R122" t="str">
            <v>Bozankaya</v>
          </cell>
          <cell r="T122">
            <v>45358</v>
          </cell>
          <cell r="U122">
            <v>45358.5</v>
          </cell>
          <cell r="V122" t="str">
            <v>Bozankaya</v>
          </cell>
          <cell r="W122" t="str">
            <v>körük</v>
          </cell>
          <cell r="X122" t="str">
            <v>S500-8004</v>
          </cell>
          <cell r="Y122"/>
          <cell r="Z122"/>
          <cell r="AA122" t="str">
            <v>Hayır</v>
          </cell>
          <cell r="AB122" t="str">
            <v>Arıza çözülecek</v>
          </cell>
          <cell r="AC122" t="str">
            <v>41-HBR-24-039</v>
          </cell>
          <cell r="AD122"/>
          <cell r="AE122" t="str">
            <v/>
          </cell>
          <cell r="AH122" t="str">
            <v/>
          </cell>
          <cell r="AN122"/>
          <cell r="AP122" t="str">
            <v>(II) Birden fazla karşılaşılan arıza</v>
          </cell>
          <cell r="AQ122" t="str">
            <v/>
          </cell>
          <cell r="AR122"/>
          <cell r="AU122" t="str">
            <v>Dış Giydirme</v>
          </cell>
          <cell r="AX122" t="str">
            <v>https://www.appsheet.com/Template/gettablefileurl?appname=GDM7x4_Failure_List-654943&amp;tableName=SAYFA1&amp;filename=Sayfa1_Images%2F383422b8.Resim.111551.png</v>
          </cell>
        </row>
        <row r="123">
          <cell r="A123" t="str">
            <v>353422b8</v>
          </cell>
          <cell r="B123" t="str">
            <v>FRACAS-GDM-122</v>
          </cell>
          <cell r="E123">
            <v>45356</v>
          </cell>
          <cell r="F123">
            <v>45356.521180555559</v>
          </cell>
          <cell r="G123" t="str">
            <v>TS#7</v>
          </cell>
          <cell r="H123" t="str">
            <v>Mc1 , Mc2 , M , T</v>
          </cell>
          <cell r="I123" t="str">
            <v>Depo/Depot</v>
          </cell>
          <cell r="J123" t="str">
            <v>C-Uyarı, sürüş devamlılığı</v>
          </cell>
          <cell r="K123" t="str">
            <v>Devreye Alma(Servise Başlamadan Önceki Süreç)</v>
          </cell>
          <cell r="L123" t="str">
            <v>Körük şase arası açıklıktan dolayı 6. ve 7. setlerde araçların içine su sızıntısı olabileceği tespit edilmiştir.,</v>
          </cell>
          <cell r="M123" t="str">
            <v>kısa vadede durumun engellenmesi için poşet bantlandı</v>
          </cell>
          <cell r="N123">
            <v>1</v>
          </cell>
          <cell r="P123" t="str">
            <v>C(Sisteme etki etmeyen arıza)</v>
          </cell>
          <cell r="Q123" t="str">
            <v>N.A(Yaralanma yok)</v>
          </cell>
          <cell r="R123" t="str">
            <v>Bozankaya</v>
          </cell>
          <cell r="T123">
            <v>45358</v>
          </cell>
          <cell r="U123">
            <v>45358.5</v>
          </cell>
          <cell r="V123" t="str">
            <v>Bozankaya</v>
          </cell>
          <cell r="W123" t="str">
            <v>körük</v>
          </cell>
          <cell r="X123" t="str">
            <v>S500-8004</v>
          </cell>
          <cell r="Y123"/>
          <cell r="Z123"/>
          <cell r="AA123" t="str">
            <v>Hayır</v>
          </cell>
          <cell r="AB123" t="str">
            <v>Arıza çözülecek</v>
          </cell>
          <cell r="AC123" t="str">
            <v>41-HBR-24-039</v>
          </cell>
          <cell r="AD123"/>
          <cell r="AE123" t="str">
            <v/>
          </cell>
          <cell r="AH123" t="str">
            <v/>
          </cell>
          <cell r="AN123"/>
          <cell r="AP123" t="str">
            <v>(II) Birden fazla karşılaşılan arıza</v>
          </cell>
          <cell r="AQ123" t="str">
            <v/>
          </cell>
          <cell r="AR123"/>
          <cell r="AU123" t="str">
            <v>Dış Giydirme</v>
          </cell>
          <cell r="AX123" t="str">
            <v>https://www.appsheet.com/Template/gettablefileurl?appname=GDM7x4_Failure_List-654943&amp;tableName=SAYFA1&amp;filename=Sayfa1_Images%2F383422b8.Resim.111551.png</v>
          </cell>
        </row>
        <row r="124">
          <cell r="A124" t="str">
            <v>d7501274</v>
          </cell>
          <cell r="B124" t="str">
            <v>FRACAS-GDM-123</v>
          </cell>
          <cell r="E124">
            <v>45372</v>
          </cell>
          <cell r="F124">
            <v>45372.416666666664</v>
          </cell>
          <cell r="G124" t="str">
            <v>TS#4</v>
          </cell>
          <cell r="H124" t="str">
            <v>M</v>
          </cell>
          <cell r="I124" t="str">
            <v>Depo/Depot</v>
          </cell>
          <cell r="J124" t="str">
            <v>C-Uyarı, sürüş devamlılığı</v>
          </cell>
          <cell r="K124" t="str">
            <v>Devreye Alma(Servise Başlamadan Önceki Süreç)</v>
          </cell>
          <cell r="L124" t="str">
            <v>Jumper çerçevesi vidası içinde kırılmış</v>
          </cell>
          <cell r="M124" t="str">
            <v>RTC-M vagonuna ait UD-X929.A jumper baglantisinin yapıldığı, jumper çerçevesinin vidalar muhtemel yüksek torklu sıkımdan kaynaklı dişleri sıyırarak kitlenmiş ve vida içinde kırılmış olduğu tespit edilmiştir. Bu bölgeye sahada işlem yapılmamıştır ve fabrikadan bu şekilde gelmiştir.</v>
          </cell>
          <cell r="N124">
            <v>1</v>
          </cell>
          <cell r="P124" t="str">
            <v>C(Sisteme etki etmeyen arıza)</v>
          </cell>
          <cell r="Q124" t="str">
            <v>N.A(Yaralanma yok)</v>
          </cell>
          <cell r="R124" t="str">
            <v>Bozankaya</v>
          </cell>
          <cell r="T124">
            <v>45372</v>
          </cell>
          <cell r="U124">
            <v>45372.416666666664</v>
          </cell>
          <cell r="V124" t="str">
            <v>Bozankaya</v>
          </cell>
          <cell r="W124" t="str">
            <v>Han 24HPR-Mounting</v>
          </cell>
          <cell r="X124" t="str">
            <v>E110-8074</v>
          </cell>
          <cell r="Y124">
            <v>1</v>
          </cell>
          <cell r="Z124"/>
          <cell r="AA124"/>
          <cell r="AB124" t="str">
            <v>Ekipman değiştirilecek</v>
          </cell>
          <cell r="AC124"/>
          <cell r="AD124"/>
          <cell r="AE124" t="str">
            <v/>
          </cell>
          <cell r="AH124" t="str">
            <v/>
          </cell>
          <cell r="AN124">
            <v>1</v>
          </cell>
          <cell r="AP124" t="str">
            <v>(II) Birden fazla karşılaşılan arıza</v>
          </cell>
          <cell r="AQ124">
            <v>45372</v>
          </cell>
          <cell r="AR124">
            <v>45372.5</v>
          </cell>
          <cell r="AU124" t="str">
            <v>Dış Giydirme</v>
          </cell>
          <cell r="AX124" t="str">
            <v>https://www.appsheet.com/Template/gettablefileurl?appname=GDM7x4_Failure_List-654943&amp;tableName=SAYFA1&amp;filename=Sayfa1_Images%2Fd7501274.Resim.150509.jpg</v>
          </cell>
        </row>
        <row r="125">
          <cell r="A125" t="str">
            <v>9296301e</v>
          </cell>
          <cell r="B125" t="str">
            <v>FRACAS-GDM-124</v>
          </cell>
          <cell r="E125">
            <v>45376</v>
          </cell>
          <cell r="F125">
            <v>45376.520833333336</v>
          </cell>
          <cell r="G125" t="str">
            <v>TS#7</v>
          </cell>
          <cell r="H125" t="str">
            <v>Mc1</v>
          </cell>
          <cell r="I125" t="str">
            <v>Depo/Depot</v>
          </cell>
          <cell r="J125" t="str">
            <v>C-Uyarı, sürüş devamlılığı</v>
          </cell>
          <cell r="K125" t="str">
            <v>Devreye Alma(Servise Başlamadan Önceki Süreç)</v>
          </cell>
          <cell r="L125" t="str">
            <v>RF modülatör arızası</v>
          </cell>
          <cell r="M125" t="str">
            <v>Bilgilendirme ekranının Rf modülatörüne 110v enerji verdildiği halde çalışmadığı tespit edilmiştir.</v>
          </cell>
          <cell r="N125">
            <v>1</v>
          </cell>
          <cell r="P125" t="str">
            <v>C(Sisteme etki etmeyen arıza)</v>
          </cell>
          <cell r="Q125" t="str">
            <v>N.A(Yaralanma yok)</v>
          </cell>
          <cell r="R125" t="str">
            <v>Tedarikçi</v>
          </cell>
          <cell r="T125">
            <v>45376</v>
          </cell>
          <cell r="U125">
            <v>45376.520833333336</v>
          </cell>
          <cell r="V125" t="str">
            <v>Piton</v>
          </cell>
          <cell r="W125" t="str">
            <v>RF modülatör</v>
          </cell>
          <cell r="X125" t="str">
            <v>E840-8010</v>
          </cell>
          <cell r="Y125">
            <v>1</v>
          </cell>
          <cell r="Z125">
            <v>869023002233</v>
          </cell>
          <cell r="AA125"/>
          <cell r="AB125"/>
          <cell r="AC125"/>
          <cell r="AD125"/>
          <cell r="AE125" t="str">
            <v/>
          </cell>
          <cell r="AH125" t="str">
            <v/>
          </cell>
          <cell r="AN125"/>
          <cell r="AP125" t="str">
            <v>(II) Birden fazla karşılaşılan arıza</v>
          </cell>
          <cell r="AQ125" t="str">
            <v/>
          </cell>
          <cell r="AR125"/>
          <cell r="AU125" t="str">
            <v>PA/PIS/CCTV</v>
          </cell>
          <cell r="AX125" t="str">
            <v>https://www.appsheet.com/Template/gettablefileurl?appname=GDM7x4_Failure_List-654943&amp;tableName=SAYFA1&amp;filename=Sayfa1_Images%2F9296301e.Resim.213848.jpg</v>
          </cell>
        </row>
        <row r="126">
          <cell r="A126" t="str">
            <v>4586a4c9</v>
          </cell>
          <cell r="B126" t="str">
            <v>FRACAS-GDM-125</v>
          </cell>
          <cell r="E126">
            <v>45376</v>
          </cell>
          <cell r="F126">
            <v>45376.549305555556</v>
          </cell>
          <cell r="G126" t="str">
            <v>TS#3</v>
          </cell>
          <cell r="H126" t="str">
            <v>Mc1</v>
          </cell>
          <cell r="I126" t="str">
            <v>Depo/Depot</v>
          </cell>
          <cell r="J126" t="str">
            <v>C-Uyarı, sürüş devamlılığı</v>
          </cell>
          <cell r="K126" t="str">
            <v>Devreye Alma(Servise Başlamadan Önceki Süreç)</v>
          </cell>
          <cell r="L126" t="str">
            <v>Papis control unit HDMI arızası</v>
          </cell>
          <cell r="M126" t="str">
            <v>Papis control ünitesinin hdmı çıkışı çalışmıyor. Piton firması kendi denedi ve tespitini yaptı.</v>
          </cell>
          <cell r="N126">
            <v>1</v>
          </cell>
          <cell r="P126" t="str">
            <v>C(Sisteme etki etmeyen arıza)</v>
          </cell>
          <cell r="Q126" t="str">
            <v>N.A(Yaralanma yok)</v>
          </cell>
          <cell r="R126" t="str">
            <v>Tedarikçi</v>
          </cell>
          <cell r="T126">
            <v>45376</v>
          </cell>
          <cell r="U126">
            <v>45376.635416666664</v>
          </cell>
          <cell r="V126" t="str">
            <v>Piton</v>
          </cell>
          <cell r="W126" t="str">
            <v>PAPIS Control Unit</v>
          </cell>
          <cell r="X126" t="str">
            <v>E840-8001</v>
          </cell>
          <cell r="Y126">
            <v>1</v>
          </cell>
          <cell r="Z126" t="str">
            <v>TSCD11011888</v>
          </cell>
          <cell r="AA126"/>
          <cell r="AB126"/>
          <cell r="AC126"/>
          <cell r="AD126"/>
          <cell r="AE126" t="str">
            <v/>
          </cell>
          <cell r="AH126" t="str">
            <v/>
          </cell>
          <cell r="AN126">
            <v>1</v>
          </cell>
          <cell r="AP126" t="str">
            <v>(I) İlk defa karşılaşılan arıza</v>
          </cell>
          <cell r="AQ126" t="str">
            <v/>
          </cell>
          <cell r="AR126"/>
          <cell r="AU126" t="str">
            <v>PA/PIS/CCTV</v>
          </cell>
          <cell r="AX126" t="str">
            <v>https://www.appsheet.com/Template/gettablefileurl?appname=GDM7x4_Failure_List-654943&amp;tableName=SAYFA1&amp;filename=Sayfa1_Images%2F4586a4c9.Resim.221645.jpg</v>
          </cell>
        </row>
        <row r="127">
          <cell r="A127" t="str">
            <v>a49d5f36</v>
          </cell>
          <cell r="B127" t="str">
            <v>FRACAS-GDM-126</v>
          </cell>
          <cell r="E127">
            <v>45376</v>
          </cell>
          <cell r="F127">
            <v>45376.5625</v>
          </cell>
          <cell r="G127" t="str">
            <v>TS#6</v>
          </cell>
          <cell r="H127" t="str">
            <v>Mc1</v>
          </cell>
          <cell r="I127" t="str">
            <v>Depo/Depot</v>
          </cell>
          <cell r="J127" t="str">
            <v>C-Uyarı, sürüş devamlılığı</v>
          </cell>
          <cell r="K127" t="str">
            <v>Devreye Alma(Servise Başlamadan Önceki Süreç)</v>
          </cell>
          <cell r="L127" t="str">
            <v>RF modülatör arızaları</v>
          </cell>
          <cell r="M127" t="str">
            <v>RF modülatör besleme verildiği halde çalışmadığı tespit edildi.</v>
          </cell>
          <cell r="N127">
            <v>1</v>
          </cell>
          <cell r="P127" t="str">
            <v>C(Sisteme etki etmeyen arıza)</v>
          </cell>
          <cell r="Q127" t="str">
            <v>N.A(Yaralanma yok)</v>
          </cell>
          <cell r="R127" t="str">
            <v>Tedarikçi</v>
          </cell>
          <cell r="T127">
            <v>45376</v>
          </cell>
          <cell r="U127">
            <v>45376.571527777778</v>
          </cell>
          <cell r="V127" t="str">
            <v>Piton</v>
          </cell>
          <cell r="W127" t="str">
            <v>RF modğlatörü</v>
          </cell>
          <cell r="X127" t="str">
            <v>E840-8010</v>
          </cell>
          <cell r="Y127">
            <v>1</v>
          </cell>
          <cell r="Z127">
            <v>869023002261</v>
          </cell>
          <cell r="AA127"/>
          <cell r="AB127"/>
          <cell r="AC127"/>
          <cell r="AD127"/>
          <cell r="AE127" t="str">
            <v/>
          </cell>
          <cell r="AH127" t="str">
            <v/>
          </cell>
          <cell r="AN127"/>
          <cell r="AP127" t="str">
            <v>(II) Birden fazla karşılaşılan arıza</v>
          </cell>
          <cell r="AQ127" t="str">
            <v/>
          </cell>
          <cell r="AR127"/>
          <cell r="AU127" t="str">
            <v>PA/PIS/CCTV</v>
          </cell>
          <cell r="AX127" t="str">
            <v>https://www.appsheet.com/Template/gettablefileurl?appname=GDM7x4_Failure_List-654943&amp;tableName=SAYFA1&amp;filename=Sayfa1_Images%2Fa49d5f36.Resim.214532.jpg</v>
          </cell>
        </row>
        <row r="128">
          <cell r="A128" t="str">
            <v>f4f93d61</v>
          </cell>
          <cell r="B128" t="str">
            <v>FRACAS-GDM-127</v>
          </cell>
          <cell r="E128">
            <v>45376</v>
          </cell>
          <cell r="F128">
            <v>45376.645833333336</v>
          </cell>
          <cell r="G128" t="str">
            <v>TS#3</v>
          </cell>
          <cell r="H128" t="str">
            <v>Mc2</v>
          </cell>
          <cell r="I128" t="str">
            <v>Depo/Depot</v>
          </cell>
          <cell r="J128" t="str">
            <v>C-Uyarı, sürüş devamlılığı</v>
          </cell>
          <cell r="K128" t="str">
            <v>Devreye Alma(Servise Başlamadan Önceki Süreç)</v>
          </cell>
          <cell r="L128" t="str">
            <v>RF modülatör arızası</v>
          </cell>
          <cell r="M128" t="str">
            <v>Reklam ekranlarının RF modülatörü 110V enerji verildiği halde çalışmadığı tespit edildi.</v>
          </cell>
          <cell r="N128">
            <v>1</v>
          </cell>
          <cell r="P128" t="str">
            <v>C(Sisteme etki etmeyen arıza)</v>
          </cell>
          <cell r="Q128" t="str">
            <v>N.A(Yaralanma yok)</v>
          </cell>
          <cell r="R128" t="str">
            <v>Tedarikçi</v>
          </cell>
          <cell r="T128">
            <v>45376</v>
          </cell>
          <cell r="U128">
            <v>45376.569444444445</v>
          </cell>
          <cell r="V128" t="str">
            <v>Piton</v>
          </cell>
          <cell r="W128" t="str">
            <v>RF modülatör</v>
          </cell>
          <cell r="X128" t="str">
            <v>E840-8010</v>
          </cell>
          <cell r="Y128">
            <v>1</v>
          </cell>
          <cell r="Z128">
            <v>869023002250</v>
          </cell>
          <cell r="AA128"/>
          <cell r="AB128"/>
          <cell r="AC128"/>
          <cell r="AD128"/>
          <cell r="AE128" t="str">
            <v/>
          </cell>
          <cell r="AH128" t="str">
            <v/>
          </cell>
          <cell r="AN128"/>
          <cell r="AP128" t="str">
            <v>(II) Birden fazla karşılaşılan arıza</v>
          </cell>
          <cell r="AQ128" t="str">
            <v/>
          </cell>
          <cell r="AR128"/>
          <cell r="AU128" t="str">
            <v>PA/PIS/CCTV</v>
          </cell>
          <cell r="AX128" t="str">
            <v>https://www.appsheet.com/Template/gettablefileurl?appname=GDM7x4_Failure_List-654943&amp;tableName=SAYFA1&amp;filename=Sayfa1_Images%2Ff4f93d61.Resim.215247.jpg</v>
          </cell>
        </row>
        <row r="129">
          <cell r="A129" t="str">
            <v>dc23bda7</v>
          </cell>
          <cell r="B129" t="str">
            <v>FRACAS-GDM-128</v>
          </cell>
          <cell r="E129">
            <v>45376</v>
          </cell>
          <cell r="F129">
            <v>45376.710416666669</v>
          </cell>
          <cell r="G129" t="str">
            <v>TS#2</v>
          </cell>
          <cell r="H129" t="str">
            <v>Mc1</v>
          </cell>
          <cell r="I129" t="str">
            <v>Depo/Depot</v>
          </cell>
          <cell r="J129" t="str">
            <v>C-Uyarı, sürüş devamlılığı</v>
          </cell>
          <cell r="K129" t="str">
            <v>Devreye Alma(Servise Başlamadan Önceki Süreç)</v>
          </cell>
          <cell r="L129" t="str">
            <v>Trim Montajı Hatalı</v>
          </cell>
          <cell r="M129" t="str">
            <v>+59 panonun yanındaki servis kapağının yapıştırma işlemi hatalı yapılmış olduğu tespit edildi.  Menteşe ile servis kapalı birbirinen ayrık durumdadır.</v>
          </cell>
          <cell r="N129">
            <v>1</v>
          </cell>
          <cell r="P129" t="str">
            <v>C(Sisteme etki etmeyen arıza)</v>
          </cell>
          <cell r="Q129" t="str">
            <v>N.A(Yaralanma yok)</v>
          </cell>
          <cell r="R129" t="str">
            <v>Bozankaya</v>
          </cell>
          <cell r="T129">
            <v>45376</v>
          </cell>
          <cell r="U129">
            <v>45376.714583333334</v>
          </cell>
          <cell r="V129" t="str">
            <v>Bozankaya</v>
          </cell>
          <cell r="W129"/>
          <cell r="X129"/>
          <cell r="Y129">
            <v>1</v>
          </cell>
          <cell r="Z129"/>
          <cell r="AA129"/>
          <cell r="AB129"/>
          <cell r="AC129"/>
          <cell r="AD129"/>
          <cell r="AE129" t="str">
            <v/>
          </cell>
          <cell r="AH129" t="str">
            <v/>
          </cell>
          <cell r="AN129"/>
          <cell r="AP129" t="str">
            <v>(I) İlk defa karşılaşılan arıza</v>
          </cell>
          <cell r="AQ129" t="str">
            <v/>
          </cell>
          <cell r="AR129"/>
          <cell r="AU129" t="str">
            <v>İç Giydirme</v>
          </cell>
          <cell r="AX129" t="str">
            <v>https://www.appsheet.com/Template/gettablefileurl?appname=GDM7x4_Failure_List-654943&amp;tableName=SAYFA1&amp;filename=Sayfa1_Images%2Fdc23bda7.Resim.140959.jpg</v>
          </cell>
        </row>
        <row r="130">
          <cell r="A130" t="str">
            <v>9054276a</v>
          </cell>
          <cell r="B130" t="str">
            <v>FRACAS-GDM-129</v>
          </cell>
          <cell r="E130">
            <v>45376</v>
          </cell>
          <cell r="F130">
            <v>45376.779166666667</v>
          </cell>
          <cell r="G130" t="str">
            <v>TS#4</v>
          </cell>
          <cell r="H130" t="str">
            <v>Mc1</v>
          </cell>
          <cell r="I130" t="str">
            <v>Depo/Depot</v>
          </cell>
          <cell r="J130" t="str">
            <v>C-Uyarı, sürüş devamlılığı</v>
          </cell>
          <cell r="K130" t="str">
            <v>Devreye Alma(Servise Başlamadan Önceki Süreç)</v>
          </cell>
          <cell r="L130" t="str">
            <v>DIT arızalı</v>
          </cell>
          <cell r="M130" t="str">
            <v>+49 panodan bulunan DIT haberleşme hattını bozduğu tespit edildi. Uzun süre enerji altında kaldığında sistem haberleşmeyi sağlayamayınca kendini korumaya aldığı tespit edildi.</v>
          </cell>
          <cell r="N130">
            <v>1</v>
          </cell>
          <cell r="P130" t="str">
            <v>C(Sisteme etki etmeyen arıza)</v>
          </cell>
          <cell r="Q130" t="str">
            <v>N.A(Yaralanma yok)</v>
          </cell>
          <cell r="R130" t="str">
            <v>Bozankaya</v>
          </cell>
          <cell r="T130">
            <v>45376</v>
          </cell>
          <cell r="U130">
            <v>45376.781944444447</v>
          </cell>
          <cell r="V130" t="str">
            <v>Bozankaya</v>
          </cell>
          <cell r="W130" t="str">
            <v>DIT 732-TW</v>
          </cell>
          <cell r="X130" t="str">
            <v>E110-8006</v>
          </cell>
          <cell r="Y130">
            <v>1</v>
          </cell>
          <cell r="Z130">
            <v>230200016</v>
          </cell>
          <cell r="AA130"/>
          <cell r="AB130"/>
          <cell r="AC130"/>
          <cell r="AD130"/>
          <cell r="AE130" t="str">
            <v/>
          </cell>
          <cell r="AH130" t="str">
            <v/>
          </cell>
          <cell r="AN130"/>
          <cell r="AP130" t="str">
            <v>(I) İlk defa karşılaşılan arıza</v>
          </cell>
          <cell r="AQ130" t="str">
            <v/>
          </cell>
          <cell r="AR130"/>
          <cell r="AU130" t="str">
            <v>E-Kabinet</v>
          </cell>
          <cell r="AX130" t="str">
            <v>https://www.appsheet.com/Template/gettablefileurl?appname=GDM7x4_Failure_List-654943&amp;tableName=SAYFA1&amp;filename=Sayfa1_Images%2F9054276a.Resim.155057.jpg</v>
          </cell>
        </row>
        <row r="131">
          <cell r="A131" t="str">
            <v>e8d8c2e0</v>
          </cell>
          <cell r="B131" t="str">
            <v>FRACAS-GDM-130</v>
          </cell>
          <cell r="E131">
            <v>45379</v>
          </cell>
          <cell r="F131">
            <v>45379.682638888888</v>
          </cell>
          <cell r="G131" t="str">
            <v>TS#4</v>
          </cell>
          <cell r="H131" t="str">
            <v>T</v>
          </cell>
          <cell r="I131" t="str">
            <v>Depo/Depot</v>
          </cell>
          <cell r="J131" t="str">
            <v>C-Uyarı, sürüş devamlılığı</v>
          </cell>
          <cell r="K131" t="str">
            <v>Devreye Alma(Servise Başlamadan Önceki Süreç)</v>
          </cell>
          <cell r="L131" t="str">
            <v>3A sigorta arızalı</v>
          </cell>
          <cell r="M131" t="str">
            <v>3A sigorta RA-F01 T vagon +41 arızalı olduğu tespit edildi.</v>
          </cell>
          <cell r="N131">
            <v>1</v>
          </cell>
          <cell r="P131" t="str">
            <v>C(Sisteme etki etmeyen arıza)</v>
          </cell>
          <cell r="Q131" t="str">
            <v>N.A(Yaralanma yok)</v>
          </cell>
          <cell r="R131" t="str">
            <v>Bozankaya</v>
          </cell>
          <cell r="T131">
            <v>45378</v>
          </cell>
          <cell r="U131">
            <v>45378.058333333334</v>
          </cell>
          <cell r="V131" t="str">
            <v>Bozankaya</v>
          </cell>
          <cell r="W131" t="str">
            <v>3A sigorta</v>
          </cell>
          <cell r="X131"/>
          <cell r="Y131">
            <v>1</v>
          </cell>
          <cell r="Z131"/>
          <cell r="AA131"/>
          <cell r="AB131"/>
          <cell r="AC131"/>
          <cell r="AD131"/>
          <cell r="AE131" t="str">
            <v/>
          </cell>
          <cell r="AH131" t="str">
            <v/>
          </cell>
          <cell r="AN131"/>
          <cell r="AP131" t="str">
            <v>(I) İlk defa karşılaşılan arıza</v>
          </cell>
          <cell r="AQ131" t="str">
            <v/>
          </cell>
          <cell r="AR131"/>
          <cell r="AU131" t="str">
            <v>E-Kabinet</v>
          </cell>
          <cell r="AX131" t="str">
            <v>https://www.appsheet.com/Template/gettablefileurl?appname=GDM7x4_Failure_List-654943&amp;tableName=SAYFA1&amp;filename=Sayfa1_Images%2Fe8d8c2e0.Resim.222528.jpg</v>
          </cell>
        </row>
        <row r="132">
          <cell r="A132" t="str">
            <v>77c4447c</v>
          </cell>
          <cell r="B132" t="str">
            <v>FRACAS-GDM-131</v>
          </cell>
          <cell r="E132">
            <v>45379</v>
          </cell>
          <cell r="F132">
            <v>45379.810416666667</v>
          </cell>
          <cell r="G132" t="str">
            <v>TS#4</v>
          </cell>
          <cell r="H132" t="str">
            <v>Mc1</v>
          </cell>
          <cell r="I132" t="str">
            <v>Depo/Depot</v>
          </cell>
          <cell r="J132" t="str">
            <v>C-Uyarı, sürüş devamlılığı</v>
          </cell>
          <cell r="K132" t="str">
            <v>Devreye Alma(Servise Başlamadan Önceki Süreç)</v>
          </cell>
          <cell r="L132" t="str">
            <v>Master front led</v>
          </cell>
          <cell r="M132" t="str">
            <v>Ekrana enerji verildiği halde çalışmadığı tespit edildi.</v>
          </cell>
          <cell r="N132">
            <v>1</v>
          </cell>
          <cell r="P132" t="str">
            <v>C(Sisteme etki etmeyen arıza)</v>
          </cell>
          <cell r="Q132" t="str">
            <v>N.A(Yaralanma yok)</v>
          </cell>
          <cell r="R132" t="str">
            <v>Tedarikçi</v>
          </cell>
          <cell r="T132">
            <v>45381</v>
          </cell>
          <cell r="U132">
            <v>45381.727777777778</v>
          </cell>
          <cell r="V132" t="str">
            <v>Piton</v>
          </cell>
          <cell r="W132"/>
          <cell r="X132"/>
          <cell r="Y132"/>
          <cell r="Z132"/>
          <cell r="AA132"/>
          <cell r="AB132"/>
          <cell r="AC132"/>
          <cell r="AD132"/>
          <cell r="AE132" t="str">
            <v/>
          </cell>
          <cell r="AH132" t="str">
            <v/>
          </cell>
          <cell r="AN132"/>
          <cell r="AP132" t="str">
            <v>(I) İlk defa karşılaşılan arıza</v>
          </cell>
          <cell r="AQ132" t="str">
            <v/>
          </cell>
          <cell r="AR132"/>
          <cell r="AU132" t="str">
            <v>PA/PIS/CCTV</v>
          </cell>
          <cell r="AX132" t="str">
            <v>https://www.appsheet.com/Template/gettablefileurl?appname=GDM7x4_Failure_List-654943&amp;tableName=SAYFA1&amp;filename=Sayfa1_Images%2F77c4447c.Resim.222915.jpg</v>
          </cell>
        </row>
        <row r="133">
          <cell r="A133" t="str">
            <v>a8e0b6f9</v>
          </cell>
          <cell r="B133" t="str">
            <v>FRACAS-GDM-132</v>
          </cell>
          <cell r="E133">
            <v>45384</v>
          </cell>
          <cell r="F133">
            <v>45384.598611111112</v>
          </cell>
          <cell r="G133" t="str">
            <v>TS#4</v>
          </cell>
          <cell r="H133" t="str">
            <v>Mc1</v>
          </cell>
          <cell r="I133" t="str">
            <v>Depo/Depot</v>
          </cell>
          <cell r="J133" t="str">
            <v>C-Uyarı, sürüş devamlılığı</v>
          </cell>
          <cell r="K133" t="str">
            <v>Devreye Alma(Servise Başlamadan Önceki Süreç)</v>
          </cell>
          <cell r="L133" t="str">
            <v>Ethernet switch arızalı</v>
          </cell>
          <cell r="M133" t="str">
            <v>Ethernet switch x8 ile x12 portlerı haberleşme yapmadığı tespit edildi.</v>
          </cell>
          <cell r="N133">
            <v>1</v>
          </cell>
          <cell r="P133" t="str">
            <v>C(Sisteme etki etmeyen arıza)</v>
          </cell>
          <cell r="Q133" t="str">
            <v>N.A(Yaralanma yok)</v>
          </cell>
          <cell r="R133" t="str">
            <v>Bozankaya</v>
          </cell>
          <cell r="T133">
            <v>45399</v>
          </cell>
          <cell r="U133">
            <v>45399.6</v>
          </cell>
          <cell r="V133" t="str">
            <v>Bozankaya</v>
          </cell>
          <cell r="W133" t="str">
            <v>Westermo Switch</v>
          </cell>
          <cell r="X133" t="str">
            <v>E855-8001</v>
          </cell>
          <cell r="Y133">
            <v>2</v>
          </cell>
          <cell r="Z133" t="str">
            <v>048605 ve 048388</v>
          </cell>
          <cell r="AA133"/>
          <cell r="AB133"/>
          <cell r="AC133"/>
          <cell r="AD133"/>
          <cell r="AE133" t="str">
            <v/>
          </cell>
          <cell r="AH133" t="str">
            <v/>
          </cell>
          <cell r="AN133"/>
          <cell r="AP133" t="str">
            <v>(I) İlk defa karşılaşılan arıza</v>
          </cell>
          <cell r="AQ133" t="str">
            <v/>
          </cell>
          <cell r="AR133"/>
          <cell r="AU133" t="str">
            <v>TCMS</v>
          </cell>
          <cell r="AX133" t="str">
            <v>https://www.appsheet.com/Template/gettablefileurl?appname=GDM7x4_Failure_List-654943&amp;tableName=SAYFA1&amp;filename=Sayfa1_Images%2Fa8e0b6f9.Resim.112755.jpg</v>
          </cell>
        </row>
        <row r="134">
          <cell r="A134" t="str">
            <v>c09af7c6</v>
          </cell>
          <cell r="B134" t="str">
            <v>FRACAS-GDM-133</v>
          </cell>
          <cell r="E134">
            <v>45385</v>
          </cell>
          <cell r="F134">
            <v>45385.636111111111</v>
          </cell>
          <cell r="G134" t="str">
            <v>TS#4</v>
          </cell>
          <cell r="H134" t="str">
            <v>Mc2</v>
          </cell>
          <cell r="I134" t="str">
            <v>Depo/Depot</v>
          </cell>
          <cell r="J134" t="str">
            <v>C-Uyarı, sürüş devamlılığı</v>
          </cell>
          <cell r="K134" t="str">
            <v>Devreye Alma(Servise Başlamadan Önceki Süreç)</v>
          </cell>
          <cell r="L134" t="str">
            <v>Yanlış röle montajı</v>
          </cell>
          <cell r="M134" t="str">
            <v>+59 panoya ait JG-K12 rölesi 110V yerine 24V olarak montajı yapılmış olduğu tespit edildi. Enerji verildiğinde rölenin yandığı ve eridiği görüldü.</v>
          </cell>
          <cell r="N134">
            <v>1</v>
          </cell>
          <cell r="P134" t="str">
            <v>C(Sisteme etki etmeyen arıza)</v>
          </cell>
          <cell r="Q134" t="str">
            <v>N.A(Yaralanma yok)</v>
          </cell>
          <cell r="R134" t="str">
            <v>Bozankaya</v>
          </cell>
          <cell r="T134">
            <v>45386</v>
          </cell>
          <cell r="U134">
            <v>45386.765972222223</v>
          </cell>
          <cell r="V134" t="str">
            <v>Bozankaya</v>
          </cell>
          <cell r="W134" t="str">
            <v>2Co röle</v>
          </cell>
          <cell r="X134"/>
          <cell r="Y134">
            <v>1</v>
          </cell>
          <cell r="Z134" t="str">
            <v>210241131217 2303</v>
          </cell>
          <cell r="AA134"/>
          <cell r="AB134"/>
          <cell r="AC134"/>
          <cell r="AD134"/>
          <cell r="AE134" t="str">
            <v/>
          </cell>
          <cell r="AH134" t="str">
            <v/>
          </cell>
          <cell r="AN134">
            <v>1</v>
          </cell>
          <cell r="AP134" t="str">
            <v>(I) İlk defa karşılaşılan arıza</v>
          </cell>
          <cell r="AQ134" t="str">
            <v/>
          </cell>
          <cell r="AR134"/>
          <cell r="AU134" t="str">
            <v>E-Kabinet</v>
          </cell>
          <cell r="AX134" t="str">
            <v>https://www.appsheet.com/Template/gettablefileurl?appname=GDM7x4_Failure_List-654943&amp;tableName=SAYFA1&amp;filename=Sayfa1_Images%2Fc09af7c6.Resim.152430.jpg</v>
          </cell>
        </row>
        <row r="135">
          <cell r="A135" t="str">
            <v>0e5499ab</v>
          </cell>
          <cell r="B135" t="str">
            <v>FRACAS-GDM-134</v>
          </cell>
          <cell r="E135">
            <v>45398</v>
          </cell>
          <cell r="F135">
            <v>45398.583333333336</v>
          </cell>
          <cell r="G135" t="str">
            <v>TS#4</v>
          </cell>
          <cell r="H135" t="str">
            <v>T</v>
          </cell>
          <cell r="I135" t="str">
            <v>Depo/Depot</v>
          </cell>
          <cell r="J135" t="str">
            <v>A-Sürüşü engeller</v>
          </cell>
          <cell r="K135" t="str">
            <v>Devreye Alma(Servise Başlamadan Önceki Süreç)</v>
          </cell>
          <cell r="L135" t="str">
            <v>Pantograf Limitswitch arızası</v>
          </cell>
          <cell r="M135" t="str">
            <v>Değişim</v>
          </cell>
          <cell r="N135">
            <v>1</v>
          </cell>
          <cell r="P135" t="str">
            <v>A(Hareket etmeyi engelleyen arıza)</v>
          </cell>
          <cell r="Q135" t="str">
            <v>N.A(Yaralanma yok)</v>
          </cell>
          <cell r="R135" t="str">
            <v>Bozankaya</v>
          </cell>
          <cell r="T135">
            <v>45398</v>
          </cell>
          <cell r="U135">
            <v>45398.666666666664</v>
          </cell>
          <cell r="V135" t="str">
            <v>Stemman</v>
          </cell>
          <cell r="W135" t="str">
            <v>Pantograf Limitswitch</v>
          </cell>
          <cell r="X135" t="str">
            <v>P710-7116</v>
          </cell>
          <cell r="Y135">
            <v>1</v>
          </cell>
          <cell r="Z135" t="str">
            <v>DD20458</v>
          </cell>
          <cell r="AA135" t="str">
            <v>Evet</v>
          </cell>
          <cell r="AB135" t="str">
            <v>Ekipman değiştirilecek</v>
          </cell>
          <cell r="AC135"/>
          <cell r="AD135"/>
          <cell r="AE135" t="str">
            <v/>
          </cell>
          <cell r="AH135" t="str">
            <v/>
          </cell>
          <cell r="AN135"/>
          <cell r="AP135" t="str">
            <v>(II) Birden fazla karşılaşılan arıza</v>
          </cell>
          <cell r="AQ135" t="str">
            <v/>
          </cell>
          <cell r="AR135"/>
          <cell r="AU135" t="str">
            <v>Panto</v>
          </cell>
          <cell r="AX135" t="str">
            <v>https://www.appsheet.com/Template/gettablefileurl?appname=GDM7x4_Failure_List-654943&amp;tableName=SAYFA1&amp;filename=Sayfa1_Images%2F0e5499ab.Resim.083851.jpg</v>
          </cell>
        </row>
        <row r="136">
          <cell r="A136" t="str">
            <v>9a6eb21c</v>
          </cell>
          <cell r="B136" t="str">
            <v>FRACAS-GDM-135</v>
          </cell>
          <cell r="E136">
            <v>45399</v>
          </cell>
          <cell r="F136">
            <v>45399.662499999999</v>
          </cell>
          <cell r="G136" t="str">
            <v>TS#6</v>
          </cell>
          <cell r="H136" t="str">
            <v>Mc1 , M</v>
          </cell>
          <cell r="I136" t="str">
            <v>Depo/Depot</v>
          </cell>
          <cell r="J136" t="str">
            <v>C-Uyarı, sürüş devamlılığı</v>
          </cell>
          <cell r="K136" t="str">
            <v>Devreye Alma(Servise Başlamadan Önceki Süreç)</v>
          </cell>
          <cell r="L136" t="str">
            <v>Trim düşmesi</v>
          </cell>
          <cell r="M136" t="str">
            <v>Körük aydınlatmasının ortasındaki kapak sabitlendiği yerden ayrılarak düştüğü tespit edildi. Araçlar güneşte kaldığında ısının artması sonucu olduğunu tahmin ediyoruz.</v>
          </cell>
          <cell r="N136">
            <v>1</v>
          </cell>
          <cell r="P136" t="str">
            <v>C(Sisteme etki etmeyen arıza)</v>
          </cell>
          <cell r="Q136" t="str">
            <v>N.A(Yaralanma yok)</v>
          </cell>
          <cell r="R136" t="str">
            <v>Bozankaya</v>
          </cell>
          <cell r="T136">
            <v>45426</v>
          </cell>
          <cell r="U136">
            <v>45426.665277777778</v>
          </cell>
          <cell r="V136" t="str">
            <v>Bozankaya</v>
          </cell>
          <cell r="W136" t="str">
            <v>Körük aydınlatma kapağı</v>
          </cell>
          <cell r="X136"/>
          <cell r="Y136">
            <v>2</v>
          </cell>
          <cell r="Z136"/>
          <cell r="AA136"/>
          <cell r="AB136"/>
          <cell r="AC136" t="str">
            <v>41-HBR-23-059</v>
          </cell>
          <cell r="AD136"/>
          <cell r="AE136" t="str">
            <v/>
          </cell>
          <cell r="AH136" t="str">
            <v/>
          </cell>
          <cell r="AN136"/>
          <cell r="AP136" t="str">
            <v>(I) İlk defa karşılaşılan arıza</v>
          </cell>
          <cell r="AQ136" t="str">
            <v/>
          </cell>
          <cell r="AR136"/>
          <cell r="AU136" t="str">
            <v>İç Giydirme</v>
          </cell>
          <cell r="AX136" t="str">
            <v>https://www.appsheet.com/Template/gettablefileurl?appname=GDM7x4_Failure_List-654943&amp;tableName=SAYFA1&amp;filename=Sayfa1_Images%2F9a6eb21c.Resim.130026.jpg</v>
          </cell>
        </row>
        <row r="137">
          <cell r="A137" t="str">
            <v>4271b74f</v>
          </cell>
          <cell r="B137" t="str">
            <v>FRACAS-GDM-136</v>
          </cell>
          <cell r="E137">
            <v>45407</v>
          </cell>
          <cell r="F137">
            <v>45407.417361111111</v>
          </cell>
          <cell r="G137" t="str">
            <v>TS#4</v>
          </cell>
          <cell r="H137" t="str">
            <v>T</v>
          </cell>
          <cell r="I137" t="str">
            <v>Depo/Depot</v>
          </cell>
          <cell r="J137" t="str">
            <v>C-Uyarı, sürüş devamlılığı</v>
          </cell>
          <cell r="K137" t="str">
            <v>Devreye Alma(Servise Başlamadan Önceki Süreç)</v>
          </cell>
          <cell r="L137" t="str">
            <v>Kamera arızası</v>
          </cell>
          <cell r="M137" t="str">
            <v>PoE switch bağlı olduğu ve enerjisinin geldiği emin olunduğu kameranın haberleşme yapmadığı tespit edildi.</v>
          </cell>
          <cell r="N137">
            <v>1</v>
          </cell>
          <cell r="P137" t="str">
            <v>C(Sisteme etki etmeyen arıza)</v>
          </cell>
          <cell r="Q137" t="str">
            <v>N.A(Yaralanma yok)</v>
          </cell>
          <cell r="R137" t="str">
            <v>Bozankaya</v>
          </cell>
          <cell r="T137">
            <v>45407</v>
          </cell>
          <cell r="U137">
            <v>45407.418749999997</v>
          </cell>
          <cell r="V137" t="str">
            <v>Piton</v>
          </cell>
          <cell r="W137" t="str">
            <v>Hikvision kamera</v>
          </cell>
          <cell r="X137"/>
          <cell r="Y137">
            <v>1</v>
          </cell>
          <cell r="Z137" t="str">
            <v>K03287123</v>
          </cell>
          <cell r="AA137"/>
          <cell r="AB137"/>
          <cell r="AC137"/>
          <cell r="AD137"/>
          <cell r="AE137" t="str">
            <v/>
          </cell>
          <cell r="AH137" t="str">
            <v/>
          </cell>
          <cell r="AN137"/>
          <cell r="AP137" t="str">
            <v>(I) İlk defa karşılaşılan arıza</v>
          </cell>
          <cell r="AQ137" t="str">
            <v/>
          </cell>
          <cell r="AR137"/>
          <cell r="AU137" t="str">
            <v>PA/PIS/CCTV</v>
          </cell>
          <cell r="AX137" t="str">
            <v>https://www.appsheet.com/Template/gettablefileurl?appname=GDM7x4_Failure_List-654943&amp;tableName=SAYFA1&amp;filename=Sayfa1_Images%2F4271b74f.Resim.070613.jpg</v>
          </cell>
        </row>
        <row r="138">
          <cell r="A138" t="str">
            <v>64afcd17</v>
          </cell>
          <cell r="B138" t="str">
            <v>FRACAS-GDM-137</v>
          </cell>
          <cell r="E138">
            <v>45407</v>
          </cell>
          <cell r="F138">
            <v>45407.421527777777</v>
          </cell>
          <cell r="G138" t="str">
            <v>TS#4</v>
          </cell>
          <cell r="H138" t="str">
            <v>T</v>
          </cell>
          <cell r="I138" t="str">
            <v>Depo/Depot</v>
          </cell>
          <cell r="J138" t="str">
            <v>C-Uyarı, sürüş devamlılığı</v>
          </cell>
          <cell r="K138" t="str">
            <v>Devreye Alma(Servise Başlamadan Önceki Süreç)</v>
          </cell>
          <cell r="L138" t="str">
            <v>Analog sinyal yükseltici arızası</v>
          </cell>
          <cell r="M138"/>
          <cell r="N138">
            <v>1</v>
          </cell>
          <cell r="P138" t="str">
            <v>C(Sisteme etki etmeyen arıza)</v>
          </cell>
          <cell r="Q138" t="str">
            <v>N.A(Yaralanma yok)</v>
          </cell>
          <cell r="R138" t="str">
            <v>Tedarikçi</v>
          </cell>
          <cell r="T138">
            <v>45407</v>
          </cell>
          <cell r="U138">
            <v>45407.422222222223</v>
          </cell>
          <cell r="V138" t="str">
            <v>Piton</v>
          </cell>
          <cell r="W138" t="str">
            <v>Analog sinyal yükseltici</v>
          </cell>
          <cell r="X138"/>
          <cell r="Y138">
            <v>1</v>
          </cell>
          <cell r="Z138">
            <v>70304</v>
          </cell>
          <cell r="AA138"/>
          <cell r="AB138"/>
          <cell r="AC138"/>
          <cell r="AD138"/>
          <cell r="AE138" t="str">
            <v/>
          </cell>
          <cell r="AH138" t="str">
            <v/>
          </cell>
          <cell r="AN138"/>
          <cell r="AP138" t="str">
            <v>(I) İlk defa karşılaşılan arıza</v>
          </cell>
          <cell r="AQ138" t="str">
            <v/>
          </cell>
          <cell r="AR138"/>
          <cell r="AU138" t="str">
            <v>PA/PIS/CCTV</v>
          </cell>
          <cell r="AX138" t="str">
            <v>https://www.appsheet.com/Template/gettablefileurl?appname=GDM7x4_Failure_List-654943&amp;tableName=SAYFA1&amp;filename=Sayfa1_Images%2F64afcd17.Resim.071002.jpg</v>
          </cell>
        </row>
        <row r="139">
          <cell r="A139" t="str">
            <v>91c13629</v>
          </cell>
          <cell r="B139" t="str">
            <v>FRACAS-GDM-138</v>
          </cell>
          <cell r="E139">
            <v>45407</v>
          </cell>
          <cell r="F139">
            <v>45407.423611111109</v>
          </cell>
          <cell r="G139" t="str">
            <v>TS#4</v>
          </cell>
          <cell r="H139" t="str">
            <v>T</v>
          </cell>
          <cell r="I139" t="str">
            <v>Depo/Depot</v>
          </cell>
          <cell r="J139" t="str">
            <v>C-Uyarı, sürüş devamlılığı</v>
          </cell>
          <cell r="K139" t="str">
            <v>Devreye Alma(Servise Başlamadan Önceki Süreç)</v>
          </cell>
          <cell r="L139" t="str">
            <v>Sigorta arızası</v>
          </cell>
          <cell r="M139" t="str">
            <v>Test ve devreye alma sürecinde arızalandı.</v>
          </cell>
          <cell r="N139">
            <v>1</v>
          </cell>
          <cell r="P139" t="str">
            <v>C(Sisteme etki etmeyen arıza)</v>
          </cell>
          <cell r="Q139" t="str">
            <v>N.A(Yaralanma yok)</v>
          </cell>
          <cell r="R139" t="str">
            <v>Bozankaya</v>
          </cell>
          <cell r="T139">
            <v>45407</v>
          </cell>
          <cell r="U139">
            <v>45407.424305555556</v>
          </cell>
          <cell r="V139" t="str">
            <v>Bozankaya</v>
          </cell>
          <cell r="W139" t="str">
            <v>MORS SMITT 3A sigorta</v>
          </cell>
          <cell r="X139"/>
          <cell r="Y139"/>
          <cell r="Z139" t="str">
            <v>2316R</v>
          </cell>
          <cell r="AA139"/>
          <cell r="AB139"/>
          <cell r="AC139"/>
          <cell r="AD139"/>
          <cell r="AE139" t="str">
            <v/>
          </cell>
          <cell r="AH139" t="str">
            <v/>
          </cell>
          <cell r="AN139"/>
          <cell r="AP139" t="str">
            <v>(I) İlk defa karşılaşılan arıza</v>
          </cell>
          <cell r="AQ139" t="str">
            <v/>
          </cell>
          <cell r="AR139"/>
          <cell r="AU139" t="str">
            <v>Aydınlatma</v>
          </cell>
          <cell r="AX139" t="str">
            <v>https://www.appsheet.com/Template/gettablefileurl?appname=GDM7x4_Failure_List-654943&amp;tableName=SAYFA1&amp;filename=Sayfa1_Images%2F91c13629.Resim.071405.jpg</v>
          </cell>
        </row>
        <row r="140">
          <cell r="A140" t="str">
            <v>7afc8c90</v>
          </cell>
          <cell r="B140" t="str">
            <v>FRACAS-GDM-139</v>
          </cell>
          <cell r="E140">
            <v>45407</v>
          </cell>
          <cell r="F140">
            <v>45407.426388888889</v>
          </cell>
          <cell r="G140" t="str">
            <v>TS#4</v>
          </cell>
          <cell r="H140" t="str">
            <v>Mc1</v>
          </cell>
          <cell r="I140" t="str">
            <v>Depo/Depot</v>
          </cell>
          <cell r="J140" t="str">
            <v>C-Uyarı, sürüş devamlılığı</v>
          </cell>
          <cell r="K140" t="str">
            <v>Devreye Alma(Servise Başlamadan Önceki Süreç)</v>
          </cell>
          <cell r="L140" t="str">
            <v>Sigorta arızası</v>
          </cell>
          <cell r="M140" t="str">
            <v>Test ve devreye alma sürecinde arızalandı.</v>
          </cell>
          <cell r="N140">
            <v>1</v>
          </cell>
          <cell r="P140" t="str">
            <v>C(Sisteme etki etmeyen arıza)</v>
          </cell>
          <cell r="Q140" t="str">
            <v>N.A(Yaralanma yok)</v>
          </cell>
          <cell r="R140" t="str">
            <v>Bozankaya</v>
          </cell>
          <cell r="T140">
            <v>45407</v>
          </cell>
          <cell r="U140">
            <v>45407.429166666669</v>
          </cell>
          <cell r="V140" t="str">
            <v>Bozankaya</v>
          </cell>
          <cell r="W140" t="str">
            <v>MORS SMITT 6A sigorta</v>
          </cell>
          <cell r="X140"/>
          <cell r="Y140">
            <v>1</v>
          </cell>
          <cell r="Z140" t="str">
            <v>2220R</v>
          </cell>
          <cell r="AA140"/>
          <cell r="AB140"/>
          <cell r="AC140"/>
          <cell r="AD140"/>
          <cell r="AE140" t="str">
            <v/>
          </cell>
          <cell r="AH140" t="str">
            <v/>
          </cell>
          <cell r="AN140"/>
          <cell r="AP140" t="str">
            <v>(I) İlk defa karşılaşılan arıza</v>
          </cell>
          <cell r="AQ140" t="str">
            <v/>
          </cell>
          <cell r="AR140"/>
          <cell r="AU140" t="str">
            <v>E-Kabinet</v>
          </cell>
          <cell r="AX140" t="str">
            <v>https://www.appsheet.com/Template/gettablefileurl?appname=GDM7x4_Failure_List-654943&amp;tableName=SAYFA1&amp;filename=Sayfa1_Images%2F7afc8c90.Resim.072020.jpg</v>
          </cell>
        </row>
        <row r="141">
          <cell r="A141" t="str">
            <v>145ec599</v>
          </cell>
          <cell r="B141" t="str">
            <v>FRACAS-GDM-140</v>
          </cell>
          <cell r="E141">
            <v>45407</v>
          </cell>
          <cell r="F141">
            <v>45407.432638888888</v>
          </cell>
          <cell r="G141" t="str">
            <v>TS#4</v>
          </cell>
          <cell r="H141" t="str">
            <v>Mc1</v>
          </cell>
          <cell r="I141" t="str">
            <v>Depo/Depot</v>
          </cell>
          <cell r="J141" t="str">
            <v>C-Uyarı, sürüş devamlılığı</v>
          </cell>
          <cell r="K141" t="str">
            <v>Devreye Alma(Servise Başlamadan Önceki Süreç)</v>
          </cell>
          <cell r="L141" t="str">
            <v>PISCO arızası</v>
          </cell>
          <cell r="M141" t="str">
            <v>PISCO sistemine enerji verildiğinde çalıştığı görüldü. Ancak HDMI çıkışından çıkış yapmadığı tespit edildi.</v>
          </cell>
          <cell r="N141">
            <v>1</v>
          </cell>
          <cell r="P141" t="str">
            <v>C(Sisteme etki etmeyen arıza)</v>
          </cell>
          <cell r="Q141" t="str">
            <v>N.A(Yaralanma yok)</v>
          </cell>
          <cell r="R141" t="str">
            <v>Tedarikçi</v>
          </cell>
          <cell r="T141">
            <v>45407</v>
          </cell>
          <cell r="U141">
            <v>45407.43472222222</v>
          </cell>
          <cell r="V141" t="str">
            <v>Piton</v>
          </cell>
          <cell r="W141" t="str">
            <v>PISCO</v>
          </cell>
          <cell r="X141" t="str">
            <v>E840-8001</v>
          </cell>
          <cell r="Y141">
            <v>1</v>
          </cell>
          <cell r="Z141" t="str">
            <v>TSCCC1005578</v>
          </cell>
          <cell r="AA141"/>
          <cell r="AB141"/>
          <cell r="AC141"/>
          <cell r="AD141"/>
          <cell r="AE141" t="str">
            <v/>
          </cell>
          <cell r="AH141" t="str">
            <v/>
          </cell>
          <cell r="AN141"/>
          <cell r="AP141" t="str">
            <v>(II) Birden fazla karşılaşılan arıza</v>
          </cell>
          <cell r="AQ141" t="str">
            <v/>
          </cell>
          <cell r="AR141"/>
          <cell r="AU141" t="str">
            <v>PA/PIS/CCTV</v>
          </cell>
          <cell r="AX141" t="str">
            <v>https://www.appsheet.com/Template/gettablefileurl?appname=GDM7x4_Failure_List-654943&amp;tableName=SAYFA1&amp;filename=Sayfa1_Images%2F145ec599.Resim.072740.jpg</v>
          </cell>
        </row>
        <row r="142">
          <cell r="A142" t="str">
            <v>a6b24856</v>
          </cell>
          <cell r="B142" t="str">
            <v>FRACAS-GDM-141</v>
          </cell>
          <cell r="E142">
            <v>45407</v>
          </cell>
          <cell r="F142">
            <v>45407.531944444447</v>
          </cell>
          <cell r="G142" t="str">
            <v>TS#4</v>
          </cell>
          <cell r="H142" t="str">
            <v>Mc1 , Mc2</v>
          </cell>
          <cell r="I142" t="str">
            <v>Depo/Depot</v>
          </cell>
          <cell r="J142" t="str">
            <v>C-Uyarı, sürüş devamlılığı</v>
          </cell>
          <cell r="K142" t="str">
            <v>Devreye Alma(Servise Başlamadan Önceki Süreç)</v>
          </cell>
          <cell r="L142" t="str">
            <v>RF modülatör</v>
          </cell>
          <cell r="M142" t="str">
            <v>18" RF modülatörlerinin araca 2 adet yanlış takılmış. Test sürecinde devreye alınırken 18" RF modülatörlerin çalışmadığı enerji almadığı tespit edildi. Yanlış takılan RF modülatörlerin ikisini de denedik onlarında arızalı olduğunu tespit edildi. Besleme enerji verildiğinde enerjilenmediği görüldü.</v>
          </cell>
          <cell r="N142">
            <v>1</v>
          </cell>
          <cell r="P142" t="str">
            <v>C(Sisteme etki etmeyen arıza)</v>
          </cell>
          <cell r="Q142" t="str">
            <v>N.A(Yaralanma yok)</v>
          </cell>
          <cell r="R142" t="str">
            <v>Tedarikçi</v>
          </cell>
          <cell r="T142">
            <v>45407</v>
          </cell>
          <cell r="U142">
            <v>45407.534722222219</v>
          </cell>
          <cell r="V142" t="str">
            <v>Piton</v>
          </cell>
          <cell r="W142" t="str">
            <v>RF modülatör</v>
          </cell>
          <cell r="X142" t="str">
            <v>E840-8010</v>
          </cell>
          <cell r="Y142">
            <v>4</v>
          </cell>
          <cell r="Z142" t="str">
            <v>869023002248, 869023002234, 869023002238, 869023002225</v>
          </cell>
          <cell r="AA142"/>
          <cell r="AB142"/>
          <cell r="AD142"/>
          <cell r="AE142" t="str">
            <v/>
          </cell>
          <cell r="AH142" t="str">
            <v/>
          </cell>
          <cell r="AN142"/>
          <cell r="AP142" t="str">
            <v>(II) Birden fazla karşılaşılan arıza</v>
          </cell>
          <cell r="AQ142" t="str">
            <v/>
          </cell>
          <cell r="AR142"/>
          <cell r="AU142" t="str">
            <v>PA/PIS/CCTV</v>
          </cell>
          <cell r="AX142" t="str">
            <v>https://www.appsheet.com/Template/gettablefileurl?appname=GDM7x4_Failure_List-654943&amp;tableName=SAYFA1&amp;filename=Sayfa1_Images%2Fa6b24856.Resim.095259.jpg</v>
          </cell>
        </row>
        <row r="143">
          <cell r="A143" t="str">
            <v>c3ec276b</v>
          </cell>
          <cell r="B143" t="str">
            <v>FRACAS-GDM-142</v>
          </cell>
          <cell r="E143">
            <v>45420</v>
          </cell>
          <cell r="F143">
            <v>45420.479143518518</v>
          </cell>
          <cell r="G143" t="str">
            <v>TS#6</v>
          </cell>
          <cell r="H143" t="str">
            <v>Mc1 , Mc2 , M , T</v>
          </cell>
          <cell r="I143" t="str">
            <v>Depo/Depot</v>
          </cell>
          <cell r="J143" t="str">
            <v>C-Uyarı, sürüş devamlılığı</v>
          </cell>
          <cell r="K143" t="str">
            <v>Devreye Alma(Servise Başlamadan Önceki Süreç)</v>
          </cell>
          <cell r="L143" t="str">
            <v>Araçta bulunan tüm tekerler üzerinde paslanma mevcut</v>
          </cell>
          <cell r="M143"/>
          <cell r="N143">
            <v>0</v>
          </cell>
          <cell r="P143" t="str">
            <v>C(Sisteme etki etmeyen arıza)</v>
          </cell>
          <cell r="Q143" t="str">
            <v>N.A(Yaralanma yok)</v>
          </cell>
          <cell r="R143" t="str">
            <v>Tedarikçi</v>
          </cell>
          <cell r="T143">
            <v>45420</v>
          </cell>
          <cell r="U143">
            <v>45420.48269675926</v>
          </cell>
          <cell r="V143" t="str">
            <v>KAAF</v>
          </cell>
          <cell r="W143" t="str">
            <v>Teker</v>
          </cell>
          <cell r="X143"/>
          <cell r="Y143">
            <v>32</v>
          </cell>
          <cell r="Z143"/>
          <cell r="AA143"/>
          <cell r="AB143"/>
          <cell r="AC143"/>
          <cell r="AD143"/>
          <cell r="AE143" t="str">
            <v/>
          </cell>
          <cell r="AH143" t="str">
            <v/>
          </cell>
          <cell r="AN143"/>
          <cell r="AP143" t="str">
            <v>(I) İlk defa karşılaşılan arıza</v>
          </cell>
          <cell r="AQ143" t="str">
            <v/>
          </cell>
          <cell r="AR143"/>
          <cell r="AU143" t="str">
            <v>Boji</v>
          </cell>
          <cell r="AX143" t="str">
            <v>https://www.appsheet.com/Template/gettablefileurl?appname=GDM7x4_Failure_List-654943&amp;tableName=SAYFA1&amp;filename=Sayfa1_Images%2Fc3ec276b.Resim.084013.jpg</v>
          </cell>
        </row>
        <row r="144">
          <cell r="A144" t="str">
            <v>851c95c9</v>
          </cell>
          <cell r="B144" t="str">
            <v>FRACAS-GDM-143</v>
          </cell>
          <cell r="E144">
            <v>45420</v>
          </cell>
          <cell r="F144">
            <v>45420.48642361111</v>
          </cell>
          <cell r="G144" t="str">
            <v>TS#6</v>
          </cell>
          <cell r="H144" t="str">
            <v>Mc1 , Mc2 , M , T</v>
          </cell>
          <cell r="I144" t="str">
            <v>Depo/Depot</v>
          </cell>
          <cell r="J144" t="str">
            <v>C-Uyarı, sürüş devamlılığı</v>
          </cell>
          <cell r="K144" t="str">
            <v>Devreye Alma(Servise Başlamadan Önceki Süreç)</v>
          </cell>
          <cell r="L144" t="str">
            <v>Aracın tamanındaki primer süspansiyonlarda oranı farklı olsa da paslanmalar var.</v>
          </cell>
          <cell r="M144"/>
          <cell r="N144">
            <v>0</v>
          </cell>
          <cell r="P144" t="str">
            <v>C(Sisteme etki etmeyen arıza)</v>
          </cell>
          <cell r="Q144" t="str">
            <v>N.A(Yaralanma yok)</v>
          </cell>
          <cell r="R144" t="str">
            <v>Bozankaya</v>
          </cell>
          <cell r="T144">
            <v>45420</v>
          </cell>
          <cell r="U144">
            <v>45420.500034722223</v>
          </cell>
          <cell r="V144" t="str">
            <v>Bozankaya</v>
          </cell>
          <cell r="W144" t="str">
            <v>Primer süspansiyon</v>
          </cell>
          <cell r="X144"/>
          <cell r="Y144"/>
          <cell r="Z144"/>
          <cell r="AA144"/>
          <cell r="AB144"/>
          <cell r="AC144"/>
          <cell r="AD144"/>
          <cell r="AE144" t="str">
            <v/>
          </cell>
          <cell r="AH144" t="str">
            <v/>
          </cell>
          <cell r="AN144"/>
          <cell r="AP144" t="str">
            <v>(I) İlk defa karşılaşılan arıza</v>
          </cell>
          <cell r="AQ144" t="str">
            <v/>
          </cell>
          <cell r="AR144"/>
          <cell r="AU144" t="str">
            <v>Boji</v>
          </cell>
          <cell r="AX144" t="str">
            <v>https://www.appsheet.com/Template/gettablefileurl?appname=GDM7x4_Failure_List-654943&amp;tableName=SAYFA1&amp;filename=Sayfa1_Images%2F851c95c9.Resim.092842.jpg</v>
          </cell>
        </row>
        <row r="145">
          <cell r="A145">
            <v>88309650</v>
          </cell>
          <cell r="B145" t="str">
            <v>FRACAS-GDM-144</v>
          </cell>
          <cell r="E145">
            <v>45420</v>
          </cell>
          <cell r="F145">
            <v>45420.5</v>
          </cell>
          <cell r="G145" t="str">
            <v>TS#6</v>
          </cell>
          <cell r="H145" t="str">
            <v>Mc1 , Mc2 , M , T</v>
          </cell>
          <cell r="I145" t="str">
            <v>Depo/Depot</v>
          </cell>
          <cell r="J145" t="str">
            <v>C-Uyarı, sürüş devamlılığı</v>
          </cell>
          <cell r="K145" t="str">
            <v>Devreye Alma(Servise Başlamadan Önceki Süreç)</v>
          </cell>
          <cell r="L145" t="str">
            <v>Tüm araçtaki kaliperlerde oranları aynı olmasada  oksitlenme mevcut.</v>
          </cell>
          <cell r="M145"/>
          <cell r="N145">
            <v>0</v>
          </cell>
          <cell r="P145" t="str">
            <v>C(Sisteme etki etmeyen arıza)</v>
          </cell>
          <cell r="Q145" t="str">
            <v>N.A(Yaralanma yok)</v>
          </cell>
          <cell r="R145" t="str">
            <v>Tedarikçi</v>
          </cell>
          <cell r="T145">
            <v>45420</v>
          </cell>
          <cell r="U145">
            <v>45420.550150462965</v>
          </cell>
          <cell r="V145" t="str">
            <v>Knorr</v>
          </cell>
          <cell r="W145" t="str">
            <v>fren kaliperi</v>
          </cell>
          <cell r="X145"/>
          <cell r="Y145">
            <v>32</v>
          </cell>
          <cell r="Z145"/>
          <cell r="AA145"/>
          <cell r="AB145"/>
          <cell r="AC145"/>
          <cell r="AD145"/>
          <cell r="AE145" t="str">
            <v/>
          </cell>
          <cell r="AH145" t="str">
            <v/>
          </cell>
          <cell r="AN145"/>
          <cell r="AP145" t="str">
            <v>(I) İlk defa karşılaşılan arıza</v>
          </cell>
          <cell r="AQ145" t="str">
            <v/>
          </cell>
          <cell r="AR145"/>
          <cell r="AU145" t="str">
            <v>Fren</v>
          </cell>
          <cell r="AX145" t="str">
            <v>https://www.appsheet.com/Template/gettablefileurl?appname=GDM7x4_Failure_List-654943&amp;tableName=SAYFA1&amp;filename=Sayfa1_Images%2F88309650.Resim.082952.jpg</v>
          </cell>
        </row>
        <row r="146">
          <cell r="A146" t="str">
            <v>e0a708d1</v>
          </cell>
          <cell r="B146" t="str">
            <v>FRACAS-GDM-145</v>
          </cell>
          <cell r="E146">
            <v>45420</v>
          </cell>
          <cell r="F146">
            <v>45420.520162037035</v>
          </cell>
          <cell r="G146" t="str">
            <v>TS#6</v>
          </cell>
          <cell r="H146" t="str">
            <v>Mc1 , Mc2 , M , T</v>
          </cell>
          <cell r="I146" t="str">
            <v>Depo/Depot</v>
          </cell>
          <cell r="J146" t="str">
            <v>C-Uyarı, sürüş devamlılığı</v>
          </cell>
          <cell r="K146" t="str">
            <v>Devreye Alma(Servise Başlamadan Önceki Süreç)</v>
          </cell>
          <cell r="L146" t="str">
            <v>Aks dişli kutusu üzerinde oksitlenme gözlemlenmiştir.</v>
          </cell>
          <cell r="M146"/>
          <cell r="N146">
            <v>0</v>
          </cell>
          <cell r="P146" t="str">
            <v>C(Sisteme etki etmeyen arıza)</v>
          </cell>
          <cell r="Q146" t="str">
            <v>N.A(Yaralanma yok)</v>
          </cell>
          <cell r="R146" t="str">
            <v>Bozankaya</v>
          </cell>
          <cell r="T146">
            <v>45420</v>
          </cell>
          <cell r="U146">
            <v>45420.535138888888</v>
          </cell>
          <cell r="V146" t="str">
            <v>KAAF</v>
          </cell>
          <cell r="W146" t="str">
            <v>Aks dişli kutusu</v>
          </cell>
          <cell r="X146"/>
          <cell r="Y146"/>
          <cell r="Z146"/>
          <cell r="AA146"/>
          <cell r="AB146"/>
          <cell r="AC146"/>
          <cell r="AD146"/>
          <cell r="AE146" t="str">
            <v/>
          </cell>
          <cell r="AH146" t="str">
            <v/>
          </cell>
          <cell r="AN146"/>
          <cell r="AP146" t="str">
            <v>(I) İlk defa karşılaşılan arıza</v>
          </cell>
          <cell r="AQ146" t="str">
            <v/>
          </cell>
          <cell r="AR146"/>
          <cell r="AU146" t="str">
            <v>Boji</v>
          </cell>
          <cell r="AX146" t="str">
            <v>https://www.appsheet.com/Template/gettablefileurl?appname=GDM7x4_Failure_List-654943&amp;tableName=SAYFA1&amp;filename=Sayfa1_Images%2Fe0a708d1.Resim.095239.jpg</v>
          </cell>
        </row>
        <row r="147">
          <cell r="A147" t="str">
            <v>6d211cad</v>
          </cell>
          <cell r="B147" t="str">
            <v>FRACAS-GDM-146</v>
          </cell>
          <cell r="E147">
            <v>45420</v>
          </cell>
          <cell r="F147">
            <v>45420.536608796298</v>
          </cell>
          <cell r="G147" t="str">
            <v>TS#6</v>
          </cell>
          <cell r="H147" t="str">
            <v>Mc1 , Mc2 , M , T</v>
          </cell>
          <cell r="I147" t="str">
            <v>Depo/Depot</v>
          </cell>
          <cell r="J147" t="str">
            <v>C-Uyarı, sürüş devamlılığı</v>
          </cell>
          <cell r="K147" t="str">
            <v>Devreye Alma(Servise Başlamadan Önceki Süreç)</v>
          </cell>
          <cell r="L147" t="str">
            <v>Denge kolları üzerinde oksitlenme</v>
          </cell>
          <cell r="M147"/>
          <cell r="N147">
            <v>0</v>
          </cell>
          <cell r="P147" t="str">
            <v>C(Sisteme etki etmeyen arıza)</v>
          </cell>
          <cell r="Q147" t="str">
            <v>N.A(Yaralanma yok)</v>
          </cell>
          <cell r="R147" t="str">
            <v>Bozankaya</v>
          </cell>
          <cell r="T147">
            <v>45420</v>
          </cell>
          <cell r="U147">
            <v>45420.537199074075</v>
          </cell>
          <cell r="V147" t="str">
            <v>Bozankaya</v>
          </cell>
          <cell r="W147"/>
          <cell r="X147"/>
          <cell r="Y147"/>
          <cell r="Z147"/>
          <cell r="AA147"/>
          <cell r="AB147"/>
          <cell r="AC147"/>
          <cell r="AD147"/>
          <cell r="AE147" t="str">
            <v/>
          </cell>
          <cell r="AH147" t="str">
            <v/>
          </cell>
          <cell r="AN147"/>
          <cell r="AP147" t="str">
            <v>(I) İlk defa karşılaşılan arıza</v>
          </cell>
          <cell r="AQ147" t="str">
            <v/>
          </cell>
          <cell r="AR147"/>
          <cell r="AU147" t="str">
            <v>Boji</v>
          </cell>
          <cell r="AX147" t="str">
            <v>https://www.appsheet.com/Template/gettablefileurl?appname=GDM7x4_Failure_List-654943&amp;tableName=SAYFA1&amp;filename=Sayfa1_Images%2F6d211cad.Resim.095456.jpg</v>
          </cell>
        </row>
        <row r="148">
          <cell r="A148" t="str">
            <v>3990c409</v>
          </cell>
          <cell r="B148" t="str">
            <v>FRACAS-GDM-147</v>
          </cell>
          <cell r="E148">
            <v>45420</v>
          </cell>
          <cell r="F148">
            <v>45420.62363425926</v>
          </cell>
          <cell r="G148" t="str">
            <v>TS#6</v>
          </cell>
          <cell r="H148" t="str">
            <v>Mc1 , Mc2 , M , T</v>
          </cell>
          <cell r="I148" t="str">
            <v>Depo/Depot</v>
          </cell>
          <cell r="J148" t="str">
            <v>C-Uyarı, sürüş devamlılığı</v>
          </cell>
          <cell r="K148" t="str">
            <v>Devreye Alma(Servise Başlamadan Önceki Süreç)</v>
          </cell>
          <cell r="L148" t="str">
            <v>Yardımcı hava tankları üzerinde oksitlenmeler var.</v>
          </cell>
          <cell r="M148"/>
          <cell r="N148">
            <v>0</v>
          </cell>
          <cell r="P148" t="str">
            <v>C(Sisteme etki etmeyen arıza)</v>
          </cell>
          <cell r="Q148" t="str">
            <v>N.A(Yaralanma yok)</v>
          </cell>
          <cell r="R148" t="str">
            <v>Bozankaya</v>
          </cell>
          <cell r="T148">
            <v>45420</v>
          </cell>
          <cell r="U148">
            <v>45420.625335648147</v>
          </cell>
          <cell r="V148" t="str">
            <v>Bozankaya</v>
          </cell>
          <cell r="W148"/>
          <cell r="X148"/>
          <cell r="Y148"/>
          <cell r="Z148"/>
          <cell r="AA148"/>
          <cell r="AB148"/>
          <cell r="AC148"/>
          <cell r="AD148"/>
          <cell r="AE148" t="str">
            <v/>
          </cell>
          <cell r="AH148" t="str">
            <v/>
          </cell>
          <cell r="AN148"/>
          <cell r="AP148" t="str">
            <v>(I) İlk defa karşılaşılan arıza</v>
          </cell>
          <cell r="AQ148" t="str">
            <v/>
          </cell>
          <cell r="AR148"/>
          <cell r="AU148" t="str">
            <v>Fren</v>
          </cell>
          <cell r="AX148" t="str">
            <v>https://www.appsheet.com/Template/gettablefileurl?appname=GDM7x4_Failure_List-654943&amp;tableName=SAYFA1&amp;filename=Sayfa1_Images%2F3990c409.Resim.120130.jpg</v>
          </cell>
        </row>
        <row r="149">
          <cell r="A149" t="str">
            <v>ba1e3599</v>
          </cell>
          <cell r="B149" t="str">
            <v>FRACAS-GDM-148</v>
          </cell>
          <cell r="E149">
            <v>45420</v>
          </cell>
          <cell r="F149">
            <v>45420.626076388886</v>
          </cell>
          <cell r="G149" t="str">
            <v>TS#6</v>
          </cell>
          <cell r="H149" t="str">
            <v>M</v>
          </cell>
          <cell r="I149" t="str">
            <v>Depo/Depot</v>
          </cell>
          <cell r="J149" t="str">
            <v>C-Uyarı, sürüş devamlılığı</v>
          </cell>
          <cell r="K149" t="str">
            <v>Devreye Alma(Servise Başlamadan Önceki Süreç)</v>
          </cell>
          <cell r="L149" t="str">
            <v>HVSG kutusu üzerinde oksitlenmeler mevcut</v>
          </cell>
          <cell r="M149"/>
          <cell r="N149">
            <v>0</v>
          </cell>
          <cell r="P149" t="str">
            <v>C(Sisteme etki etmeyen arıza)</v>
          </cell>
          <cell r="Q149" t="str">
            <v>N.A(Yaralanma yok)</v>
          </cell>
          <cell r="R149" t="str">
            <v>Bozankaya</v>
          </cell>
          <cell r="T149">
            <v>45420</v>
          </cell>
          <cell r="U149">
            <v>45420.633819444447</v>
          </cell>
          <cell r="V149" t="str">
            <v>Bozankaya</v>
          </cell>
          <cell r="W149"/>
          <cell r="X149"/>
          <cell r="Y149"/>
          <cell r="Z149"/>
          <cell r="AA149"/>
          <cell r="AB149"/>
          <cell r="AC149"/>
          <cell r="AD149"/>
          <cell r="AE149" t="str">
            <v/>
          </cell>
          <cell r="AH149" t="str">
            <v/>
          </cell>
          <cell r="AN149"/>
          <cell r="AP149" t="str">
            <v>(I) İlk defa karşılaşılan arıza</v>
          </cell>
          <cell r="AQ149" t="str">
            <v/>
          </cell>
          <cell r="AR149"/>
          <cell r="AU149" t="str">
            <v>HVSG</v>
          </cell>
          <cell r="AX149" t="str">
            <v>https://www.appsheet.com/Template/gettablefileurl?appname=GDM7x4_Failure_List-654943&amp;tableName=SAYFA1&amp;filename=Sayfa1_Images%2Fba1e3599.Resim.121354.jpg</v>
          </cell>
        </row>
        <row r="150">
          <cell r="A150" t="str">
            <v>f9201339</v>
          </cell>
          <cell r="B150" t="str">
            <v>FRACAS-GDM-149</v>
          </cell>
          <cell r="E150">
            <v>45420</v>
          </cell>
          <cell r="F150">
            <v>45420.634976851848</v>
          </cell>
          <cell r="G150" t="str">
            <v>TS#6</v>
          </cell>
          <cell r="H150" t="str">
            <v>Mc1 , Mc2 , M</v>
          </cell>
          <cell r="I150" t="str">
            <v>Depo/Depot</v>
          </cell>
          <cell r="J150" t="str">
            <v>C-Uyarı, sürüş devamlılığı</v>
          </cell>
          <cell r="K150" t="str">
            <v>Devreye Alma(Servise Başlamadan Önceki Süreç)</v>
          </cell>
          <cell r="L150" t="str">
            <v>Motorların üzerinde oksitlenmeler mevcut</v>
          </cell>
          <cell r="M150"/>
          <cell r="N150">
            <v>0</v>
          </cell>
          <cell r="P150" t="str">
            <v>C(Sisteme etki etmeyen arıza)</v>
          </cell>
          <cell r="Q150" t="str">
            <v>N.A(Yaralanma yok)</v>
          </cell>
          <cell r="R150" t="str">
            <v>Bozankaya</v>
          </cell>
          <cell r="T150">
            <v>45420</v>
          </cell>
          <cell r="U150">
            <v>45420.636018518519</v>
          </cell>
          <cell r="V150" t="str">
            <v>ABB</v>
          </cell>
          <cell r="W150"/>
          <cell r="X150"/>
          <cell r="Y150"/>
          <cell r="Z150"/>
          <cell r="AA150"/>
          <cell r="AB150"/>
          <cell r="AC150"/>
          <cell r="AD150"/>
          <cell r="AE150" t="str">
            <v/>
          </cell>
          <cell r="AH150" t="str">
            <v/>
          </cell>
          <cell r="AN150"/>
          <cell r="AP150" t="str">
            <v>(I) İlk defa karşılaşılan arıza</v>
          </cell>
          <cell r="AQ150" t="str">
            <v/>
          </cell>
          <cell r="AR150"/>
          <cell r="AU150" t="str">
            <v>Motor</v>
          </cell>
          <cell r="AX150" t="str">
            <v>https://www.appsheet.com/Template/gettablefileurl?appname=GDM7x4_Failure_List-654943&amp;tableName=SAYFA1&amp;filename=Sayfa1_Images%2Ff9201339.Resim.121637.jpg</v>
          </cell>
        </row>
        <row r="151">
          <cell r="A151" t="str">
            <v>70f9a9f5</v>
          </cell>
          <cell r="B151" t="str">
            <v>FRACAS-GDM-150</v>
          </cell>
          <cell r="E151">
            <v>45420</v>
          </cell>
          <cell r="F151">
            <v>45420.636666666665</v>
          </cell>
          <cell r="G151" t="str">
            <v>TS#6</v>
          </cell>
          <cell r="H151" t="str">
            <v>T</v>
          </cell>
          <cell r="I151" t="str">
            <v>Depo/Depot</v>
          </cell>
          <cell r="J151" t="str">
            <v>C-Uyarı, sürüş devamlılığı</v>
          </cell>
          <cell r="K151" t="str">
            <v>Devreye Alma(Servise Başlamadan Önceki Süreç)</v>
          </cell>
          <cell r="L151" t="str">
            <v>Batarya kutusu üzerinde ve menteşelerinde paslanmalar mevcut</v>
          </cell>
          <cell r="M151"/>
          <cell r="N151">
            <v>0</v>
          </cell>
          <cell r="P151" t="str">
            <v>C(Sisteme etki etmeyen arıza)</v>
          </cell>
          <cell r="Q151" t="str">
            <v>N.A(Yaralanma yok)</v>
          </cell>
          <cell r="R151" t="str">
            <v>Bozankaya</v>
          </cell>
          <cell r="T151">
            <v>45420</v>
          </cell>
          <cell r="U151">
            <v>45420.63789351852</v>
          </cell>
          <cell r="V151" t="str">
            <v>Aspilsan</v>
          </cell>
          <cell r="W151" t="str">
            <v>Batarya kutusu</v>
          </cell>
          <cell r="X151"/>
          <cell r="Y151"/>
          <cell r="Z151"/>
          <cell r="AA151"/>
          <cell r="AB151"/>
          <cell r="AC151"/>
          <cell r="AD151"/>
          <cell r="AE151" t="str">
            <v/>
          </cell>
          <cell r="AH151" t="str">
            <v/>
          </cell>
          <cell r="AN151"/>
          <cell r="AP151" t="str">
            <v>(I) İlk defa karşılaşılan arıza</v>
          </cell>
          <cell r="AQ151" t="str">
            <v/>
          </cell>
          <cell r="AR151"/>
          <cell r="AU151" t="str">
            <v>Batarya</v>
          </cell>
          <cell r="AX151" t="str">
            <v>https://www.appsheet.com/Template/gettablefileurl?appname=GDM7x4_Failure_List-654943&amp;tableName=SAYFA1&amp;filename=Sayfa1_Images%2F70f9a9f5.Resim.122031.jpg</v>
          </cell>
        </row>
        <row r="152">
          <cell r="A152" t="str">
            <v>cf975ae6</v>
          </cell>
          <cell r="B152" t="str">
            <v>FRACAS-GDM-151</v>
          </cell>
          <cell r="E152">
            <v>45420</v>
          </cell>
          <cell r="F152">
            <v>45420.63962962963</v>
          </cell>
          <cell r="G152" t="str">
            <v>TS#6</v>
          </cell>
          <cell r="H152" t="str">
            <v>Mc2</v>
          </cell>
          <cell r="I152" t="str">
            <v>Depo/Depot</v>
          </cell>
          <cell r="J152" t="str">
            <v>C-Uyarı, sürüş devamlılığı</v>
          </cell>
          <cell r="K152" t="str">
            <v>Devreye Alma(Servise Başlamadan Önceki Süreç)</v>
          </cell>
          <cell r="L152" t="str">
            <v>smart valf üzerinde oksitlenmeler mevcut</v>
          </cell>
          <cell r="M152"/>
          <cell r="N152">
            <v>0</v>
          </cell>
          <cell r="P152" t="str">
            <v>C(Sisteme etki etmeyen arıza)</v>
          </cell>
          <cell r="Q152" t="str">
            <v>N.A(Yaralanma yok)</v>
          </cell>
          <cell r="R152" t="str">
            <v>Tedarikçi</v>
          </cell>
          <cell r="T152">
            <v>45420</v>
          </cell>
          <cell r="U152">
            <v>45420.641192129631</v>
          </cell>
          <cell r="V152" t="str">
            <v>Knorr</v>
          </cell>
          <cell r="W152" t="str">
            <v>smart valf</v>
          </cell>
          <cell r="X152"/>
          <cell r="Y152"/>
          <cell r="Z152"/>
          <cell r="AA152"/>
          <cell r="AB152"/>
          <cell r="AC152"/>
          <cell r="AD152"/>
          <cell r="AE152" t="str">
            <v/>
          </cell>
          <cell r="AH152" t="str">
            <v/>
          </cell>
          <cell r="AN152"/>
          <cell r="AP152" t="str">
            <v>(I) İlk defa karşılaşılan arıza</v>
          </cell>
          <cell r="AQ152" t="str">
            <v/>
          </cell>
          <cell r="AR152"/>
          <cell r="AU152" t="str">
            <v>Fren</v>
          </cell>
          <cell r="AX152" t="str">
            <v>https://www.appsheet.com/Template/gettablefileurl?appname=GDM7x4_Failure_List-654943&amp;tableName=SAYFA1&amp;filename=Sayfa1_Images%2Fcf975ae6.Resim.122458.jpg</v>
          </cell>
        </row>
        <row r="153">
          <cell r="A153" t="str">
            <v>99e90c0d</v>
          </cell>
          <cell r="B153" t="str">
            <v>FRACAS-GDM-152</v>
          </cell>
          <cell r="E153">
            <v>45420</v>
          </cell>
          <cell r="F153">
            <v>45420.642395833333</v>
          </cell>
          <cell r="G153" t="str">
            <v>TS#6</v>
          </cell>
          <cell r="H153" t="str">
            <v>M</v>
          </cell>
          <cell r="I153" t="str">
            <v>Depo/Depot</v>
          </cell>
          <cell r="J153" t="str">
            <v>C-Uyarı, sürüş devamlılığı</v>
          </cell>
          <cell r="K153" t="str">
            <v>Devreye Alma(Servise Başlamadan Önceki Süreç)</v>
          </cell>
          <cell r="L153" t="str">
            <v>M modüldeki kompresör üzerinde oksitlenmeler mevcut</v>
          </cell>
          <cell r="M153"/>
          <cell r="N153">
            <v>0</v>
          </cell>
          <cell r="P153" t="str">
            <v>C(Sisteme etki etmeyen arıza)</v>
          </cell>
          <cell r="Q153" t="str">
            <v>N.A(Yaralanma yok)</v>
          </cell>
          <cell r="R153" t="str">
            <v>Bozankaya</v>
          </cell>
          <cell r="T153">
            <v>45420</v>
          </cell>
          <cell r="U153">
            <v>45420.647800925923</v>
          </cell>
          <cell r="V153" t="str">
            <v>Knorr</v>
          </cell>
          <cell r="W153"/>
          <cell r="X153"/>
          <cell r="Y153"/>
          <cell r="Z153"/>
          <cell r="AA153"/>
          <cell r="AB153"/>
          <cell r="AC153"/>
          <cell r="AD153"/>
          <cell r="AE153" t="str">
            <v/>
          </cell>
          <cell r="AH153" t="str">
            <v/>
          </cell>
          <cell r="AN153"/>
          <cell r="AP153" t="str">
            <v>(I) İlk defa karşılaşılan arıza</v>
          </cell>
          <cell r="AQ153" t="str">
            <v/>
          </cell>
          <cell r="AR153"/>
          <cell r="AU153" t="str">
            <v>Fren</v>
          </cell>
          <cell r="AX153" t="str">
            <v>https://www.appsheet.com/Template/gettablefileurl?appname=GDM7x4_Failure_List-654943&amp;tableName=SAYFA1&amp;filename=Sayfa1_Images%2F99e90c0d.Resim.123521.jpg</v>
          </cell>
        </row>
        <row r="154">
          <cell r="A154" t="str">
            <v>3f2b8917</v>
          </cell>
          <cell r="B154" t="str">
            <v>FRACAS-GDM-153</v>
          </cell>
          <cell r="E154">
            <v>45420</v>
          </cell>
          <cell r="F154">
            <v>45420.649525462963</v>
          </cell>
          <cell r="G154" t="str">
            <v>TS#6</v>
          </cell>
          <cell r="H154" t="str">
            <v>Mc2</v>
          </cell>
          <cell r="I154" t="str">
            <v>Depo/Depot</v>
          </cell>
          <cell r="J154" t="str">
            <v>C-Uyarı, sürüş devamlılığı</v>
          </cell>
          <cell r="K154" t="str">
            <v>Devreye Alma(Servise Başlamadan Önceki Süreç)</v>
          </cell>
          <cell r="L154" t="str">
            <v>Ana rezervuar tankının vanalarında oksitlenmeler mevcut</v>
          </cell>
          <cell r="M154"/>
          <cell r="N154">
            <v>0</v>
          </cell>
          <cell r="P154" t="str">
            <v>C(Sisteme etki etmeyen arıza)</v>
          </cell>
          <cell r="Q154" t="str">
            <v>N.A(Yaralanma yok)</v>
          </cell>
          <cell r="R154" t="str">
            <v>Bozankaya</v>
          </cell>
          <cell r="T154">
            <v>45420</v>
          </cell>
          <cell r="U154">
            <v>45420.651423611111</v>
          </cell>
          <cell r="V154" t="str">
            <v>Bozankaya</v>
          </cell>
          <cell r="W154"/>
          <cell r="X154"/>
          <cell r="Y154"/>
          <cell r="Z154"/>
          <cell r="AA154"/>
          <cell r="AB154"/>
          <cell r="AC154"/>
          <cell r="AD154"/>
          <cell r="AE154" t="str">
            <v/>
          </cell>
          <cell r="AH154" t="str">
            <v/>
          </cell>
          <cell r="AN154"/>
          <cell r="AP154" t="str">
            <v>(I) İlk defa karşılaşılan arıza</v>
          </cell>
          <cell r="AQ154" t="str">
            <v/>
          </cell>
          <cell r="AR154"/>
          <cell r="AU154" t="str">
            <v>Fren</v>
          </cell>
          <cell r="AX154" t="str">
            <v>https://www.appsheet.com/Template/gettablefileurl?appname=GDM7x4_Failure_List-654943&amp;tableName=SAYFA1&amp;filename=Sayfa1_Images%2F3f2b8917.Resim.123859.jpg</v>
          </cell>
        </row>
        <row r="155">
          <cell r="A155" t="str">
            <v>a6cbae71</v>
          </cell>
          <cell r="B155" t="str">
            <v>FRACAS-GDM-154</v>
          </cell>
          <cell r="E155">
            <v>45420</v>
          </cell>
          <cell r="F155">
            <v>45420.652384259258</v>
          </cell>
          <cell r="G155" t="str">
            <v>TS#6</v>
          </cell>
          <cell r="H155" t="str">
            <v>Mc1 , Mc2</v>
          </cell>
          <cell r="I155" t="str">
            <v>Depo/Depot</v>
          </cell>
          <cell r="J155" t="str">
            <v>C-Uyarı, sürüş devamlılığı</v>
          </cell>
          <cell r="K155" t="str">
            <v>Devreye Alma(Servise Başlamadan Önceki Süreç)</v>
          </cell>
          <cell r="L155" t="str">
            <v>engel algılama sistemi içindeki yaylarda paslanmalar mevcut</v>
          </cell>
          <cell r="M155"/>
          <cell r="N155">
            <v>0</v>
          </cell>
          <cell r="P155" t="str">
            <v>C(Sisteme etki etmeyen arıza)</v>
          </cell>
          <cell r="Q155" t="str">
            <v>N.A(Yaralanma yok)</v>
          </cell>
          <cell r="R155" t="str">
            <v>Bozankaya</v>
          </cell>
          <cell r="T155">
            <v>45420</v>
          </cell>
          <cell r="U155">
            <v>45420.654050925928</v>
          </cell>
          <cell r="V155" t="str">
            <v>Bozankaya</v>
          </cell>
          <cell r="W155"/>
          <cell r="X155"/>
          <cell r="Y155"/>
          <cell r="Z155"/>
          <cell r="AA155"/>
          <cell r="AB155"/>
          <cell r="AC155"/>
          <cell r="AD155"/>
          <cell r="AE155" t="str">
            <v/>
          </cell>
          <cell r="AH155" t="str">
            <v/>
          </cell>
          <cell r="AN155"/>
          <cell r="AP155" t="str">
            <v>(I) İlk defa karşılaşılan arıza</v>
          </cell>
          <cell r="AQ155" t="str">
            <v/>
          </cell>
          <cell r="AR155"/>
          <cell r="AU155" t="str">
            <v>Boji</v>
          </cell>
          <cell r="AX155" t="str">
            <v>https://www.appsheet.com/Template/gettablefileurl?appname=GDM7x4_Failure_List-654943&amp;tableName=SAYFA1&amp;filename=Sayfa1_Images%2Fa6cbae71.Resim.125319.jpg</v>
          </cell>
        </row>
        <row r="156">
          <cell r="A156" t="str">
            <v>c142e010</v>
          </cell>
          <cell r="B156" t="str">
            <v>FRACAS-GDM-155</v>
          </cell>
          <cell r="E156">
            <v>45490</v>
          </cell>
          <cell r="F156">
            <v>45490.416666666664</v>
          </cell>
          <cell r="I156" t="str">
            <v>Depo/Depot</v>
          </cell>
          <cell r="J156" t="str">
            <v>A-Sürüşü engeller</v>
          </cell>
          <cell r="K156" t="str">
            <v>SSH</v>
          </cell>
          <cell r="L156" t="str">
            <v>AYDINLATMA KAPAĞI</v>
          </cell>
          <cell r="M156" t="str">
            <v>Körük aydınlatmasının ortasındaki kapak sabitlendiği yerden ayrılarak düştüğü tespit edildi. Araçlar güneşte kaldığında ısının artması sonucu olduğunu tahmin ediyoruz.</v>
          </cell>
          <cell r="N156">
            <v>1</v>
          </cell>
          <cell r="P156" t="str">
            <v>B(Servisten çekmeye etki eden arızalar)</v>
          </cell>
          <cell r="Q156" t="str">
            <v>N.A(Yaralanma yok)</v>
          </cell>
          <cell r="R156" t="str">
            <v>Bozankaya</v>
          </cell>
          <cell r="T156">
            <v>45490</v>
          </cell>
          <cell r="U156">
            <v>45490.458333333336</v>
          </cell>
          <cell r="V156" t="str">
            <v>TEDARİKÇİ YOK</v>
          </cell>
          <cell r="W156" t="str">
            <v>AYDINLATMA KAPAGI</v>
          </cell>
          <cell r="X156" t="str">
            <v>FT730-8210</v>
          </cell>
          <cell r="Y156">
            <v>42</v>
          </cell>
          <cell r="AB156" t="str">
            <v>Tamir edilecek</v>
          </cell>
          <cell r="AE156">
            <v>45490</v>
          </cell>
          <cell r="AH156" t="str">
            <v/>
          </cell>
          <cell r="AN156">
            <v>1</v>
          </cell>
          <cell r="AP156" t="str">
            <v>(II) Birden fazla karşılaşılan arıza</v>
          </cell>
          <cell r="AQ156" t="str">
            <v/>
          </cell>
          <cell r="AU156" t="str">
            <v>İç Giydirme</v>
          </cell>
          <cell r="AX156" t="str">
            <v>https://www.appsheet.com/Template/gettablefileurl?appname=GDM7x4_Failure_List-654943&amp;tableName=SAYFA1&amp;filename=Sayfa1_Images%2Fc142e010.Resim.211425.png</v>
          </cell>
        </row>
        <row r="157">
          <cell r="A157" t="str">
            <v>dc3dc7b1</v>
          </cell>
          <cell r="B157" t="str">
            <v>FRACAS-GDM-156</v>
          </cell>
          <cell r="E157">
            <v>45617</v>
          </cell>
          <cell r="F157">
            <v>45617.69027777778</v>
          </cell>
          <cell r="G157" t="str">
            <v>TS#4</v>
          </cell>
          <cell r="H157" t="str">
            <v>Mc2</v>
          </cell>
          <cell r="I157" t="str">
            <v>Depo/Depot</v>
          </cell>
          <cell r="J157" t="str">
            <v>C-Uyarı, sürüş devamlılığı</v>
          </cell>
          <cell r="K157" t="str">
            <v>SSH</v>
          </cell>
          <cell r="L157" t="str">
            <v>Reklam ekranı trimi montaj esnasında kırıldı</v>
          </cell>
          <cell r="M157" t="str">
            <v>Trim yeni parça ile değiştirildi</v>
          </cell>
          <cell r="N157">
            <v>79</v>
          </cell>
          <cell r="P157" t="str">
            <v>C(Sisteme etki etmeyen arıza)</v>
          </cell>
          <cell r="Q157" t="str">
            <v>N.A(Yaralanma yok)</v>
          </cell>
          <cell r="R157" t="str">
            <v>Bozankaya</v>
          </cell>
          <cell r="T157">
            <v>45617</v>
          </cell>
          <cell r="U157">
            <v>45617.691666666666</v>
          </cell>
          <cell r="V157" t="str">
            <v>SAZCILAR OTOMOTİV SAN.TİCARET A.Ş</v>
          </cell>
          <cell r="W157" t="str">
            <v>IC YAN DUVAR KOMPLESI</v>
          </cell>
          <cell r="X157" t="str">
            <v>T565-8007</v>
          </cell>
          <cell r="Y157">
            <v>1</v>
          </cell>
          <cell r="Z157"/>
          <cell r="AA157"/>
          <cell r="AB157" t="str">
            <v>Tamir edilecek</v>
          </cell>
          <cell r="AC157"/>
          <cell r="AD157"/>
          <cell r="AE157" t="str">
            <v/>
          </cell>
          <cell r="AH157" t="str">
            <v/>
          </cell>
          <cell r="AN157">
            <v>1</v>
          </cell>
          <cell r="AP157" t="str">
            <v>(I) İlk defa karşılaşılan arıza</v>
          </cell>
          <cell r="AQ157">
            <v>45617</v>
          </cell>
          <cell r="AR157">
            <v>45617.697916666664</v>
          </cell>
          <cell r="AU157" t="str">
            <v>İç Giydirme</v>
          </cell>
          <cell r="AX157" t="str">
            <v>https://www.appsheet.com/Template/gettablefileurl?appname=GDM7x4_Failure_List-654943&amp;tableName=SAYFA1&amp;filename=Sayfa1_Images%2Fdc3dc7b1.Resim.124147.jpg</v>
          </cell>
        </row>
        <row r="158">
          <cell r="A158" t="str">
            <v>8793026d</v>
          </cell>
          <cell r="B158" t="str">
            <v>FRACAS-GDM-157</v>
          </cell>
          <cell r="E158">
            <v>45402</v>
          </cell>
          <cell r="F158">
            <v>45402.416770833333</v>
          </cell>
          <cell r="G158" t="str">
            <v>TS#6</v>
          </cell>
          <cell r="H158" t="str">
            <v>Mc2</v>
          </cell>
          <cell r="I158" t="str">
            <v>Depo/Depot</v>
          </cell>
          <cell r="J158" t="str">
            <v>A-Sürüşü engeller</v>
          </cell>
          <cell r="K158" t="str">
            <v>Devreye Alma(Servise Başlamadan Önceki Süreç)</v>
          </cell>
          <cell r="L158" t="str">
            <v>3A sigorta</v>
          </cell>
          <cell r="M158" t="str">
            <v>RFB/+49 panoya ait RA-F01 ve RA-F02 sigortaları ilk enerji verildiğinde sigortalar 0 posizyonundaydı. Araç canlandırıldı tüm sistemler kontrollü olarak devreye alinirken sigortalarin 1 pozisyonunda devreyi tamamlanmadıgı tespit edildi. Üzerinde hiç enerji geçmemistir. 1 gün sonra 1 tanesini tekrar kontrol edildiğinde geçirdigi tespit edildi. Sigortalar stabil çalışmıyor.</v>
          </cell>
          <cell r="N158">
            <v>1</v>
          </cell>
          <cell r="P158" t="str">
            <v>A(Hareket etmeyi engelleyen arıza)</v>
          </cell>
          <cell r="Q158" t="str">
            <v>N.A(Yaralanma yok)</v>
          </cell>
          <cell r="R158" t="str">
            <v>Tedarikçi</v>
          </cell>
          <cell r="T158">
            <v>45432</v>
          </cell>
          <cell r="U158">
            <v>45432.462939814817</v>
          </cell>
          <cell r="V158"/>
          <cell r="W158" t="str">
            <v>3A SİGORTA 110V</v>
          </cell>
          <cell r="X158"/>
          <cell r="Y158">
            <v>2</v>
          </cell>
          <cell r="Z158"/>
          <cell r="AA158" t="str">
            <v>Evet</v>
          </cell>
          <cell r="AB158" t="str">
            <v>Ekipman değiştirilecek</v>
          </cell>
          <cell r="AC158"/>
          <cell r="AD158"/>
          <cell r="AE158">
            <v>45432</v>
          </cell>
          <cell r="AH158" t="str">
            <v/>
          </cell>
          <cell r="AN158">
            <v>1</v>
          </cell>
          <cell r="AP158" t="str">
            <v>(I) İlk defa karşılaşılan arıza</v>
          </cell>
          <cell r="AQ158" t="str">
            <v/>
          </cell>
          <cell r="AR158"/>
          <cell r="AU158" t="str">
            <v>E-Kabinet</v>
          </cell>
          <cell r="AX158" t="str">
            <v>https://www.appsheet.com/Template/gettablefileurl?appname=GDM7x4_Failure_List-654943&amp;tableName=SAYFA1&amp;filename=Sayfa1_Images%2F8793026d.Resim.075137.png</v>
          </cell>
        </row>
        <row r="159">
          <cell r="A159" t="str">
            <v>68ebe766</v>
          </cell>
          <cell r="B159" t="str">
            <v>FRACAS-GDM-158</v>
          </cell>
          <cell r="E159">
            <v>45432</v>
          </cell>
          <cell r="F159">
            <v>45432.416666666664</v>
          </cell>
          <cell r="G159" t="str">
            <v>TS#6</v>
          </cell>
          <cell r="H159" t="str">
            <v>Mc2</v>
          </cell>
          <cell r="I159" t="str">
            <v>Depo/Depot</v>
          </cell>
          <cell r="J159" t="str">
            <v>A-Sürüşü engeller</v>
          </cell>
          <cell r="K159" t="str">
            <v>Devreye Alma(Servise Başlamadan Önceki Süreç)</v>
          </cell>
          <cell r="L159" t="str">
            <v>3A sigorta</v>
          </cell>
          <cell r="M159" t="str">
            <v>RFB/+49 panoya ait RA-F01 ve RA-F02 sigortaları ilk enerji verildiğinde sigortalar 0 posizyonundaydı. Araç canlandırıldı tüm sistemler kontrollü olarak devreye alinirken sigortalarin 1 pozisyonunda devreyi tamamlanmadıgı tespit edildi. Üzerinde hiç enerji geçmemistir. 1 gün sonra 1 tanesini tekrar kontrol edildiğinde geçirdigi tespit edildi. Sigortalar stabil çalışmıyor.</v>
          </cell>
          <cell r="N159">
            <v>1</v>
          </cell>
          <cell r="P159" t="str">
            <v>A(Hareket etmeyi engelleyen arıza)</v>
          </cell>
          <cell r="Q159" t="str">
            <v>N.A(Yaralanma yok)</v>
          </cell>
          <cell r="R159" t="str">
            <v>Bozankaya</v>
          </cell>
          <cell r="T159">
            <v>45432</v>
          </cell>
          <cell r="U159">
            <v>45432.458333333336</v>
          </cell>
          <cell r="V159" t="str">
            <v>Wabtec Faiveley Turkey Ulaşım Siste</v>
          </cell>
          <cell r="W159" t="str">
            <v>3A SİGORTA 110V</v>
          </cell>
          <cell r="X159" t="str">
            <v>E110-8054</v>
          </cell>
          <cell r="Y159">
            <v>2</v>
          </cell>
          <cell r="Z159"/>
          <cell r="AA159" t="str">
            <v>Evet</v>
          </cell>
          <cell r="AB159" t="str">
            <v>Ekipman değiştirilecek</v>
          </cell>
          <cell r="AC159"/>
          <cell r="AD159"/>
          <cell r="AE159">
            <v>45432</v>
          </cell>
          <cell r="AH159" t="str">
            <v/>
          </cell>
          <cell r="AN159">
            <v>1</v>
          </cell>
          <cell r="AP159" t="str">
            <v>(I) İlk defa karşılaşılan arıza</v>
          </cell>
          <cell r="AQ159" t="str">
            <v/>
          </cell>
          <cell r="AR159"/>
          <cell r="AU159" t="str">
            <v>E-Kabinet</v>
          </cell>
          <cell r="AX159" t="str">
            <v>https://www.appsheet.com/Template/gettablefileurl?appname=GDM7x4_Failure_List-654943&amp;tableName=SAYFA1&amp;filename=Sayfa1_Images%2F68ebe766.Resim.211549.png</v>
          </cell>
        </row>
        <row r="160">
          <cell r="A160" t="str">
            <v>b7773918</v>
          </cell>
          <cell r="B160" t="str">
            <v>FRACAS-GDM-159</v>
          </cell>
          <cell r="E160">
            <v>45432</v>
          </cell>
          <cell r="F160">
            <v>45432.416666666664</v>
          </cell>
          <cell r="G160" t="str">
            <v>TS#6</v>
          </cell>
          <cell r="H160" t="str">
            <v>Mc2</v>
          </cell>
          <cell r="I160" t="str">
            <v>Depo/Depot</v>
          </cell>
          <cell r="J160" t="str">
            <v>A-Sürüşü engeller</v>
          </cell>
          <cell r="K160" t="str">
            <v>Devreye Alma(Servise Başlamadan Önceki Süreç)</v>
          </cell>
          <cell r="L160" t="str">
            <v>3A Sigorta</v>
          </cell>
          <cell r="M160" t="str">
            <v>RFA/+14 panoda DP-F01 sigortasında kısa devre sonucu sigorta alev alarak çalışmaz duruma gelmiştir. Araçlarda hepsi alev almasada 3A sigortalarda genel olarak bu tür problemler oluşmaktadır.</v>
          </cell>
          <cell r="N160">
            <v>1</v>
          </cell>
          <cell r="P160" t="str">
            <v>A(Hareket etmeyi engelleyen arıza)</v>
          </cell>
          <cell r="Q160" t="str">
            <v>N.A(Yaralanma yok)</v>
          </cell>
          <cell r="R160" t="str">
            <v>Bozankaya</v>
          </cell>
          <cell r="T160">
            <v>45432</v>
          </cell>
          <cell r="U160">
            <v>45432.458333333336</v>
          </cell>
          <cell r="V160" t="str">
            <v>Wabtec Faiveley Turkey Ulaşım Siste</v>
          </cell>
          <cell r="W160" t="str">
            <v>3A SİGORTA 110V</v>
          </cell>
          <cell r="X160" t="str">
            <v>E110-8054</v>
          </cell>
          <cell r="Y160">
            <v>1</v>
          </cell>
          <cell r="Z160"/>
          <cell r="AA160" t="str">
            <v>Hayır</v>
          </cell>
          <cell r="AB160" t="str">
            <v>Ekipman değiştirilecek</v>
          </cell>
          <cell r="AC160"/>
          <cell r="AD160"/>
          <cell r="AE160" t="str">
            <v/>
          </cell>
          <cell r="AH160" t="str">
            <v/>
          </cell>
          <cell r="AN160">
            <v>1</v>
          </cell>
          <cell r="AP160" t="str">
            <v>(II) Birden fazla karşılaşılan arıza</v>
          </cell>
          <cell r="AQ160" t="str">
            <v/>
          </cell>
          <cell r="AR160"/>
          <cell r="AU160" t="str">
            <v>Kabin Masası</v>
          </cell>
          <cell r="AX160" t="str">
            <v>https://www.appsheet.com/Template/gettablefileurl?appname=GDM7x4_Failure_List-654943&amp;tableName=SAYFA1&amp;filename=Sayfa1_Images%2Fb7773918.Resim.211555.png</v>
          </cell>
        </row>
        <row r="161">
          <cell r="A161" t="str">
            <v>ad737c13</v>
          </cell>
          <cell r="B161" t="str">
            <v>FRACAS-GDM-160</v>
          </cell>
          <cell r="E161">
            <v>45432</v>
          </cell>
          <cell r="F161">
            <v>45432.416666666664</v>
          </cell>
          <cell r="G161" t="str">
            <v>TS#6</v>
          </cell>
          <cell r="H161" t="str">
            <v>Mc2</v>
          </cell>
          <cell r="I161" t="str">
            <v>Depo/Depot</v>
          </cell>
          <cell r="J161" t="str">
            <v>C-Uyarı, sürüş devamlılığı</v>
          </cell>
          <cell r="K161" t="str">
            <v>Devreye Alma(Servise Başlamadan Önceki Süreç)</v>
          </cell>
          <cell r="L161" t="str">
            <v>RF modülatör</v>
          </cell>
          <cell r="M161" t="str">
            <v>Araçta MC2 modülünde bulunan 2adet RF modülatör de arızalı çıkmıştır. Besleme yapıldığında ekranları çalıştırılamadı.</v>
          </cell>
          <cell r="N161">
            <v>1</v>
          </cell>
          <cell r="P161" t="str">
            <v>C(Sisteme etki etmeyen arıza)</v>
          </cell>
          <cell r="Q161" t="str">
            <v>N.A(Yaralanma yok)</v>
          </cell>
          <cell r="R161" t="str">
            <v>Tedarikçi</v>
          </cell>
          <cell r="T161">
            <v>45432</v>
          </cell>
          <cell r="U161">
            <v>45432.458333333336</v>
          </cell>
          <cell r="V161" t="str">
            <v>PİTON BİLGİSAYAR TEKNOLOJİLERİ EĞİT</v>
          </cell>
          <cell r="W161" t="str">
            <v>Multiplexer</v>
          </cell>
          <cell r="X161" t="str">
            <v>E840-8010</v>
          </cell>
          <cell r="Y161">
            <v>2</v>
          </cell>
          <cell r="Z161" t="str">
            <v>869023002214 , 869023002230</v>
          </cell>
          <cell r="AA161" t="str">
            <v>Evet</v>
          </cell>
          <cell r="AB161" t="str">
            <v>Arıza çözülecek</v>
          </cell>
          <cell r="AC161"/>
          <cell r="AD161"/>
          <cell r="AE161">
            <v>45432</v>
          </cell>
          <cell r="AH161">
            <v>45432</v>
          </cell>
          <cell r="AN161">
            <v>1</v>
          </cell>
          <cell r="AP161" t="str">
            <v>(II) Birden fazla karşılaşılan arıza</v>
          </cell>
          <cell r="AQ161" t="str">
            <v/>
          </cell>
          <cell r="AR161"/>
          <cell r="AU161" t="str">
            <v>PA/PIS/CCTV</v>
          </cell>
          <cell r="AX161" t="str">
            <v>https://www.appsheet.com/Template/gettablefileurl?appname=GDM7x4_Failure_List-654943&amp;tableName=SAYFA1&amp;filename=Sayfa1_Images%2Fad737c13.Resim.211602.png</v>
          </cell>
        </row>
        <row r="162">
          <cell r="A162" t="str">
            <v>253ea6a7</v>
          </cell>
          <cell r="B162" t="str">
            <v>FRACAS-GDM-161</v>
          </cell>
          <cell r="E162">
            <v>45429</v>
          </cell>
          <cell r="F162">
            <v>45429.443912037037</v>
          </cell>
          <cell r="G162" t="str">
            <v>TS#6</v>
          </cell>
          <cell r="H162" t="str">
            <v>Mc2</v>
          </cell>
          <cell r="I162" t="str">
            <v>Depo/Depot</v>
          </cell>
          <cell r="J162" t="str">
            <v>C-Uyarı, sürüş devamlılığı</v>
          </cell>
          <cell r="K162" t="str">
            <v>SSH</v>
          </cell>
          <cell r="L162" t="str">
            <v>RF modülatör arızası</v>
          </cell>
          <cell r="M162" t="str">
            <v>Araçta MC2 modülünde bulunan 2adet RF modülatör de arızalı çıkmıştır. Besleme yapıldığında ekranları çalıştırılamadı.</v>
          </cell>
          <cell r="N162">
            <v>1</v>
          </cell>
          <cell r="P162" t="str">
            <v>C(Sisteme etki etmeyen arıza)</v>
          </cell>
          <cell r="Q162" t="str">
            <v>N.A(Yaralanma yok)</v>
          </cell>
          <cell r="R162" t="str">
            <v>Tedarikçi</v>
          </cell>
          <cell r="T162">
            <v>45430</v>
          </cell>
          <cell r="U162">
            <v>45430.445081018515</v>
          </cell>
          <cell r="V162" t="str">
            <v>PİTON BİLGİSAYAR TEKNOLOJİLERİ EĞİT</v>
          </cell>
          <cell r="W162" t="str">
            <v>Multiplexer</v>
          </cell>
          <cell r="X162" t="str">
            <v>E840-8010</v>
          </cell>
          <cell r="Y162">
            <v>2</v>
          </cell>
          <cell r="Z162" t="str">
            <v>869023002214, 86902300223*</v>
          </cell>
          <cell r="AA162" t="str">
            <v>Evet</v>
          </cell>
          <cell r="AB162" t="str">
            <v>Ekipman değiştirilecek</v>
          </cell>
          <cell r="AC162"/>
          <cell r="AD162"/>
          <cell r="AE162" t="str">
            <v/>
          </cell>
          <cell r="AH162" t="str">
            <v/>
          </cell>
          <cell r="AN162">
            <v>1</v>
          </cell>
          <cell r="AP162" t="str">
            <v>(II) Birden fazla karşılaşılan arıza</v>
          </cell>
          <cell r="AQ162">
            <v>45433</v>
          </cell>
          <cell r="AR162">
            <v>45433.447060185186</v>
          </cell>
          <cell r="AU162" t="str">
            <v>PA/PIS/CCTV</v>
          </cell>
          <cell r="AX162" t="str">
            <v>https://www.appsheet.com/Template/gettablefileurl?appname=GDM7x4_Failure_List-654943&amp;tableName=SAYFA1&amp;filename=Sayfa1_Images%2F253ea6a7.Resim.074647.png</v>
          </cell>
        </row>
        <row r="163">
          <cell r="A163" t="str">
            <v>98da1458</v>
          </cell>
          <cell r="B163" t="str">
            <v>FRACAS-GDM-162</v>
          </cell>
          <cell r="E163">
            <v>45432</v>
          </cell>
          <cell r="F163">
            <v>45432.458333333336</v>
          </cell>
          <cell r="G163" t="str">
            <v>TS#6</v>
          </cell>
          <cell r="H163" t="str">
            <v>Mc2</v>
          </cell>
          <cell r="I163" t="str">
            <v>Depo/Depot</v>
          </cell>
          <cell r="J163" t="str">
            <v>A-Sürüşü engeller</v>
          </cell>
          <cell r="K163" t="str">
            <v>SSH</v>
          </cell>
          <cell r="L163" t="str">
            <v>3A sigorta 110V</v>
          </cell>
          <cell r="M163" t="str">
            <v>RFA/+14 panoda DP-F01 sigortasında kısa devre sonucu sigorta alev alarak çalışmaz duruma gelmiştir. Araçlarda hepsi alev almasada 3A sigortalarda genel olarak bu tür problemler oluşmaktadır.</v>
          </cell>
          <cell r="N163">
            <v>1</v>
          </cell>
          <cell r="P163" t="str">
            <v>A(Hareket etmeyi engelleyen arıza)</v>
          </cell>
          <cell r="Q163" t="str">
            <v>N.A(Yaralanma yok)</v>
          </cell>
          <cell r="R163" t="str">
            <v>Tedarikçi</v>
          </cell>
          <cell r="T163">
            <v>45432</v>
          </cell>
          <cell r="U163">
            <v>45432.541666666664</v>
          </cell>
          <cell r="V163"/>
          <cell r="W163" t="str">
            <v>3A SİGORTA 110V</v>
          </cell>
          <cell r="X163"/>
          <cell r="Y163">
            <v>1</v>
          </cell>
          <cell r="Z163"/>
          <cell r="AA163" t="str">
            <v>Evet</v>
          </cell>
          <cell r="AB163" t="str">
            <v>Ekipman değiştirilecek</v>
          </cell>
          <cell r="AC163"/>
          <cell r="AD163"/>
          <cell r="AE163" t="str">
            <v/>
          </cell>
          <cell r="AH163" t="str">
            <v/>
          </cell>
          <cell r="AN163"/>
          <cell r="AP163" t="str">
            <v>(II) Birden fazla karşılaşılan arıza</v>
          </cell>
          <cell r="AQ163" t="str">
            <v/>
          </cell>
          <cell r="AR163"/>
          <cell r="AU163" t="str">
            <v>E-Kabinet</v>
          </cell>
          <cell r="AX163" t="str">
            <v>https://www.appsheet.com/Template/gettablefileurl?appname=GDM7x4_Failure_List-654943&amp;tableName=SAYFA1&amp;filename=Sayfa1_Images%2F98da1458.Resim.075143.png</v>
          </cell>
        </row>
        <row r="164">
          <cell r="A164">
            <v>54422248</v>
          </cell>
          <cell r="B164" t="str">
            <v>FRACAS-GDM-163</v>
          </cell>
          <cell r="E164">
            <v>45429</v>
          </cell>
          <cell r="F164">
            <v>45429.458333333336</v>
          </cell>
          <cell r="G164" t="str">
            <v>TS#6</v>
          </cell>
          <cell r="H164" t="str">
            <v>Mc2</v>
          </cell>
          <cell r="I164" t="str">
            <v>Depo/Depot</v>
          </cell>
          <cell r="J164" t="str">
            <v>A-Sürüşü engeller</v>
          </cell>
          <cell r="K164" t="str">
            <v>Devreye Alma(Servise Başlamadan Önceki Süreç)</v>
          </cell>
          <cell r="L164" t="str">
            <v>RF modülatör</v>
          </cell>
          <cell r="M164" t="str">
            <v>Araçta MC2 modülünde bulunan 2adet RF modülatör de arızalı çıkmıştır. Besleme yapıldığında ekranları çalıştırılamadı.</v>
          </cell>
          <cell r="N164">
            <v>1</v>
          </cell>
          <cell r="P164" t="str">
            <v>A(Hareket etmeyi engelleyen arıza)</v>
          </cell>
          <cell r="Q164" t="str">
            <v>N.A(Yaralanma yok)</v>
          </cell>
          <cell r="R164" t="str">
            <v>Tedarikçi</v>
          </cell>
          <cell r="T164">
            <v>45429</v>
          </cell>
          <cell r="U164">
            <v>45429.461805555555</v>
          </cell>
          <cell r="V164"/>
          <cell r="W164" t="str">
            <v>Multiplexer</v>
          </cell>
          <cell r="X164"/>
          <cell r="Y164">
            <v>2</v>
          </cell>
          <cell r="Z164" t="str">
            <v>869023002214 , 869023002230</v>
          </cell>
          <cell r="AA164" t="str">
            <v>Evet</v>
          </cell>
          <cell r="AB164" t="str">
            <v>Arıza çözülecek</v>
          </cell>
          <cell r="AC164"/>
          <cell r="AD164"/>
          <cell r="AE164" t="str">
            <v/>
          </cell>
          <cell r="AH164" t="str">
            <v/>
          </cell>
          <cell r="AN164">
            <v>1</v>
          </cell>
          <cell r="AP164" t="str">
            <v>(II) Birden fazla karşılaşılan arıza</v>
          </cell>
          <cell r="AQ164" t="str">
            <v/>
          </cell>
          <cell r="AR164"/>
          <cell r="AU164" t="str">
            <v>PA/PIS/CCTV</v>
          </cell>
          <cell r="AX164" t="str">
            <v>https://www.appsheet.com/Template/gettablefileurl?appname=GDM7x4_Failure_List-654943&amp;tableName=SAYFA1&amp;filename=Sayfa1_Images%2F54422248.Resim.075149.png</v>
          </cell>
        </row>
        <row r="165">
          <cell r="A165" t="str">
            <v>f15efdf5</v>
          </cell>
          <cell r="B165" t="str">
            <v>FRACAS-GDM-164</v>
          </cell>
          <cell r="E165">
            <v>45429</v>
          </cell>
          <cell r="F165">
            <v>45429.496874999997</v>
          </cell>
          <cell r="G165" t="str">
            <v>TS#6</v>
          </cell>
          <cell r="H165" t="str">
            <v>Mc2</v>
          </cell>
          <cell r="I165" t="str">
            <v>Depo/Depot</v>
          </cell>
          <cell r="J165" t="str">
            <v>A-Sürüşü engeller</v>
          </cell>
          <cell r="K165" t="str">
            <v>Devreye Alma(Servise Başlamadan Önceki Süreç)</v>
          </cell>
          <cell r="L165" t="str">
            <v>Korna Modülü - 110VDC Horn Amplifier</v>
          </cell>
          <cell r="M165" t="str">
            <v>Araçta MC2 modülde bulunan korna modülü hatalı kablolama sonucu yanmıştır. Cihazın beslemesi, giriş yerine çıkış kısmından bağlanmış.  110 V verildiğinde cihazın çalışmadığı görüldü. Kablolama hatası soket kısmından düzeltilmesine rağme çalışmadı.</v>
          </cell>
          <cell r="N165">
            <v>1</v>
          </cell>
          <cell r="P165" t="str">
            <v>A(Hareket etmeyi engelleyen arıza)</v>
          </cell>
          <cell r="Q165" t="str">
            <v>N.A(Yaralanma yok)</v>
          </cell>
          <cell r="R165" t="str">
            <v>Tedarikçi</v>
          </cell>
          <cell r="T165">
            <v>45430</v>
          </cell>
          <cell r="U165">
            <v>45430.496527777781</v>
          </cell>
          <cell r="V165"/>
          <cell r="W165" t="str">
            <v>110VDC Horn Amplifier</v>
          </cell>
          <cell r="X165"/>
          <cell r="Y165">
            <v>1</v>
          </cell>
          <cell r="Z165" t="str">
            <v>221004-0002</v>
          </cell>
          <cell r="AA165" t="str">
            <v>Evet</v>
          </cell>
          <cell r="AB165" t="str">
            <v>Ekipman değiştirilecek</v>
          </cell>
          <cell r="AC165"/>
          <cell r="AD165"/>
          <cell r="AE165" t="str">
            <v/>
          </cell>
          <cell r="AH165" t="str">
            <v/>
          </cell>
          <cell r="AN165">
            <v>1</v>
          </cell>
          <cell r="AP165" t="str">
            <v>(I) İlk defa karşılaşılan arıza</v>
          </cell>
          <cell r="AQ165" t="str">
            <v/>
          </cell>
          <cell r="AR165"/>
          <cell r="AU165" t="str">
            <v>Kabin Masası</v>
          </cell>
          <cell r="AX165" t="str">
            <v>https://www.appsheet.com/Template/gettablefileurl?appname=GDM7x4_Failure_List-654943&amp;tableName=SAYFA1&amp;filename=Sayfa1_Images%2Ff15efdf5.Resim.075156.png</v>
          </cell>
        </row>
        <row r="166">
          <cell r="A166" t="str">
            <v>3eb8f663</v>
          </cell>
          <cell r="B166" t="str">
            <v>FRACAS-GDM-165</v>
          </cell>
          <cell r="E166">
            <v>45432</v>
          </cell>
          <cell r="F166">
            <v>45432.416666666664</v>
          </cell>
          <cell r="G166" t="str">
            <v>TS#1</v>
          </cell>
          <cell r="H166" t="str">
            <v>Mc2</v>
          </cell>
          <cell r="I166" t="str">
            <v>Depo/Depot</v>
          </cell>
          <cell r="J166" t="str">
            <v>A-Sürüşü engeller</v>
          </cell>
          <cell r="K166" t="str">
            <v>Devreye Alma(Servise Başlamadan Önceki Süreç)</v>
          </cell>
          <cell r="L166" t="str">
            <v>2 CO ARTECHE 110V RÖLE</v>
          </cell>
          <cell r="M166" t="str">
            <v>CBTC mod sıfır hız bilgisi kontrollerinde sisteme enerji verildiğinde sistemin yanıt vermediği görüldü. Kontroller sonucunda +49 ponoda RA-K05 rölesinin yandığı tespit edildi. Sebebi rölenin doğru voltajda montaj edilmediği 110V röle yerine 24v röle montajı yapıldığı enerji verildiğinde rölenin yandığı tespit edildi. Gerekli yere 2CO 110V röle montajı yapılacaktır. olması gereken röle malzeme no ya eklenmiştir.</v>
          </cell>
          <cell r="N166">
            <v>816</v>
          </cell>
          <cell r="P166" t="str">
            <v>A(Hareket etmeyi engelleyen arıza)</v>
          </cell>
          <cell r="Q166" t="str">
            <v>N.A(Yaralanma yok)</v>
          </cell>
          <cell r="R166" t="str">
            <v>Tedarikçi</v>
          </cell>
          <cell r="T166">
            <v>45432</v>
          </cell>
          <cell r="U166">
            <v>45432.625</v>
          </cell>
          <cell r="V166"/>
          <cell r="W166" t="str">
            <v>2 CO ARTECHE 110V RÖLE</v>
          </cell>
          <cell r="X166"/>
          <cell r="Y166">
            <v>1</v>
          </cell>
          <cell r="Z166"/>
          <cell r="AA166" t="str">
            <v>Evet</v>
          </cell>
          <cell r="AB166" t="str">
            <v>Ekipman değiştirilecek</v>
          </cell>
          <cell r="AC166"/>
          <cell r="AD166"/>
          <cell r="AE166" t="str">
            <v/>
          </cell>
          <cell r="AH166" t="str">
            <v/>
          </cell>
          <cell r="AN166">
            <v>1</v>
          </cell>
          <cell r="AP166" t="str">
            <v>(I) İlk defa karşılaşılan arıza</v>
          </cell>
          <cell r="AQ166" t="str">
            <v/>
          </cell>
          <cell r="AR166"/>
          <cell r="AU166" t="str">
            <v>E-Kabinet</v>
          </cell>
          <cell r="AX166" t="str">
            <v>https://www.appsheet.com/Template/gettablefileurl?appname=GDM7x4_Failure_List-654943&amp;tableName=SAYFA1&amp;filename=Sayfa1_Images%2F3eb8f663.Resim.075201.png</v>
          </cell>
        </row>
        <row r="167">
          <cell r="A167" t="str">
            <v>e84dffe4</v>
          </cell>
          <cell r="B167" t="str">
            <v>FRACAS-GDM-166</v>
          </cell>
          <cell r="E167">
            <v>45433</v>
          </cell>
          <cell r="F167">
            <v>45433.416666666664</v>
          </cell>
          <cell r="G167" t="str">
            <v>TS#4</v>
          </cell>
          <cell r="H167" t="str">
            <v>Mc1</v>
          </cell>
          <cell r="I167" t="str">
            <v>Depo/Depot</v>
          </cell>
          <cell r="J167" t="str">
            <v>A-Sürüşü engeller</v>
          </cell>
          <cell r="K167" t="str">
            <v>Devreye Alma(Servise Başlamadan Önceki Süreç)</v>
          </cell>
          <cell r="L167" t="str">
            <v>AYDINLATMA KAPAĞI</v>
          </cell>
          <cell r="M167" t="str">
            <v>Körük aydınlatmasının ortasındaki kapak sabitlendiği yerden ayrılarak düştüğü tespit edildi. Araçlar güneşte kaldığında ısının artması sonucu olduğunu tahmin ediyoruz.</v>
          </cell>
          <cell r="N167">
            <v>1</v>
          </cell>
          <cell r="P167" t="str">
            <v>A(Hareket etmeyi engelleyen arıza)</v>
          </cell>
          <cell r="Q167" t="str">
            <v>N.A(Yaralanma yok)</v>
          </cell>
          <cell r="R167" t="str">
            <v>Bozankaya</v>
          </cell>
          <cell r="T167">
            <v>45433</v>
          </cell>
          <cell r="U167">
            <v>45433.458333333336</v>
          </cell>
          <cell r="V167"/>
          <cell r="W167"/>
          <cell r="X167"/>
          <cell r="Y167">
            <v>1</v>
          </cell>
          <cell r="Z167"/>
          <cell r="AA167" t="str">
            <v>Hayır</v>
          </cell>
          <cell r="AB167" t="str">
            <v>Arıza çözülecek</v>
          </cell>
          <cell r="AC167"/>
          <cell r="AD167"/>
          <cell r="AE167" t="str">
            <v/>
          </cell>
          <cell r="AH167" t="str">
            <v/>
          </cell>
          <cell r="AN167"/>
          <cell r="AP167" t="str">
            <v>(I) İlk defa karşılaşılan arıza</v>
          </cell>
          <cell r="AQ167" t="str">
            <v/>
          </cell>
          <cell r="AR167"/>
          <cell r="AU167" t="str">
            <v>İç Giydirme</v>
          </cell>
          <cell r="AX167" t="str">
            <v>https://www.appsheet.com/Template/gettablefileurl?appname=GDM7x4_Failure_List-654943&amp;tableName=SAYFA1&amp;filename=Sayfa1_Images%2Fe84dffe4.Resim.075207.png</v>
          </cell>
        </row>
        <row r="168">
          <cell r="A168" t="str">
            <v>fd1d5765</v>
          </cell>
          <cell r="B168" t="str">
            <v>FRACAS-GDM-167</v>
          </cell>
          <cell r="E168">
            <v>45441</v>
          </cell>
          <cell r="F168">
            <v>45441.416666666664</v>
          </cell>
          <cell r="G168" t="str">
            <v>TS#2</v>
          </cell>
          <cell r="H168" t="str">
            <v>Mc1</v>
          </cell>
          <cell r="I168" t="str">
            <v>Depo/Depot</v>
          </cell>
          <cell r="J168" t="str">
            <v>A-Sürüşü engeller</v>
          </cell>
          <cell r="K168" t="str">
            <v>Devreye Alma(Servise Başlamadan Önceki Süreç)</v>
          </cell>
          <cell r="L168" t="str">
            <v>Kuğu Boynu Mikrofonu</v>
          </cell>
          <cell r="M168" t="str">
            <v>GDM2 aracı mc1 modüldeki swanneck mikrofon devreye alma sürecinde çalışmadığı görülmüş, çalışan sistemde tekrardan denenip kontrolü yapılmış arızalı olduğuna kanaat getirilmiştir.</v>
          </cell>
          <cell r="N168">
            <v>1</v>
          </cell>
          <cell r="P168" t="str">
            <v>A(Hareket etmeyi engelleyen arıza)</v>
          </cell>
          <cell r="Q168" t="str">
            <v>N.A(Yaralanma yok)</v>
          </cell>
          <cell r="R168" t="str">
            <v>Tedarikçi</v>
          </cell>
          <cell r="T168">
            <v>45441</v>
          </cell>
          <cell r="U168">
            <v>45441.458333333336</v>
          </cell>
          <cell r="V168" t="str">
            <v>PİTON BİLGİSAYAR TEKNOLOJİLERİ EĞİT</v>
          </cell>
          <cell r="W168" t="str">
            <v>E820-8006/Kuğu Boynu Mikrofon 2 Tuşlu</v>
          </cell>
          <cell r="X168"/>
          <cell r="Y168">
            <v>1</v>
          </cell>
          <cell r="Z168" t="str">
            <v>S000006</v>
          </cell>
          <cell r="AA168" t="str">
            <v>Evet</v>
          </cell>
          <cell r="AB168" t="str">
            <v>Ekipman değiştirilecek</v>
          </cell>
          <cell r="AC168"/>
          <cell r="AD168"/>
          <cell r="AE168" t="str">
            <v/>
          </cell>
          <cell r="AH168" t="str">
            <v/>
          </cell>
          <cell r="AN168"/>
          <cell r="AP168" t="str">
            <v>(I) İlk defa karşılaşılan arıza</v>
          </cell>
          <cell r="AQ168" t="str">
            <v/>
          </cell>
          <cell r="AR168"/>
          <cell r="AU168" t="str">
            <v>E-Kabinet</v>
          </cell>
          <cell r="AX168" t="str">
            <v>https://www.appsheet.com/Template/gettablefileurl?appname=GDM7x4_Failure_List-654943&amp;tableName=SAYFA1&amp;filename=Sayfa1_Images%2Ffd1d5765.Resim.080301.png</v>
          </cell>
        </row>
        <row r="169">
          <cell r="A169" t="str">
            <v>688a183e</v>
          </cell>
          <cell r="B169" t="str">
            <v>FRACAS-GDM-168</v>
          </cell>
          <cell r="E169">
            <v>45636</v>
          </cell>
          <cell r="F169">
            <v>45636.449131944442</v>
          </cell>
          <cell r="G169" t="str">
            <v>TS#7</v>
          </cell>
          <cell r="H169" t="str">
            <v>T</v>
          </cell>
          <cell r="I169" t="str">
            <v>Depo/Depot</v>
          </cell>
          <cell r="J169" t="str">
            <v>C-Uyarı, sürüş devamlılığı</v>
          </cell>
          <cell r="K169" t="str">
            <v>SSH</v>
          </cell>
          <cell r="L169" t="str">
            <v>3A sigorta kırılması</v>
          </cell>
          <cell r="M169" t="str">
            <v>SSH stoktan değiştirildi</v>
          </cell>
          <cell r="N169">
            <v>2</v>
          </cell>
          <cell r="P169" t="str">
            <v>C(Sisteme etki etmeyen arıza)</v>
          </cell>
          <cell r="Q169" t="str">
            <v>N.A(Yaralanma yok)</v>
          </cell>
          <cell r="R169" t="str">
            <v>Bozankaya</v>
          </cell>
          <cell r="T169">
            <v>45441</v>
          </cell>
          <cell r="U169">
            <v>45441.451307870368</v>
          </cell>
          <cell r="V169" t="str">
            <v>Wabtec Faiveley Turkey Ulaşım Siste</v>
          </cell>
          <cell r="W169" t="str">
            <v>E110-8054/3A SİGORTA 110V</v>
          </cell>
          <cell r="X169"/>
          <cell r="Y169">
            <v>1</v>
          </cell>
          <cell r="Z169" t="str">
            <v>2220R</v>
          </cell>
          <cell r="AA169" t="str">
            <v>Hayır</v>
          </cell>
          <cell r="AB169" t="str">
            <v>Ekipman değiştirilecek</v>
          </cell>
          <cell r="AC169"/>
          <cell r="AD169"/>
          <cell r="AE169" t="str">
            <v/>
          </cell>
          <cell r="AH169" t="str">
            <v/>
          </cell>
          <cell r="AN169"/>
          <cell r="AP169" t="str">
            <v>(I) İlk defa karşılaşılan arıza</v>
          </cell>
          <cell r="AQ169" t="str">
            <v/>
          </cell>
          <cell r="AR169"/>
          <cell r="AU169" t="str">
            <v>E-Kabinet</v>
          </cell>
          <cell r="AX169" t="str">
            <v>https://www.appsheet.com/Template/gettablefileurl?appname=GDM7x4_Failure_List-654943&amp;tableName=SAYFA1&amp;filename=Sayfa1_Images%2F688a183e.Resim.080346.png</v>
          </cell>
        </row>
        <row r="170">
          <cell r="A170" t="str">
            <v>98e56cf9</v>
          </cell>
          <cell r="B170" t="str">
            <v>FRACAS-GDM-169</v>
          </cell>
          <cell r="E170">
            <v>45447</v>
          </cell>
          <cell r="F170">
            <v>45447.461076388892</v>
          </cell>
          <cell r="G170" t="str">
            <v>TS#2</v>
          </cell>
          <cell r="H170" t="str">
            <v>Mc2</v>
          </cell>
          <cell r="I170" t="str">
            <v>Depo/Depot</v>
          </cell>
          <cell r="J170" t="str">
            <v>C-Uyarı, sürüş devamlılığı</v>
          </cell>
          <cell r="K170" t="str">
            <v>SSH</v>
          </cell>
          <cell r="L170" t="str">
            <v>Tap dağıtıcı arızası</v>
          </cell>
          <cell r="M170" t="str">
            <v>SSH stok malzemesinden değiştirildi</v>
          </cell>
          <cell r="N170">
            <v>2</v>
          </cell>
          <cell r="P170" t="str">
            <v>C(Sisteme etki etmeyen arıza)</v>
          </cell>
          <cell r="Q170" t="str">
            <v>N.A(Yaralanma yok)</v>
          </cell>
          <cell r="R170" t="str">
            <v>Tedarikçi</v>
          </cell>
          <cell r="T170">
            <v>45450</v>
          </cell>
          <cell r="U170">
            <v>45450.464756944442</v>
          </cell>
          <cell r="V170" t="str">
            <v>PİTON BİLGİSAYAR TEKNOLOJİLERİ EĞİT</v>
          </cell>
          <cell r="W170"/>
          <cell r="X170"/>
          <cell r="Y170">
            <v>1</v>
          </cell>
          <cell r="Z170"/>
          <cell r="AA170" t="str">
            <v>Evet</v>
          </cell>
          <cell r="AB170" t="str">
            <v>Ekipman değiştirilecek</v>
          </cell>
          <cell r="AC170"/>
          <cell r="AD170"/>
          <cell r="AE170" t="str">
            <v/>
          </cell>
          <cell r="AH170" t="str">
            <v/>
          </cell>
          <cell r="AN170">
            <v>1</v>
          </cell>
          <cell r="AP170" t="str">
            <v>(II) Birden fazla karşılaşılan arıza</v>
          </cell>
          <cell r="AQ170">
            <v>45450</v>
          </cell>
          <cell r="AR170">
            <v>45450.464050925926</v>
          </cell>
          <cell r="AU170" t="str">
            <v>PA/PIS/CCTV</v>
          </cell>
          <cell r="AX170" t="str">
            <v>https://www.appsheet.com/Template/gettablefileurl?appname=GDM7x4_Failure_List-654943&amp;tableName=SAYFA1&amp;filename=Sayfa1_Images%2F98e56cf9.Resim.080931.png</v>
          </cell>
        </row>
        <row r="171">
          <cell r="A171" t="str">
            <v>2a95f96c</v>
          </cell>
          <cell r="B171" t="str">
            <v>FRACAS-GDM-170</v>
          </cell>
          <cell r="E171">
            <v>45448</v>
          </cell>
          <cell r="F171">
            <v>45448.460590277777</v>
          </cell>
          <cell r="G171" t="str">
            <v>TS#2</v>
          </cell>
          <cell r="H171" t="str">
            <v>Mc1</v>
          </cell>
          <cell r="I171" t="str">
            <v>Depo/Depot</v>
          </cell>
          <cell r="J171" t="str">
            <v>C-Uyarı, sürüş devamlılığı</v>
          </cell>
          <cell r="K171" t="str">
            <v>Devreye Alma(Servise Başlamadan Önceki Süreç)</v>
          </cell>
          <cell r="L171" t="str">
            <v>Diotlu klemens arızası</v>
          </cell>
          <cell r="M171" t="str">
            <v>MC1 +49 panoda iki adet diotlu klemensin ölçülerek arızalı olduğu tespit edilmiş, SSH stoğundan yenisiyle değiştirilmiştir.</v>
          </cell>
          <cell r="N171">
            <v>1</v>
          </cell>
          <cell r="P171" t="str">
            <v>A(Hareket etmeyi engelleyen arıza)</v>
          </cell>
          <cell r="Q171" t="str">
            <v>N.A(Yaralanma yok)</v>
          </cell>
          <cell r="R171" t="str">
            <v>Tedarikçi</v>
          </cell>
          <cell r="T171">
            <v>45418</v>
          </cell>
          <cell r="U171">
            <v>45418.423611111109</v>
          </cell>
          <cell r="V171" t="str">
            <v>WAGO ELEKTRİK SAN.VE TİC.LTD.ŞTİ.</v>
          </cell>
          <cell r="W171" t="str">
            <v>E110-7298/4mm2  dörtlü (diyotlu)</v>
          </cell>
          <cell r="X171"/>
          <cell r="Y171">
            <v>1</v>
          </cell>
          <cell r="Z171"/>
          <cell r="AA171"/>
          <cell r="AB171" t="str">
            <v>Ekipman değiştirilecek</v>
          </cell>
          <cell r="AC171"/>
          <cell r="AD171"/>
          <cell r="AE171" t="str">
            <v/>
          </cell>
          <cell r="AH171" t="str">
            <v/>
          </cell>
          <cell r="AN171">
            <v>1</v>
          </cell>
          <cell r="AP171" t="str">
            <v>(I) İlk defa karşılaşılan arıza</v>
          </cell>
          <cell r="AQ171">
            <v>45449</v>
          </cell>
          <cell r="AR171">
            <v>45449.423726851855</v>
          </cell>
          <cell r="AU171" t="str">
            <v>E-Kabinet</v>
          </cell>
          <cell r="AX171" t="str">
            <v>https://www.appsheet.com/Template/gettablefileurl?appname=GDM7x4_Failure_List-654943&amp;tableName=SAYFA1&amp;filename=Sayfa1_Images%2F2a95f96c.Resim.081123.png</v>
          </cell>
        </row>
        <row r="172">
          <cell r="A172" t="str">
            <v>5fd8e129</v>
          </cell>
          <cell r="B172" t="str">
            <v>FRACAS-GDM-171</v>
          </cell>
          <cell r="E172">
            <v>45447</v>
          </cell>
          <cell r="F172">
            <v>45447.465104166666</v>
          </cell>
          <cell r="G172" t="str">
            <v>TS#2</v>
          </cell>
          <cell r="H172" t="str">
            <v>T</v>
          </cell>
          <cell r="I172" t="str">
            <v>Depo/Depot</v>
          </cell>
          <cell r="J172" t="str">
            <v>C-Uyarı, sürüş devamlılığı</v>
          </cell>
          <cell r="K172" t="str">
            <v>SSH</v>
          </cell>
          <cell r="L172" t="str">
            <v>Analog kablo tv bina yükselticisi arızası</v>
          </cell>
          <cell r="M172" t="str">
            <v>SSH stok malzemeden değiştirildi</v>
          </cell>
          <cell r="N172">
            <v>2</v>
          </cell>
          <cell r="P172" t="str">
            <v>C(Sisteme etki etmeyen arıza)</v>
          </cell>
          <cell r="Q172" t="str">
            <v>N.A(Yaralanma yok)</v>
          </cell>
          <cell r="R172" t="str">
            <v>Tedarikçi</v>
          </cell>
          <cell r="T172">
            <v>45457</v>
          </cell>
          <cell r="U172">
            <v>45457.466238425928</v>
          </cell>
          <cell r="V172" t="str">
            <v>PİTON BİLGİSAYAR TEKNOLOJİLERİ EĞİT</v>
          </cell>
          <cell r="W172"/>
          <cell r="X172"/>
          <cell r="Y172">
            <v>1</v>
          </cell>
          <cell r="Z172"/>
          <cell r="AA172" t="str">
            <v>Evet</v>
          </cell>
          <cell r="AB172" t="str">
            <v>Ekipman değiştirilecek</v>
          </cell>
          <cell r="AC172"/>
          <cell r="AD172"/>
          <cell r="AE172" t="str">
            <v/>
          </cell>
          <cell r="AH172" t="str">
            <v/>
          </cell>
          <cell r="AN172">
            <v>1</v>
          </cell>
          <cell r="AP172" t="str">
            <v>(II) Birden fazla karşılaşılan arıza</v>
          </cell>
          <cell r="AQ172">
            <v>45456</v>
          </cell>
          <cell r="AR172">
            <v>45456.468298611115</v>
          </cell>
          <cell r="AU172" t="str">
            <v>PA/PIS/CCTV</v>
          </cell>
          <cell r="AX172" t="str">
            <v>https://www.appsheet.com/Template/gettablefileurl?appname=GDM7x4_Failure_List-654943&amp;tableName=SAYFA1&amp;filename=Sayfa1_Images%2F5fd8e129.Resim.081701.png</v>
          </cell>
        </row>
        <row r="173">
          <cell r="A173" t="str">
            <v>ddfd6570</v>
          </cell>
          <cell r="B173" t="str">
            <v>FRACAS-GDM-172</v>
          </cell>
          <cell r="E173">
            <v>45447</v>
          </cell>
          <cell r="F173">
            <v>45447.470300925925</v>
          </cell>
          <cell r="G173" t="str">
            <v>TS#2</v>
          </cell>
          <cell r="H173" t="str">
            <v>Mc1 , Mc2</v>
          </cell>
          <cell r="I173" t="str">
            <v>Depo/Depot</v>
          </cell>
          <cell r="J173" t="str">
            <v>C-Uyarı, sürüş devamlılığı</v>
          </cell>
          <cell r="K173" t="str">
            <v>SSH</v>
          </cell>
          <cell r="L173" t="str">
            <v>RF modülatör arızası</v>
          </cell>
          <cell r="M173" t="str">
            <v>SSH stok malzemeden değiştirildi</v>
          </cell>
          <cell r="N173">
            <v>2</v>
          </cell>
          <cell r="P173" t="str">
            <v>C(Sisteme etki etmeyen arıza)</v>
          </cell>
          <cell r="Q173" t="str">
            <v>N.A(Yaralanma yok)</v>
          </cell>
          <cell r="R173" t="str">
            <v>Tedarikçi</v>
          </cell>
          <cell r="T173">
            <v>45450</v>
          </cell>
          <cell r="U173">
            <v>45450.483564814815</v>
          </cell>
          <cell r="V173" t="str">
            <v>PİTON BİLGİSAYAR TEKNOLOJİLERİ EĞİT</v>
          </cell>
          <cell r="W173" t="str">
            <v>E840-8010/Multiplexer</v>
          </cell>
          <cell r="X173"/>
          <cell r="Y173">
            <v>3</v>
          </cell>
          <cell r="Z173">
            <v>8.6902300225886893E+35</v>
          </cell>
          <cell r="AA173" t="str">
            <v>Evet</v>
          </cell>
          <cell r="AB173" t="str">
            <v>Ekipman değiştirilecek</v>
          </cell>
          <cell r="AC173"/>
          <cell r="AD173"/>
          <cell r="AE173" t="str">
            <v/>
          </cell>
          <cell r="AH173" t="str">
            <v/>
          </cell>
          <cell r="AN173">
            <v>1</v>
          </cell>
          <cell r="AP173" t="str">
            <v>(II) Birden fazla karşılaşılan arıza</v>
          </cell>
          <cell r="AQ173">
            <v>45450</v>
          </cell>
          <cell r="AR173">
            <v>45450.482835648145</v>
          </cell>
          <cell r="AU173" t="str">
            <v>PA/PIS/CCTV</v>
          </cell>
          <cell r="AX173" t="str">
            <v>https://www.appsheet.com/Template/gettablefileurl?appname=GDM7x4_Failure_List-654943&amp;tableName=SAYFA1&amp;filename=Sayfa1_Images%2Fddfd6570.Resim.083633.png</v>
          </cell>
        </row>
        <row r="174">
          <cell r="A174" t="str">
            <v>400dbf1b</v>
          </cell>
          <cell r="B174" t="str">
            <v>FRACAS-GDM-173</v>
          </cell>
          <cell r="E174">
            <v>45636</v>
          </cell>
          <cell r="F174">
            <v>45636.483888888892</v>
          </cell>
          <cell r="G174" t="str">
            <v>TS#2</v>
          </cell>
          <cell r="H174" t="str">
            <v>Mc1</v>
          </cell>
          <cell r="I174" t="str">
            <v>Depo/Depot</v>
          </cell>
          <cell r="J174" t="str">
            <v>C-Uyarı, sürüş devamlılığı</v>
          </cell>
          <cell r="K174" t="str">
            <v>SSH</v>
          </cell>
          <cell r="L174" t="str">
            <v>Gateway valf arızası</v>
          </cell>
          <cell r="M174" t="str">
            <v>SSH stok malzemeden değiştirildi</v>
          </cell>
          <cell r="N174">
            <v>2</v>
          </cell>
          <cell r="P174" t="str">
            <v>B(Servisten çekmeye etki eden arızalar)</v>
          </cell>
          <cell r="Q174" t="str">
            <v>N.A(Yaralanma yok)</v>
          </cell>
          <cell r="R174" t="str">
            <v>Tedarikçi</v>
          </cell>
          <cell r="T174">
            <v>45451</v>
          </cell>
          <cell r="U174">
            <v>45451.484895833331</v>
          </cell>
          <cell r="V174" t="str">
            <v>KNORR-BREMSE, SYSTEME FÜR</v>
          </cell>
          <cell r="W174" t="str">
            <v>S306-8131/EP2002 GV2 KUTUSU B37</v>
          </cell>
          <cell r="X174"/>
          <cell r="Y174">
            <v>1</v>
          </cell>
          <cell r="Z174" t="str">
            <v>2214002GBZ</v>
          </cell>
          <cell r="AA174" t="str">
            <v>Evet</v>
          </cell>
          <cell r="AB174" t="str">
            <v>Ekipman değiştirilecek</v>
          </cell>
          <cell r="AC174"/>
          <cell r="AD174"/>
          <cell r="AE174" t="str">
            <v/>
          </cell>
          <cell r="AH174" t="str">
            <v/>
          </cell>
          <cell r="AN174">
            <v>2</v>
          </cell>
          <cell r="AP174" t="str">
            <v>(I) İlk defa karşılaşılan arıza</v>
          </cell>
          <cell r="AQ174">
            <v>45455</v>
          </cell>
          <cell r="AR174">
            <v>45455.486724537041</v>
          </cell>
          <cell r="AU174" t="str">
            <v>Fren</v>
          </cell>
          <cell r="AX174" t="str">
            <v>https://www.appsheet.com/Template/gettablefileurl?appname=GDM7x4_Failure_List-654943&amp;tableName=SAYFA1&amp;filename=Sayfa1_Images%2F400dbf1b.Resim.084130.png</v>
          </cell>
        </row>
        <row r="175">
          <cell r="A175" t="str">
            <v>78bf9ca2</v>
          </cell>
          <cell r="B175" t="str">
            <v>FRACAS-GDM-174</v>
          </cell>
          <cell r="E175">
            <v>45475</v>
          </cell>
          <cell r="F175">
            <v>45475.487280092595</v>
          </cell>
          <cell r="G175" t="str">
            <v>TS#6</v>
          </cell>
          <cell r="H175" t="str">
            <v>Mc2</v>
          </cell>
          <cell r="I175" t="str">
            <v>Depo/Depot</v>
          </cell>
          <cell r="J175" t="str">
            <v>C-Uyarı, sürüş devamlılığı</v>
          </cell>
          <cell r="K175" t="str">
            <v>SSH</v>
          </cell>
          <cell r="L175" t="str">
            <v>LCD display ekranda kırılma</v>
          </cell>
          <cell r="M175" t="str">
            <v>SSH stok malzemeden değiştirildi</v>
          </cell>
          <cell r="N175">
            <v>1</v>
          </cell>
          <cell r="P175" t="str">
            <v>C(Sisteme etki etmeyen arıza)</v>
          </cell>
          <cell r="Q175" t="str">
            <v>N.A(Yaralanma yok)</v>
          </cell>
          <cell r="R175" t="str">
            <v>Bozankaya</v>
          </cell>
          <cell r="T175">
            <v>45484</v>
          </cell>
          <cell r="U175">
            <v>45484.507106481484</v>
          </cell>
          <cell r="V175" t="str">
            <v>PİTON BİLGİSAYAR TEKNOLOJİLERİ EĞİT</v>
          </cell>
          <cell r="W175" t="str">
            <v>E840-8005/LCD Display</v>
          </cell>
          <cell r="X175"/>
          <cell r="Y175">
            <v>1</v>
          </cell>
          <cell r="Z175">
            <v>869023001107</v>
          </cell>
          <cell r="AA175" t="str">
            <v>Hayır</v>
          </cell>
          <cell r="AB175" t="str">
            <v>Ekipman değiştirilecek</v>
          </cell>
          <cell r="AC175"/>
          <cell r="AD175"/>
          <cell r="AE175" t="str">
            <v/>
          </cell>
          <cell r="AH175" t="str">
            <v/>
          </cell>
          <cell r="AN175">
            <v>1</v>
          </cell>
          <cell r="AP175" t="str">
            <v>(I) İlk defa karşılaşılan arıza</v>
          </cell>
          <cell r="AQ175" t="str">
            <v/>
          </cell>
          <cell r="AR175"/>
          <cell r="AU175" t="str">
            <v>PA/PIS/CCTV</v>
          </cell>
          <cell r="AX175" t="str">
            <v>https://www.appsheet.com/Template/gettablefileurl?appname=GDM7x4_Failure_List-654943&amp;tableName=SAYFA1&amp;filename=Sayfa1_Images%2F78bf9ca2.Resim.091028.png</v>
          </cell>
        </row>
        <row r="176">
          <cell r="A176" t="str">
            <v>be15910c</v>
          </cell>
          <cell r="B176" t="str">
            <v>FRACAS-GDM-175</v>
          </cell>
          <cell r="E176">
            <v>45505</v>
          </cell>
          <cell r="F176">
            <v>45505.507453703707</v>
          </cell>
          <cell r="G176" t="str">
            <v>TS#6</v>
          </cell>
          <cell r="H176" t="str">
            <v>Mc1 , Mc2</v>
          </cell>
          <cell r="I176" t="str">
            <v>Depo/Depot</v>
          </cell>
          <cell r="J176" t="str">
            <v>C-Uyarı, sürüş devamlılığı</v>
          </cell>
          <cell r="K176" t="str">
            <v>SSH</v>
          </cell>
          <cell r="L176" t="str">
            <v>Silecek motoru arızası</v>
          </cell>
          <cell r="M176" t="str">
            <v>MC1 ve MC2 de bulunan silecek motorlarına enerji verildiğinde sigortaları attırıyor.Devreye alma aşamasında motorların bozuk olduğu tespit edilmiştir. SSH stoğundaki malzemeler denenerek sistemin çalıştığı motorların arızalı olduğu görülmüştür.</v>
          </cell>
          <cell r="N176">
            <v>12</v>
          </cell>
          <cell r="P176" t="str">
            <v>C(Sisteme etki etmeyen arıza)</v>
          </cell>
          <cell r="Q176" t="str">
            <v>N.A(Yaralanma yok)</v>
          </cell>
          <cell r="R176" t="str">
            <v>Tedarikçi</v>
          </cell>
          <cell r="T176">
            <v>45512</v>
          </cell>
          <cell r="U176">
            <v>45512.584236111114</v>
          </cell>
          <cell r="V176" t="str">
            <v>PSV Wipers Ltd</v>
          </cell>
          <cell r="W176" t="str">
            <v>M100-8001/Silecek Motoru ve Mekanizması</v>
          </cell>
          <cell r="X176"/>
          <cell r="Y176">
            <v>2</v>
          </cell>
          <cell r="Z176"/>
          <cell r="AA176" t="str">
            <v>Evet</v>
          </cell>
          <cell r="AB176" t="str">
            <v>Ekipman değiştirilecek</v>
          </cell>
          <cell r="AC176"/>
          <cell r="AD176"/>
          <cell r="AE176" t="str">
            <v/>
          </cell>
          <cell r="AH176" t="str">
            <v/>
          </cell>
          <cell r="AN176">
            <v>1</v>
          </cell>
          <cell r="AP176" t="str">
            <v>(I) İlk defa karşılaşılan arıza</v>
          </cell>
          <cell r="AQ176" t="str">
            <v/>
          </cell>
          <cell r="AR176"/>
          <cell r="AU176" t="str">
            <v>Kabin Masası</v>
          </cell>
          <cell r="AX176" t="str">
            <v>https://www.appsheet.com/Template/gettablefileurl?appname=GDM7x4_Failure_List-654943&amp;tableName=SAYFA1&amp;filename=Sayfa1_Images%2Fbe15910c.Resim.110143.png</v>
          </cell>
        </row>
        <row r="177">
          <cell r="A177" t="str">
            <v>5dc842c8</v>
          </cell>
          <cell r="B177" t="str">
            <v>FRACAS-GDM-176</v>
          </cell>
          <cell r="E177">
            <v>45511</v>
          </cell>
          <cell r="F177">
            <v>45511.584699074076</v>
          </cell>
          <cell r="G177" t="str">
            <v>TS#3</v>
          </cell>
          <cell r="H177" t="str">
            <v>Mc1 , Mc2</v>
          </cell>
          <cell r="I177" t="str">
            <v>Depo/Depot</v>
          </cell>
          <cell r="J177" t="str">
            <v>C-Uyarı, sürüş devamlılığı</v>
          </cell>
          <cell r="K177" t="str">
            <v>SSH</v>
          </cell>
          <cell r="L177" t="str">
            <v>Silecek  motoru sigorta attırıyor</v>
          </cell>
          <cell r="M177" t="str">
            <v>MC1 ve MC2 de bulunan silecek motorlarına enerji verildiğinde sigortaları attırıyor.Devreye alma aşamasında motorların bozuk olduğu tespit edilmiştir. SSH stoğundaki malzemeler denenerek sistemin çalıştığı motorların arızalı olduğu görülmüştür.</v>
          </cell>
          <cell r="N177">
            <v>124</v>
          </cell>
          <cell r="P177" t="str">
            <v>C(Sisteme etki etmeyen arıza)</v>
          </cell>
          <cell r="Q177" t="str">
            <v>N.A(Yaralanma yok)</v>
          </cell>
          <cell r="R177" t="str">
            <v>Tedarikçi</v>
          </cell>
          <cell r="T177">
            <v>45513</v>
          </cell>
          <cell r="U177">
            <v>45513.58834490741</v>
          </cell>
          <cell r="V177" t="str">
            <v>PSV Wipers Ltd</v>
          </cell>
          <cell r="W177" t="str">
            <v>M100-8001/Silecek Motoru ve Mekanizması</v>
          </cell>
          <cell r="X177"/>
          <cell r="Y177">
            <v>2</v>
          </cell>
          <cell r="Z177" t="str">
            <v>mc1: w-10824788 05224  mc2: w10824788 05227</v>
          </cell>
          <cell r="AA177" t="str">
            <v>Evet</v>
          </cell>
          <cell r="AB177" t="str">
            <v>Ekipman değiştirilecek</v>
          </cell>
          <cell r="AC177" t="e">
            <v>#NAME?</v>
          </cell>
          <cell r="AD177"/>
          <cell r="AE177" t="str">
            <v/>
          </cell>
          <cell r="AH177" t="str">
            <v/>
          </cell>
          <cell r="AN177">
            <v>1</v>
          </cell>
          <cell r="AP177" t="str">
            <v>(II) Birden fazla karşılaşılan arıza</v>
          </cell>
          <cell r="AQ177" t="str">
            <v/>
          </cell>
          <cell r="AR177"/>
          <cell r="AU177" t="str">
            <v>Kabin Masası</v>
          </cell>
          <cell r="AX177" t="str">
            <v>https://www.appsheet.com/Template/gettablefileurl?appname=GDM7x4_Failure_List-654943&amp;tableName=SAYFA1&amp;filename=Sayfa1_Images%2F5dc842c8.Resim.110836.png</v>
          </cell>
        </row>
        <row r="178">
          <cell r="A178" t="str">
            <v>5b8956b7</v>
          </cell>
          <cell r="B178" t="str">
            <v>FRACAS-GDM-177</v>
          </cell>
          <cell r="E178">
            <v>45505</v>
          </cell>
          <cell r="F178">
            <v>45505.589282407411</v>
          </cell>
          <cell r="G178" t="str">
            <v>TS#3</v>
          </cell>
          <cell r="H178" t="str">
            <v>Mc2 , Mc1</v>
          </cell>
          <cell r="I178" t="str">
            <v>Depo/Depot</v>
          </cell>
          <cell r="J178" t="str">
            <v>C-Uyarı, sürüş devamlılığı</v>
          </cell>
          <cell r="K178" t="str">
            <v>SSH</v>
          </cell>
          <cell r="L178" t="str">
            <v>4Co 110V röle arızası</v>
          </cell>
          <cell r="M178" t="str">
            <v>MC1 , MC2 de 2 adet röle  , +59 pano JG-K13 sigortasının arızalı olduğu tespit edilmiş, Röle tetiklence dahi manevra almıyor.  SSH stoğundan malzeme alınarak değiştirilmiştir.</v>
          </cell>
          <cell r="N178">
            <v>124</v>
          </cell>
          <cell r="P178" t="str">
            <v>C(Sisteme etki etmeyen arıza)</v>
          </cell>
          <cell r="Q178" t="str">
            <v>N.A(Yaralanma yok)</v>
          </cell>
          <cell r="R178" t="str">
            <v>Tedarikçi</v>
          </cell>
          <cell r="T178">
            <v>45514</v>
          </cell>
          <cell r="U178">
            <v>45514.594351851854</v>
          </cell>
          <cell r="V178" t="str">
            <v>AYPA MÜHENDİSLİK PROJE DANIŞMANLIK</v>
          </cell>
          <cell r="W178" t="str">
            <v>E110-8018/4 CO ARTECHE 110V RÖLE</v>
          </cell>
          <cell r="X178"/>
          <cell r="Y178">
            <v>2</v>
          </cell>
          <cell r="Z178"/>
          <cell r="AA178" t="str">
            <v>Evet</v>
          </cell>
          <cell r="AB178" t="str">
            <v>Ekipman değiştirilecek</v>
          </cell>
          <cell r="AC178"/>
          <cell r="AD178"/>
          <cell r="AE178">
            <v>45513</v>
          </cell>
          <cell r="AH178" t="str">
            <v/>
          </cell>
          <cell r="AN178">
            <v>1</v>
          </cell>
          <cell r="AP178" t="str">
            <v>(II) Birden fazla karşılaşılan arıza</v>
          </cell>
          <cell r="AQ178" t="str">
            <v/>
          </cell>
          <cell r="AR178"/>
          <cell r="AU178" t="str">
            <v>E-Kabinet</v>
          </cell>
          <cell r="AX178" t="str">
            <v>https://www.appsheet.com/Template/gettablefileurl?appname=GDM7x4_Failure_List-654943&amp;tableName=SAYFA1&amp;filename=Sayfa1_Images%2F5b8956b7.Resim.111608.png</v>
          </cell>
        </row>
        <row r="179">
          <cell r="A179" t="str">
            <v>8a4e5be3</v>
          </cell>
          <cell r="B179" t="str">
            <v>FRACAS-GDM-178</v>
          </cell>
          <cell r="E179">
            <v>45455</v>
          </cell>
          <cell r="F179">
            <v>45455.609699074077</v>
          </cell>
          <cell r="G179" t="str">
            <v>TS#4</v>
          </cell>
          <cell r="H179" t="str">
            <v>T</v>
          </cell>
          <cell r="I179" t="str">
            <v>Depo/Depot</v>
          </cell>
          <cell r="J179" t="str">
            <v>C-Uyarı, sürüş devamlılığı</v>
          </cell>
          <cell r="K179" t="str">
            <v>SSH</v>
          </cell>
          <cell r="L179" t="str">
            <v>DOT modül haberleşme hatası</v>
          </cell>
          <cell r="M179" t="str">
            <v>T '+49 panoda dot1 modülde haberleşme arızası görülmüş SSH stoğundan sağlam malzeme temin edilip,değiştirilmiştir.</v>
          </cell>
          <cell r="N179">
            <v>124</v>
          </cell>
          <cell r="P179" t="str">
            <v>C(Sisteme etki etmeyen arıza)</v>
          </cell>
          <cell r="Q179" t="str">
            <v>N.A(Yaralanma yok)</v>
          </cell>
          <cell r="R179" t="str">
            <v>Tedarikçi</v>
          </cell>
          <cell r="T179">
            <v>45511</v>
          </cell>
          <cell r="U179">
            <v>45511.613298611112</v>
          </cell>
          <cell r="V179" t="str">
            <v>SELECTRON SYSTEMS AG</v>
          </cell>
          <cell r="W179" t="str">
            <v>E110-8007/DOT 732-TW</v>
          </cell>
          <cell r="X179"/>
          <cell r="Y179">
            <v>1</v>
          </cell>
          <cell r="Z179">
            <v>2200061</v>
          </cell>
          <cell r="AA179" t="str">
            <v>Evet</v>
          </cell>
          <cell r="AB179" t="str">
            <v>Ekipman değiştirilecek</v>
          </cell>
          <cell r="AC179"/>
          <cell r="AD179"/>
          <cell r="AE179">
            <v>45463</v>
          </cell>
          <cell r="AH179" t="str">
            <v/>
          </cell>
          <cell r="AN179">
            <v>1</v>
          </cell>
          <cell r="AP179" t="str">
            <v>(I) İlk defa karşılaşılan arıza</v>
          </cell>
          <cell r="AQ179">
            <v>45511</v>
          </cell>
          <cell r="AR179">
            <v>45511.612835648149</v>
          </cell>
          <cell r="AU179" t="str">
            <v>TCMS</v>
          </cell>
          <cell r="AX179" t="str">
            <v>https://www.appsheet.com/Template/gettablefileurl?appname=GDM7x4_Failure_List-654943&amp;tableName=SAYFA1&amp;filename=Sayfa1_Images%2F8a4e5be3.Resim.114320.png</v>
          </cell>
        </row>
        <row r="180">
          <cell r="A180" t="str">
            <v>1ed4557e</v>
          </cell>
          <cell r="B180" t="str">
            <v>FRACAS-GDM-179</v>
          </cell>
          <cell r="E180">
            <v>45636</v>
          </cell>
          <cell r="F180">
            <v>45636.613599537035</v>
          </cell>
          <cell r="G180" t="str">
            <v>TS#1</v>
          </cell>
          <cell r="H180" t="str">
            <v>T</v>
          </cell>
          <cell r="I180" t="str">
            <v>Depo/Depot</v>
          </cell>
          <cell r="J180" t="str">
            <v>C-Uyarı, sürüş devamlılığı</v>
          </cell>
          <cell r="K180" t="str">
            <v>SSH</v>
          </cell>
          <cell r="L180" t="str">
            <v>AAT modülde arıza</v>
          </cell>
          <cell r="M180" t="str">
            <v>T +41 panoda analog modülde (AAT) arıza meydana geldi. Modül içerisindeki arızaların detaylarını bilmiyoruz. Malzeme ssh stoğundan değiştirilmiştir.</v>
          </cell>
          <cell r="N180">
            <v>830</v>
          </cell>
          <cell r="P180" t="str">
            <v>C(Sisteme etki etmeyen arıza)</v>
          </cell>
          <cell r="Q180" t="str">
            <v>N.A(Yaralanma yok)</v>
          </cell>
          <cell r="R180" t="str">
            <v>Tedarikçi</v>
          </cell>
          <cell r="T180">
            <v>45526</v>
          </cell>
          <cell r="U180">
            <v>45526.615613425929</v>
          </cell>
          <cell r="V180" t="str">
            <v>SELECTRON SYSTEMS AG</v>
          </cell>
          <cell r="W180" t="str">
            <v>E110-8008/AAT 731-TG/12B</v>
          </cell>
          <cell r="X180"/>
          <cell r="Y180">
            <v>1</v>
          </cell>
          <cell r="Z180">
            <v>220200308</v>
          </cell>
          <cell r="AA180" t="str">
            <v>Evet</v>
          </cell>
          <cell r="AB180" t="str">
            <v>Ekipman değiştirilecek</v>
          </cell>
          <cell r="AC180"/>
          <cell r="AD180"/>
          <cell r="AE180" t="str">
            <v/>
          </cell>
          <cell r="AH180" t="str">
            <v/>
          </cell>
          <cell r="AN180">
            <v>1</v>
          </cell>
          <cell r="AP180" t="str">
            <v>(II) Birden fazla karşılaşılan arıza</v>
          </cell>
          <cell r="AQ180" t="str">
            <v/>
          </cell>
          <cell r="AR180"/>
          <cell r="AU180" t="str">
            <v>TCMS</v>
          </cell>
          <cell r="AX180" t="str">
            <v>https://www.appsheet.com/Template/gettablefileurl?appname=GDM7x4_Failure_List-654943&amp;tableName=SAYFA1&amp;filename=Sayfa1_Images%2F1ed4557e.Resim.114640.png</v>
          </cell>
        </row>
        <row r="181">
          <cell r="A181" t="str">
            <v>0376bc28</v>
          </cell>
          <cell r="B181" t="str">
            <v>FRACAS-GDM-180</v>
          </cell>
          <cell r="E181">
            <v>45636</v>
          </cell>
          <cell r="F181">
            <v>45636.615717592591</v>
          </cell>
          <cell r="G181" t="str">
            <v>TS#6</v>
          </cell>
          <cell r="H181" t="str">
            <v>T</v>
          </cell>
          <cell r="I181" t="str">
            <v>Depo/Depot</v>
          </cell>
          <cell r="J181" t="str">
            <v>C-Uyarı, sürüş devamlılığı</v>
          </cell>
          <cell r="K181" t="str">
            <v>SSH</v>
          </cell>
          <cell r="L181" t="str">
            <v>6A sigorta arızası</v>
          </cell>
          <cell r="M181" t="str">
            <v>Üretim ekiplerinin çalışması esnasında T +41 panoda 6A sigortada kablo sıkıştırma vidalarından birisi sıkıştığı için sigorta kullanılamaz hale geldi.</v>
          </cell>
          <cell r="N181">
            <v>89</v>
          </cell>
          <cell r="P181" t="str">
            <v>C(Sisteme etki etmeyen arıza)</v>
          </cell>
          <cell r="Q181" t="str">
            <v>N.A(Yaralanma yok)</v>
          </cell>
          <cell r="R181" t="str">
            <v>Tedarikçi</v>
          </cell>
          <cell r="T181">
            <v>45525</v>
          </cell>
          <cell r="U181">
            <v>45525.617743055554</v>
          </cell>
          <cell r="V181" t="str">
            <v>Wabtec Faiveley Turkey Ulaşım Siste</v>
          </cell>
          <cell r="W181" t="str">
            <v>E110-8056/6A  SİGORTA 110V</v>
          </cell>
          <cell r="X181"/>
          <cell r="Y181">
            <v>1</v>
          </cell>
          <cell r="Z181"/>
          <cell r="AA181" t="str">
            <v>Hayır</v>
          </cell>
          <cell r="AB181" t="str">
            <v>Ekipman değiştirilecek</v>
          </cell>
          <cell r="AC181"/>
          <cell r="AD181"/>
          <cell r="AE181">
            <v>45525</v>
          </cell>
          <cell r="AH181" t="str">
            <v/>
          </cell>
          <cell r="AN181">
            <v>1</v>
          </cell>
          <cell r="AP181" t="str">
            <v>(I) İlk defa karşılaşılan arıza</v>
          </cell>
          <cell r="AQ181">
            <v>45527</v>
          </cell>
          <cell r="AR181">
            <v>45527.619097222225</v>
          </cell>
          <cell r="AU181" t="str">
            <v>E-Kabinet</v>
          </cell>
          <cell r="AX181" t="str">
            <v>https://www.appsheet.com/Template/gettablefileurl?appname=GDM7x4_Failure_List-654943&amp;tableName=SAYFA1&amp;filename=Sayfa1_Images%2F0376bc28.Resim.115203.png</v>
          </cell>
        </row>
        <row r="182">
          <cell r="A182" t="str">
            <v>93ed213f</v>
          </cell>
          <cell r="B182" t="str">
            <v>FRACAS-GDM-181</v>
          </cell>
          <cell r="E182">
            <v>45559</v>
          </cell>
          <cell r="F182">
            <v>45559.619444444441</v>
          </cell>
          <cell r="G182" t="str">
            <v>TS#7</v>
          </cell>
          <cell r="H182" t="str">
            <v>M</v>
          </cell>
          <cell r="I182" t="str">
            <v>Depo/Depot</v>
          </cell>
          <cell r="J182" t="str">
            <v>C-Uyarı, sürüş devamlılığı</v>
          </cell>
          <cell r="K182" t="str">
            <v>SSH</v>
          </cell>
          <cell r="L182" t="str">
            <v>DCU arızası</v>
          </cell>
          <cell r="M182" t="str">
            <v>Gdm-7 aracının 14. kapısının kapı kontrol ünitesi (DCU) sürekli olarak arıza ışığı yakması ve kablosal olarak bi arıza bulunamaması sonucunda stoktaki sağlam DCU ile değiştirilmiş ve arızanın eski DCU da olduğu görülmüştür.</v>
          </cell>
          <cell r="N182">
            <v>181</v>
          </cell>
          <cell r="P182" t="str">
            <v>C(Sisteme etki etmeyen arıza)</v>
          </cell>
          <cell r="Q182" t="str">
            <v>N.A(Yaralanma yok)</v>
          </cell>
          <cell r="R182" t="str">
            <v>Tedarikçi</v>
          </cell>
          <cell r="T182">
            <v>45562</v>
          </cell>
          <cell r="U182">
            <v>45562.623831018522</v>
          </cell>
          <cell r="V182"/>
          <cell r="W182"/>
          <cell r="X182"/>
          <cell r="Y182"/>
          <cell r="Z182">
            <v>463546380012</v>
          </cell>
          <cell r="AA182" t="str">
            <v>Evet</v>
          </cell>
          <cell r="AB182" t="str">
            <v>Ekipman değiştirilecek</v>
          </cell>
          <cell r="AC182"/>
          <cell r="AD182"/>
          <cell r="AE182">
            <v>45559</v>
          </cell>
          <cell r="AH182" t="str">
            <v/>
          </cell>
          <cell r="AN182">
            <v>1</v>
          </cell>
          <cell r="AP182" t="str">
            <v>(I) İlk defa karşılaşılan arıza</v>
          </cell>
          <cell r="AQ182">
            <v>45560</v>
          </cell>
          <cell r="AR182">
            <v>45560.623391203706</v>
          </cell>
          <cell r="AU182" t="str">
            <v>Kapı</v>
          </cell>
          <cell r="AX182" t="str">
            <v>https://www.appsheet.com/Template/gettablefileurl?appname=GDM7x4_Failure_List-654943&amp;tableName=SAYFA1&amp;filename=Sayfa1_Images%2F93ed213f.Resim.115827.png</v>
          </cell>
        </row>
        <row r="183">
          <cell r="A183" t="str">
            <v>5f21f705</v>
          </cell>
          <cell r="B183" t="str">
            <v>FRACAS-GDM-182</v>
          </cell>
          <cell r="E183">
            <v>45555</v>
          </cell>
          <cell r="F183">
            <v>45555.624085648145</v>
          </cell>
          <cell r="G183" t="str">
            <v>TS#6</v>
          </cell>
          <cell r="H183" t="str">
            <v>T</v>
          </cell>
          <cell r="I183" t="str">
            <v>Depo/Depot</v>
          </cell>
          <cell r="J183" t="str">
            <v>C-Uyarı, sürüş devamlılığı</v>
          </cell>
          <cell r="K183" t="str">
            <v>SSH</v>
          </cell>
          <cell r="L183" t="str">
            <v>Batarya kutusu kapağı menteşesinin kırılması</v>
          </cell>
          <cell r="M183" t="str">
            <v>GDM6 aracı bakımlarının yapıldığı esnada batarya voltajları ölçülmek üzere kapak açıldığında kapağın menteşesinin kırık olduğu görülmüş. Kapak yerine oturtulup, kilitlenip bırakılmıştır.</v>
          </cell>
          <cell r="N183">
            <v>181</v>
          </cell>
          <cell r="P183" t="str">
            <v>C(Sisteme etki etmeyen arıza)</v>
          </cell>
          <cell r="Q183" t="str">
            <v>N.A(Yaralanma yok)</v>
          </cell>
          <cell r="R183" t="str">
            <v>Tedarikçi</v>
          </cell>
          <cell r="T183">
            <v>45561</v>
          </cell>
          <cell r="U183">
            <v>45561.6252662037</v>
          </cell>
          <cell r="V183" t="str">
            <v>ASPİLSAN ENERJİ SAN.ve TİC.A.Ş.</v>
          </cell>
          <cell r="W183" t="str">
            <v>P680-8001/110V BATARYA KUTUSU</v>
          </cell>
          <cell r="X183"/>
          <cell r="Y183">
            <v>1</v>
          </cell>
          <cell r="Z183"/>
          <cell r="AA183" t="str">
            <v>Evet</v>
          </cell>
          <cell r="AB183" t="str">
            <v>Ekipman değiştirilecek</v>
          </cell>
          <cell r="AC183"/>
          <cell r="AD183"/>
          <cell r="AE183" t="str">
            <v/>
          </cell>
          <cell r="AH183" t="str">
            <v/>
          </cell>
          <cell r="AN183">
            <v>1</v>
          </cell>
          <cell r="AP183" t="str">
            <v>(III) Birden fazla aynı araçta karşılaşılan arıza</v>
          </cell>
          <cell r="AQ183" t="str">
            <v/>
          </cell>
          <cell r="AR183"/>
          <cell r="AU183" t="str">
            <v>Batarya</v>
          </cell>
          <cell r="AX183" t="str">
            <v>https://www.appsheet.com/Template/gettablefileurl?appname=GDM7x4_Failure_List-654943&amp;tableName=SAYFA1&amp;filename=Sayfa1_Images%2F5f21f705.Resim.121030.png</v>
          </cell>
        </row>
        <row r="184">
          <cell r="A184" t="str">
            <v>e4a1b66f</v>
          </cell>
          <cell r="B184" t="str">
            <v>FRACAS-GDM-183</v>
          </cell>
          <cell r="E184">
            <v>45569</v>
          </cell>
          <cell r="F184">
            <v>45569.632453703707</v>
          </cell>
          <cell r="G184" t="str">
            <v>TS#7</v>
          </cell>
          <cell r="H184" t="str">
            <v>Mc1</v>
          </cell>
          <cell r="I184" t="str">
            <v>Depo/Depot</v>
          </cell>
          <cell r="J184" t="str">
            <v>C-Uyarı, sürüş devamlılığı</v>
          </cell>
          <cell r="K184" t="str">
            <v>SSH</v>
          </cell>
          <cell r="L184" t="str">
            <v>Manyetik valf arızası</v>
          </cell>
          <cell r="M184" t="str">
            <v>GDM7 aracında yapılan fonksiyon kontrol çalışmaları sırasında aracın MC1 modülünde kuplajı çözdüğü fakat geri kuramadığı fark edilmiş. Yapılan kablolama kontrolü sonrası arızanın kablolamada olmadığı görülmüş ve kuplajın manyetik valfi stoktaki sağlam parçayla değiştirilip sistem tekrar denendiğinde sistem çalışmıştır.</v>
          </cell>
          <cell r="N184">
            <v>191</v>
          </cell>
          <cell r="P184" t="str">
            <v>C(Sisteme etki etmeyen arıza)</v>
          </cell>
          <cell r="Q184" t="str">
            <v>N.A(Yaralanma yok)</v>
          </cell>
          <cell r="R184" t="str">
            <v>Tedarikçi</v>
          </cell>
          <cell r="T184">
            <v>45570</v>
          </cell>
          <cell r="U184">
            <v>45570.633344907408</v>
          </cell>
          <cell r="V184" t="str">
            <v>KNORR-BREMSE, SYSTEME FÜR</v>
          </cell>
          <cell r="W184" t="str">
            <v>S306-8125/MANYETİK VALF W06</v>
          </cell>
          <cell r="X184"/>
          <cell r="Y184">
            <v>1</v>
          </cell>
          <cell r="Z184">
            <v>160030669</v>
          </cell>
          <cell r="AA184" t="str">
            <v>Evet</v>
          </cell>
          <cell r="AB184" t="str">
            <v>Ekipman değiştirilecek</v>
          </cell>
          <cell r="AC184"/>
          <cell r="AD184"/>
          <cell r="AE184" t="str">
            <v/>
          </cell>
          <cell r="AH184" t="str">
            <v/>
          </cell>
          <cell r="AN184">
            <v>1</v>
          </cell>
          <cell r="AP184" t="str">
            <v>(I) İlk defa karşılaşılan arıza</v>
          </cell>
          <cell r="AQ184">
            <v>45574</v>
          </cell>
          <cell r="AR184">
            <v>45574.634930555556</v>
          </cell>
          <cell r="AU184" t="str">
            <v>Autocoupler</v>
          </cell>
          <cell r="AX184" t="str">
            <v>https://www.appsheet.com/Template/gettablefileurl?appname=GDM7x4_Failure_List-654943&amp;tableName=SAYFA1&amp;filename=Sayfa1_Images%2Fe4a1b66f.Resim.121502.png</v>
          </cell>
        </row>
        <row r="185">
          <cell r="A185" t="str">
            <v>7eb50e4d</v>
          </cell>
          <cell r="B185" t="str">
            <v>FRACAS-GDM-184</v>
          </cell>
          <cell r="E185">
            <v>45576</v>
          </cell>
          <cell r="F185">
            <v>45576.635578703703</v>
          </cell>
          <cell r="G185" t="str">
            <v>TS#3</v>
          </cell>
          <cell r="H185" t="str">
            <v>Mc1</v>
          </cell>
          <cell r="I185" t="str">
            <v>Depo/Depot</v>
          </cell>
          <cell r="J185" t="str">
            <v>C-Uyarı, sürüş devamlılığı</v>
          </cell>
          <cell r="K185" t="str">
            <v>SSH</v>
          </cell>
          <cell r="L185" t="str">
            <v>Yönetilebilir 12 port ethernet switch arızası</v>
          </cell>
          <cell r="M185" t="str">
            <v>GDM3 MC1 modüldeki ethernet switch'in power verildiğinde çalışmadığı, araç ile haberleşmediği görülmüştür. Stokta bulunan switch denendiğinde çalıştığı, hatta bir problem olmadığı; arızanın switch'te olduğu tespit edilmiştir.</v>
          </cell>
          <cell r="N185">
            <v>191</v>
          </cell>
          <cell r="P185" t="str">
            <v>C(Sisteme etki etmeyen arıza)</v>
          </cell>
          <cell r="Q185" t="str">
            <v>N.A(Yaralanma yok)</v>
          </cell>
          <cell r="R185" t="str">
            <v>Tedarikçi</v>
          </cell>
          <cell r="T185">
            <v>45576</v>
          </cell>
          <cell r="U185">
            <v>45576.63689814815</v>
          </cell>
          <cell r="V185" t="str">
            <v>ARESKOM İLETİŞİM SİS TİC LTD ŞTİ</v>
          </cell>
          <cell r="W185" t="str">
            <v>E855-8001/Yönetilebilir 12 Port Ethernet Switch</v>
          </cell>
          <cell r="X185"/>
          <cell r="Y185">
            <v>1</v>
          </cell>
          <cell r="Z185">
            <v>43193</v>
          </cell>
          <cell r="AA185" t="str">
            <v>Evet</v>
          </cell>
          <cell r="AB185" t="str">
            <v>Ekipman değiştirilecek</v>
          </cell>
          <cell r="AC185"/>
          <cell r="AD185"/>
          <cell r="AE185" t="str">
            <v/>
          </cell>
          <cell r="AH185" t="str">
            <v/>
          </cell>
          <cell r="AN185">
            <v>1</v>
          </cell>
          <cell r="AP185" t="str">
            <v>(I) İlk defa karşılaşılan arıza</v>
          </cell>
          <cell r="AQ185" t="str">
            <v/>
          </cell>
          <cell r="AR185"/>
          <cell r="AU185" t="str">
            <v>TCMS</v>
          </cell>
          <cell r="AX185" t="str">
            <v>https://www.appsheet.com/Template/gettablefileurl?appname=GDM7x4_Failure_List-654943&amp;tableName=SAYFA1&amp;filename=Sayfa1_Images%2F7eb50e4d.Resim.121935.png</v>
          </cell>
        </row>
        <row r="186">
          <cell r="A186" t="str">
            <v>5c852116</v>
          </cell>
          <cell r="B186" t="str">
            <v>FRACAS-GDM-185</v>
          </cell>
          <cell r="E186">
            <v>45579</v>
          </cell>
          <cell r="F186">
            <v>45579.63857638889</v>
          </cell>
          <cell r="G186" t="str">
            <v>TS#3</v>
          </cell>
          <cell r="H186" t="str">
            <v>Mc1 , T , M , Mc2</v>
          </cell>
          <cell r="I186" t="str">
            <v>Depo/Depot</v>
          </cell>
          <cell r="J186" t="str">
            <v>C-Uyarı, sürüş devamlılığı</v>
          </cell>
          <cell r="K186" t="str">
            <v>SSH</v>
          </cell>
          <cell r="L186" t="str">
            <v>LCD ekran arızası</v>
          </cell>
          <cell r="M186" t="str">
            <v>Araçtaki bazı 18.5 inç yolcu bilgilendirme ekranlarına enerjinin geldiği fakat ekranların canlanmadığı görülmüş, hat kontrolü yapıldıktan sonra hattın sağlam olduğu, sorunun ekranda olduğu tespit edilmiştir. Ekranlar SSH stoğundan değiştirilmiştir.</v>
          </cell>
          <cell r="N186">
            <v>159</v>
          </cell>
          <cell r="P186" t="str">
            <v>C(Sisteme etki etmeyen arıza)</v>
          </cell>
          <cell r="Q186" t="str">
            <v>N.A(Yaralanma yok)</v>
          </cell>
          <cell r="R186" t="str">
            <v>Tedarikçi</v>
          </cell>
          <cell r="T186">
            <v>45581</v>
          </cell>
          <cell r="U186">
            <v>45581.641898148147</v>
          </cell>
          <cell r="V186" t="str">
            <v>PİTON BİLGİSAYAR TEKNOLOJİLERİ EĞİT</v>
          </cell>
          <cell r="W186" t="str">
            <v>E840-8006/LCD EKRAN</v>
          </cell>
          <cell r="X186"/>
          <cell r="Y186">
            <v>4</v>
          </cell>
          <cell r="Z186" t="str">
            <v>869024001884-869024001887-869023001845-869023001863</v>
          </cell>
          <cell r="AA186" t="str">
            <v>Evet</v>
          </cell>
          <cell r="AB186" t="str">
            <v>Ekipman değiştirilecek</v>
          </cell>
          <cell r="AC186"/>
          <cell r="AD186"/>
          <cell r="AE186">
            <v>45581</v>
          </cell>
          <cell r="AH186" t="str">
            <v/>
          </cell>
          <cell r="AN186">
            <v>1</v>
          </cell>
          <cell r="AP186" t="str">
            <v>(II) Birden fazla karşılaşılan arıza</v>
          </cell>
          <cell r="AQ186" t="str">
            <v/>
          </cell>
          <cell r="AR186"/>
          <cell r="AU186" t="str">
            <v>PA/PIS/CCTV</v>
          </cell>
          <cell r="AX186" t="str">
            <v>https://www.appsheet.com/Template/gettablefileurl?appname=GDM7x4_Failure_List-654943&amp;tableName=SAYFA1&amp;filename=Sayfa1_Images%2F5c852116.Resim.122429.png</v>
          </cell>
        </row>
        <row r="187">
          <cell r="A187" t="str">
            <v>efe72f4f</v>
          </cell>
          <cell r="B187" t="str">
            <v>FRACAS-GDM-186</v>
          </cell>
          <cell r="E187">
            <v>45579</v>
          </cell>
          <cell r="F187">
            <v>45579.642141203702</v>
          </cell>
          <cell r="G187" t="str">
            <v>TS#3</v>
          </cell>
          <cell r="H187" t="str">
            <v>Mc1 , T , M , Mc2</v>
          </cell>
          <cell r="I187" t="str">
            <v>Depo/Depot</v>
          </cell>
          <cell r="J187" t="str">
            <v>C-Uyarı, sürüş devamlılığı</v>
          </cell>
          <cell r="K187" t="str">
            <v>SSH</v>
          </cell>
          <cell r="L187" t="str">
            <v>Strech ekranlarda arıza</v>
          </cell>
          <cell r="M187" t="str">
            <v>Araçtaki bazı 24 inç yolcu bilgilendirme ekranlarına enerjinin geldiği fakat ekranların canlanmadığı görülmüş, hat kontrolü yapıldıktan sonra hattın sağlam olduğu, sorunun ekranda olduğu tespit edilmiştir. Ekranlar SSH stoğundan değiştirilmiştir.</v>
          </cell>
          <cell r="N187">
            <v>159</v>
          </cell>
          <cell r="P187" t="str">
            <v>C(Sisteme etki etmeyen arıza)</v>
          </cell>
          <cell r="Q187" t="str">
            <v>N.A(Yaralanma yok)</v>
          </cell>
          <cell r="R187" t="str">
            <v>Tedarikçi</v>
          </cell>
          <cell r="T187">
            <v>45581</v>
          </cell>
          <cell r="U187">
            <v>45581.643113425926</v>
          </cell>
          <cell r="V187" t="str">
            <v>PİTON BİLGİSAYAR TEKNOLOJİLERİ EĞİT</v>
          </cell>
          <cell r="W187" t="str">
            <v>E840-8007/Strech Ekran</v>
          </cell>
          <cell r="X187"/>
          <cell r="Y187">
            <v>3</v>
          </cell>
          <cell r="Z187" t="str">
            <v>869023001657-869023001642-869023001608</v>
          </cell>
          <cell r="AA187" t="str">
            <v>Evet</v>
          </cell>
          <cell r="AB187" t="str">
            <v>Ekipman değiştirilecek</v>
          </cell>
          <cell r="AC187"/>
          <cell r="AD187"/>
          <cell r="AE187" t="str">
            <v/>
          </cell>
          <cell r="AH187" t="str">
            <v/>
          </cell>
          <cell r="AN187">
            <v>2</v>
          </cell>
          <cell r="AP187" t="str">
            <v>(II) Birden fazla karşılaşılan arıza</v>
          </cell>
          <cell r="AQ187">
            <v>45583</v>
          </cell>
          <cell r="AR187">
            <v>45583.644178240742</v>
          </cell>
          <cell r="AU187" t="str">
            <v>PA/PIS/CCTV</v>
          </cell>
          <cell r="AX187" t="str">
            <v>https://www.appsheet.com/Template/gettablefileurl?appname=GDM7x4_Failure_List-654943&amp;tableName=SAYFA1&amp;filename=Sayfa1_Images%2Fefe72f4f.Resim.122814.png</v>
          </cell>
        </row>
        <row r="188">
          <cell r="A188" t="str">
            <v>513f01f2</v>
          </cell>
          <cell r="B188" t="str">
            <v>FRACAS-GDM-187</v>
          </cell>
          <cell r="E188">
            <v>45579</v>
          </cell>
          <cell r="F188">
            <v>45579.645185185182</v>
          </cell>
          <cell r="G188" t="str">
            <v>TS#3</v>
          </cell>
          <cell r="H188" t="str">
            <v>Mc2</v>
          </cell>
          <cell r="I188" t="str">
            <v>Depo/Depot</v>
          </cell>
          <cell r="J188" t="str">
            <v>C-Uyarı, sürüş devamlılığı</v>
          </cell>
          <cell r="K188" t="str">
            <v>SSH</v>
          </cell>
          <cell r="L188" t="str">
            <v>PAPIS arızası</v>
          </cell>
          <cell r="M188" t="str">
            <v>GDM3 aracı MC2 modülde PAPIS'in sisteminin stabil olmadığı, çalışmadığı görülmüştür. SSH stoğundaki pc ile değiştirilmiş piton tarafından yazılımın yüklenmesi bekleniyor.</v>
          </cell>
          <cell r="N188">
            <v>159</v>
          </cell>
          <cell r="P188" t="str">
            <v>C(Sisteme etki etmeyen arıza)</v>
          </cell>
          <cell r="Q188" t="str">
            <v>N.A(Yaralanma yok)</v>
          </cell>
          <cell r="R188" t="str">
            <v>Tedarikçi</v>
          </cell>
          <cell r="T188">
            <v>45582</v>
          </cell>
          <cell r="U188">
            <v>45582.646145833336</v>
          </cell>
          <cell r="V188" t="str">
            <v>PİTON BİLGİSAYAR TEKNOLOJİLERİ EĞİT</v>
          </cell>
          <cell r="W188" t="str">
            <v>E840-8001/PC</v>
          </cell>
          <cell r="X188"/>
          <cell r="Y188">
            <v>1</v>
          </cell>
          <cell r="Z188" t="str">
            <v>TSCCC1005571</v>
          </cell>
          <cell r="AA188" t="str">
            <v>Evet</v>
          </cell>
          <cell r="AB188" t="str">
            <v>Ekipman değiştirilecek</v>
          </cell>
          <cell r="AC188"/>
          <cell r="AD188"/>
          <cell r="AE188" t="str">
            <v/>
          </cell>
          <cell r="AH188" t="str">
            <v/>
          </cell>
          <cell r="AN188">
            <v>1</v>
          </cell>
          <cell r="AP188" t="str">
            <v>(I) İlk defa karşılaşılan arıza</v>
          </cell>
          <cell r="AQ188">
            <v>45583</v>
          </cell>
          <cell r="AR188">
            <v>45583.647094907406</v>
          </cell>
          <cell r="AU188" t="str">
            <v>PA/PIS/CCTV</v>
          </cell>
          <cell r="AX188" t="str">
            <v>https://www.appsheet.com/Template/gettablefileurl?appname=GDM7x4_Failure_List-654943&amp;tableName=SAYFA1&amp;filename=Sayfa1_Images%2F513f01f2.Resim.123225.png</v>
          </cell>
        </row>
        <row r="189">
          <cell r="A189" t="str">
            <v>39d404cf</v>
          </cell>
          <cell r="B189" t="str">
            <v>FRACAS-GDM-188</v>
          </cell>
          <cell r="E189">
            <v>45636</v>
          </cell>
          <cell r="F189">
            <v>45636.647476851853</v>
          </cell>
          <cell r="G189" t="str">
            <v>TS#3</v>
          </cell>
          <cell r="H189" t="str">
            <v>Mc2</v>
          </cell>
          <cell r="I189" t="str">
            <v>Depo/Depot</v>
          </cell>
          <cell r="J189" t="str">
            <v>C-Uyarı, sürüş devamlılığı</v>
          </cell>
          <cell r="K189" t="str">
            <v>SSH</v>
          </cell>
          <cell r="L189" t="str">
            <v>2CO röle arızası</v>
          </cell>
          <cell r="M189" t="str">
            <v>GDM3 aracı MC2 de reklam ekranlarının depot ya da katener enerjisi olmadan çalıştığı görülmüş, yapılan hat kontrolü sonucunda PD-K07 rölesinin arızalı olduğu tespit edilmiş, SSH stoğundan değiştirilmiştir.</v>
          </cell>
          <cell r="N189">
            <v>159</v>
          </cell>
          <cell r="P189" t="str">
            <v>C(Sisteme etki etmeyen arıza)</v>
          </cell>
          <cell r="Q189" t="str">
            <v>N.A(Yaralanma yok)</v>
          </cell>
          <cell r="R189" t="str">
            <v>Tedarikçi</v>
          </cell>
          <cell r="T189">
            <v>45581</v>
          </cell>
          <cell r="U189">
            <v>45581.650069444448</v>
          </cell>
          <cell r="V189" t="str">
            <v>AYPA MÜHENDİSLİK PROJE DANIŞMANLIK</v>
          </cell>
          <cell r="W189" t="str">
            <v>E110-8017/2 CO ARTECHE 110V RÖLE</v>
          </cell>
          <cell r="X189"/>
          <cell r="Y189">
            <v>1</v>
          </cell>
          <cell r="Z189">
            <v>220044001909</v>
          </cell>
          <cell r="AA189" t="str">
            <v>Evet</v>
          </cell>
          <cell r="AB189" t="str">
            <v>Ekipman değiştirilecek</v>
          </cell>
          <cell r="AC189"/>
          <cell r="AD189"/>
          <cell r="AE189" t="str">
            <v/>
          </cell>
          <cell r="AH189" t="str">
            <v/>
          </cell>
          <cell r="AN189">
            <v>1</v>
          </cell>
          <cell r="AP189" t="str">
            <v>(I) İlk defa karşılaşılan arıza</v>
          </cell>
          <cell r="AQ189" t="str">
            <v/>
          </cell>
          <cell r="AR189"/>
          <cell r="AU189" t="str">
            <v>E-Kabinet</v>
          </cell>
          <cell r="AX189" t="str">
            <v>https://www.appsheet.com/Template/gettablefileurl?appname=GDM7x4_Failure_List-654943&amp;tableName=SAYFA1&amp;filename=Sayfa1_Images%2F39d404cf.Resim.123624.png</v>
          </cell>
        </row>
        <row r="190">
          <cell r="A190" t="str">
            <v>40cf84dc</v>
          </cell>
          <cell r="B190" t="str">
            <v>FRACAS-GDM-189</v>
          </cell>
          <cell r="E190">
            <v>45642</v>
          </cell>
          <cell r="F190">
            <v>45642.650405092594</v>
          </cell>
          <cell r="G190" t="str">
            <v>TS#3</v>
          </cell>
          <cell r="H190" t="str">
            <v>T</v>
          </cell>
          <cell r="I190" t="str">
            <v>Depo/Depot</v>
          </cell>
          <cell r="J190" t="str">
            <v>C-Uyarı, sürüş devamlılığı</v>
          </cell>
          <cell r="K190" t="str">
            <v>SSH</v>
          </cell>
          <cell r="L190" t="str">
            <v>Kablo tv sinyal yükseltici</v>
          </cell>
          <cell r="M190" t="str">
            <v>GDM 3 aracı Piton sistemini düzeltme çalışmalarında ekranlara görüntü gelmediğinden hat kontrol edilip, analog yükselticinin sinyali yükseltmediği tespit edilmiştir. SSH stoğundan yenisiyle değiştirilmiştir.</v>
          </cell>
          <cell r="N190">
            <v>159</v>
          </cell>
          <cell r="P190" t="str">
            <v>C(Sisteme etki etmeyen arıza)</v>
          </cell>
          <cell r="Q190" t="str">
            <v>N.A(Yaralanma yok)</v>
          </cell>
          <cell r="R190" t="str">
            <v>Tedarikçi</v>
          </cell>
          <cell r="T190">
            <v>45582</v>
          </cell>
          <cell r="U190">
            <v>45582.651990740742</v>
          </cell>
          <cell r="V190" t="str">
            <v>PİTON BİLGİSAYAR TEKNOLOJİLERİ EĞİT</v>
          </cell>
          <cell r="W190"/>
          <cell r="X190"/>
          <cell r="Y190">
            <v>1</v>
          </cell>
          <cell r="Z190"/>
          <cell r="AA190" t="str">
            <v>Evet</v>
          </cell>
          <cell r="AB190" t="str">
            <v>Ekipman değiştirilecek</v>
          </cell>
          <cell r="AC190"/>
          <cell r="AD190"/>
          <cell r="AE190">
            <v>45584</v>
          </cell>
          <cell r="AH190" t="str">
            <v/>
          </cell>
          <cell r="AN190"/>
          <cell r="AP190" t="str">
            <v>(II) Birden fazla karşılaşılan arıza</v>
          </cell>
          <cell r="AQ190" t="str">
            <v/>
          </cell>
          <cell r="AR190"/>
          <cell r="AU190" t="str">
            <v>PA/PIS/CCTV</v>
          </cell>
          <cell r="AX190" t="str">
            <v>https://www.appsheet.com/Template/gettablefileurl?appname=GDM7x4_Failure_List-654943&amp;tableName=SAYFA1&amp;filename=Sayfa1_Images%2F40cf84dc.Resim.124146.png</v>
          </cell>
        </row>
        <row r="191">
          <cell r="A191" t="str">
            <v>f1cb3d47</v>
          </cell>
          <cell r="B191" t="str">
            <v>FRACAS-GDM-190</v>
          </cell>
          <cell r="E191">
            <v>45589</v>
          </cell>
          <cell r="F191">
            <v>45589.654178240744</v>
          </cell>
          <cell r="G191" t="str">
            <v>TS#2</v>
          </cell>
          <cell r="H191" t="str">
            <v>Mc2</v>
          </cell>
          <cell r="I191" t="str">
            <v>Depo/Depot</v>
          </cell>
          <cell r="J191" t="str">
            <v>C-Uyarı, sürüş devamlılığı</v>
          </cell>
          <cell r="K191" t="str">
            <v>SSH</v>
          </cell>
          <cell r="L191" t="str">
            <v>Can splitter arızası</v>
          </cell>
          <cell r="M191" t="str">
            <v>GDM2 aracında gateway valfin görülmemesi üzerine hat kontrolü yapılmıştır. Bu kontrol sonrası CAN hattını bozan parçanın splitter kutususnun içinde olan kısa devre olduğu anlaşılmış, SSH stoğundaki sağlam ürün ile değiştirilmiştir.</v>
          </cell>
          <cell r="N191">
            <v>113</v>
          </cell>
          <cell r="P191" t="str">
            <v>C(Sisteme etki etmeyen arıza)</v>
          </cell>
          <cell r="Q191" t="str">
            <v>N.A(Yaralanma yok)</v>
          </cell>
          <cell r="R191" t="str">
            <v>Bozankaya</v>
          </cell>
          <cell r="T191">
            <v>45590</v>
          </cell>
          <cell r="U191">
            <v>45590.662719907406</v>
          </cell>
          <cell r="V191"/>
          <cell r="W191" t="str">
            <v>E110-7533/CAN SPLITTER KUTU KOMPLESİ</v>
          </cell>
          <cell r="X191"/>
          <cell r="Y191">
            <v>1</v>
          </cell>
          <cell r="Z191"/>
          <cell r="AA191" t="str">
            <v>Hayır</v>
          </cell>
          <cell r="AB191" t="str">
            <v>Ekipman değiştirilecek</v>
          </cell>
          <cell r="AC191"/>
          <cell r="AD191"/>
          <cell r="AE191" t="str">
            <v/>
          </cell>
          <cell r="AH191" t="str">
            <v/>
          </cell>
          <cell r="AN191">
            <v>1</v>
          </cell>
          <cell r="AP191" t="str">
            <v>(I) İlk defa karşılaşılan arıza</v>
          </cell>
          <cell r="AQ191" t="str">
            <v/>
          </cell>
          <cell r="AR191"/>
          <cell r="AU191" t="str">
            <v>E-Kabinet</v>
          </cell>
          <cell r="AX191" t="str">
            <v>https://www.appsheet.com/Template/gettablefileurl?appname=GDM7x4_Failure_List-654943&amp;tableName=SAYFA1&amp;filename=Sayfa1_Images%2Ff1cb3d47.Resim.125543.png</v>
          </cell>
        </row>
        <row r="192">
          <cell r="A192" t="str">
            <v>df8d860b</v>
          </cell>
          <cell r="B192" t="str">
            <v>FRACAS-GDM-191</v>
          </cell>
          <cell r="E192">
            <v>45617</v>
          </cell>
          <cell r="F192">
            <v>45617.663877314815</v>
          </cell>
          <cell r="G192" t="str">
            <v>TS#4</v>
          </cell>
          <cell r="H192" t="str">
            <v>T</v>
          </cell>
          <cell r="I192" t="str">
            <v>Depo/Depot</v>
          </cell>
          <cell r="J192" t="str">
            <v>C-Uyarı, sürüş devamlılığı</v>
          </cell>
          <cell r="K192" t="str">
            <v>SSH</v>
          </cell>
          <cell r="L192" t="str">
            <v>LCD display ekranında fiziksel hasar</v>
          </cell>
          <cell r="M192" t="str">
            <v>GDM4 T modülde reklam ekranında darbeye bağlı çatlama olduğu görüldü. Ekran ssh stoğundan değiştirildi.</v>
          </cell>
          <cell r="N192">
            <v>79</v>
          </cell>
          <cell r="P192" t="str">
            <v>C(Sisteme etki etmeyen arıza)</v>
          </cell>
          <cell r="Q192" t="str">
            <v>N.A(Yaralanma yok)</v>
          </cell>
          <cell r="R192" t="str">
            <v>Bozankaya</v>
          </cell>
          <cell r="T192">
            <v>45618</v>
          </cell>
          <cell r="U192">
            <v>45618.666250000002</v>
          </cell>
          <cell r="V192" t="str">
            <v>PİTON BİLGİSAYAR TEKNOLOJİLERİ EĞİT</v>
          </cell>
          <cell r="W192" t="str">
            <v>E840-8005/LCD Display</v>
          </cell>
          <cell r="X192"/>
          <cell r="Y192">
            <v>1</v>
          </cell>
          <cell r="Z192">
            <v>869023001175</v>
          </cell>
          <cell r="AA192" t="str">
            <v>Hayır</v>
          </cell>
          <cell r="AB192" t="str">
            <v>Ekipman değiştirilecek</v>
          </cell>
          <cell r="AC192"/>
          <cell r="AD192"/>
          <cell r="AE192" t="str">
            <v/>
          </cell>
          <cell r="AH192" t="str">
            <v/>
          </cell>
          <cell r="AN192">
            <v>1</v>
          </cell>
          <cell r="AP192" t="str">
            <v>(I) İlk defa karşılaşılan arıza</v>
          </cell>
          <cell r="AQ192">
            <v>45618</v>
          </cell>
          <cell r="AR192">
            <v>45618.665879629632</v>
          </cell>
          <cell r="AU192" t="str">
            <v>PA/PIS/CCTV</v>
          </cell>
          <cell r="AX192" t="str">
            <v>https://www.appsheet.com/Template/gettablefileurl?appname=GDM7x4_Failure_List-654943&amp;tableName=SAYFA1&amp;filename=Sayfa1_Images%2Fdf8d860b.Resim.125930.png</v>
          </cell>
        </row>
        <row r="193">
          <cell r="A193" t="str">
            <v>892a91f4</v>
          </cell>
          <cell r="B193" t="str">
            <v>FRACAS-GDM-192</v>
          </cell>
          <cell r="E193">
            <v>45632</v>
          </cell>
          <cell r="F193">
            <v>45632.66646990741</v>
          </cell>
          <cell r="G193" t="str">
            <v>TS#4</v>
          </cell>
          <cell r="H193" t="str">
            <v>Mc2</v>
          </cell>
          <cell r="I193" t="str">
            <v>Depo/Depot</v>
          </cell>
          <cell r="J193" t="str">
            <v>C-Uyarı, sürüş devamlılığı</v>
          </cell>
          <cell r="K193" t="str">
            <v>SSH</v>
          </cell>
          <cell r="L193" t="str">
            <v>LCD display arızası</v>
          </cell>
          <cell r="M193" t="str">
            <v>GDM4 MC2 araçta ekranın çalışmadığı görülmüştür. Elektrik hattı kontrol edildiğinde eksisi ve artısının olduğu fakan ekranın çalışmadığı tespit edilip, SSH stoğundan değiştirilmiştir.</v>
          </cell>
          <cell r="N193">
            <v>79</v>
          </cell>
          <cell r="P193" t="str">
            <v>C(Sisteme etki etmeyen arıza)</v>
          </cell>
          <cell r="Q193" t="str">
            <v>N.A(Yaralanma yok)</v>
          </cell>
          <cell r="R193" t="str">
            <v>Tedarikçi</v>
          </cell>
          <cell r="T193">
            <v>45633</v>
          </cell>
          <cell r="U193">
            <v>45633.668703703705</v>
          </cell>
          <cell r="V193" t="str">
            <v>PİTON BİLGİSAYAR TEKNOLOJİLERİ EĞİT</v>
          </cell>
          <cell r="W193" t="str">
            <v>E840-8005/LCD Display</v>
          </cell>
          <cell r="X193"/>
          <cell r="Y193">
            <v>1</v>
          </cell>
          <cell r="Z193">
            <v>869023001122</v>
          </cell>
          <cell r="AA193" t="str">
            <v>Evet</v>
          </cell>
          <cell r="AB193" t="str">
            <v>Ekipman değiştirilecek</v>
          </cell>
          <cell r="AC193"/>
          <cell r="AD193"/>
          <cell r="AE193">
            <v>45634</v>
          </cell>
          <cell r="AH193" t="str">
            <v/>
          </cell>
          <cell r="AN193">
            <v>1</v>
          </cell>
          <cell r="AP193" t="str">
            <v>(I) İlk defa karşılaşılan arıza</v>
          </cell>
          <cell r="AQ193" t="str">
            <v/>
          </cell>
          <cell r="AR193"/>
          <cell r="AU193" t="str">
            <v>PA/PIS/CCTV</v>
          </cell>
          <cell r="AX193" t="str">
            <v>https://www.appsheet.com/Template/gettablefileurl?appname=GDM7x4_Failure_List-654943&amp;tableName=SAYFA1&amp;filename=Sayfa1_Images%2F892a91f4.Resim.130458.png</v>
          </cell>
        </row>
        <row r="194">
          <cell r="A194" t="str">
            <v>b98ee9c5</v>
          </cell>
          <cell r="B194" t="str">
            <v>FRACAS-GDM-193</v>
          </cell>
          <cell r="E194">
            <v>45632</v>
          </cell>
          <cell r="F194">
            <v>45632.670092592591</v>
          </cell>
          <cell r="G194" t="str">
            <v>TS#6</v>
          </cell>
          <cell r="H194" t="str">
            <v>Mc2</v>
          </cell>
          <cell r="I194" t="str">
            <v>Depo/Depot</v>
          </cell>
          <cell r="J194" t="str">
            <v>C-Uyarı, sürüş devamlılığı</v>
          </cell>
          <cell r="K194" t="str">
            <v>SSH</v>
          </cell>
          <cell r="L194" t="str">
            <v>Led driver arızası</v>
          </cell>
          <cell r="M194" t="str">
            <v>GDM6 MC2 araçta LED'lerin sönük yanması dolayısıyla driver kontrol edilmiş, arızalı olduğu tespit edilmiş ve SSH Stok malzemeden değiştirilmiştir</v>
          </cell>
          <cell r="N194">
            <v>160</v>
          </cell>
          <cell r="P194" t="str">
            <v>C(Sisteme etki etmeyen arıza)</v>
          </cell>
          <cell r="Q194" t="str">
            <v>N.A(Yaralanma yok)</v>
          </cell>
          <cell r="R194" t="str">
            <v>Bozankaya</v>
          </cell>
          <cell r="T194">
            <v>45633</v>
          </cell>
          <cell r="U194">
            <v>45633.673182870371</v>
          </cell>
          <cell r="V194" t="str">
            <v>ERA ELEKTRONIK SANAYİ VE TİCARET A.</v>
          </cell>
          <cell r="W194" t="str">
            <v>E826-8015/Led driver</v>
          </cell>
          <cell r="X194"/>
          <cell r="Y194">
            <v>1</v>
          </cell>
          <cell r="Z194" t="str">
            <v>23/2398.</v>
          </cell>
          <cell r="AA194" t="str">
            <v>Evet</v>
          </cell>
          <cell r="AB194" t="str">
            <v>Ekipman değiştirilecek</v>
          </cell>
          <cell r="AC194"/>
          <cell r="AD194"/>
          <cell r="AE194" t="str">
            <v/>
          </cell>
          <cell r="AH194" t="str">
            <v/>
          </cell>
          <cell r="AN194">
            <v>1</v>
          </cell>
          <cell r="AP194" t="str">
            <v>(I) İlk defa karşılaşılan arıza</v>
          </cell>
          <cell r="AQ194" t="str">
            <v/>
          </cell>
          <cell r="AR194"/>
          <cell r="AU194" t="str">
            <v>Aydınlatma</v>
          </cell>
          <cell r="AX194" t="str">
            <v>https://www.appsheet.com/Template/gettablefileurl?appname=GDM7x4_Failure_List-654943&amp;tableName=SAYFA1&amp;filename=Sayfa1_Images%2Fb98ee9c5.Resim.132453.png</v>
          </cell>
        </row>
        <row r="195">
          <cell r="A195" t="str">
            <v>419d961f</v>
          </cell>
          <cell r="B195" t="str">
            <v>FRACAS-GDM-194</v>
          </cell>
          <cell r="E195">
            <v>45649</v>
          </cell>
          <cell r="F195">
            <v>45649.688287037039</v>
          </cell>
          <cell r="G195" t="str">
            <v>TS#3</v>
          </cell>
          <cell r="H195" t="str">
            <v>Mc2</v>
          </cell>
          <cell r="I195" t="str">
            <v>Depo/Depot</v>
          </cell>
          <cell r="J195" t="str">
            <v>A-Sürüşü engeller</v>
          </cell>
          <cell r="K195" t="str">
            <v>SSH</v>
          </cell>
          <cell r="L195" t="str">
            <v>Telsiz anten kablosu çekilmiş.</v>
          </cell>
          <cell r="M195" t="str">
            <v>Vericiden alıcıya kablo çekildi.</v>
          </cell>
          <cell r="N195">
            <v>166</v>
          </cell>
          <cell r="P195" t="str">
            <v>C(Sisteme etki etmeyen arıza)</v>
          </cell>
          <cell r="Q195" t="str">
            <v>N.A(Yaralanma yok)</v>
          </cell>
          <cell r="R195" t="str">
            <v>Bozankaya</v>
          </cell>
          <cell r="T195">
            <v>45649</v>
          </cell>
          <cell r="U195">
            <v>45649.690972222219</v>
          </cell>
          <cell r="V195" t="str">
            <v>Bozankaya</v>
          </cell>
          <cell r="W195" t="str">
            <v>B000-0000/Bozankaya</v>
          </cell>
          <cell r="X195"/>
          <cell r="Y195">
            <v>1</v>
          </cell>
          <cell r="Z195"/>
          <cell r="AA195" t="str">
            <v>Hayır</v>
          </cell>
          <cell r="AB195"/>
          <cell r="AC195"/>
          <cell r="AD195"/>
          <cell r="AE195" t="str">
            <v/>
          </cell>
          <cell r="AH195" t="str">
            <v/>
          </cell>
          <cell r="AN195">
            <v>2</v>
          </cell>
          <cell r="AP195" t="str">
            <v>(I) İlk defa karşılaşılan arıza</v>
          </cell>
          <cell r="AQ195" t="str">
            <v/>
          </cell>
          <cell r="AR195"/>
          <cell r="AU195" t="str">
            <v>Sinyalizasyon</v>
          </cell>
          <cell r="AX195" t="str">
            <v>https://www.appsheet.com/Template/gettablefileurl?appname=GDM7x4_Failure_List-654943&amp;tableName=SAYFA1&amp;filename=Sayfa1_Images%2F419d961f.Resim.134634.jpg</v>
          </cell>
        </row>
        <row r="196">
          <cell r="A196" t="str">
            <v>63d75c2e</v>
          </cell>
          <cell r="B196" t="str">
            <v>FRACAS-GDM-195</v>
          </cell>
          <cell r="E196">
            <v>45649</v>
          </cell>
          <cell r="F196">
            <v>45649.709074074075</v>
          </cell>
          <cell r="G196" t="str">
            <v>TS#3</v>
          </cell>
          <cell r="H196" t="str">
            <v>Mc1</v>
          </cell>
          <cell r="I196" t="str">
            <v>Depo/Depot</v>
          </cell>
          <cell r="J196" t="str">
            <v>A-Sürüşü engeller</v>
          </cell>
          <cell r="K196" t="str">
            <v>SSH</v>
          </cell>
          <cell r="L196" t="str">
            <v>Telsiz kablosu eksik</v>
          </cell>
          <cell r="M196" t="str">
            <v>Telsiz koblosu alıcı ve verici arası eksik</v>
          </cell>
          <cell r="N196">
            <v>166</v>
          </cell>
          <cell r="P196" t="str">
            <v>C(Sisteme etki etmeyen arıza)</v>
          </cell>
          <cell r="Q196" t="str">
            <v>N.A(Yaralanma yok)</v>
          </cell>
          <cell r="R196" t="str">
            <v>Bozankaya</v>
          </cell>
          <cell r="T196">
            <v>45649</v>
          </cell>
          <cell r="U196">
            <v>45649.711805555555</v>
          </cell>
          <cell r="V196"/>
          <cell r="W196"/>
          <cell r="X196"/>
          <cell r="Y196">
            <v>1</v>
          </cell>
          <cell r="Z196"/>
          <cell r="AA196" t="str">
            <v>Hayır</v>
          </cell>
          <cell r="AB196" t="str">
            <v>Arıza çözülecek</v>
          </cell>
          <cell r="AC196"/>
          <cell r="AD196"/>
          <cell r="AE196" t="str">
            <v/>
          </cell>
          <cell r="AH196" t="str">
            <v/>
          </cell>
          <cell r="AN196">
            <v>2</v>
          </cell>
          <cell r="AP196" t="str">
            <v>(I) İlk defa karşılaşılan arıza</v>
          </cell>
          <cell r="AQ196" t="str">
            <v/>
          </cell>
          <cell r="AR196"/>
          <cell r="AU196" t="str">
            <v>Sinyalizasyon</v>
          </cell>
          <cell r="AX196" t="str">
            <v>https://www.appsheet.com/Template/gettablefileurl?appname=GDM7x4_Failure_List-654943&amp;tableName=SAYFA1&amp;filename=Sayfa1_Images%2F63d75c2e.Resim.140921.jpg</v>
          </cell>
        </row>
        <row r="197">
          <cell r="A197" t="str">
            <v>1e4d03bb</v>
          </cell>
          <cell r="B197" t="str">
            <v>FRACAS-GDM-196</v>
          </cell>
          <cell r="E197">
            <v>45644</v>
          </cell>
          <cell r="F197">
            <v>45644.654166666667</v>
          </cell>
          <cell r="G197" t="str">
            <v>TS#3</v>
          </cell>
          <cell r="H197" t="str">
            <v>T</v>
          </cell>
          <cell r="I197" t="str">
            <v>Depo/Depot</v>
          </cell>
          <cell r="J197" t="str">
            <v>C-Uyarı, sürüş devamlılığı</v>
          </cell>
          <cell r="K197" t="str">
            <v>SSH</v>
          </cell>
          <cell r="L197" t="str">
            <v>Ud-x144 klemens grubunun 4. Klemensinden schaltbau nun a2 sine giden hc4001.01 kablosu eksi yükü iletmediği için araç uyku moduna geçmiyor, direkt olarak ölüyordu</v>
          </cell>
          <cell r="M197" t="str">
            <v>Sorun bulundu, kablo çekildi. Hata düzeltildi</v>
          </cell>
          <cell r="N197">
            <v>166</v>
          </cell>
          <cell r="P197" t="str">
            <v>B(Servisten çekmeye etki eden arızalar)</v>
          </cell>
          <cell r="Q197" t="str">
            <v>N.A(Yaralanma yok)</v>
          </cell>
          <cell r="R197" t="str">
            <v>Bozankaya</v>
          </cell>
          <cell r="T197">
            <v>45645</v>
          </cell>
          <cell r="U197">
            <v>45645.656944444447</v>
          </cell>
          <cell r="V197" t="str">
            <v>Bozankaya</v>
          </cell>
          <cell r="W197" t="str">
            <v>B000-0000/Bozankaya</v>
          </cell>
          <cell r="X197"/>
          <cell r="Y197">
            <v>1</v>
          </cell>
          <cell r="Z197"/>
          <cell r="AA197" t="str">
            <v>Hayır</v>
          </cell>
          <cell r="AB197" t="str">
            <v>Arıza çözülecek</v>
          </cell>
          <cell r="AC197"/>
          <cell r="AD197"/>
          <cell r="AE197" t="str">
            <v/>
          </cell>
          <cell r="AH197">
            <v>45646</v>
          </cell>
          <cell r="AN197">
            <v>3</v>
          </cell>
          <cell r="AP197" t="str">
            <v>(I) İlk defa karşılaşılan arıza</v>
          </cell>
          <cell r="AQ197" t="str">
            <v/>
          </cell>
          <cell r="AR197"/>
          <cell r="AU197" t="str">
            <v>Tren modu</v>
          </cell>
          <cell r="AX197" t="str">
            <v>https://www.appsheet.com/Template/gettablefileurl?appname=GDM7x4_Failure_List-654943&amp;tableName=SAYFA1&amp;filename=Sayfa1_Images%2F1e4d03bb.Resim.124844.jpg</v>
          </cell>
        </row>
        <row r="198">
          <cell r="A198" t="str">
            <v>bce63ce0</v>
          </cell>
          <cell r="B198" t="str">
            <v>FRACAS-GDM-197</v>
          </cell>
          <cell r="E198">
            <v>45644</v>
          </cell>
          <cell r="F198">
            <v>45644.658333333333</v>
          </cell>
          <cell r="G198" t="str">
            <v>TS#3</v>
          </cell>
          <cell r="H198" t="str">
            <v>Mc2</v>
          </cell>
          <cell r="I198" t="str">
            <v>Depo/Depot</v>
          </cell>
          <cell r="J198" t="str">
            <v>C-Uyarı, sürüş devamlılığı</v>
          </cell>
          <cell r="K198" t="str">
            <v>SSH</v>
          </cell>
          <cell r="L198" t="str">
            <v>Atc onay ve eb reset butonları mc2 modülden çalışmıyor</v>
          </cell>
          <cell r="M198" t="str">
            <v>Gc-k07.1 3. Bacağından fc-kdca2.1 5. Bacağına giden gc5055.02 kablosu yoktu. Çekildi.</v>
          </cell>
          <cell r="N198">
            <v>166</v>
          </cell>
          <cell r="P198" t="str">
            <v>B(Servisten çekmeye etki eden arızalar)</v>
          </cell>
          <cell r="Q198" t="str">
            <v>N.A(Yaralanma yok)</v>
          </cell>
          <cell r="R198" t="str">
            <v>Bozankaya</v>
          </cell>
          <cell r="T198">
            <v>45645</v>
          </cell>
          <cell r="U198">
            <v>45645.660416666666</v>
          </cell>
          <cell r="V198" t="str">
            <v>Bozankaya</v>
          </cell>
          <cell r="W198" t="str">
            <v>B000-0000/Bozankaya</v>
          </cell>
          <cell r="X198"/>
          <cell r="Y198">
            <v>0</v>
          </cell>
          <cell r="Z198"/>
          <cell r="AA198" t="str">
            <v>Hayır</v>
          </cell>
          <cell r="AB198" t="str">
            <v>Arıza çözülecek</v>
          </cell>
          <cell r="AC198"/>
          <cell r="AD198"/>
          <cell r="AE198" t="str">
            <v/>
          </cell>
          <cell r="AH198" t="str">
            <v/>
          </cell>
          <cell r="AN198">
            <v>1</v>
          </cell>
          <cell r="AP198" t="str">
            <v>(I) İlk defa karşılaşılan arıza</v>
          </cell>
          <cell r="AQ198">
            <v>45646</v>
          </cell>
          <cell r="AR198">
            <v>45646.661111111112</v>
          </cell>
          <cell r="AU198" t="str">
            <v>Fren , ATC</v>
          </cell>
          <cell r="AX198" t="str">
            <v>https://www.appsheet.com/Template/gettablefileurl?appname=GDM7x4_Failure_List-654943&amp;tableName=SAYFA1&amp;filename=Sayfa1_Images%2Fbce63ce0.Resim.125302.jpg</v>
          </cell>
        </row>
        <row r="199">
          <cell r="A199" t="str">
            <v>e5c4d014</v>
          </cell>
          <cell r="B199" t="str">
            <v>FRACAS-GDM-198</v>
          </cell>
          <cell r="E199">
            <v>45630</v>
          </cell>
          <cell r="F199">
            <v>45630.661805555559</v>
          </cell>
          <cell r="G199" t="str">
            <v>TS#4</v>
          </cell>
          <cell r="H199" t="str">
            <v>Mc2</v>
          </cell>
          <cell r="I199" t="str">
            <v>Depo/Depot</v>
          </cell>
          <cell r="J199" t="str">
            <v>A-Sürüşü engeller</v>
          </cell>
          <cell r="K199" t="str">
            <v>SSH</v>
          </cell>
          <cell r="L199" t="str">
            <v>Araç eb loop kurmuyordu</v>
          </cell>
          <cell r="M199" t="str">
            <v>Ra-k05 in 2. Bacağından ud-x406 nın cd41 ine giden ra1681.01 kablosunun olmadığı görülmüş ve kablo çekilmiştir</v>
          </cell>
          <cell r="N199">
            <v>79</v>
          </cell>
          <cell r="P199" t="str">
            <v>B(Servisten çekmeye etki eden arızalar)</v>
          </cell>
          <cell r="Q199" t="str">
            <v>N.A(Yaralanma yok)</v>
          </cell>
          <cell r="R199" t="str">
            <v>Bozankaya</v>
          </cell>
          <cell r="T199">
            <v>45631</v>
          </cell>
          <cell r="U199">
            <v>45631.668055555558</v>
          </cell>
          <cell r="V199" t="str">
            <v>Bozankaya</v>
          </cell>
          <cell r="W199" t="str">
            <v>B000-0000/Bozankaya</v>
          </cell>
          <cell r="X199"/>
          <cell r="Y199"/>
          <cell r="Z199"/>
          <cell r="AA199" t="str">
            <v>Hayır</v>
          </cell>
          <cell r="AB199" t="str">
            <v>Arıza çözülecek</v>
          </cell>
          <cell r="AC199"/>
          <cell r="AD199"/>
          <cell r="AE199" t="str">
            <v/>
          </cell>
          <cell r="AH199" t="str">
            <v/>
          </cell>
          <cell r="AN199">
            <v>1</v>
          </cell>
          <cell r="AP199" t="str">
            <v>(I) İlk defa karşılaşılan arıza</v>
          </cell>
          <cell r="AQ199">
            <v>45632</v>
          </cell>
          <cell r="AR199">
            <v>45632.669444444444</v>
          </cell>
          <cell r="AU199" t="str">
            <v>E-Kabinet</v>
          </cell>
          <cell r="AX199" t="str">
            <v>https://www.appsheet.com/Template/gettablefileurl?appname=GDM7x4_Failure_List-654943&amp;tableName=SAYFA1&amp;filename=Sayfa1_Images%2Fe5c4d014.Resim.130420.jpg</v>
          </cell>
        </row>
        <row r="200">
          <cell r="A200" t="str">
            <v>561be8c9</v>
          </cell>
          <cell r="B200" t="str">
            <v>FRACAS-GDM-199</v>
          </cell>
          <cell r="E200">
            <v>45630</v>
          </cell>
          <cell r="F200">
            <v>45630.669444444444</v>
          </cell>
          <cell r="G200" t="str">
            <v>TS#4</v>
          </cell>
          <cell r="H200" t="str">
            <v>Mc1</v>
          </cell>
          <cell r="I200" t="str">
            <v>Depo/Depot</v>
          </cell>
          <cell r="J200" t="str">
            <v>A-Sürüşü engeller</v>
          </cell>
          <cell r="K200" t="str">
            <v>SSH</v>
          </cell>
          <cell r="L200" t="str">
            <v>Araç eb loop kurmuyor</v>
          </cell>
          <cell r="M200" t="str">
            <v>Hat kontrol edildi. 49 panodaki Ra-K05 in 2. Bacağından ud-x411 in cd38 ine giden ra1680.09 kablosunun olmadığı görülmüş, kablo çekilmiştir.</v>
          </cell>
          <cell r="N200">
            <v>79</v>
          </cell>
          <cell r="P200" t="str">
            <v>A(Hareket etmeyi engelleyen arıza)</v>
          </cell>
          <cell r="Q200" t="str">
            <v>N.A(Yaralanma yok)</v>
          </cell>
          <cell r="R200" t="str">
            <v>Bozankaya</v>
          </cell>
          <cell r="T200">
            <v>45631</v>
          </cell>
          <cell r="U200">
            <v>45631.671527777777</v>
          </cell>
          <cell r="V200" t="str">
            <v>Bozankaya</v>
          </cell>
          <cell r="W200" t="str">
            <v>B000-0000/Bozankaya</v>
          </cell>
          <cell r="X200"/>
          <cell r="Y200"/>
          <cell r="Z200"/>
          <cell r="AA200" t="str">
            <v>Hayır</v>
          </cell>
          <cell r="AB200" t="str">
            <v>Arıza çözülecek</v>
          </cell>
          <cell r="AC200"/>
          <cell r="AD200"/>
          <cell r="AE200" t="str">
            <v/>
          </cell>
          <cell r="AH200" t="str">
            <v/>
          </cell>
          <cell r="AN200">
            <v>1</v>
          </cell>
          <cell r="AP200" t="str">
            <v>(III) Birden fazla aynı araçta karşılaşılan arıza</v>
          </cell>
          <cell r="AQ200">
            <v>45632</v>
          </cell>
          <cell r="AR200">
            <v>45632.672222222223</v>
          </cell>
          <cell r="AU200" t="str">
            <v>E-Kabinet , Fren , ATC</v>
          </cell>
          <cell r="AX200" t="str">
            <v>https://www.appsheet.com/Template/gettablefileurl?appname=GDM7x4_Failure_List-654943&amp;tableName=SAYFA1&amp;filename=Sayfa1_Images%2F561be8c9.Resim.130854.jpg</v>
          </cell>
        </row>
        <row r="201">
          <cell r="A201" t="str">
            <v>aa145eb1</v>
          </cell>
          <cell r="B201" t="str">
            <v>FRACAS-GDM-200</v>
          </cell>
          <cell r="E201">
            <v>45644</v>
          </cell>
          <cell r="F201">
            <v>45644.675000000003</v>
          </cell>
          <cell r="G201" t="str">
            <v>TS#3</v>
          </cell>
          <cell r="H201" t="str">
            <v>M</v>
          </cell>
          <cell r="I201" t="str">
            <v>Depo/Depot</v>
          </cell>
          <cell r="J201" t="str">
            <v>C-Uyarı, sürüş devamlılığı</v>
          </cell>
          <cell r="K201" t="str">
            <v>SSH</v>
          </cell>
          <cell r="L201" t="str">
            <v>Alçak basınç bypass anahtarı 1 konumuna getirildiğinde ra-k52.2 rölesi enerjilenmiyordu</v>
          </cell>
          <cell r="M201" t="str">
            <v>Hatta buzzer atıldı. Mc1-m vagonları arasındaki ud-x803 jumper’ında ef20 deki ra5300.09 kablosunun pini geri kaçmıştı. Düzeltildi</v>
          </cell>
          <cell r="N201">
            <v>166</v>
          </cell>
          <cell r="P201" t="str">
            <v>C(Sisteme etki etmeyen arıza)</v>
          </cell>
          <cell r="Q201" t="str">
            <v>N.A(Yaralanma yok)</v>
          </cell>
          <cell r="R201" t="str">
            <v>Bozankaya</v>
          </cell>
          <cell r="T201">
            <v>45631</v>
          </cell>
          <cell r="U201">
            <v>45631.677777777775</v>
          </cell>
          <cell r="V201" t="str">
            <v>Bozankaya</v>
          </cell>
          <cell r="W201" t="str">
            <v>B000-0000/Bozankaya</v>
          </cell>
          <cell r="X201"/>
          <cell r="Y201"/>
          <cell r="Z201"/>
          <cell r="AA201" t="str">
            <v>Hayır</v>
          </cell>
          <cell r="AB201" t="str">
            <v>Arıza çözülecek</v>
          </cell>
          <cell r="AC201" t="e">
            <v>#NAME?</v>
          </cell>
          <cell r="AD201"/>
          <cell r="AE201" t="str">
            <v/>
          </cell>
          <cell r="AH201" t="str">
            <v/>
          </cell>
          <cell r="AN201">
            <v>2</v>
          </cell>
          <cell r="AP201" t="str">
            <v>(II) Birden fazla karşılaşılan arıza</v>
          </cell>
          <cell r="AQ201">
            <v>45632</v>
          </cell>
          <cell r="AR201">
            <v>45632.678472222222</v>
          </cell>
          <cell r="AU201" t="str">
            <v>Bypass</v>
          </cell>
          <cell r="AX201" t="str">
            <v>https://www.appsheet.com/Template/gettablefileurl?appname=GDM7x4_Failure_List-654943&amp;tableName=SAYFA1&amp;filename=Sayfa1_Images%2Faa145eb1.Resim.075729.jpg</v>
          </cell>
        </row>
        <row r="202">
          <cell r="A202" t="str">
            <v>0d7cb870</v>
          </cell>
          <cell r="B202" t="str">
            <v>FRACAS-GDM-201</v>
          </cell>
          <cell r="E202">
            <v>45660</v>
          </cell>
          <cell r="F202">
            <v>45660.354166666664</v>
          </cell>
          <cell r="G202" t="str">
            <v>TS#7</v>
          </cell>
          <cell r="H202" t="str">
            <v>T</v>
          </cell>
          <cell r="I202" t="str">
            <v>Depo/Depot</v>
          </cell>
          <cell r="J202" t="str">
            <v>A-Sürüşü engeller</v>
          </cell>
          <cell r="K202" t="str">
            <v>SSH</v>
          </cell>
          <cell r="L202" t="str">
            <v>Eventrecorder Arızası</v>
          </cell>
          <cell r="M202" t="str">
            <v>Aracın sıfır hız bilgisi yoktu. Panolardaki sigortaları kontrol ederken eventrecorder cihazının sigortasının(JC-F01) aşağıda olduğu tespit edildi. Sigorta kaldırıldığında eventrecorder enerjilenmediği görüldü. Yeni eventrecorder cihazı takıldıpında sistem çalış duruma geldi.</v>
          </cell>
          <cell r="N202">
            <v>203</v>
          </cell>
          <cell r="P202" t="str">
            <v>A(Hareket etmeyi engelleyen arıza)</v>
          </cell>
          <cell r="Q202" t="str">
            <v>N.A(Yaralanma yok)</v>
          </cell>
          <cell r="R202" t="str">
            <v>Tedarikçi</v>
          </cell>
          <cell r="T202">
            <v>45660</v>
          </cell>
          <cell r="U202">
            <v>45660.364583333336</v>
          </cell>
          <cell r="V202" t="str">
            <v>FAİVELEY TRANSPORT TOURS SAS</v>
          </cell>
          <cell r="W202" t="str">
            <v>E815-8001/OLAY KAYDEDİCİ CİHAZ</v>
          </cell>
          <cell r="X202"/>
          <cell r="Y202">
            <v>1</v>
          </cell>
          <cell r="Z202" t="str">
            <v>00007-2239</v>
          </cell>
          <cell r="AA202" t="str">
            <v>Evet</v>
          </cell>
          <cell r="AB202" t="str">
            <v>Arıza çözülecek</v>
          </cell>
          <cell r="AC202" t="e">
            <v>#NAME?</v>
          </cell>
          <cell r="AD202"/>
          <cell r="AE202" t="str">
            <v/>
          </cell>
          <cell r="AH202" t="str">
            <v/>
          </cell>
          <cell r="AN202">
            <v>1</v>
          </cell>
          <cell r="AP202" t="str">
            <v>(I) İlk defa karşılaşılan arıza</v>
          </cell>
          <cell r="AQ202">
            <v>45660</v>
          </cell>
          <cell r="AR202">
            <v>45660.458333333336</v>
          </cell>
          <cell r="AU202" t="str">
            <v>Olay Kaydedici</v>
          </cell>
          <cell r="AX202" t="str">
            <v>https://www.appsheet.com/Template/gettablefileurl?appname=GDM7x4_Failure_List-654943&amp;tableName=SAYFA1&amp;filename=Sayfa1_Images%2F0d7cb870.Resim.090804.jpg</v>
          </cell>
        </row>
        <row r="203">
          <cell r="A203" t="str">
            <v>7e1cc441</v>
          </cell>
          <cell r="B203" t="str">
            <v>FRACAS-GDM-202</v>
          </cell>
          <cell r="E203">
            <v>45660</v>
          </cell>
          <cell r="F203">
            <v>45660.756030092591</v>
          </cell>
          <cell r="G203" t="str">
            <v>TS#6</v>
          </cell>
          <cell r="H203" t="str">
            <v>Mc2</v>
          </cell>
          <cell r="I203" t="str">
            <v>Depo/Depot</v>
          </cell>
          <cell r="J203" t="str">
            <v>C-Uyarı, sürüş devamlılığı</v>
          </cell>
          <cell r="K203" t="str">
            <v>SSH</v>
          </cell>
          <cell r="L203" t="str">
            <v>Silecek motor arızası</v>
          </cell>
          <cell r="M203" t="str">
            <v>Motora enerji verildinde sigorta attirdiği tespit edildi. Motor boşa alınarak tekrar enerji verildinde tekrar sigorta attirdiği tespit edildi.</v>
          </cell>
          <cell r="N203">
            <v>150</v>
          </cell>
          <cell r="P203" t="str">
            <v>A(Hareket etmeyi engelleyen arıza)</v>
          </cell>
          <cell r="Q203" t="str">
            <v>N.A(Yaralanma yok)</v>
          </cell>
          <cell r="R203" t="str">
            <v>Tedarikçi</v>
          </cell>
          <cell r="T203">
            <v>45660</v>
          </cell>
          <cell r="U203">
            <v>45660.552083333336</v>
          </cell>
          <cell r="V203" t="str">
            <v>PSV Wipers Ltd</v>
          </cell>
          <cell r="W203" t="str">
            <v>M100-8001/Silecek Motoru ve Mekanizması</v>
          </cell>
          <cell r="X203"/>
          <cell r="Y203">
            <v>1</v>
          </cell>
          <cell r="Z203" t="str">
            <v>W-10824788-05221</v>
          </cell>
          <cell r="AA203" t="str">
            <v>Evet</v>
          </cell>
          <cell r="AB203" t="str">
            <v>Arıza çözülecek</v>
          </cell>
          <cell r="AC203" t="e">
            <v>#NAME?</v>
          </cell>
          <cell r="AD203"/>
          <cell r="AE203" t="str">
            <v/>
          </cell>
          <cell r="AH203" t="str">
            <v/>
          </cell>
          <cell r="AN203">
            <v>2</v>
          </cell>
          <cell r="AP203" t="str">
            <v>(II) Birden fazla karşılaşılan arıza</v>
          </cell>
          <cell r="AQ203" t="str">
            <v/>
          </cell>
          <cell r="AR203"/>
          <cell r="AU203" t="str">
            <v>Silecek motoru</v>
          </cell>
          <cell r="AX203" t="str">
            <v>https://www.appsheet.com/Template/gettablefileurl?appname=GDM7x4_Failure_List-654943&amp;tableName=SAYFA1&amp;filename=Sayfa1_Images%2F7e1cc441.Resim.151742.jpg</v>
          </cell>
        </row>
        <row r="204">
          <cell r="A204" t="str">
            <v>7799c3b3</v>
          </cell>
          <cell r="B204" t="str">
            <v>FRACAS-GDM-203</v>
          </cell>
          <cell r="E204">
            <v>45660</v>
          </cell>
          <cell r="F204">
            <v>45660.688194444447</v>
          </cell>
          <cell r="G204" t="str">
            <v>TS#6</v>
          </cell>
          <cell r="H204" t="str">
            <v>Mc2</v>
          </cell>
          <cell r="I204" t="str">
            <v>Depo/Depot</v>
          </cell>
          <cell r="J204" t="str">
            <v>C-Uyarı, sürüş devamlılığı</v>
          </cell>
          <cell r="K204" t="str">
            <v>SSH</v>
          </cell>
          <cell r="L204" t="str">
            <v>Silecek modu hatası</v>
          </cell>
          <cell r="M204" t="str">
            <v>Silecek modlarından 1 modunun çalışmadığı görülmüş, 1 moduna gelen kabloda enerji olmadığı tespit edilmiştir.</v>
          </cell>
          <cell r="N204">
            <v>150</v>
          </cell>
          <cell r="P204" t="str">
            <v>C(Sisteme etki etmeyen arıza)</v>
          </cell>
          <cell r="Q204" t="str">
            <v>N.A(Yaralanma yok)</v>
          </cell>
          <cell r="R204" t="str">
            <v>Bozankaya</v>
          </cell>
          <cell r="T204">
            <v>45663</v>
          </cell>
          <cell r="U204">
            <v>45663.56527777778</v>
          </cell>
          <cell r="V204" t="str">
            <v>Psv wipers ( sonradan eklendi)</v>
          </cell>
          <cell r="W204" t="str">
            <v>M100-0801/SİLECEK SİSTEMİ MONTAJI</v>
          </cell>
          <cell r="X204"/>
          <cell r="Y204"/>
          <cell r="Z204"/>
          <cell r="AA204" t="str">
            <v>Evet</v>
          </cell>
          <cell r="AB204" t="str">
            <v>Arıza çözülecek</v>
          </cell>
          <cell r="AC204" t="e">
            <v>#NAME?</v>
          </cell>
          <cell r="AD204"/>
          <cell r="AE204" t="str">
            <v/>
          </cell>
          <cell r="AH204">
            <v>45663</v>
          </cell>
          <cell r="AN204">
            <v>2</v>
          </cell>
          <cell r="AP204" t="str">
            <v>(I) İlk defa karşılaşılan arıza</v>
          </cell>
          <cell r="AQ204">
            <v>45663</v>
          </cell>
          <cell r="AR204">
            <v>45663.692361111112</v>
          </cell>
          <cell r="AU204" t="str">
            <v>Silecek motoru</v>
          </cell>
          <cell r="AX204" t="str">
            <v>https://www.appsheet.com/Template/gettablefileurl?appname=GDM7x4_Failure_List-654943&amp;tableName=SAYFA1&amp;filename=Sayfa1_Images%2F7799c3b3.Resim.193732.jpg</v>
          </cell>
        </row>
        <row r="205">
          <cell r="A205" t="str">
            <v>f8dd1c5d</v>
          </cell>
          <cell r="B205" t="str">
            <v>FRACAS-GDM-204</v>
          </cell>
          <cell r="E205">
            <v>45664</v>
          </cell>
          <cell r="F205">
            <v>45664.506249999999</v>
          </cell>
          <cell r="G205" t="str">
            <v>TS#3</v>
          </cell>
          <cell r="H205" t="str">
            <v>Mc1</v>
          </cell>
          <cell r="I205" t="str">
            <v>Depo/Depot</v>
          </cell>
          <cell r="J205" t="str">
            <v>C-Uyarı, sürüş devamlılığı</v>
          </cell>
          <cell r="K205" t="str">
            <v>SSH</v>
          </cell>
          <cell r="L205" t="str">
            <v>Silecek motoruna sürekli olarak high mode sinyali gidiyor</v>
          </cell>
          <cell r="M205" t="str">
            <v>Hattı kontrol edildi. JG-K13 rölesinin arızalı olduğu görüldü ve ssh stok malzemeden değiştirildi.</v>
          </cell>
          <cell r="N205">
            <v>165</v>
          </cell>
          <cell r="P205" t="str">
            <v>C(Sisteme etki etmeyen arıza)</v>
          </cell>
          <cell r="Q205" t="str">
            <v>N.A(Yaralanma yok)</v>
          </cell>
          <cell r="R205" t="str">
            <v>Tedarikçi</v>
          </cell>
          <cell r="T205">
            <v>45664</v>
          </cell>
          <cell r="U205">
            <v>45664.625</v>
          </cell>
          <cell r="V205" t="str">
            <v>AYPA MÜHENDİSLİK PROJE DANIŞMANLIK</v>
          </cell>
          <cell r="W205" t="str">
            <v>E110-8018/4 CO ARTECHE 110V RÖLE</v>
          </cell>
          <cell r="X205"/>
          <cell r="Y205">
            <v>1</v>
          </cell>
          <cell r="Z205">
            <v>220298501129</v>
          </cell>
          <cell r="AA205" t="str">
            <v>Evet</v>
          </cell>
          <cell r="AB205" t="str">
            <v>Ekipman değiştirilecek</v>
          </cell>
          <cell r="AC205" t="e">
            <v>#NAME?</v>
          </cell>
          <cell r="AD205"/>
          <cell r="AE205" t="str">
            <v/>
          </cell>
          <cell r="AH205" t="str">
            <v/>
          </cell>
          <cell r="AN205">
            <v>2</v>
          </cell>
          <cell r="AP205" t="str">
            <v>(I) İlk defa karşılaşılan arıza</v>
          </cell>
          <cell r="AQ205" t="str">
            <v/>
          </cell>
          <cell r="AR205"/>
          <cell r="AU205" t="str">
            <v>Silecek motoru</v>
          </cell>
          <cell r="AX205" t="str">
            <v>https://www.appsheet.com/Template/gettablefileurl?appname=GDM7x4_Failure_List-654943&amp;tableName=SAYFA1&amp;filename=Sayfa1_Images%2Ff8dd1c5d.Resim.121736.jpg</v>
          </cell>
        </row>
        <row r="206">
          <cell r="A206" t="str">
            <v>2bc674e6</v>
          </cell>
          <cell r="B206" t="str">
            <v>FRACAS-GDM-205</v>
          </cell>
          <cell r="E206">
            <v>45665</v>
          </cell>
          <cell r="F206">
            <v>45665.445567129631</v>
          </cell>
          <cell r="G206" t="str">
            <v>TS#6</v>
          </cell>
          <cell r="H206" t="str">
            <v>Mc1</v>
          </cell>
          <cell r="I206" t="str">
            <v>Depo/Depot</v>
          </cell>
          <cell r="J206" t="str">
            <v>C-Uyarı, sürüş devamlılığı</v>
          </cell>
          <cell r="K206" t="str">
            <v>SSH</v>
          </cell>
          <cell r="L206" t="str">
            <v>Mc1 kabin silecek motoru çalışmıyor motor arızalı</v>
          </cell>
          <cell r="M206" t="str">
            <v>Arızalı motor yenisiyle değiştirildi motor ve silecek ayarları düzeltildi.</v>
          </cell>
          <cell r="N206">
            <v>120</v>
          </cell>
          <cell r="P206" t="str">
            <v>C(Sisteme etki etmeyen arıza)</v>
          </cell>
          <cell r="Q206" t="str">
            <v>N.A(Yaralanma yok)</v>
          </cell>
          <cell r="R206" t="str">
            <v>Tedarikçi</v>
          </cell>
          <cell r="T206">
            <v>45665</v>
          </cell>
          <cell r="U206">
            <v>45665.45</v>
          </cell>
          <cell r="V206" t="str">
            <v>PSV Wipers Ltd</v>
          </cell>
          <cell r="W206" t="str">
            <v>M100-8001/Silecek Motoru ve Mekanizması</v>
          </cell>
          <cell r="X206"/>
          <cell r="Y206">
            <v>1</v>
          </cell>
          <cell r="Z206" t="str">
            <v>W-1082478805229</v>
          </cell>
          <cell r="AA206" t="str">
            <v>Evet</v>
          </cell>
          <cell r="AB206" t="str">
            <v>Ekipman değiştirilecek</v>
          </cell>
          <cell r="AC206" t="e">
            <v>#NAME?</v>
          </cell>
          <cell r="AD206"/>
          <cell r="AE206" t="str">
            <v/>
          </cell>
          <cell r="AH206" t="str">
            <v/>
          </cell>
          <cell r="AN206">
            <v>1</v>
          </cell>
          <cell r="AP206" t="str">
            <v>(II) Birden fazla karşılaşılan arıza</v>
          </cell>
          <cell r="AQ206">
            <v>45665</v>
          </cell>
          <cell r="AR206">
            <v>45665.457638888889</v>
          </cell>
          <cell r="AU206" t="str">
            <v>Silecek motoru</v>
          </cell>
          <cell r="AX206" t="str">
            <v>https://www.appsheet.com/Template/gettablefileurl?appname=GDM7x4_Failure_List-654943&amp;tableName=SAYFA1&amp;filename=Sayfa1_Images%2F2bc674e6.Resim.080203.jpg</v>
          </cell>
        </row>
        <row r="207">
          <cell r="A207" t="str">
            <v>c0e3f284</v>
          </cell>
          <cell r="B207" t="str">
            <v>FRACAS-GDM-206</v>
          </cell>
          <cell r="E207">
            <v>45665</v>
          </cell>
          <cell r="F207">
            <v>45665.717199074075</v>
          </cell>
          <cell r="G207" t="str">
            <v>TS#7</v>
          </cell>
          <cell r="H207" t="str">
            <v>Mc1</v>
          </cell>
          <cell r="I207" t="str">
            <v>Depo/Depot</v>
          </cell>
          <cell r="J207" t="str">
            <v>C-Uyarı, sürüş devamlılığı</v>
          </cell>
          <cell r="K207" t="str">
            <v>SSH</v>
          </cell>
          <cell r="L207" t="str">
            <v>Cam sileceği arızası.</v>
          </cell>
          <cell r="M207" t="str">
            <v>Silecek kolu bağlantı noktasından diş sıyırması mavcut . Yeni silecek kolu ile değişim yapıldı.</v>
          </cell>
          <cell r="N207">
            <v>202</v>
          </cell>
          <cell r="P207" t="str">
            <v>C(Sisteme etki etmeyen arıza)</v>
          </cell>
          <cell r="Q207" t="str">
            <v>N.A(Yaralanma yok)</v>
          </cell>
          <cell r="R207" t="str">
            <v>Bozankaya</v>
          </cell>
          <cell r="T207">
            <v>45665</v>
          </cell>
          <cell r="U207">
            <v>45665.638888888891</v>
          </cell>
          <cell r="V207" t="str">
            <v>PSV Wipers Ltd</v>
          </cell>
          <cell r="W207" t="str">
            <v>M100-8002/Silecek Kolu ve Su Hortumu Seti</v>
          </cell>
          <cell r="X207"/>
          <cell r="Y207">
            <v>1</v>
          </cell>
          <cell r="Z207"/>
          <cell r="AA207" t="str">
            <v>Hayır</v>
          </cell>
          <cell r="AB207" t="str">
            <v>Arıza çözülecek</v>
          </cell>
          <cell r="AC207" t="e">
            <v>#NAME?</v>
          </cell>
          <cell r="AD207"/>
          <cell r="AE207" t="str">
            <v/>
          </cell>
          <cell r="AH207" t="str">
            <v/>
          </cell>
          <cell r="AN207">
            <v>2</v>
          </cell>
          <cell r="AP207" t="str">
            <v>(I) İlk defa karşılaşılan arıza</v>
          </cell>
          <cell r="AQ207">
            <v>45665</v>
          </cell>
          <cell r="AR207">
            <v>45665.682638888888</v>
          </cell>
          <cell r="AU207" t="str">
            <v>Silecek sistemi</v>
          </cell>
          <cell r="AX207" t="str">
            <v>https://www.appsheet.com/Template/gettablefileurl?appname=GDM7x4_Failure_List-654943&amp;tableName=SAYFA1&amp;filename=Sayfa1_Images%2Fc0e3f284.Resim.142738.jpg</v>
          </cell>
        </row>
        <row r="208">
          <cell r="A208" t="str">
            <v>56bed825</v>
          </cell>
          <cell r="B208" t="str">
            <v>FRACAS-GDM-207</v>
          </cell>
          <cell r="E208">
            <v>45665</v>
          </cell>
          <cell r="F208">
            <v>45665.727442129632</v>
          </cell>
          <cell r="G208" t="str">
            <v>TS#7</v>
          </cell>
          <cell r="H208" t="str">
            <v>Mc2</v>
          </cell>
          <cell r="I208" t="str">
            <v>Depo/Depot</v>
          </cell>
          <cell r="J208" t="str">
            <v>C-Uyarı, sürüş devamlılığı</v>
          </cell>
          <cell r="K208" t="str">
            <v>SSH</v>
          </cell>
          <cell r="L208" t="str">
            <v>Silecek kolu</v>
          </cell>
          <cell r="M208" t="str">
            <v>Silecek kolu söküldü ve mekanik akşamlar gözlemledi.</v>
          </cell>
          <cell r="N208">
            <v>125</v>
          </cell>
          <cell r="P208" t="str">
            <v>C(Sisteme etki etmeyen arıza)</v>
          </cell>
          <cell r="Q208" t="str">
            <v>N.A(Yaralanma yok)</v>
          </cell>
          <cell r="R208" t="str">
            <v>Bozankaya</v>
          </cell>
          <cell r="T208">
            <v>45665</v>
          </cell>
          <cell r="U208">
            <v>45665.604861111111</v>
          </cell>
          <cell r="V208" t="str">
            <v>PSV Wipers Ltd</v>
          </cell>
          <cell r="W208" t="str">
            <v>M100-8002/Silecek Kolu ve Su Hortumu Seti</v>
          </cell>
          <cell r="X208"/>
          <cell r="Y208"/>
          <cell r="Z208"/>
          <cell r="AA208" t="str">
            <v>Hayır</v>
          </cell>
          <cell r="AB208" t="str">
            <v>Tamir edilecek</v>
          </cell>
          <cell r="AC208" t="e">
            <v>#NAME?</v>
          </cell>
          <cell r="AD208"/>
          <cell r="AE208" t="str">
            <v/>
          </cell>
          <cell r="AH208" t="str">
            <v/>
          </cell>
          <cell r="AN208">
            <v>2</v>
          </cell>
          <cell r="AP208" t="str">
            <v>(II) Birden fazla karşılaşılan arıza</v>
          </cell>
          <cell r="AQ208">
            <v>45665</v>
          </cell>
          <cell r="AR208">
            <v>45665.65</v>
          </cell>
          <cell r="AU208" t="str">
            <v>Silecek sistemi</v>
          </cell>
          <cell r="AX208" t="str">
            <v>https://www.appsheet.com/Template/gettablefileurl?appname=GDM7x4_Failure_List-654943&amp;tableName=SAYFA1&amp;filename=Sayfa1_Images%2F56bed825.Resim.143733.jpg</v>
          </cell>
        </row>
        <row r="209">
          <cell r="A209" t="str">
            <v>47f2a2f6</v>
          </cell>
          <cell r="B209" t="str">
            <v>FRACAS-GDM-208</v>
          </cell>
          <cell r="E209">
            <v>45665</v>
          </cell>
          <cell r="F209">
            <v>45665.753159722219</v>
          </cell>
          <cell r="G209" t="str">
            <v>TS#2</v>
          </cell>
          <cell r="H209" t="str">
            <v>Mc1</v>
          </cell>
          <cell r="I209" t="str">
            <v>Depo/Depot</v>
          </cell>
          <cell r="J209" t="str">
            <v>A-Sürüşü engeller</v>
          </cell>
          <cell r="K209" t="str">
            <v>SSH</v>
          </cell>
          <cell r="L209" t="str">
            <v>Ön Cam Kırık</v>
          </cell>
          <cell r="M209" t="str">
            <v>GDM-2 aracı, MC1 vagonunun ön camı çatlak olduğu tespit edildi. Sebebi bilinmemektedir.</v>
          </cell>
          <cell r="N209">
            <v>117</v>
          </cell>
          <cell r="P209" t="str">
            <v>C(Sisteme etki etmeyen arıza)</v>
          </cell>
          <cell r="Q209" t="str">
            <v>N.A(Yaralanma yok)</v>
          </cell>
          <cell r="R209" t="str">
            <v>Tedarikçi</v>
          </cell>
          <cell r="T209">
            <v>45664</v>
          </cell>
          <cell r="U209">
            <v>45664.423611111109</v>
          </cell>
          <cell r="V209" t="str">
            <v>GLAS TRÖSH AG BRANC RAİL</v>
          </cell>
          <cell r="W209" t="str">
            <v>D110-8001/ON CAM REZISTANSLI</v>
          </cell>
          <cell r="X209"/>
          <cell r="Y209">
            <v>1</v>
          </cell>
          <cell r="Z209" t="str">
            <v>2211-0272</v>
          </cell>
          <cell r="AA209" t="str">
            <v>Hayır</v>
          </cell>
          <cell r="AB209" t="str">
            <v>Arıza çözülecek</v>
          </cell>
          <cell r="AC209" t="e">
            <v>#NAME?</v>
          </cell>
          <cell r="AD209"/>
          <cell r="AE209" t="str">
            <v/>
          </cell>
          <cell r="AH209" t="str">
            <v/>
          </cell>
          <cell r="AN209">
            <v>4</v>
          </cell>
          <cell r="AP209" t="str">
            <v>(I) İlk defa karşılaşılan arıza</v>
          </cell>
          <cell r="AQ209" t="str">
            <v/>
          </cell>
          <cell r="AR209"/>
          <cell r="AU209" t="str">
            <v>Dış Giydirme</v>
          </cell>
          <cell r="AX209" t="str">
            <v>https://www.appsheet.com/Template/gettablefileurl?appname=GDM7x4_Failure_List-654943&amp;tableName=SAYFA1&amp;filename=Sayfa1_Images%2F47f2a2f6.Resim.152443.jpg</v>
          </cell>
        </row>
        <row r="210">
          <cell r="A210" t="str">
            <v>604bff68</v>
          </cell>
          <cell r="B210" t="str">
            <v>FRACAS-GDM-209</v>
          </cell>
          <cell r="E210">
            <v>45665</v>
          </cell>
          <cell r="F210">
            <v>45665.836111111108</v>
          </cell>
          <cell r="G210" t="str">
            <v>TS#7</v>
          </cell>
          <cell r="H210" t="str">
            <v>Mc1</v>
          </cell>
          <cell r="I210" t="str">
            <v>Depo/Depot</v>
          </cell>
          <cell r="J210" t="str">
            <v>A-Sürüşü engeller</v>
          </cell>
          <cell r="K210" t="str">
            <v>SSH</v>
          </cell>
          <cell r="L210" t="str">
            <v>Dot modül arızası</v>
          </cell>
          <cell r="M210" t="str">
            <v>Dot modülden gelen sinyallerin gelmemesi sebebiyle modül kontrol edildi. Enerjisinin geldiği fakat modülün çalışmadığı görüldü. Ssh stoğundaki modül ile değiştirildi ve sistem çalıştı.</v>
          </cell>
          <cell r="N210">
            <v>204</v>
          </cell>
          <cell r="P210" t="str">
            <v>A(Hareket etmeyi engelleyen arıza)</v>
          </cell>
          <cell r="Q210" t="str">
            <v>N.A(Yaralanma yok)</v>
          </cell>
          <cell r="R210" t="str">
            <v>Tedarikçi</v>
          </cell>
          <cell r="T210">
            <v>45667</v>
          </cell>
          <cell r="U210">
            <v>45667.671527777777</v>
          </cell>
          <cell r="V210" t="str">
            <v>SELECTRON SYSTEMS AG</v>
          </cell>
          <cell r="W210" t="str">
            <v>E110-8007/DOT 732-TW</v>
          </cell>
          <cell r="X210"/>
          <cell r="Y210">
            <v>1</v>
          </cell>
          <cell r="Z210">
            <v>2240297</v>
          </cell>
          <cell r="AA210" t="str">
            <v>Evet</v>
          </cell>
          <cell r="AB210" t="str">
            <v>Ekipman değiştirilecek</v>
          </cell>
          <cell r="AC210" t="e">
            <v>#NAME?</v>
          </cell>
          <cell r="AD210"/>
          <cell r="AE210" t="str">
            <v/>
          </cell>
          <cell r="AH210" t="str">
            <v/>
          </cell>
          <cell r="AN210">
            <v>1</v>
          </cell>
          <cell r="AP210" t="str">
            <v>(II) Birden fazla karşılaşılan arıza</v>
          </cell>
          <cell r="AQ210">
            <v>45667</v>
          </cell>
          <cell r="AR210">
            <v>45667.715277777781</v>
          </cell>
          <cell r="AU210" t="str">
            <v>TCMS</v>
          </cell>
          <cell r="AX210" t="str">
            <v>https://www.appsheet.com/Template/gettablefileurl?appname=GDM7x4_Failure_List-654943&amp;tableName=SAYFA1&amp;filename=Sayfa1_Images%2F604bff68.Resim.105914.jpg</v>
          </cell>
        </row>
        <row r="211">
          <cell r="A211" t="str">
            <v>978a7dce</v>
          </cell>
          <cell r="B211" t="str">
            <v>FRACAS-GDM-210</v>
          </cell>
          <cell r="E211">
            <v>45670</v>
          </cell>
          <cell r="F211">
            <v>45670.354166666664</v>
          </cell>
          <cell r="G211" t="str">
            <v>TS#2</v>
          </cell>
          <cell r="H211" t="str">
            <v>Mc1 , Mc2</v>
          </cell>
          <cell r="I211" t="str">
            <v>Depo/Depot</v>
          </cell>
          <cell r="J211" t="str">
            <v>A-Sürüşü engeller</v>
          </cell>
          <cell r="K211" t="str">
            <v>SSH</v>
          </cell>
          <cell r="L211" t="str">
            <v>TCU izole hatası</v>
          </cell>
          <cell r="M211" t="str">
            <v>TCU1 ve TCU3 ünitelerinin izole durumda olduğu tespit edildi.  Program üzerinden sistemler bağlanıldı,herhangi bir sorun olmadığı görüldü.. IP üzerinden bağlanılmaya çalışıldığında  bağlantı sağlanamadı. Bu durum düzensiz olarak tüm araçlarda yaşanmaktadır. Kayıt alınarak tedarikçi firma bilgilendirilmektedir.</v>
          </cell>
          <cell r="N211">
            <v>112</v>
          </cell>
          <cell r="P211" t="str">
            <v>A(Hareket etmeyi engelleyen arıza)</v>
          </cell>
          <cell r="Q211" t="str">
            <v>N.A(Yaralanma yok)</v>
          </cell>
          <cell r="R211" t="str">
            <v>Tedarikçi</v>
          </cell>
          <cell r="T211">
            <v>45670</v>
          </cell>
          <cell r="U211">
            <v>45670.479166666664</v>
          </cell>
          <cell r="V211" t="str">
            <v>Bozankaya</v>
          </cell>
          <cell r="W211" t="str">
            <v>B000-0000/Bozankaya</v>
          </cell>
          <cell r="X211"/>
          <cell r="Y211"/>
          <cell r="Z211"/>
          <cell r="AA211"/>
          <cell r="AB211" t="str">
            <v>Yazılım güncelleme</v>
          </cell>
          <cell r="AC211" t="e">
            <v>#NAME?</v>
          </cell>
          <cell r="AD211"/>
          <cell r="AE211" t="str">
            <v/>
          </cell>
          <cell r="AH211" t="str">
            <v/>
          </cell>
          <cell r="AN211"/>
          <cell r="AP211" t="str">
            <v>(II) Birden fazla karşılaşılan arıza</v>
          </cell>
          <cell r="AQ211" t="str">
            <v/>
          </cell>
          <cell r="AR211"/>
          <cell r="AU211" t="str">
            <v>TCMS</v>
          </cell>
          <cell r="AX211" t="str">
            <v>https://www.appsheet.com/Template/gettablefileurl?appname=GDM7x4_Failure_List-654943&amp;tableName=SAYFA1&amp;filename=Sayfa1_Images%2F978a7dce.Resim.155728.jpg</v>
          </cell>
        </row>
        <row r="212">
          <cell r="A212">
            <v>44828191</v>
          </cell>
          <cell r="B212" t="str">
            <v>FRACAS-GDM-211</v>
          </cell>
          <cell r="E212">
            <v>45686</v>
          </cell>
          <cell r="F212">
            <v>45686.375</v>
          </cell>
          <cell r="G212" t="str">
            <v>TS#2</v>
          </cell>
          <cell r="H212" t="str">
            <v>T</v>
          </cell>
          <cell r="I212" t="str">
            <v>Depo/Depot</v>
          </cell>
          <cell r="J212" t="str">
            <v>C-Uyarı, sürüş devamlılığı</v>
          </cell>
          <cell r="K212" t="str">
            <v>SSH</v>
          </cell>
          <cell r="L212" t="str">
            <v>Kablo Tavasından Taşan Kablolar</v>
          </cell>
          <cell r="M212" t="str">
            <v>Gebze-Darıca Metro Projesi kapsamında T vagonunda yapılan incelemeler sırasında elektriksel kablo tavalarında hata tespit edilmiştir. Yapılan gözlemler sonucunda, kablo tavalarına olması gerekenden 3-4 kat fazla kablo yerleştirildiği görülmüştür. Bu durum, kabloların düzgün yerleşmesini engellemekte ve kablo tavasında taşmaların meydana gelmesine sebep olmaktadır.</v>
          </cell>
          <cell r="N212">
            <v>119</v>
          </cell>
          <cell r="P212" t="str">
            <v>B(Servisten çekmeye etki eden arızalar)</v>
          </cell>
          <cell r="Q212" t="str">
            <v>N.A(Yaralanma yok)</v>
          </cell>
          <cell r="R212" t="str">
            <v>Bozankaya</v>
          </cell>
          <cell r="T212">
            <v>45686</v>
          </cell>
          <cell r="U212">
            <v>45686.416666666664</v>
          </cell>
          <cell r="V212" t="str">
            <v>Bozankaya</v>
          </cell>
          <cell r="W212" t="str">
            <v>B000-0000/Bozankaya</v>
          </cell>
          <cell r="X212"/>
          <cell r="Y212"/>
          <cell r="Z212"/>
          <cell r="AA212" t="str">
            <v>Hayır</v>
          </cell>
          <cell r="AB212"/>
          <cell r="AC212" t="e">
            <v>#NAME?</v>
          </cell>
          <cell r="AD212"/>
          <cell r="AE212" t="str">
            <v/>
          </cell>
          <cell r="AH212" t="str">
            <v/>
          </cell>
          <cell r="AN212"/>
          <cell r="AP212" t="str">
            <v>(I) İlk defa karşılaşılan arıza</v>
          </cell>
          <cell r="AQ212" t="str">
            <v/>
          </cell>
          <cell r="AR212"/>
          <cell r="AU212" t="str">
            <v>Kablolama</v>
          </cell>
          <cell r="AX212" t="str">
            <v>https://www.appsheet.com/Template/gettablefileurl?appname=GDM7x4_Failure_List-654943&amp;tableName=SAYFA1&amp;filename=Sayfa1_Images%2F44828191.Resim.104014.jpg</v>
          </cell>
        </row>
        <row r="213">
          <cell r="A213" t="str">
            <v>6bb771f7</v>
          </cell>
          <cell r="B213" t="str">
            <v>FRACAS-GDM-212</v>
          </cell>
          <cell r="E213">
            <v>45686</v>
          </cell>
          <cell r="F213">
            <v>45686.375</v>
          </cell>
          <cell r="G213" t="str">
            <v>TS#1</v>
          </cell>
          <cell r="H213" t="str">
            <v>Mc1 , T , M , Mc2</v>
          </cell>
          <cell r="I213" t="str">
            <v>Depo/Depot</v>
          </cell>
          <cell r="J213" t="str">
            <v>C-Uyarı, sürüş devamlılığı</v>
          </cell>
          <cell r="K213" t="str">
            <v>SSH</v>
          </cell>
          <cell r="L213" t="str">
            <v>Klima Koltuk Altı Isıtıcılarının Dengeli Çalışması</v>
          </cell>
          <cell r="M213" t="str">
            <v>Koltuk altı ısıtıcılar, 1-3-5 ve 2-4-6 grupları halinde çapraz şekilde çalışmaktadır. Ancak mevcut sistemde, her ısıtma ihtiyacında öncelikle 1-3-5 numaralı ısıtıcılar devreye girmektedir. Bu durum, ilgili ekipmanların düzensiz şekilde aşınmasına ve ömrünün daha hızlı tükenmesine neden olmaktadır.</v>
          </cell>
          <cell r="N213">
            <v>1</v>
          </cell>
          <cell r="P213" t="str">
            <v>C(Sisteme etki etmeyen arıza)</v>
          </cell>
          <cell r="Q213" t="str">
            <v>N.A(Yaralanma yok)</v>
          </cell>
          <cell r="R213" t="str">
            <v>Tedarikçi</v>
          </cell>
          <cell r="T213">
            <v>45686</v>
          </cell>
          <cell r="U213">
            <v>45686.416666666664</v>
          </cell>
          <cell r="V213" t="str">
            <v>YAZ-KAR KLİMA SOĞUTMA DANIŞMANLIK O</v>
          </cell>
          <cell r="W213" t="str">
            <v>H500-8001/Yolcu Klima Ünitesi</v>
          </cell>
          <cell r="X213"/>
          <cell r="Y213"/>
          <cell r="Z213"/>
          <cell r="AA213" t="str">
            <v>Evet</v>
          </cell>
          <cell r="AB213"/>
          <cell r="AC213" t="e">
            <v>#NAME?</v>
          </cell>
          <cell r="AD213"/>
          <cell r="AE213" t="str">
            <v/>
          </cell>
          <cell r="AH213" t="str">
            <v/>
          </cell>
          <cell r="AN213"/>
          <cell r="AP213" t="str">
            <v>(I) İlk defa karşılaşılan arıza</v>
          </cell>
          <cell r="AQ213" t="str">
            <v/>
          </cell>
          <cell r="AR213"/>
          <cell r="AU213" t="str">
            <v>HVAC</v>
          </cell>
          <cell r="AX213" t="str">
            <v>https://www.appsheet.com/Template/gettablefileurl?appname=GDM7x4_Failure_List-654943&amp;tableName=SAYFA1&amp;filename=Sayfa1_Images%2F6bb771f7.Resim.110021.jpg</v>
          </cell>
        </row>
        <row r="214">
          <cell r="A214" t="str">
            <v>5730a741</v>
          </cell>
          <cell r="B214" t="str">
            <v>FRACAS-GDM-213</v>
          </cell>
          <cell r="E214">
            <v>45686</v>
          </cell>
          <cell r="F214">
            <v>45686.416666666664</v>
          </cell>
          <cell r="G214" t="str">
            <v>TS#1</v>
          </cell>
          <cell r="H214" t="str">
            <v>Mc1 , T , M , Mc2</v>
          </cell>
          <cell r="I214" t="str">
            <v>Depo/Depot</v>
          </cell>
          <cell r="J214" t="str">
            <v>C-Uyarı, sürüş devamlılığı</v>
          </cell>
          <cell r="K214" t="str">
            <v>SSH</v>
          </cell>
          <cell r="L214" t="str">
            <v>Klima Sistemi Ekipman Ömüründe İyileştirme</v>
          </cell>
          <cell r="M214" t="str">
            <v>Klima, ortam sıcaklığı 21°C’den hedef sıcaklık olan 19°C’ye düşene kadar soğutma yapmaktadır. 19°C’ye ulaştığında vantilasyon moduna geçmektedir. Ancak, vantilasyon sırasında sıcaklık 18°C’ye düştüğünde sistem doğrudan ısıtıcıları devreye sokmaktadır. Bu durum, sürekli mod değişimine sebep olarak gereksiz enerji tüketimi ve ekipman ömrünün hızlı tükenmesine yol açmaktadır.</v>
          </cell>
          <cell r="N214">
            <v>1200</v>
          </cell>
          <cell r="P214" t="str">
            <v>C(Sisteme etki etmeyen arıza)</v>
          </cell>
          <cell r="Q214" t="str">
            <v>N.A(Yaralanma yok)</v>
          </cell>
          <cell r="R214" t="str">
            <v>Tedarikçi</v>
          </cell>
          <cell r="T214">
            <v>45686</v>
          </cell>
          <cell r="U214">
            <v>45686.458333333336</v>
          </cell>
          <cell r="V214" t="str">
            <v>YAZ-KAR KLİMA SOĞUTMA DANIŞMANLIK O</v>
          </cell>
          <cell r="W214" t="str">
            <v>H500-8001/Yolcu Klima Ünitesi</v>
          </cell>
          <cell r="X214"/>
          <cell r="Y214"/>
          <cell r="Z214"/>
          <cell r="AA214" t="str">
            <v>Evet</v>
          </cell>
          <cell r="AB214"/>
          <cell r="AC214" t="e">
            <v>#NAME?</v>
          </cell>
          <cell r="AD214"/>
          <cell r="AE214" t="str">
            <v/>
          </cell>
          <cell r="AH214" t="str">
            <v/>
          </cell>
          <cell r="AN214"/>
          <cell r="AP214" t="str">
            <v>(I) İlk defa karşılaşılan arıza</v>
          </cell>
          <cell r="AQ214" t="str">
            <v/>
          </cell>
          <cell r="AR214"/>
          <cell r="AU214" t="str">
            <v>HVAC</v>
          </cell>
          <cell r="AX214" t="str">
            <v>https://www.appsheet.com/Template/gettablefileurl?appname=GDM7x4_Failure_List-654943&amp;tableName=SAYFA1&amp;filename=Sayfa1_Images%2F5730a741.Resim.113305.jpg</v>
          </cell>
        </row>
        <row r="215">
          <cell r="A215" t="str">
            <v>83a4935d</v>
          </cell>
          <cell r="B215" t="str">
            <v>FRACAS-GDM-214</v>
          </cell>
          <cell r="E215">
            <v>45686</v>
          </cell>
          <cell r="F215">
            <v>45686.5</v>
          </cell>
          <cell r="G215" t="str">
            <v>TS#7</v>
          </cell>
          <cell r="H215" t="str">
            <v>Mc1 , Mc2</v>
          </cell>
          <cell r="I215" t="str">
            <v>Depo/Depot</v>
          </cell>
          <cell r="J215" t="str">
            <v>C-Uyarı, sürüş devamlılığı</v>
          </cell>
          <cell r="K215" t="str">
            <v>SSH</v>
          </cell>
          <cell r="L215" t="str">
            <v>Yağ Deposunda Sızıntı</v>
          </cell>
          <cell r="M215" t="str">
            <v>GDM-7 numaralı aracın MC1 ve MC2 boji yağlama sistemlerinde, ayrıca GDM-6 numaralı aracın MC2 boji yağlama sisteminde yağ sızıntısı tespit edilmiştir. Yapılan incelemeler sonucunda, sızıntının SKF marka MP-100 (Lincoln Lubrication Equipment) model yağ yönlendiricisinin keçesinden ve yağ deposuna bağlı elektriksel seviye ölçüm noktasından kaynaklandığı belirlenmiştir.  Tespit edilen sorunlar:  SKF MP-100 yağ yönlendiricisinin keçesi: Sızıntının bu noktada meydana gelmesi, keçenin deformasyonu, montaj hatası veya üretim kaynaklı bir problemden kaynaklanıyor olabilir. Elektriksel seviye ölçüm noktası: Yağ deposuna bağlı olan bu noktada sızdırmazlık problemleri gözlemlenmiştir. Bağlantı noktasında conta veya kapama elemanlarında eksiklik ya da gevşeme olabilir.</v>
          </cell>
          <cell r="N215">
            <v>150</v>
          </cell>
          <cell r="P215" t="str">
            <v>C(Sisteme etki etmeyen arıza)</v>
          </cell>
          <cell r="Q215" t="str">
            <v>N.A(Yaralanma yok)</v>
          </cell>
          <cell r="R215" t="str">
            <v>Tedarikçi</v>
          </cell>
          <cell r="T215">
            <v>45686</v>
          </cell>
          <cell r="U215">
            <v>45686.506944444445</v>
          </cell>
          <cell r="V215" t="str">
            <v>GRESAN YAĞ VE MAKİNA SAN.VE TİC.A.Ş</v>
          </cell>
          <cell r="W215" t="str">
            <v>S340-8001/TANK</v>
          </cell>
          <cell r="X215"/>
          <cell r="Y215">
            <v>3</v>
          </cell>
          <cell r="Z215"/>
          <cell r="AA215" t="str">
            <v>Evet</v>
          </cell>
          <cell r="AB215"/>
          <cell r="AC215" t="e">
            <v>#NAME?</v>
          </cell>
          <cell r="AD215"/>
          <cell r="AE215" t="str">
            <v/>
          </cell>
          <cell r="AH215" t="str">
            <v/>
          </cell>
          <cell r="AN215"/>
          <cell r="AP215" t="str">
            <v>(I) İlk defa karşılaşılan arıza</v>
          </cell>
          <cell r="AQ215" t="str">
            <v/>
          </cell>
          <cell r="AR215"/>
          <cell r="AU215" t="str">
            <v>Yağlama</v>
          </cell>
          <cell r="AX215" t="str">
            <v>https://www.appsheet.com/Template/gettablefileurl?appname=GDM7x4_Failure_List-654943&amp;tableName=SAYFA1&amp;filename=Sayfa1_Images%2F83a4935d.Resim.122420.jpg</v>
          </cell>
        </row>
        <row r="216">
          <cell r="A216" t="str">
            <v>b0743faa</v>
          </cell>
          <cell r="B216" t="str">
            <v>FRACAS-GDM-215</v>
          </cell>
          <cell r="E216">
            <v>45686</v>
          </cell>
          <cell r="F216">
            <v>45686.609027777777</v>
          </cell>
          <cell r="G216" t="str">
            <v>TS#2</v>
          </cell>
          <cell r="H216" t="str">
            <v>Mc1</v>
          </cell>
          <cell r="I216" t="str">
            <v>Depo/Depot</v>
          </cell>
          <cell r="J216" t="str">
            <v>C-Uyarı, sürüş devamlılığı</v>
          </cell>
          <cell r="K216" t="str">
            <v>SSH</v>
          </cell>
          <cell r="L216" t="str">
            <v>18 inç ekran çalışmıyor</v>
          </cell>
          <cell r="M216" t="str">
            <v>Ekran gelen valtaj beslemesi ölçüldü 130 v geldi görüldü ama ekran ledinde görüntü gelmemektedir.</v>
          </cell>
          <cell r="N216">
            <v>190</v>
          </cell>
          <cell r="P216" t="str">
            <v>C(Sisteme etki etmeyen arıza)</v>
          </cell>
          <cell r="Q216" t="str">
            <v>N.A(Yaralanma yok)</v>
          </cell>
          <cell r="R216" t="str">
            <v>Tedarikçi</v>
          </cell>
          <cell r="T216">
            <v>45686</v>
          </cell>
          <cell r="U216">
            <v>45686.65347222222</v>
          </cell>
          <cell r="V216" t="str">
            <v>PİTON BİLGİSAYAR TEKNOLOJİLERİ EĞİT</v>
          </cell>
          <cell r="W216" t="str">
            <v>E840-8006/LCD EKRAN</v>
          </cell>
          <cell r="X216"/>
          <cell r="Y216">
            <v>1</v>
          </cell>
          <cell r="Z216">
            <v>869023001895</v>
          </cell>
          <cell r="AA216" t="str">
            <v>Evet</v>
          </cell>
          <cell r="AB216" t="str">
            <v>Ekipman değiştirilecek</v>
          </cell>
          <cell r="AC216" t="e">
            <v>#NAME?</v>
          </cell>
          <cell r="AD216"/>
          <cell r="AE216" t="str">
            <v/>
          </cell>
          <cell r="AH216" t="str">
            <v/>
          </cell>
          <cell r="AN216">
            <v>2</v>
          </cell>
          <cell r="AP216" t="str">
            <v>(II) Birden fazla karşılaşılan arıza</v>
          </cell>
          <cell r="AQ216">
            <v>45686</v>
          </cell>
          <cell r="AR216">
            <v>45686.658333333333</v>
          </cell>
          <cell r="AU216" t="str">
            <v>PA/PIS/CCTV</v>
          </cell>
          <cell r="AX216" t="str">
            <v>https://www.appsheet.com/Template/gettablefileurl?appname=GDM7x4_Failure_List-654943&amp;tableName=SAYFA1&amp;filename=Sayfa1_Images%2Fb0743faa.Resim.125349.jpg</v>
          </cell>
        </row>
        <row r="217">
          <cell r="A217" t="str">
            <v>c4cc84d7</v>
          </cell>
          <cell r="B217" t="str">
            <v>FRACAS-GDM-216</v>
          </cell>
          <cell r="E217">
            <v>45686</v>
          </cell>
          <cell r="F217">
            <v>45686.5</v>
          </cell>
          <cell r="G217" t="str">
            <v>TS#1</v>
          </cell>
          <cell r="H217" t="str">
            <v>Mc1 , T , M , Mc2</v>
          </cell>
          <cell r="I217" t="str">
            <v>Hat/Line</v>
          </cell>
          <cell r="J217" t="str">
            <v>A-Sürüşü engeller</v>
          </cell>
          <cell r="K217" t="str">
            <v>SSH</v>
          </cell>
          <cell r="L217" t="str">
            <v>Analog Kablo Montaj Hatası</v>
          </cell>
          <cell r="M217" t="str">
            <v>Gebze-Darıca Metro Projesi kapsamında araçlarda kullanılan ekranlara görüntü aktarımını sağlayan analog kabloların F konnektör bağlantılarında montaj hatası tespit edilmiştir. Doğru uygulamada, analog kablonun dış kauçuğu F konnektörün içine girecek şekilde yerleştirilmeli ve sıkma pensesi ile sağlamlaştırılmalıydı. Ancak sahada yapılan incelemelerde, kabloların dış kauçuğunun soyularak F konnektörün çakıldığı ve üzerine makaron geçirildiği belirlenmiştir.  Bu yöntem, F konnektörlerin iç çapının kabloya göre dar olması sebebiyle tercih edilmiş olsa da, araçlardaki sarsıntı ve titreşim nedeniyle konnektörlerin zamanla kablodan ayrıldığı tespit edilmiştir. Bu durum, ekranlara görüntü aktarımının kesilmesine ve sistemde işlevsellik kaybına yol açmıştır.  Sorunun giderilmesi için doğru montaj yönteminin uygulanması, konnektör bağlantılarının güçlendirilmesi ve ilgili bağlantıların tekrar kontrol edilmesi gerekmektedir.</v>
          </cell>
          <cell r="N217">
            <v>1200</v>
          </cell>
          <cell r="P217" t="str">
            <v>B(Servisten çekmeye etki eden arızalar)</v>
          </cell>
          <cell r="Q217" t="str">
            <v>N.A(Yaralanma yok)</v>
          </cell>
          <cell r="R217" t="str">
            <v>Bozankaya</v>
          </cell>
          <cell r="T217">
            <v>45686</v>
          </cell>
          <cell r="U217">
            <v>45686.541666666664</v>
          </cell>
          <cell r="V217" t="str">
            <v>Bozankaya</v>
          </cell>
          <cell r="W217" t="str">
            <v>B000-0000/Bozankaya</v>
          </cell>
          <cell r="X217"/>
          <cell r="Y217">
            <v>15</v>
          </cell>
          <cell r="Z217"/>
          <cell r="AA217" t="str">
            <v>Evet</v>
          </cell>
          <cell r="AB217"/>
          <cell r="AC217" t="e">
            <v>#NAME?</v>
          </cell>
          <cell r="AD217"/>
          <cell r="AE217" t="str">
            <v/>
          </cell>
          <cell r="AH217" t="str">
            <v/>
          </cell>
          <cell r="AN217"/>
          <cell r="AP217" t="str">
            <v>(I) İlk defa karşılaşılan arıza</v>
          </cell>
          <cell r="AQ217" t="str">
            <v/>
          </cell>
          <cell r="AR217"/>
          <cell r="AU217" t="str">
            <v>PA/PIS/CCTV</v>
          </cell>
          <cell r="AX217" t="str">
            <v>https://www.appsheet.com/Template/gettablefileurl?appname=GDM7x4_Failure_List-654943&amp;tableName=SAYFA1&amp;filename=Sayfa1_Images%2Fc4cc84d7.Resim.125836.jpg</v>
          </cell>
        </row>
        <row r="218">
          <cell r="A218" t="str">
            <v>d836c794</v>
          </cell>
          <cell r="B218" t="str">
            <v>FRACAS-GDM-217</v>
          </cell>
          <cell r="E218">
            <v>45686</v>
          </cell>
          <cell r="F218">
            <v>45686.665162037039</v>
          </cell>
          <cell r="G218" t="str">
            <v>TS#2</v>
          </cell>
          <cell r="H218" t="str">
            <v>T</v>
          </cell>
          <cell r="I218" t="str">
            <v>Depo/Depot</v>
          </cell>
          <cell r="J218" t="str">
            <v>C-Uyarı, sürüş devamlılığı</v>
          </cell>
          <cell r="K218" t="str">
            <v>SSH</v>
          </cell>
          <cell r="L218" t="str">
            <v>18 inç ekran kırık</v>
          </cell>
          <cell r="M218" t="str">
            <v>Yapılan görsel kontrol sonrasında ekranın kırık olduğu görüldü yeni ekranla değişim yapılacak.</v>
          </cell>
          <cell r="N218">
            <v>119</v>
          </cell>
          <cell r="P218" t="str">
            <v>C(Sisteme etki etmeyen arıza)</v>
          </cell>
          <cell r="Q218" t="str">
            <v>N.A(Yaralanma yok)</v>
          </cell>
          <cell r="R218" t="str">
            <v>Bozankaya</v>
          </cell>
          <cell r="T218">
            <v>45686</v>
          </cell>
          <cell r="U218">
            <v>45686.666666666664</v>
          </cell>
          <cell r="V218" t="str">
            <v>PİTON BİLGİSAYAR TEKNOLOJİLERİ EĞİT</v>
          </cell>
          <cell r="W218" t="str">
            <v>E840-8006/LCD EKRAN</v>
          </cell>
          <cell r="X218"/>
          <cell r="Y218">
            <v>1</v>
          </cell>
          <cell r="Z218">
            <v>86923001967</v>
          </cell>
          <cell r="AA218" t="str">
            <v>Hayır</v>
          </cell>
          <cell r="AB218" t="str">
            <v>Ekipman değiştirilecek</v>
          </cell>
          <cell r="AC218" t="e">
            <v>#NAME?</v>
          </cell>
          <cell r="AD218"/>
          <cell r="AE218">
            <v>45686</v>
          </cell>
          <cell r="AH218">
            <v>45686</v>
          </cell>
          <cell r="AN218">
            <v>2</v>
          </cell>
          <cell r="AP218" t="str">
            <v>(II) Birden fazla karşılaşılan arıza</v>
          </cell>
          <cell r="AQ218">
            <v>45686</v>
          </cell>
          <cell r="AR218">
            <v>45686.669444444444</v>
          </cell>
          <cell r="AU218" t="str">
            <v>PA/PIS/CCTV</v>
          </cell>
          <cell r="AX218" t="str">
            <v>https://www.appsheet.com/Template/gettablefileurl?appname=GDM7x4_Failure_List-654943&amp;tableName=SAYFA1&amp;filename=Sayfa1_Images%2Fd836c794.Resim.130516.jpg</v>
          </cell>
        </row>
        <row r="219">
          <cell r="A219" t="str">
            <v>21a2596a</v>
          </cell>
          <cell r="B219" t="str">
            <v>FRACAS-GDM-218</v>
          </cell>
          <cell r="E219">
            <v>45686</v>
          </cell>
          <cell r="F219">
            <v>45686.672002314815</v>
          </cell>
          <cell r="G219" t="str">
            <v>TS#2</v>
          </cell>
          <cell r="H219" t="str">
            <v>Mc1</v>
          </cell>
          <cell r="I219" t="str">
            <v>Depo/Depot</v>
          </cell>
          <cell r="J219" t="str">
            <v>C-Uyarı, sürüş devamlılığı</v>
          </cell>
          <cell r="K219" t="str">
            <v>SSH</v>
          </cell>
          <cell r="L219" t="str">
            <v>18 inç ekranlara görüntü basan rf modülatör görüntü basmıyor.</v>
          </cell>
          <cell r="M219" t="str">
            <v>18 inç ekranlara görüntü basan RF görüntü basmıyor. Voltaj ölçümü yapıdı 130 v besleme geliyor Aref çalışmıyor.</v>
          </cell>
          <cell r="N219">
            <v>119</v>
          </cell>
          <cell r="P219" t="str">
            <v>C(Sisteme etki etmeyen arıza)</v>
          </cell>
          <cell r="Q219" t="str">
            <v>N.A(Yaralanma yok)</v>
          </cell>
          <cell r="R219" t="str">
            <v>Tedarikçi</v>
          </cell>
          <cell r="T219">
            <v>45686</v>
          </cell>
          <cell r="U219">
            <v>45686.631944444445</v>
          </cell>
          <cell r="V219" t="str">
            <v>PİTON BİLGİSAYAR TEKNOLOJİLERİ EĞİT</v>
          </cell>
          <cell r="W219" t="str">
            <v>E840-8010/Multiplexer</v>
          </cell>
          <cell r="X219"/>
          <cell r="Y219">
            <v>1</v>
          </cell>
          <cell r="Z219">
            <v>869023002248</v>
          </cell>
          <cell r="AA219" t="str">
            <v>Evet</v>
          </cell>
          <cell r="AB219" t="str">
            <v>Ekipman değiştirilecek</v>
          </cell>
          <cell r="AC219" t="e">
            <v>#NAME?</v>
          </cell>
          <cell r="AD219"/>
          <cell r="AE219" t="str">
            <v/>
          </cell>
          <cell r="AH219" t="str">
            <v/>
          </cell>
          <cell r="AN219"/>
          <cell r="AP219" t="str">
            <v>(II) Birden fazla karşılaşılan arıza</v>
          </cell>
          <cell r="AQ219" t="str">
            <v/>
          </cell>
          <cell r="AR219"/>
          <cell r="AU219" t="str">
            <v>PA/PIS/CCTV</v>
          </cell>
          <cell r="AX219" t="str">
            <v>https://www.appsheet.com/Template/gettablefileurl?appname=GDM7x4_Failure_List-654943&amp;tableName=SAYFA1&amp;filename=Sayfa1_Images%2F21a2596a.Resim.131325.jpg</v>
          </cell>
        </row>
        <row r="220">
          <cell r="A220" t="str">
            <v>918d8c78</v>
          </cell>
          <cell r="B220" t="str">
            <v>FRACAS-GDM-219</v>
          </cell>
          <cell r="E220">
            <v>45687</v>
          </cell>
          <cell r="F220">
            <v>45687.681319444448</v>
          </cell>
          <cell r="G220" t="str">
            <v>TS#7</v>
          </cell>
          <cell r="H220" t="str">
            <v>Mc1</v>
          </cell>
          <cell r="I220" t="str">
            <v>Depo/Depot</v>
          </cell>
          <cell r="J220" t="str">
            <v>C-Uyarı, sürüş devamlılığı</v>
          </cell>
          <cell r="K220" t="str">
            <v>SSH</v>
          </cell>
          <cell r="L220" t="str">
            <v>Kapı üstü güzergah led ekranında enerji gidip geliyor.</v>
          </cell>
          <cell r="M220" t="str">
            <v>Ürün garantisi devam ettiğinden ekran pitona yolanacak.</v>
          </cell>
          <cell r="N220">
            <v>191</v>
          </cell>
          <cell r="P220" t="str">
            <v>C(Sisteme etki etmeyen arıza)</v>
          </cell>
          <cell r="Q220" t="str">
            <v>N.A(Yaralanma yok)</v>
          </cell>
          <cell r="R220" t="str">
            <v>Tedarikçi</v>
          </cell>
          <cell r="T220">
            <v>45687</v>
          </cell>
          <cell r="U220">
            <v>45687.646527777775</v>
          </cell>
          <cell r="V220" t="str">
            <v>PİTON BİLGİSAYAR TEKNOLOJİLERİ EĞİT</v>
          </cell>
          <cell r="W220" t="str">
            <v>E840-8007/Strech Ekran</v>
          </cell>
          <cell r="X220"/>
          <cell r="Y220">
            <v>1</v>
          </cell>
          <cell r="Z220">
            <v>869023001780</v>
          </cell>
          <cell r="AA220" t="str">
            <v>Evet</v>
          </cell>
          <cell r="AB220" t="str">
            <v>Arıza çözülecek</v>
          </cell>
          <cell r="AC220" t="e">
            <v>#NAME?</v>
          </cell>
          <cell r="AD220"/>
          <cell r="AE220" t="str">
            <v/>
          </cell>
          <cell r="AH220" t="str">
            <v/>
          </cell>
          <cell r="AN220">
            <v>1</v>
          </cell>
          <cell r="AP220" t="str">
            <v>(I) İlk defa karşılaşılan arıza</v>
          </cell>
          <cell r="AQ220" t="str">
            <v/>
          </cell>
          <cell r="AR220"/>
          <cell r="AU220" t="str">
            <v>PA/PIS/CCTV</v>
          </cell>
          <cell r="AX220" t="str">
            <v>https://www.appsheet.com/Template/gettablefileurl?appname=GDM7x4_Failure_List-654943&amp;tableName=SAYFA1&amp;filename=Sayfa1_Images%2F918d8c78.Resim.133526.jpg</v>
          </cell>
        </row>
        <row r="221">
          <cell r="A221" t="str">
            <v>4b8ee0e2</v>
          </cell>
          <cell r="B221" t="str">
            <v>FRACAS-GDM-220</v>
          </cell>
          <cell r="E221">
            <v>45693</v>
          </cell>
          <cell r="F221">
            <v>45693.078645833331</v>
          </cell>
          <cell r="G221" t="str">
            <v>TS#1</v>
          </cell>
          <cell r="H221" t="str">
            <v>M</v>
          </cell>
          <cell r="I221" t="str">
            <v>Depo/Depot</v>
          </cell>
          <cell r="J221" t="str">
            <v>A-Sürüşü engeller</v>
          </cell>
          <cell r="K221" t="str">
            <v>SSH</v>
          </cell>
          <cell r="L221" t="str">
            <v>Röle yapışması</v>
          </cell>
          <cell r="M221" t="str">
            <v>M vagon 59 panoda JC-K02 rölesinin yapıştığı tespit edildi. Röle sıfır hızı dağıtan röle yapıştığından dolayı araca sürekli olarak sıfır hız geliyor.</v>
          </cell>
          <cell r="N221">
            <v>1201</v>
          </cell>
          <cell r="P221" t="str">
            <v>A(Hareket etmeyi engelleyen arıza)</v>
          </cell>
          <cell r="Q221" t="str">
            <v>N.A(Yaralanma yok)</v>
          </cell>
          <cell r="R221" t="str">
            <v>Tedarikçi</v>
          </cell>
          <cell r="T221">
            <v>45693</v>
          </cell>
          <cell r="U221">
            <v>45693.07916666667</v>
          </cell>
          <cell r="V221" t="str">
            <v>AYPA MÜHENDİSLİK PROJE DANIŞMANLIK</v>
          </cell>
          <cell r="W221" t="str">
            <v>E110-8018/4 CO ARTECHE 110V RÖLE</v>
          </cell>
          <cell r="X221"/>
          <cell r="Y221">
            <v>1</v>
          </cell>
          <cell r="Z221">
            <v>220044020541</v>
          </cell>
          <cell r="AA221" t="str">
            <v>Evet</v>
          </cell>
          <cell r="AB221" t="str">
            <v>Ekipman değiştirilecek</v>
          </cell>
          <cell r="AC221" t="e">
            <v>#NAME?</v>
          </cell>
          <cell r="AD221"/>
          <cell r="AE221" t="str">
            <v/>
          </cell>
          <cell r="AH221" t="str">
            <v/>
          </cell>
          <cell r="AN221">
            <v>1</v>
          </cell>
          <cell r="AP221" t="str">
            <v>(I) İlk defa karşılaşılan arıza</v>
          </cell>
          <cell r="AQ221">
            <v>45693</v>
          </cell>
          <cell r="AR221">
            <v>45693.089583333334</v>
          </cell>
          <cell r="AU221" t="str">
            <v>E-Kabinet</v>
          </cell>
          <cell r="AX221" t="str">
            <v>https://www.appsheet.com/Template/gettablefileurl?appname=GDM7x4_Failure_List-654943&amp;tableName=SAYFA1&amp;filename=Sayfa1_Images%2F4b8ee0e2.Resim.075313.jpg</v>
          </cell>
        </row>
        <row r="222">
          <cell r="A222" t="str">
            <v>60a43e91</v>
          </cell>
          <cell r="B222" t="str">
            <v>FRACAS-GDM-221</v>
          </cell>
          <cell r="E222">
            <v>45700</v>
          </cell>
          <cell r="F222">
            <v>45700.34375</v>
          </cell>
          <cell r="G222" t="str">
            <v>TS#7</v>
          </cell>
          <cell r="H222" t="str">
            <v>Mc1</v>
          </cell>
          <cell r="I222" t="str">
            <v>Depo/Depot</v>
          </cell>
          <cell r="J222" t="str">
            <v>A-Sürüşü engeller</v>
          </cell>
          <cell r="K222" t="str">
            <v>SSH</v>
          </cell>
          <cell r="L222" t="str">
            <v>Vandalizm Olayı</v>
          </cell>
          <cell r="M222" t="str">
            <v>M-MC1 Körüğünden başlayarak 7. Kapı dahil olmak üzere 5. Kapıya kadar 8metre uzunlupunda 2 metre yüksekliğinde grafiti yapıldığı tespit edildi.</v>
          </cell>
          <cell r="N222">
            <v>120</v>
          </cell>
          <cell r="P222" t="str">
            <v>C(Sisteme etki etmeyen arıza)</v>
          </cell>
          <cell r="Q222" t="str">
            <v>N.A(Yaralanma yok)</v>
          </cell>
          <cell r="R222" t="str">
            <v>Bozankaya</v>
          </cell>
          <cell r="T222">
            <v>45700</v>
          </cell>
          <cell r="U222">
            <v>45700.375</v>
          </cell>
          <cell r="V222" t="str">
            <v>Bozankaya</v>
          </cell>
          <cell r="W222" t="str">
            <v>B000-0000/Bozankaya</v>
          </cell>
          <cell r="X222"/>
          <cell r="Y222"/>
          <cell r="Z222"/>
          <cell r="AA222"/>
          <cell r="AB222"/>
          <cell r="AC222" t="e">
            <v>#NAME?</v>
          </cell>
          <cell r="AD222"/>
          <cell r="AE222" t="str">
            <v/>
          </cell>
          <cell r="AH222" t="str">
            <v/>
          </cell>
          <cell r="AN222"/>
          <cell r="AP222" t="str">
            <v>(II) Birden fazla karşılaşılan arıza</v>
          </cell>
          <cell r="AQ222" t="str">
            <v/>
          </cell>
          <cell r="AR222"/>
          <cell r="AU222" t="str">
            <v>Dış Giydirme</v>
          </cell>
          <cell r="AX222" t="str">
            <v>https://www.appsheet.com/Template/gettablefileurl?appname=GDM7x4_Failure_List-654943&amp;tableName=SAYFA1&amp;filename=Sayfa1_Images%2F60a43e91.Resim.081200.jpg</v>
          </cell>
        </row>
        <row r="223">
          <cell r="A223" t="str">
            <v>abd79a4d</v>
          </cell>
          <cell r="B223" t="str">
            <v>FRACAS-GDM-222</v>
          </cell>
          <cell r="E223">
            <v>45700</v>
          </cell>
          <cell r="F223">
            <v>45700.34375</v>
          </cell>
          <cell r="G223" t="str">
            <v>TS#7</v>
          </cell>
          <cell r="H223" t="str">
            <v>M</v>
          </cell>
          <cell r="I223" t="str">
            <v>Depo/Depot</v>
          </cell>
          <cell r="J223" t="str">
            <v>A-Sürüşü engeller</v>
          </cell>
          <cell r="K223" t="str">
            <v>SSH</v>
          </cell>
          <cell r="L223" t="str">
            <v>Vandalizm Olay</v>
          </cell>
          <cell r="M223" t="str">
            <v>15. Kapıdan  başlayarak, 9. Kapıya kadar 8metre uzunluğunda 2 metre yüksekliğinde grafiti yapıldığı tespit edildi.</v>
          </cell>
          <cell r="N223">
            <v>120</v>
          </cell>
          <cell r="P223" t="str">
            <v>C(Sisteme etki etmeyen arıza)</v>
          </cell>
          <cell r="Q223" t="str">
            <v>N.A(Yaralanma yok)</v>
          </cell>
          <cell r="R223" t="str">
            <v>Bozankaya</v>
          </cell>
          <cell r="T223">
            <v>45700</v>
          </cell>
          <cell r="U223">
            <v>45700.385416666664</v>
          </cell>
          <cell r="V223" t="str">
            <v>Bozankaya</v>
          </cell>
          <cell r="W223" t="str">
            <v>B000-0000/Bozankaya</v>
          </cell>
          <cell r="X223"/>
          <cell r="Y223"/>
          <cell r="Z223"/>
          <cell r="AA223"/>
          <cell r="AB223"/>
          <cell r="AC223" t="e">
            <v>#NAME?</v>
          </cell>
          <cell r="AD223"/>
          <cell r="AE223" t="str">
            <v/>
          </cell>
          <cell r="AH223" t="str">
            <v/>
          </cell>
          <cell r="AN223"/>
          <cell r="AP223" t="str">
            <v>(II) Birden fazla karşılaşılan arıza</v>
          </cell>
          <cell r="AQ223" t="str">
            <v/>
          </cell>
          <cell r="AR223"/>
          <cell r="AU223" t="str">
            <v>Dış Giydirme</v>
          </cell>
          <cell r="AX223" t="str">
            <v>https://www.appsheet.com/Template/gettablefileurl?appname=GDM7x4_Failure_List-654943&amp;tableName=SAYFA1&amp;filename=Sayfa1_Images%2Fabd79a4d.Resim.082222.jpg</v>
          </cell>
        </row>
        <row r="224">
          <cell r="A224" t="str">
            <v>49835ccb</v>
          </cell>
          <cell r="B224" t="str">
            <v>FRACAS-GDM-223</v>
          </cell>
          <cell r="E224">
            <v>45726</v>
          </cell>
          <cell r="F224">
            <v>45726.680069444446</v>
          </cell>
          <cell r="G224" t="str">
            <v>TS#1</v>
          </cell>
          <cell r="H224" t="str">
            <v>Mc1 , Mc2</v>
          </cell>
          <cell r="I224" t="str">
            <v>Depo/Depot</v>
          </cell>
          <cell r="J224" t="str">
            <v>C-Uyarı, sürüş devamlılığı</v>
          </cell>
          <cell r="K224" t="str">
            <v>SSH</v>
          </cell>
          <cell r="L224" t="str">
            <v>Dashboard kapağı Dashborad Çiziyor</v>
          </cell>
          <cell r="M224" t="str">
            <v>Dashboard trim kapağını tutan menteşe mekanizması Dashboard paneline çarparak çizdiği tespit edildi.</v>
          </cell>
          <cell r="N224">
            <v>1368</v>
          </cell>
          <cell r="P224" t="str">
            <v>C(Sisteme etki etmeyen arıza)</v>
          </cell>
          <cell r="Q224" t="str">
            <v>N.A(Yaralanma yok)</v>
          </cell>
          <cell r="R224" t="str">
            <v>Bozankaya</v>
          </cell>
          <cell r="T224">
            <v>45726</v>
          </cell>
          <cell r="U224">
            <v>45726.693749999999</v>
          </cell>
          <cell r="V224"/>
          <cell r="W224" t="str">
            <v>E300-0801/DASHBOARD PANEL MONTAJI</v>
          </cell>
          <cell r="X224"/>
          <cell r="Y224">
            <v>2</v>
          </cell>
          <cell r="Z224"/>
          <cell r="AA224"/>
          <cell r="AB224"/>
          <cell r="AC224" t="e">
            <v>#NAME?</v>
          </cell>
          <cell r="AD224"/>
          <cell r="AE224" t="str">
            <v/>
          </cell>
          <cell r="AH224" t="str">
            <v/>
          </cell>
          <cell r="AN224"/>
          <cell r="AP224" t="str">
            <v>(II) Birden fazla karşılaşılan arıza</v>
          </cell>
          <cell r="AQ224" t="str">
            <v/>
          </cell>
          <cell r="AR224"/>
          <cell r="AU224" t="str">
            <v>İç Giydirme</v>
          </cell>
          <cell r="AX224" t="str">
            <v>https://www.appsheet.com/Template/gettablefileurl?appname=GDM7x4_Failure_List-654943&amp;tableName=SAYFA1&amp;filename=Sayfa1_Images%2F49835ccb.Resim.134203.jpg</v>
          </cell>
        </row>
        <row r="225">
          <cell r="A225" t="str">
            <v>a8f594fa</v>
          </cell>
          <cell r="B225" t="str">
            <v>FRACAS-GDM-224</v>
          </cell>
          <cell r="E225">
            <v>45735</v>
          </cell>
          <cell r="F225">
            <v>45735.649340277778</v>
          </cell>
          <cell r="G225" t="str">
            <v>TS#7</v>
          </cell>
          <cell r="H225" t="str">
            <v>T</v>
          </cell>
          <cell r="I225" t="str">
            <v>Depo/Depot</v>
          </cell>
          <cell r="J225" t="str">
            <v>C-Uyarı, sürüş devamlılığı</v>
          </cell>
          <cell r="K225" t="str">
            <v>SSH</v>
          </cell>
          <cell r="L225" t="str">
            <v>Ekrana sinyal gelmiyor .</v>
          </cell>
          <cell r="M225" t="str">
            <v>Sinyal hatı kontrol edildi.</v>
          </cell>
          <cell r="N225">
            <v>190</v>
          </cell>
          <cell r="P225" t="str">
            <v>C(Sisteme etki etmeyen arıza)</v>
          </cell>
          <cell r="Q225" t="str">
            <v>N.A(Yaralanma yok)</v>
          </cell>
          <cell r="R225" t="str">
            <v>Bozankaya</v>
          </cell>
          <cell r="T225">
            <v>45735</v>
          </cell>
          <cell r="U225">
            <v>45735.613888888889</v>
          </cell>
          <cell r="V225"/>
          <cell r="W225"/>
          <cell r="X225"/>
          <cell r="Y225">
            <v>1</v>
          </cell>
          <cell r="Z225"/>
          <cell r="AA225" t="str">
            <v>Hayır</v>
          </cell>
          <cell r="AB225" t="str">
            <v>Arıza çözülecek</v>
          </cell>
          <cell r="AC225" t="e">
            <v>#NAME?</v>
          </cell>
          <cell r="AD225"/>
          <cell r="AE225" t="str">
            <v/>
          </cell>
          <cell r="AH225">
            <v>45735</v>
          </cell>
          <cell r="AN225">
            <v>1</v>
          </cell>
          <cell r="AP225" t="str">
            <v>(II) Birden fazla karşılaşılan arıza</v>
          </cell>
          <cell r="AQ225">
            <v>45735</v>
          </cell>
          <cell r="AR225">
            <v>45735.661111111112</v>
          </cell>
          <cell r="AU225" t="str">
            <v>PA/PIS/CCTV</v>
          </cell>
          <cell r="AX225" t="str">
            <v>https://www.appsheet.com/Template/gettablefileurl?appname=GDM7x4_Failure_List-654943&amp;tableName=SAYFA1&amp;filename=Sayfa1_Images%2Fa8f594fa.Resim.125302.jpg</v>
          </cell>
        </row>
        <row r="226">
          <cell r="A226" t="str">
            <v>160cde6c</v>
          </cell>
          <cell r="B226" t="str">
            <v>FRACAS-GDM-225</v>
          </cell>
          <cell r="E226">
            <v>45735</v>
          </cell>
          <cell r="F226">
            <v>45735.661805555559</v>
          </cell>
          <cell r="G226" t="str">
            <v>TS#7</v>
          </cell>
          <cell r="H226" t="str">
            <v>Mc2</v>
          </cell>
          <cell r="I226" t="str">
            <v>Depo/Depot</v>
          </cell>
          <cell r="J226" t="str">
            <v>C-Uyarı, sürüş devamlılığı</v>
          </cell>
          <cell r="K226" t="str">
            <v>SSH</v>
          </cell>
          <cell r="L226" t="str">
            <v>Kırkıncı  23 inç ekran çalışmıyor.</v>
          </cell>
          <cell r="M226" t="str">
            <v>Ekrana voltaj gelmediği ğörüldü.</v>
          </cell>
          <cell r="N226">
            <v>179</v>
          </cell>
          <cell r="P226" t="str">
            <v>C(Sisteme etki etmeyen arıza)</v>
          </cell>
          <cell r="Q226" t="str">
            <v>N.A(Yaralanma yok)</v>
          </cell>
          <cell r="R226" t="str">
            <v>Bozankaya</v>
          </cell>
          <cell r="T226">
            <v>45735</v>
          </cell>
          <cell r="U226">
            <v>45735.62222222222</v>
          </cell>
          <cell r="V226"/>
          <cell r="W226"/>
          <cell r="X226"/>
          <cell r="Y226"/>
          <cell r="Z226"/>
          <cell r="AA226" t="str">
            <v>Hayır</v>
          </cell>
          <cell r="AB226" t="str">
            <v>Tamir edilecek</v>
          </cell>
          <cell r="AC226" t="e">
            <v>#NAME?</v>
          </cell>
          <cell r="AD226"/>
          <cell r="AE226" t="str">
            <v/>
          </cell>
          <cell r="AH226" t="str">
            <v/>
          </cell>
          <cell r="AN226">
            <v>2</v>
          </cell>
          <cell r="AP226" t="str">
            <v>(II) Birden fazla karşılaşılan arıza</v>
          </cell>
          <cell r="AQ226" t="str">
            <v/>
          </cell>
          <cell r="AR226"/>
          <cell r="AU226" t="str">
            <v>PA/PIS/CCTV</v>
          </cell>
          <cell r="AX226" t="str">
            <v>https://www.appsheet.com/Template/gettablefileurl?appname=GDM7x4_Failure_List-654943&amp;tableName=SAYFA1&amp;filename=Sayfa1_Images%2F160cde6c.Resim.130845.jpg</v>
          </cell>
        </row>
        <row r="227">
          <cell r="A227" t="str">
            <v>a6c09f3c</v>
          </cell>
          <cell r="B227" t="str">
            <v>FRACAS-GDM-226</v>
          </cell>
          <cell r="E227">
            <v>45740</v>
          </cell>
          <cell r="F227">
            <v>45740.439583333333</v>
          </cell>
          <cell r="G227" t="str">
            <v>TS#7</v>
          </cell>
          <cell r="H227" t="str">
            <v>Mc1</v>
          </cell>
          <cell r="I227" t="str">
            <v>Depo/Depot</v>
          </cell>
          <cell r="J227" t="str">
            <v>A-Sürüşü engeller</v>
          </cell>
          <cell r="K227" t="str">
            <v>SSH</v>
          </cell>
          <cell r="L227" t="str">
            <v>PoE Switch X1 Portu Arızası</v>
          </cell>
          <cell r="M227" t="str">
            <v>PoE switch'in X1 portunun çalışmadığı tespit edilmiştir. Yapılan kontrollerde, ilgili porta bağlantı sağlanmasına rağmen veri iletiminin gerçekleşmediği gözlemlenmiştir. Diğer portlarda benzer bir sorun bulunmazken, yalnızca X1 portunda bağlantı hatası yaşandığı belirlenmiştir.</v>
          </cell>
          <cell r="N227">
            <v>219</v>
          </cell>
          <cell r="P227" t="str">
            <v>A(Hareket etmeyi engelleyen arıza)</v>
          </cell>
          <cell r="Q227" t="str">
            <v>N.A(Yaralanma yok)</v>
          </cell>
          <cell r="R227" t="str">
            <v>Tedarikçi</v>
          </cell>
          <cell r="T227">
            <v>45740</v>
          </cell>
          <cell r="U227">
            <v>45740.454270833332</v>
          </cell>
          <cell r="V227" t="str">
            <v>ARESKOM İLETİŞİM SİS TİC LTD ŞTİ</v>
          </cell>
          <cell r="W227" t="str">
            <v>E855-8002/Yönetilebilir PoE+ Ethernet Switch</v>
          </cell>
          <cell r="X227"/>
          <cell r="Y227">
            <v>1</v>
          </cell>
          <cell r="Z227">
            <v>39289</v>
          </cell>
          <cell r="AA227" t="str">
            <v>Evet</v>
          </cell>
          <cell r="AB227" t="str">
            <v>Arıza çözülecek</v>
          </cell>
          <cell r="AC227" t="e">
            <v>#NAME?</v>
          </cell>
          <cell r="AD227"/>
          <cell r="AE227" t="str">
            <v/>
          </cell>
          <cell r="AH227" t="str">
            <v/>
          </cell>
          <cell r="AN227"/>
          <cell r="AP227" t="str">
            <v>(I) İlk defa karşılaşılan arıza</v>
          </cell>
          <cell r="AQ227" t="str">
            <v/>
          </cell>
          <cell r="AR227"/>
          <cell r="AU227" t="str">
            <v>TCMS , PA/PIS/CCTV , OCCS , ATC</v>
          </cell>
          <cell r="AX227" t="str">
            <v>https://www.appsheet.com/Template/gettablefileurl?appname=GDM7x4_Failure_List-654943&amp;tableName=SAYFA1&amp;filename=Sayfa1_Images%2Fa6c09f3c.Resim.075709.jpg</v>
          </cell>
        </row>
        <row r="228">
          <cell r="A228" t="str">
            <v>04bc5634</v>
          </cell>
          <cell r="B228" t="str">
            <v>FRACAS-GDM-227</v>
          </cell>
          <cell r="E228">
            <v>45740</v>
          </cell>
          <cell r="F228">
            <v>45740.636342592596</v>
          </cell>
          <cell r="G228" t="str">
            <v>TS#5</v>
          </cell>
          <cell r="H228" t="str">
            <v>M</v>
          </cell>
          <cell r="I228" t="str">
            <v>Depo/Depot</v>
          </cell>
          <cell r="J228" t="str">
            <v>C-Uyarı, sürüş devamlılığı</v>
          </cell>
          <cell r="K228" t="str">
            <v>SSH</v>
          </cell>
          <cell r="L228" t="str">
            <v>23 inç ekran çalışmıyor.</v>
          </cell>
          <cell r="M228" t="str">
            <v>Besleme voltajı ölçüldü tren trafından 110 gemekte olduğu görüldü.</v>
          </cell>
          <cell r="N228">
            <v>3</v>
          </cell>
          <cell r="P228" t="str">
            <v>C(Sisteme etki etmeyen arıza)</v>
          </cell>
          <cell r="Q228" t="str">
            <v>N.A(Yaralanma yok)</v>
          </cell>
          <cell r="R228" t="str">
            <v>Tedarikçi</v>
          </cell>
          <cell r="T228">
            <v>45740</v>
          </cell>
          <cell r="U228">
            <v>45740.59652777778</v>
          </cell>
          <cell r="V228" t="str">
            <v>Bozankaya</v>
          </cell>
          <cell r="W228" t="str">
            <v>B000-0000/Bozankaya</v>
          </cell>
          <cell r="X228"/>
          <cell r="Y228">
            <v>1</v>
          </cell>
          <cell r="Z228">
            <v>869023001134</v>
          </cell>
          <cell r="AA228" t="str">
            <v>Evet</v>
          </cell>
          <cell r="AB228" t="str">
            <v>Ekipman değiştirilecek</v>
          </cell>
          <cell r="AC228" t="e">
            <v>#NAME?</v>
          </cell>
          <cell r="AD228"/>
          <cell r="AE228">
            <v>45740</v>
          </cell>
          <cell r="AH228" t="str">
            <v/>
          </cell>
          <cell r="AN228">
            <v>1</v>
          </cell>
          <cell r="AP228" t="str">
            <v>(II) Birden fazla karşılaşılan arıza</v>
          </cell>
          <cell r="AQ228" t="str">
            <v/>
          </cell>
          <cell r="AR228"/>
          <cell r="AU228" t="str">
            <v>PA/PIS/CCTV</v>
          </cell>
          <cell r="AX228" t="str">
            <v>https://www.appsheet.com/Template/gettablefileurl?appname=GDM7x4_Failure_List-654943&amp;tableName=SAYFA1&amp;filename=Sayfa1_Images%2F04bc5634.Resim.122340.jpg</v>
          </cell>
        </row>
        <row r="229">
          <cell r="A229" t="str">
            <v>553ebc85</v>
          </cell>
          <cell r="B229" t="str">
            <v>FRACAS-GDM-228</v>
          </cell>
          <cell r="E229">
            <v>45740</v>
          </cell>
          <cell r="F229">
            <v>45740.668900462966</v>
          </cell>
          <cell r="G229" t="str">
            <v>TS#5</v>
          </cell>
          <cell r="H229" t="str">
            <v>M</v>
          </cell>
          <cell r="I229" t="str">
            <v>Depo/Depot</v>
          </cell>
          <cell r="J229" t="str">
            <v>C-Uyarı, sürüş devamlılığı</v>
          </cell>
          <cell r="K229" t="str">
            <v>SSH</v>
          </cell>
          <cell r="L229" t="str">
            <v>23 inç ekran kırık</v>
          </cell>
          <cell r="M229" t="str">
            <v>Gözelen konturol edildi.</v>
          </cell>
          <cell r="N229">
            <v>3</v>
          </cell>
          <cell r="P229" t="str">
            <v>C(Sisteme etki etmeyen arıza)</v>
          </cell>
          <cell r="Q229" t="str">
            <v>N.A(Yaralanma yok)</v>
          </cell>
          <cell r="R229" t="str">
            <v>Bozankaya</v>
          </cell>
          <cell r="T229">
            <v>45740</v>
          </cell>
          <cell r="U229">
            <v>45740.62777777778</v>
          </cell>
          <cell r="V229" t="str">
            <v>Bozankaya</v>
          </cell>
          <cell r="W229" t="str">
            <v>B000-0000/Bozankaya</v>
          </cell>
          <cell r="X229"/>
          <cell r="Y229">
            <v>1</v>
          </cell>
          <cell r="Z229">
            <v>869023001185</v>
          </cell>
          <cell r="AA229" t="str">
            <v>Hayır</v>
          </cell>
          <cell r="AB229" t="str">
            <v>Ekipman değiştirilecek</v>
          </cell>
          <cell r="AC229" t="e">
            <v>#NAME?</v>
          </cell>
          <cell r="AD229"/>
          <cell r="AE229">
            <v>45740</v>
          </cell>
          <cell r="AH229">
            <v>45740</v>
          </cell>
          <cell r="AN229"/>
          <cell r="AP229" t="str">
            <v>(II) Birden fazla karşılaşılan arıza</v>
          </cell>
          <cell r="AQ229" t="str">
            <v/>
          </cell>
          <cell r="AR229"/>
          <cell r="AU229" t="str">
            <v>PA/PIS/CCTV</v>
          </cell>
          <cell r="AX229" t="str">
            <v>https://www.appsheet.com/Template/gettablefileurl?appname=GDM7x4_Failure_List-654943&amp;tableName=SAYFA1&amp;filename=Sayfa1_Images%2F553ebc85.Resim.130834.jpg</v>
          </cell>
        </row>
        <row r="230">
          <cell r="A230" t="str">
            <v>3bb427b2</v>
          </cell>
          <cell r="B230" t="str">
            <v>FRACAS-GDM-229</v>
          </cell>
          <cell r="E230">
            <v>45749</v>
          </cell>
          <cell r="F230">
            <v>45749.496562499997</v>
          </cell>
          <cell r="G230" t="str">
            <v>TS#7</v>
          </cell>
          <cell r="H230" t="str">
            <v>Mc2</v>
          </cell>
          <cell r="I230" t="str">
            <v>Depo/Depot</v>
          </cell>
          <cell r="J230" t="str">
            <v>C-Uyarı, sürüş devamlılığı</v>
          </cell>
          <cell r="K230" t="str">
            <v>SSH</v>
          </cell>
          <cell r="L230" t="str">
            <v>Amfi Arızası</v>
          </cell>
          <cell r="M230" t="str">
            <v>GDM-7 MC2 Amfi IP girişi yapıldığı ancak ses çıkışı vermediği tespit edildi.</v>
          </cell>
          <cell r="N230">
            <v>219</v>
          </cell>
          <cell r="P230" t="str">
            <v>C(Sisteme etki etmeyen arıza)</v>
          </cell>
          <cell r="Q230" t="str">
            <v>N.A(Yaralanma yok)</v>
          </cell>
          <cell r="R230" t="str">
            <v>Tedarikçi</v>
          </cell>
          <cell r="T230">
            <v>45749</v>
          </cell>
          <cell r="U230">
            <v>45749.375</v>
          </cell>
          <cell r="V230" t="str">
            <v>PİTON BİLGİSAYAR TEKNOLOJİLERİ EĞİT</v>
          </cell>
          <cell r="W230" t="str">
            <v>E820-8004/IP Amfi</v>
          </cell>
          <cell r="X230"/>
          <cell r="Y230">
            <v>1</v>
          </cell>
          <cell r="Z230">
            <v>26</v>
          </cell>
          <cell r="AA230" t="str">
            <v>Evet</v>
          </cell>
          <cell r="AB230" t="str">
            <v>Arıza çözülecek</v>
          </cell>
          <cell r="AC230" t="e">
            <v>#NAME?</v>
          </cell>
          <cell r="AD230"/>
          <cell r="AE230" t="str">
            <v/>
          </cell>
          <cell r="AH230" t="str">
            <v/>
          </cell>
          <cell r="AN230"/>
          <cell r="AP230" t="str">
            <v>(I) İlk defa karşılaşılan arıza</v>
          </cell>
          <cell r="AQ230" t="str">
            <v/>
          </cell>
          <cell r="AR230"/>
          <cell r="AU230" t="str">
            <v>PA/PIS/CCTV</v>
          </cell>
          <cell r="AX230" t="str">
            <v>https://www.appsheet.com/Template/gettablefileurl?appname=GDM7x4_Failure_List-654943&amp;tableName=SAYFA1&amp;filename=Sayfa1_Images%2F3bb427b2.Resim.085923.jpg</v>
          </cell>
        </row>
        <row r="231">
          <cell r="A231" t="str">
            <v>0f436cc5</v>
          </cell>
          <cell r="B231" t="str">
            <v>FRACAS-GDM-230</v>
          </cell>
          <cell r="E231">
            <v>45749</v>
          </cell>
          <cell r="F231">
            <v>45749.554560185185</v>
          </cell>
          <cell r="G231" t="str">
            <v>TS#7</v>
          </cell>
          <cell r="H231" t="str">
            <v>Mc1</v>
          </cell>
          <cell r="I231" t="str">
            <v>Depo/Depot</v>
          </cell>
          <cell r="J231" t="str">
            <v>A-Sürüşü engeller</v>
          </cell>
          <cell r="K231" t="str">
            <v>SSH</v>
          </cell>
          <cell r="L231" t="str">
            <v>Kuğ boynu mikrofon</v>
          </cell>
          <cell r="M231" t="str">
            <v>PoE bağlantısı yapıldığında enerjilenmediğin tespit edildi.</v>
          </cell>
          <cell r="N231">
            <v>219</v>
          </cell>
          <cell r="P231" t="str">
            <v>C(Sisteme etki etmeyen arıza)</v>
          </cell>
          <cell r="Q231" t="str">
            <v>N.A(Yaralanma yok)</v>
          </cell>
          <cell r="R231" t="str">
            <v>Tedarikçi</v>
          </cell>
          <cell r="T231">
            <v>45749</v>
          </cell>
          <cell r="U231">
            <v>45749.555555555555</v>
          </cell>
          <cell r="V231" t="str">
            <v>PİTON BİLGİSAYAR TEKNOLOJİLERİ EĞİT</v>
          </cell>
          <cell r="W231" t="str">
            <v>E820-8006/Kuğu Boynu Mikrofon 2 Tuşlu</v>
          </cell>
          <cell r="X231"/>
          <cell r="Y231">
            <v>1</v>
          </cell>
          <cell r="Z231">
            <v>14</v>
          </cell>
          <cell r="AA231" t="str">
            <v>Evet</v>
          </cell>
          <cell r="AB231" t="str">
            <v>Arıza çözülecek</v>
          </cell>
          <cell r="AC231" t="e">
            <v>#NAME?</v>
          </cell>
          <cell r="AD231"/>
          <cell r="AE231" t="str">
            <v/>
          </cell>
          <cell r="AH231" t="str">
            <v/>
          </cell>
          <cell r="AN231">
            <v>0</v>
          </cell>
          <cell r="AP231" t="str">
            <v>(II) Birden fazla karşılaşılan arıza</v>
          </cell>
          <cell r="AQ231" t="str">
            <v/>
          </cell>
          <cell r="AR231"/>
          <cell r="AU231" t="str">
            <v>PA/PIS/CCTV</v>
          </cell>
          <cell r="AX231" t="str">
            <v>https://www.appsheet.com/Template/gettablefileurl?appname=GDM7x4_Failure_List-654943&amp;tableName=SAYFA1&amp;filename=Sayfa1_Images%2F0f436cc5.Resim.102137.jpg</v>
          </cell>
        </row>
        <row r="232">
          <cell r="A232" t="str">
            <v>f3c670d5</v>
          </cell>
          <cell r="B232" t="str">
            <v>FRACAS-GDM-231</v>
          </cell>
          <cell r="E232">
            <v>45749</v>
          </cell>
          <cell r="F232">
            <v>45749.56962962963</v>
          </cell>
          <cell r="G232" t="str">
            <v>TS#7</v>
          </cell>
          <cell r="H232" t="str">
            <v>Mc1</v>
          </cell>
          <cell r="I232" t="str">
            <v>Depo/Depot</v>
          </cell>
          <cell r="J232" t="str">
            <v>C-Uyarı, sürüş devamlılığı</v>
          </cell>
          <cell r="K232" t="str">
            <v>SSH</v>
          </cell>
          <cell r="L232" t="str">
            <v>Papis control ünitesi HDMI Çıkış Arızası</v>
          </cell>
          <cell r="M232" t="str">
            <v>Sistem yazılımı güncellendi, bağlantıları sağlandı. HDMI çıkış postunu görüntü basmadığı tespit edildi.</v>
          </cell>
          <cell r="N232">
            <v>219</v>
          </cell>
          <cell r="P232" t="str">
            <v>A(Hareket etmeyi engelleyen arıza)</v>
          </cell>
          <cell r="Q232" t="str">
            <v>N.A(Yaralanma yok)</v>
          </cell>
          <cell r="R232" t="str">
            <v>Tedarikçi</v>
          </cell>
          <cell r="T232">
            <v>45749</v>
          </cell>
          <cell r="U232">
            <v>45749.570833333331</v>
          </cell>
          <cell r="V232" t="str">
            <v>PİTON BİLGİSAYAR TEKNOLOJİLERİ EĞİT</v>
          </cell>
          <cell r="W232" t="str">
            <v>E840-8001/PC</v>
          </cell>
          <cell r="X232"/>
          <cell r="Y232">
            <v>1</v>
          </cell>
          <cell r="Z232" t="str">
            <v>P-TSCD11011897</v>
          </cell>
          <cell r="AA232" t="str">
            <v>Evet</v>
          </cell>
          <cell r="AB232" t="str">
            <v>Arıza çözülecek</v>
          </cell>
          <cell r="AC232" t="e">
            <v>#NAME?</v>
          </cell>
          <cell r="AD232"/>
          <cell r="AE232" t="str">
            <v/>
          </cell>
          <cell r="AH232" t="str">
            <v/>
          </cell>
          <cell r="AN232"/>
          <cell r="AP232" t="str">
            <v>(II) Birden fazla karşılaşılan arıza</v>
          </cell>
          <cell r="AQ232" t="str">
            <v/>
          </cell>
          <cell r="AR232"/>
          <cell r="AU232" t="str">
            <v>PA/PIS/CCTV</v>
          </cell>
          <cell r="AX232" t="str">
            <v>https://www.appsheet.com/Template/gettablefileurl?appname=GDM7x4_Failure_List-654943&amp;tableName=SAYFA1&amp;filename=Sayfa1_Images%2Ff3c670d5.Resim.104709.jpg</v>
          </cell>
        </row>
        <row r="233">
          <cell r="A233" t="str">
            <v>08a96d73</v>
          </cell>
          <cell r="B233" t="str">
            <v>FRACAS-GDM-232</v>
          </cell>
          <cell r="E233">
            <v>45749</v>
          </cell>
          <cell r="F233">
            <v>45749.57439814815</v>
          </cell>
          <cell r="G233" t="str">
            <v>TS#5</v>
          </cell>
          <cell r="H233" t="str">
            <v>Mc2</v>
          </cell>
          <cell r="I233" t="str">
            <v>Depo/Depot</v>
          </cell>
          <cell r="J233" t="str">
            <v>C-Uyarı, sürüş devamlılığı</v>
          </cell>
          <cell r="K233" t="str">
            <v>SSH</v>
          </cell>
          <cell r="L233" t="str">
            <v>Papis control ünitesi besleme arızası</v>
          </cell>
          <cell r="M233" t="str">
            <v>Papis ünitesine +24V enerji verildiğinde, sistem çalışmadığı görüldü.</v>
          </cell>
          <cell r="N233">
            <v>1</v>
          </cell>
          <cell r="P233" t="str">
            <v>C(Sisteme etki etmeyen arıza)</v>
          </cell>
          <cell r="Q233" t="str">
            <v>N.A(Yaralanma yok)</v>
          </cell>
          <cell r="R233" t="str">
            <v>Tedarikçi</v>
          </cell>
          <cell r="T233">
            <v>45749</v>
          </cell>
          <cell r="U233">
            <v>45749.625694444447</v>
          </cell>
          <cell r="V233" t="str">
            <v>PİTON BİLGİSAYAR TEKNOLOJİLERİ EĞİT</v>
          </cell>
          <cell r="W233" t="str">
            <v>E840-8001/PC</v>
          </cell>
          <cell r="X233"/>
          <cell r="Y233">
            <v>1</v>
          </cell>
          <cell r="Z233" t="str">
            <v>P- TSCCC1005575</v>
          </cell>
          <cell r="AA233" t="str">
            <v>Evet</v>
          </cell>
          <cell r="AB233" t="str">
            <v>Arıza çözülecek</v>
          </cell>
          <cell r="AC233" t="e">
            <v>#NAME?</v>
          </cell>
          <cell r="AD233"/>
          <cell r="AE233" t="str">
            <v/>
          </cell>
          <cell r="AH233" t="str">
            <v/>
          </cell>
          <cell r="AN233"/>
          <cell r="AP233" t="str">
            <v>(I) İlk defa karşılaşılan arıza</v>
          </cell>
          <cell r="AQ233" t="str">
            <v/>
          </cell>
          <cell r="AR233"/>
          <cell r="AU233" t="str">
            <v>PA/PIS/CCTV</v>
          </cell>
          <cell r="AX233" t="str">
            <v>https://www.appsheet.com/Template/gettablefileurl?appname=GDM7x4_Failure_List-654943&amp;tableName=SAYFA1&amp;filename=Sayfa1_Images%2F08a96d73.Resim.120346.jpg</v>
          </cell>
        </row>
        <row r="234">
          <cell r="A234" t="str">
            <v>5e14e4f4</v>
          </cell>
          <cell r="B234" t="str">
            <v>FRACAS-GDM-233</v>
          </cell>
          <cell r="E234">
            <v>45758</v>
          </cell>
          <cell r="F234">
            <v>45758.702789351853</v>
          </cell>
          <cell r="G234" t="str">
            <v>TS#6</v>
          </cell>
          <cell r="H234" t="str">
            <v>Mc2</v>
          </cell>
          <cell r="I234" t="str">
            <v>Depo/Depot</v>
          </cell>
          <cell r="J234" t="str">
            <v>C-Uyarı, sürüş devamlılığı</v>
          </cell>
          <cell r="K234" t="str">
            <v>SSH</v>
          </cell>
          <cell r="L234" t="str">
            <v>23" Çatlak Ekran</v>
          </cell>
          <cell r="M234" t="str">
            <v>23" ekranda çatlak olduğu tespit edildi.</v>
          </cell>
          <cell r="N234">
            <v>151</v>
          </cell>
          <cell r="P234" t="str">
            <v>C(Sisteme etki etmeyen arıza)</v>
          </cell>
          <cell r="Q234" t="str">
            <v>N.A(Yaralanma yok)</v>
          </cell>
          <cell r="R234" t="str">
            <v>Tedarikçi</v>
          </cell>
          <cell r="T234">
            <v>45758</v>
          </cell>
          <cell r="U234">
            <v>45758.70417824074</v>
          </cell>
          <cell r="V234" t="str">
            <v>PİTON BİLGİSAYAR TEKNOLOJİLERİ EĞİT</v>
          </cell>
          <cell r="W234" t="str">
            <v>E840-8005/LCD Display</v>
          </cell>
          <cell r="X234"/>
          <cell r="Y234">
            <v>1</v>
          </cell>
          <cell r="Z234">
            <v>869023001112</v>
          </cell>
          <cell r="AA234" t="str">
            <v>Hayır</v>
          </cell>
          <cell r="AB234" t="str">
            <v>Ekipman değiştirilecek</v>
          </cell>
          <cell r="AC234" t="e">
            <v>#NAME?</v>
          </cell>
          <cell r="AD234"/>
          <cell r="AE234" t="str">
            <v/>
          </cell>
          <cell r="AH234" t="str">
            <v/>
          </cell>
          <cell r="AN234"/>
          <cell r="AP234" t="str">
            <v>(II) Birden fazla karşılaşılan arıza</v>
          </cell>
          <cell r="AQ234" t="str">
            <v/>
          </cell>
          <cell r="AR234"/>
          <cell r="AU234" t="str">
            <v>PA/PIS/CCTV</v>
          </cell>
          <cell r="AX234" t="str">
            <v>https://www.appsheet.com/Template/gettablefileurl?appname=GDM7x4_Failure_List-654943&amp;tableName=SAYFA1&amp;filename=Sayfa1_Images%2F5e14e4f4.Resim.141213.jpg</v>
          </cell>
        </row>
        <row r="235">
          <cell r="A235" t="str">
            <v>2bc3dd6c</v>
          </cell>
          <cell r="B235" t="str">
            <v>FRACAS-GDM-234</v>
          </cell>
          <cell r="E235">
            <v>45758</v>
          </cell>
          <cell r="F235">
            <v>45758.713391203702</v>
          </cell>
          <cell r="G235" t="str">
            <v>TS#7</v>
          </cell>
          <cell r="H235" t="str">
            <v>M</v>
          </cell>
          <cell r="I235" t="str">
            <v>Depo/Depot</v>
          </cell>
          <cell r="J235" t="str">
            <v>C-Uyarı, sürüş devamlılığı</v>
          </cell>
          <cell r="K235" t="str">
            <v>SSH</v>
          </cell>
          <cell r="L235" t="str">
            <v>Analog Giriş Arızası</v>
          </cell>
          <cell r="M235" t="str">
            <v>Ekranda sinyal yok bilgisi gitmiyordu. Konnetkör tekrar yapıldığı halde gelmediği görüldü. Yeni ekran ile test edildi. Sorun analog haberleşme girişindeki temassızlıktan dolayı olduğu tespit edildi.</v>
          </cell>
          <cell r="N235">
            <v>202</v>
          </cell>
          <cell r="P235" t="str">
            <v>C(Sisteme etki etmeyen arıza)</v>
          </cell>
          <cell r="Q235" t="str">
            <v>N.A(Yaralanma yok)</v>
          </cell>
          <cell r="R235" t="str">
            <v>Tedarikçi</v>
          </cell>
          <cell r="T235">
            <v>45758</v>
          </cell>
          <cell r="U235">
            <v>45758.715775462966</v>
          </cell>
          <cell r="V235" t="str">
            <v>PİTON BİLGİSAYAR TEKNOLOJİLERİ EĞİT</v>
          </cell>
          <cell r="W235" t="str">
            <v>E840-8006/LCD EKRAN</v>
          </cell>
          <cell r="X235"/>
          <cell r="Y235">
            <v>1</v>
          </cell>
          <cell r="Z235">
            <v>869023001935</v>
          </cell>
          <cell r="AA235" t="str">
            <v>Evet</v>
          </cell>
          <cell r="AB235" t="str">
            <v>Arıza çözülecek</v>
          </cell>
          <cell r="AC235" t="e">
            <v>#NAME?</v>
          </cell>
          <cell r="AD235"/>
          <cell r="AE235">
            <v>45758</v>
          </cell>
          <cell r="AH235" t="str">
            <v/>
          </cell>
          <cell r="AN235"/>
          <cell r="AP235" t="str">
            <v>(I) İlk defa karşılaşılan arıza</v>
          </cell>
          <cell r="AQ235" t="str">
            <v/>
          </cell>
          <cell r="AR235"/>
          <cell r="AU235" t="str">
            <v>PA/PIS/CCTV</v>
          </cell>
          <cell r="AX235" t="str">
            <v>https://www.appsheet.com/Template/gettablefileurl?appname=GDM7x4_Failure_List-654943&amp;tableName=SAYFA1&amp;filename=Sayfa1_Images%2F2bc3dd6c.Resim.141459.jpg</v>
          </cell>
        </row>
        <row r="236">
          <cell r="A236" t="str">
            <v>0d262986</v>
          </cell>
          <cell r="B236" t="str">
            <v>FRACAS-GDM-235</v>
          </cell>
          <cell r="E236">
            <v>45758</v>
          </cell>
          <cell r="F236">
            <v>45758.726550925923</v>
          </cell>
          <cell r="G236" t="str">
            <v>TS#6</v>
          </cell>
          <cell r="H236" t="str">
            <v>Mc2</v>
          </cell>
          <cell r="I236" t="str">
            <v>Depo/Depot</v>
          </cell>
          <cell r="J236" t="str">
            <v>C-Uyarı, sürüş devamlılığı</v>
          </cell>
          <cell r="K236" t="str">
            <v>SSH</v>
          </cell>
          <cell r="L236" t="str">
            <v>23" Ekran Çizik</v>
          </cell>
          <cell r="M236" t="str">
            <v>23" Ekran çizik olduğundan dolayı değiştirildi.</v>
          </cell>
          <cell r="N236">
            <v>202</v>
          </cell>
          <cell r="P236" t="str">
            <v>C(Sisteme etki etmeyen arıza)</v>
          </cell>
          <cell r="Q236" t="str">
            <v>N.A(Yaralanma yok)</v>
          </cell>
          <cell r="R236" t="str">
            <v>Tedarikçi</v>
          </cell>
          <cell r="T236">
            <v>45758</v>
          </cell>
          <cell r="U236">
            <v>45758.727488425924</v>
          </cell>
          <cell r="V236" t="str">
            <v>PİTON BİLGİSAYAR TEKNOLOJİLERİ EĞİT</v>
          </cell>
          <cell r="W236" t="str">
            <v>E840-8005/LCD Display</v>
          </cell>
          <cell r="X236"/>
          <cell r="Y236">
            <v>1</v>
          </cell>
          <cell r="Z236">
            <v>869023001119</v>
          </cell>
          <cell r="AA236" t="str">
            <v>Hayır</v>
          </cell>
          <cell r="AB236" t="str">
            <v>Ekipman değiştirilecek</v>
          </cell>
          <cell r="AC236" t="e">
            <v>#NAME?</v>
          </cell>
          <cell r="AD236"/>
          <cell r="AE236" t="str">
            <v/>
          </cell>
          <cell r="AH236" t="str">
            <v/>
          </cell>
          <cell r="AN236"/>
          <cell r="AP236" t="str">
            <v>(I) İlk defa karşılaşılan arıza</v>
          </cell>
          <cell r="AQ236" t="str">
            <v/>
          </cell>
          <cell r="AR236"/>
          <cell r="AU236" t="str">
            <v>PA/PIS/CCTV</v>
          </cell>
          <cell r="AX236" t="str">
            <v>https://www.appsheet.com/Template/gettablefileurl?appname=GDM7x4_Failure_List-654943&amp;tableName=SAYFA1&amp;filename=Sayfa1_Images%2F0d262986.Resim.142907.jpg</v>
          </cell>
        </row>
        <row r="237">
          <cell r="A237" t="str">
            <v>0ddc0b21</v>
          </cell>
          <cell r="B237" t="str">
            <v>FRACAS-GDM-236</v>
          </cell>
          <cell r="E237">
            <v>45761</v>
          </cell>
          <cell r="F237">
            <v>45761.613530092596</v>
          </cell>
          <cell r="G237" t="str">
            <v>TS#7</v>
          </cell>
          <cell r="H237" t="str">
            <v>Mc1</v>
          </cell>
          <cell r="I237" t="str">
            <v>Depo/Depot</v>
          </cell>
          <cell r="J237" t="str">
            <v>C-Uyarı, sürüş devamlılığı</v>
          </cell>
          <cell r="K237" t="str">
            <v>SSH</v>
          </cell>
          <cell r="L237" t="str">
            <v>23" Ekran Kırık</v>
          </cell>
          <cell r="M237" t="str">
            <v>Ekrana enerji verildiğinde ekranın kırık olduğu görüldü.</v>
          </cell>
          <cell r="N237">
            <v>210</v>
          </cell>
          <cell r="P237" t="str">
            <v>C(Sisteme etki etmeyen arıza)</v>
          </cell>
          <cell r="Q237" t="str">
            <v>N.A(Yaralanma yok)</v>
          </cell>
          <cell r="R237" t="str">
            <v>Tedarikçi</v>
          </cell>
          <cell r="T237">
            <v>45761</v>
          </cell>
          <cell r="U237">
            <v>45761.619062500002</v>
          </cell>
          <cell r="V237" t="str">
            <v>PİTON BİLGİSAYAR TEKNOLOJİLERİ EĞİT</v>
          </cell>
          <cell r="W237" t="str">
            <v>E840-8005/LCD Display</v>
          </cell>
          <cell r="X237"/>
          <cell r="Y237">
            <v>1</v>
          </cell>
          <cell r="Z237">
            <v>869023001284</v>
          </cell>
          <cell r="AA237" t="str">
            <v>Hayır</v>
          </cell>
          <cell r="AB237" t="str">
            <v>Ekipman değiştirilecek</v>
          </cell>
          <cell r="AC237" t="e">
            <v>#NAME?</v>
          </cell>
          <cell r="AD237"/>
          <cell r="AE237" t="str">
            <v/>
          </cell>
          <cell r="AH237" t="str">
            <v/>
          </cell>
          <cell r="AN237"/>
          <cell r="AP237" t="str">
            <v>(II) Birden fazla karşılaşılan arıza</v>
          </cell>
          <cell r="AQ237" t="str">
            <v/>
          </cell>
          <cell r="AR237"/>
          <cell r="AU237" t="str">
            <v>PA/PIS/CCTV</v>
          </cell>
          <cell r="AX237" t="str">
            <v>https://www.appsheet.com/Template/gettablefileurl?appname=GDM7x4_Failure_List-654943&amp;tableName=SAYFA1&amp;filename=Sayfa1_Images%2F0ddc0b21.Resim.115446.jpg</v>
          </cell>
        </row>
        <row r="238">
          <cell r="A238" t="str">
            <v>92eae65b</v>
          </cell>
          <cell r="B238" t="str">
            <v>FRACAS-GDM-237</v>
          </cell>
          <cell r="E238">
            <v>45761</v>
          </cell>
          <cell r="F238">
            <v>45761.621967592589</v>
          </cell>
          <cell r="G238" t="str">
            <v>TS#7</v>
          </cell>
          <cell r="H238" t="str">
            <v>Mc2</v>
          </cell>
          <cell r="I238" t="str">
            <v>Depo/Depot</v>
          </cell>
          <cell r="J238" t="str">
            <v>C-Uyarı, sürüş devamlılığı</v>
          </cell>
          <cell r="K238" t="str">
            <v>SSH</v>
          </cell>
          <cell r="L238" t="str">
            <v>Ekran Çalışmıyor.</v>
          </cell>
          <cell r="M238" t="str">
            <v>18.5" ekrana enerji verildiği halde ekran tepki vermiyor. başka yerde test edildi ve çalışmadığı görüldü.</v>
          </cell>
          <cell r="N238">
            <v>210</v>
          </cell>
          <cell r="P238" t="str">
            <v>C(Sisteme etki etmeyen arıza)</v>
          </cell>
          <cell r="Q238" t="str">
            <v>N.A(Yaralanma yok)</v>
          </cell>
          <cell r="R238" t="str">
            <v>Tedarikçi</v>
          </cell>
          <cell r="T238">
            <v>45761</v>
          </cell>
          <cell r="U238">
            <v>45761.628460648149</v>
          </cell>
          <cell r="V238" t="str">
            <v>PİTON BİLGİSAYAR TEKNOLOJİLERİ EĞİT</v>
          </cell>
          <cell r="W238" t="str">
            <v>E840-8006/LCD EKRAN</v>
          </cell>
          <cell r="X238"/>
          <cell r="Y238">
            <v>1</v>
          </cell>
          <cell r="Z238">
            <v>869023001945</v>
          </cell>
          <cell r="AA238" t="str">
            <v>Evet</v>
          </cell>
          <cell r="AB238" t="str">
            <v>Arıza çözülecek</v>
          </cell>
          <cell r="AC238" t="e">
            <v>#NAME?</v>
          </cell>
          <cell r="AD238"/>
          <cell r="AE238" t="str">
            <v/>
          </cell>
          <cell r="AH238" t="str">
            <v/>
          </cell>
          <cell r="AN238">
            <v>1</v>
          </cell>
          <cell r="AP238" t="str">
            <v>(II) Birden fazla karşılaşılan arıza</v>
          </cell>
          <cell r="AQ238" t="str">
            <v/>
          </cell>
          <cell r="AR238"/>
          <cell r="AU238" t="str">
            <v>PA/PIS/CCTV</v>
          </cell>
          <cell r="AX238" t="str">
            <v>https://www.appsheet.com/Template/gettablefileurl?appname=GDM7x4_Failure_List-654943&amp;tableName=SAYFA1&amp;filename=Sayfa1_Images%2F92eae65b.Resim.120504.jpg</v>
          </cell>
        </row>
        <row r="239">
          <cell r="A239" t="str">
            <v>483b9945</v>
          </cell>
          <cell r="B239" t="str">
            <v>FRACAS-GDM-238</v>
          </cell>
          <cell r="E239">
            <v>45761</v>
          </cell>
          <cell r="F239">
            <v>45761.632777777777</v>
          </cell>
          <cell r="G239" t="str">
            <v>TS#5</v>
          </cell>
          <cell r="H239" t="str">
            <v>M</v>
          </cell>
          <cell r="I239" t="str">
            <v>Depo/Depot</v>
          </cell>
          <cell r="J239" t="str">
            <v>C-Uyarı, sürüş devamlılığı</v>
          </cell>
          <cell r="K239" t="str">
            <v>SSH</v>
          </cell>
          <cell r="L239" t="str">
            <v>Ekran Sigorta Attırıyor.</v>
          </cell>
          <cell r="M239" t="str">
            <v>Ekrana enerji verildiğinde sigorta attırdığı görüldü. başka yerde test edildi. Toprak bağlantısı yapıldığında sigorta attırdığı tespit edildi.</v>
          </cell>
          <cell r="N239">
            <v>1</v>
          </cell>
          <cell r="P239" t="str">
            <v>C(Sisteme etki etmeyen arıza)</v>
          </cell>
          <cell r="Q239" t="str">
            <v>N.A(Yaralanma yok)</v>
          </cell>
          <cell r="R239" t="str">
            <v>Tedarikçi</v>
          </cell>
          <cell r="T239">
            <v>45761</v>
          </cell>
          <cell r="U239">
            <v>45761.633842592593</v>
          </cell>
          <cell r="V239" t="str">
            <v>PİTON BİLGİSAYAR TEKNOLOJİLERİ EĞİT</v>
          </cell>
          <cell r="W239" t="str">
            <v>E840-8005/LCD Display</v>
          </cell>
          <cell r="X239"/>
          <cell r="Y239">
            <v>1</v>
          </cell>
          <cell r="Z239">
            <v>869023001343</v>
          </cell>
          <cell r="AA239" t="str">
            <v>Evet</v>
          </cell>
          <cell r="AB239" t="str">
            <v>Arıza çözülecek</v>
          </cell>
          <cell r="AC239" t="e">
            <v>#NAME?</v>
          </cell>
          <cell r="AD239"/>
          <cell r="AE239" t="str">
            <v/>
          </cell>
          <cell r="AH239" t="str">
            <v/>
          </cell>
          <cell r="AN239">
            <v>1</v>
          </cell>
          <cell r="AP239" t="str">
            <v>(II) Birden fazla karşılaşılan arıza</v>
          </cell>
          <cell r="AQ239" t="str">
            <v/>
          </cell>
          <cell r="AR239"/>
          <cell r="AU239" t="str">
            <v>PA/PIS/CCTV</v>
          </cell>
          <cell r="AX239" t="str">
            <v>https://www.appsheet.com/Template/gettablefileurl?appname=GDM7x4_Failure_List-654943&amp;tableName=SAYFA1&amp;filename=Sayfa1_Images%2F483b9945.Resim.121451.jpg</v>
          </cell>
        </row>
        <row r="240">
          <cell r="A240" t="str">
            <v>da11f2e6</v>
          </cell>
          <cell r="B240" t="str">
            <v>FRACAS-GDM-239</v>
          </cell>
          <cell r="E240">
            <v>45761</v>
          </cell>
          <cell r="F240">
            <v>45761.635833333334</v>
          </cell>
          <cell r="G240" t="str">
            <v>TS#5</v>
          </cell>
          <cell r="H240" t="str">
            <v>M</v>
          </cell>
          <cell r="I240" t="str">
            <v>Depo/Depot</v>
          </cell>
          <cell r="J240" t="str">
            <v>C-Uyarı, sürüş devamlılığı</v>
          </cell>
          <cell r="K240" t="str">
            <v>SSH</v>
          </cell>
          <cell r="L240" t="str">
            <v>18.5" Siyah Ekran Hatası</v>
          </cell>
          <cell r="M240" t="str">
            <v>Ekrana enerji verildiğinde ekran açılmıyor. Arkasındaki led sürekli kırmızı yanıp söndüğü görüldü.</v>
          </cell>
          <cell r="N240">
            <v>1</v>
          </cell>
          <cell r="P240" t="str">
            <v>A(Hareket etmeyi engelleyen arıza)</v>
          </cell>
          <cell r="Q240" t="str">
            <v>N.A(Yaralanma yok)</v>
          </cell>
          <cell r="R240" t="str">
            <v>Tedarikçi</v>
          </cell>
          <cell r="T240">
            <v>45761</v>
          </cell>
          <cell r="U240">
            <v>45761.637395833335</v>
          </cell>
          <cell r="V240" t="str">
            <v>PİTON BİLGİSAYAR TEKNOLOJİLERİ EĞİT</v>
          </cell>
          <cell r="W240" t="str">
            <v>E840-8006/LCD EKRAN</v>
          </cell>
          <cell r="X240"/>
          <cell r="Y240">
            <v>1</v>
          </cell>
          <cell r="Z240">
            <v>869023001875</v>
          </cell>
          <cell r="AA240" t="str">
            <v>Evet</v>
          </cell>
          <cell r="AB240" t="str">
            <v>Arıza çözülecek</v>
          </cell>
          <cell r="AC240" t="e">
            <v>#NAME?</v>
          </cell>
          <cell r="AD240"/>
          <cell r="AE240" t="str">
            <v/>
          </cell>
          <cell r="AH240" t="str">
            <v/>
          </cell>
          <cell r="AN240"/>
          <cell r="AP240" t="str">
            <v>(II) Birden fazla karşılaşılan arıza</v>
          </cell>
          <cell r="AQ240" t="str">
            <v/>
          </cell>
          <cell r="AR240"/>
          <cell r="AU240" t="str">
            <v>PA/PIS/CCTV</v>
          </cell>
          <cell r="AX240" t="str">
            <v>https://www.appsheet.com/Template/gettablefileurl?appname=GDM7x4_Failure_List-654943&amp;tableName=SAYFA1&amp;filename=Sayfa1_Images%2Fda11f2e6.Resim.122356.jpg</v>
          </cell>
        </row>
        <row r="241">
          <cell r="A241" t="str">
            <v>6fc5e116</v>
          </cell>
          <cell r="B241" t="str">
            <v>FRACAS-GDM-240</v>
          </cell>
          <cell r="E241">
            <v>45754</v>
          </cell>
          <cell r="F241">
            <v>45754.453472222223</v>
          </cell>
          <cell r="G241" t="str">
            <v>TS#1</v>
          </cell>
          <cell r="H241" t="str">
            <v>M</v>
          </cell>
          <cell r="I241" t="str">
            <v>Depo/Depot</v>
          </cell>
          <cell r="J241" t="str">
            <v>C-Uyarı, sürüş devamlılığı</v>
          </cell>
          <cell r="K241" t="str">
            <v>SSH</v>
          </cell>
          <cell r="L241" t="str">
            <v>Gdm1 M vagon +59 panoda bulunan JC-K02 rölesinin yapıştığı görülmüştür.</v>
          </cell>
          <cell r="M241" t="str">
            <v>Röle ssh stoğundan değiştirilmiştir</v>
          </cell>
          <cell r="N241">
            <v>1368</v>
          </cell>
          <cell r="P241" t="str">
            <v>A(Hareket etmeyi engelleyen arıza)</v>
          </cell>
          <cell r="Q241" t="str">
            <v>N.A(Yaralanma yok)</v>
          </cell>
          <cell r="R241" t="str">
            <v>Tedarikçi</v>
          </cell>
          <cell r="T241">
            <v>45758</v>
          </cell>
          <cell r="U241">
            <v>45758.456944444442</v>
          </cell>
          <cell r="V241" t="str">
            <v>AYPA MÜHENDİSLİK PROJE DANIŞMANLIK</v>
          </cell>
          <cell r="W241" t="str">
            <v>E110-8018/4 CO ARTECHE 110V RÖLE</v>
          </cell>
          <cell r="X241"/>
          <cell r="Y241">
            <v>1</v>
          </cell>
          <cell r="Z241" t="str">
            <v>220044020541 2208</v>
          </cell>
          <cell r="AA241" t="str">
            <v>Evet</v>
          </cell>
          <cell r="AB241" t="str">
            <v>Ekipman değiştirilecek</v>
          </cell>
          <cell r="AC241" t="e">
            <v>#NAME?</v>
          </cell>
          <cell r="AD241"/>
          <cell r="AE241" t="str">
            <v/>
          </cell>
          <cell r="AH241" t="str">
            <v/>
          </cell>
          <cell r="AN241">
            <v>1</v>
          </cell>
          <cell r="AP241" t="str">
            <v>(II) Birden fazla karşılaşılan arıza</v>
          </cell>
          <cell r="AQ241">
            <v>45761</v>
          </cell>
          <cell r="AR241">
            <v>45761.461111111108</v>
          </cell>
          <cell r="AU241" t="str">
            <v>E-Kabinet</v>
          </cell>
          <cell r="AX241" t="str">
            <v>https://www.appsheet.com/Template/gettablefileurl?appname=GDM7x4_Failure_List-654943&amp;tableName=SAYFA1&amp;filename=Sayfa1_Images%2F6fc5e116.Resim.080453.jpg</v>
          </cell>
        </row>
        <row r="242">
          <cell r="A242" t="str">
            <v>b3f18c39</v>
          </cell>
          <cell r="B242" t="str">
            <v>FRACAS-GDM-241</v>
          </cell>
          <cell r="E242">
            <v>45754</v>
          </cell>
          <cell r="F242">
            <v>45754.475694444445</v>
          </cell>
          <cell r="G242" t="str">
            <v>TS#1</v>
          </cell>
          <cell r="H242" t="str">
            <v>Mc1</v>
          </cell>
          <cell r="I242" t="str">
            <v>Depo/Depot</v>
          </cell>
          <cell r="J242" t="str">
            <v>A-Sürüşü engeller</v>
          </cell>
          <cell r="K242" t="str">
            <v>SSH</v>
          </cell>
          <cell r="L242" t="str">
            <v>Gdm1 MC1 +59 panoda RA-K52.1 rölesinin düzgün çalışmadığı tespit edilmiş, röle aktif halde iken 7-8-9. Bacaklarında enerji olması gerekirken 11-8-13. Bacaklarında enerji tespit edilmiştir.</v>
          </cell>
          <cell r="M242" t="str">
            <v>Yeni röle takılarak sorun çözüldü</v>
          </cell>
          <cell r="N242">
            <v>1368</v>
          </cell>
          <cell r="P242" t="str">
            <v>A(Hareket etmeyi engelleyen arıza)</v>
          </cell>
          <cell r="Q242" t="str">
            <v>N.A(Yaralanma yok)</v>
          </cell>
          <cell r="R242" t="str">
            <v>Tedarikçi</v>
          </cell>
          <cell r="T242">
            <v>45756</v>
          </cell>
          <cell r="U242">
            <v>45756.480555555558</v>
          </cell>
          <cell r="V242" t="str">
            <v>AYPA MÜHENDİSLİK PROJE DANIŞMANLIK</v>
          </cell>
          <cell r="W242" t="str">
            <v>E110-8018/4 CO ARTECHE 110V RÖLE</v>
          </cell>
          <cell r="X242"/>
          <cell r="Y242">
            <v>1</v>
          </cell>
          <cell r="Z242" t="str">
            <v>220044020223 2207</v>
          </cell>
          <cell r="AA242" t="str">
            <v>Evet</v>
          </cell>
          <cell r="AB242" t="str">
            <v>Ekipman değiştirilecek</v>
          </cell>
          <cell r="AC242" t="e">
            <v>#NAME?</v>
          </cell>
          <cell r="AD242"/>
          <cell r="AE242" t="str">
            <v/>
          </cell>
          <cell r="AH242" t="str">
            <v/>
          </cell>
          <cell r="AN242">
            <v>1</v>
          </cell>
          <cell r="AP242" t="str">
            <v>(II) Birden fazla karşılaşılan arıza</v>
          </cell>
          <cell r="AQ242">
            <v>45758</v>
          </cell>
          <cell r="AR242">
            <v>45758.481249999997</v>
          </cell>
          <cell r="AU242" t="str">
            <v>E-Kabinet</v>
          </cell>
          <cell r="AX242" t="str">
            <v>https://www.appsheet.com/Template/gettablefileurl?appname=GDM7x4_Failure_List-654943&amp;tableName=SAYFA1&amp;filename=Sayfa1_Images%2Fb3f18c39.Resim.084142.jpg</v>
          </cell>
        </row>
        <row r="243">
          <cell r="A243" t="str">
            <v>c6724aeb</v>
          </cell>
          <cell r="B243" t="str">
            <v>FRACAS-GDM-242</v>
          </cell>
          <cell r="E243">
            <v>45776</v>
          </cell>
          <cell r="F243">
            <v>45776.486805555556</v>
          </cell>
          <cell r="G243" t="str">
            <v>TS#1</v>
          </cell>
          <cell r="H243" t="str">
            <v>Mc1</v>
          </cell>
          <cell r="I243" t="str">
            <v>Depo/Depot</v>
          </cell>
          <cell r="J243" t="str">
            <v>C-Uyarı, sürüş devamlılığı</v>
          </cell>
          <cell r="K243" t="str">
            <v>SSH</v>
          </cell>
          <cell r="L243" t="str">
            <v>Gdm1 mc1 +59 panoda bulunan NVR cihazının 8 pin M12 soketi, pano içinde yapılan çalışmalarda üzerine basıldığından dolayı kırılmıştır.</v>
          </cell>
          <cell r="M243" t="str">
            <v>Firma ile görüşülüp neler yapılabileceği sorulacak</v>
          </cell>
          <cell r="N243">
            <v>1368</v>
          </cell>
          <cell r="P243" t="str">
            <v>C(Sisteme etki etmeyen arıza)</v>
          </cell>
          <cell r="Q243" t="str">
            <v>N.A(Yaralanma yok)</v>
          </cell>
          <cell r="R243" t="str">
            <v>Bozankaya</v>
          </cell>
          <cell r="T243">
            <v>45777</v>
          </cell>
          <cell r="U243">
            <v>45777.495833333334</v>
          </cell>
          <cell r="V243" t="str">
            <v>PİTON BİLGİSAYAR TEKNOLOJİLERİ EĞİT</v>
          </cell>
          <cell r="W243" t="str">
            <v>E810-8003/NVR</v>
          </cell>
          <cell r="X243"/>
          <cell r="Y243">
            <v>1</v>
          </cell>
          <cell r="Z243" t="str">
            <v>K14766916</v>
          </cell>
          <cell r="AA243" t="str">
            <v>Evet</v>
          </cell>
          <cell r="AB243"/>
          <cell r="AC243" t="e">
            <v>#NAME?</v>
          </cell>
          <cell r="AD243"/>
          <cell r="AE243" t="str">
            <v/>
          </cell>
          <cell r="AH243" t="str">
            <v/>
          </cell>
          <cell r="AN243"/>
          <cell r="AP243" t="str">
            <v>(I) İlk defa karşılaşılan arıza</v>
          </cell>
          <cell r="AQ243" t="str">
            <v/>
          </cell>
          <cell r="AR243"/>
          <cell r="AU243" t="str">
            <v>PA/PIS/CCTV</v>
          </cell>
          <cell r="AX243" t="str">
            <v>https://www.appsheet.com/Template/gettablefileurl?appname=GDM7x4_Failure_List-654943&amp;tableName=SAYFA1&amp;filename=Sayfa1_Images%2Fc6724aeb.Resim.085337.jpg</v>
          </cell>
        </row>
        <row r="244">
          <cell r="A244" t="str">
            <v>8d3ff687</v>
          </cell>
          <cell r="B244" t="str">
            <v>FRACAS-GDM-243</v>
          </cell>
          <cell r="E244">
            <v>45776</v>
          </cell>
          <cell r="F244">
            <v>45776.495138888888</v>
          </cell>
          <cell r="G244" t="str">
            <v>TS#3</v>
          </cell>
          <cell r="H244" t="str">
            <v>Mc2</v>
          </cell>
          <cell r="I244" t="str">
            <v>Depo/Depot</v>
          </cell>
          <cell r="J244" t="str">
            <v>A-Sürüşü engeller</v>
          </cell>
          <cell r="K244" t="str">
            <v>SSH</v>
          </cell>
          <cell r="L244" t="str">
            <v>Gdm3 mc2 +59 panoda bulunan NVR cihazı üzerindeki 8 pin m12 soketi, fiziksel darbeye bağlı olarak kırılmış.</v>
          </cell>
          <cell r="M244"/>
          <cell r="N244">
            <v>168</v>
          </cell>
          <cell r="P244" t="str">
            <v>C(Sisteme etki etmeyen arıza)</v>
          </cell>
          <cell r="Q244" t="str">
            <v>N.A(Yaralanma yok)</v>
          </cell>
          <cell r="R244" t="str">
            <v>Bozankaya</v>
          </cell>
          <cell r="T244">
            <v>45777</v>
          </cell>
          <cell r="U244">
            <v>45777.496527777781</v>
          </cell>
          <cell r="V244" t="str">
            <v>PİTON BİLGİSAYAR TEKNOLOJİLERİ EĞİT</v>
          </cell>
          <cell r="W244" t="str">
            <v>E810-8003/NVR</v>
          </cell>
          <cell r="X244"/>
          <cell r="Y244">
            <v>1</v>
          </cell>
          <cell r="Z244" t="str">
            <v>K14766920</v>
          </cell>
          <cell r="AA244" t="str">
            <v>Evet</v>
          </cell>
          <cell r="AB244"/>
          <cell r="AC244" t="e">
            <v>#NAME?</v>
          </cell>
          <cell r="AD244"/>
          <cell r="AE244" t="str">
            <v/>
          </cell>
          <cell r="AH244" t="str">
            <v/>
          </cell>
          <cell r="AN244"/>
          <cell r="AP244" t="str">
            <v>(I) İlk defa karşılaşılan arıza</v>
          </cell>
          <cell r="AQ244" t="str">
            <v/>
          </cell>
          <cell r="AR244"/>
          <cell r="AU244" t="str">
            <v>PA/PIS/CCTV</v>
          </cell>
          <cell r="AX244" t="str">
            <v>https://www.appsheet.com/Template/gettablefileurl?appname=GDM7x4_Failure_List-654943&amp;tableName=SAYFA1&amp;filename=Sayfa1_Images%2F8d3ff687.Resim.085611.jpg</v>
          </cell>
        </row>
        <row r="245">
          <cell r="A245" t="str">
            <v>4f493043</v>
          </cell>
          <cell r="B245" t="str">
            <v>FRACAS-GDM-244</v>
          </cell>
          <cell r="E245">
            <v>45799</v>
          </cell>
          <cell r="F245">
            <v>45799.412326388891</v>
          </cell>
          <cell r="G245" t="str">
            <v>TS#3</v>
          </cell>
          <cell r="H245" t="str">
            <v>Mc2</v>
          </cell>
          <cell r="I245" t="str">
            <v>Depo/Depot</v>
          </cell>
          <cell r="J245" t="str">
            <v>C-Uyarı, sürüş devamlılığı</v>
          </cell>
          <cell r="K245" t="str">
            <v>SSH</v>
          </cell>
          <cell r="L245" t="str">
            <v>23 inç ekran sigorta attırıyor .</v>
          </cell>
          <cell r="M245" t="str">
            <v>Günlük ybs konturolleri sonrası ekranın çalışmadığı görüldü.</v>
          </cell>
          <cell r="N245">
            <v>167</v>
          </cell>
          <cell r="P245" t="str">
            <v>C(Sisteme etki etmeyen arıza)</v>
          </cell>
          <cell r="Q245" t="str">
            <v>N.A(Yaralanma yok)</v>
          </cell>
          <cell r="R245" t="str">
            <v>Tedarikçi</v>
          </cell>
          <cell r="T245">
            <v>45798</v>
          </cell>
          <cell r="U245">
            <v>45798.583333333336</v>
          </cell>
          <cell r="V245" t="str">
            <v>PİTON BİLGİSAYAR TEKNOLOJİLERİ EĞİT</v>
          </cell>
          <cell r="W245" t="str">
            <v>E840-8005/LCD Display</v>
          </cell>
          <cell r="X245" t="str">
            <v>E840-8005</v>
          </cell>
          <cell r="Y245">
            <v>1</v>
          </cell>
          <cell r="Z245">
            <v>869024001823</v>
          </cell>
          <cell r="AA245" t="str">
            <v>Evet</v>
          </cell>
          <cell r="AB245" t="str">
            <v>Ekipman değiştirilecek</v>
          </cell>
          <cell r="AC245" t="e">
            <v>#NAME?</v>
          </cell>
          <cell r="AD245"/>
          <cell r="AE245" t="str">
            <v/>
          </cell>
          <cell r="AH245">
            <v>45798</v>
          </cell>
          <cell r="AN245">
            <v>1</v>
          </cell>
          <cell r="AP245" t="str">
            <v>(II) Birden fazla karşılaşılan arıza</v>
          </cell>
          <cell r="AQ245" t="str">
            <v/>
          </cell>
          <cell r="AR245"/>
          <cell r="AU245" t="str">
            <v>PA/PIS/CCTV</v>
          </cell>
          <cell r="AX245" t="str">
            <v>https://www.appsheet.com/Template/gettablefileurl?appname=GDM7x4_Failure_List-654943&amp;tableName=SAYFA1&amp;filename=Sayfa1_Images%2F4f493043.Resim.070852.jpg</v>
          </cell>
        </row>
        <row r="246">
          <cell r="A246" t="str">
            <v>68eff705</v>
          </cell>
          <cell r="B246" t="str">
            <v>FRACAS-GDM-245</v>
          </cell>
          <cell r="E246">
            <v>45799</v>
          </cell>
          <cell r="F246">
            <v>45799.422800925924</v>
          </cell>
          <cell r="G246" t="str">
            <v>TS#3</v>
          </cell>
          <cell r="H246" t="str">
            <v>Mc2</v>
          </cell>
          <cell r="I246" t="str">
            <v>Depo/Depot</v>
          </cell>
          <cell r="J246" t="str">
            <v>C-Uyarı, sürüş devamlılığı</v>
          </cell>
          <cell r="K246" t="str">
            <v>SSH</v>
          </cell>
          <cell r="L246" t="str">
            <v>Ekran çalışmıyor .</v>
          </cell>
          <cell r="M246" t="str">
            <v>Günlük ybs sistemi konturolleri sonrası 27 kapı yanı 23 inç ekranın çalışmadığı görüldü.</v>
          </cell>
          <cell r="N246">
            <v>168</v>
          </cell>
          <cell r="P246" t="str">
            <v>C(Sisteme etki etmeyen arıza)</v>
          </cell>
          <cell r="Q246" t="str">
            <v>N.A(Yaralanma yok)</v>
          </cell>
          <cell r="R246" t="str">
            <v>Tedarikçi</v>
          </cell>
          <cell r="T246">
            <v>45798</v>
          </cell>
          <cell r="U246">
            <v>45798.425694444442</v>
          </cell>
          <cell r="V246" t="str">
            <v>PİTON BİLGİSAYAR TEKNOLOJİLERİ EĞİT</v>
          </cell>
          <cell r="W246" t="str">
            <v>E840-8005/LCD Display</v>
          </cell>
          <cell r="X246"/>
          <cell r="Y246">
            <v>1</v>
          </cell>
          <cell r="Z246">
            <v>869023001197</v>
          </cell>
          <cell r="AA246" t="str">
            <v>Evet</v>
          </cell>
          <cell r="AB246" t="str">
            <v>Ekipman değiştirilecek</v>
          </cell>
          <cell r="AC246" t="e">
            <v>#NAME?</v>
          </cell>
          <cell r="AD246"/>
          <cell r="AE246">
            <v>45798</v>
          </cell>
          <cell r="AH246">
            <v>45798</v>
          </cell>
          <cell r="AN246">
            <v>1</v>
          </cell>
          <cell r="AP246" t="str">
            <v>(II) Birden fazla karşılaşılan arıza</v>
          </cell>
          <cell r="AQ246">
            <v>45798</v>
          </cell>
          <cell r="AR246">
            <v>45798.511805555558</v>
          </cell>
          <cell r="AU246" t="str">
            <v>PA/PIS/CCTV</v>
          </cell>
          <cell r="AX246" t="str">
            <v>https://www.appsheet.com/Template/gettablefileurl?appname=GDM7x4_Failure_List-654943&amp;tableName=SAYFA1&amp;filename=Sayfa1_Images%2F68eff705.Resim.080538.jpg</v>
          </cell>
        </row>
        <row r="247">
          <cell r="A247"/>
          <cell r="B247"/>
          <cell r="E247"/>
          <cell r="F247"/>
          <cell r="G247"/>
          <cell r="H247"/>
          <cell r="I247"/>
          <cell r="J247"/>
          <cell r="K247"/>
          <cell r="L247"/>
          <cell r="M247"/>
          <cell r="N247"/>
          <cell r="P247"/>
          <cell r="Q247"/>
          <cell r="R247"/>
          <cell r="T247"/>
          <cell r="U247"/>
          <cell r="V247"/>
          <cell r="W247"/>
          <cell r="X247"/>
          <cell r="Y247"/>
          <cell r="Z247"/>
          <cell r="AA247"/>
          <cell r="AB247"/>
          <cell r="AC247"/>
          <cell r="AD247"/>
          <cell r="AE247"/>
          <cell r="AH247"/>
          <cell r="AN247"/>
          <cell r="AP247"/>
          <cell r="AQ247"/>
          <cell r="AR247"/>
          <cell r="AU247"/>
          <cell r="AX247"/>
        </row>
        <row r="248">
          <cell r="A248"/>
          <cell r="B248"/>
          <cell r="E248"/>
          <cell r="F248"/>
          <cell r="G248"/>
          <cell r="H248"/>
          <cell r="I248"/>
          <cell r="J248"/>
          <cell r="K248"/>
          <cell r="L248"/>
          <cell r="M248"/>
          <cell r="N248"/>
          <cell r="P248"/>
          <cell r="Q248"/>
          <cell r="R248"/>
          <cell r="T248"/>
          <cell r="U248"/>
          <cell r="V248"/>
          <cell r="W248"/>
          <cell r="X248"/>
          <cell r="Y248"/>
          <cell r="Z248"/>
          <cell r="AA248"/>
          <cell r="AB248"/>
          <cell r="AC248"/>
          <cell r="AD248"/>
          <cell r="AE248"/>
          <cell r="AH248"/>
          <cell r="AN248"/>
          <cell r="AP248"/>
          <cell r="AQ248"/>
          <cell r="AR248"/>
          <cell r="AU248"/>
          <cell r="AX248"/>
        </row>
        <row r="249">
          <cell r="A249"/>
          <cell r="B249"/>
          <cell r="E249"/>
          <cell r="F249"/>
          <cell r="G249"/>
          <cell r="H249"/>
          <cell r="I249"/>
          <cell r="J249"/>
          <cell r="K249"/>
          <cell r="L249"/>
          <cell r="M249"/>
          <cell r="N249"/>
          <cell r="P249"/>
          <cell r="Q249"/>
          <cell r="R249"/>
          <cell r="T249"/>
          <cell r="U249"/>
          <cell r="V249"/>
          <cell r="W249"/>
          <cell r="X249"/>
          <cell r="Y249"/>
          <cell r="Z249"/>
          <cell r="AA249"/>
          <cell r="AB249"/>
          <cell r="AC249"/>
          <cell r="AD249"/>
          <cell r="AE249"/>
          <cell r="AH249"/>
          <cell r="AN249"/>
          <cell r="AP249"/>
          <cell r="AQ249"/>
          <cell r="AR249"/>
          <cell r="AU249"/>
          <cell r="AX249"/>
        </row>
        <row r="250">
          <cell r="A250"/>
          <cell r="B250"/>
          <cell r="E250"/>
          <cell r="F250"/>
          <cell r="G250"/>
          <cell r="H250"/>
          <cell r="I250"/>
          <cell r="J250"/>
          <cell r="K250"/>
          <cell r="L250"/>
          <cell r="M250"/>
          <cell r="N250"/>
          <cell r="P250"/>
          <cell r="Q250"/>
          <cell r="R250"/>
          <cell r="T250"/>
          <cell r="U250"/>
          <cell r="V250"/>
          <cell r="W250"/>
          <cell r="X250"/>
          <cell r="Y250"/>
          <cell r="Z250"/>
          <cell r="AA250"/>
          <cell r="AB250"/>
          <cell r="AC250"/>
          <cell r="AD250"/>
          <cell r="AE250"/>
          <cell r="AH250"/>
          <cell r="AN250"/>
          <cell r="AP250"/>
          <cell r="AQ250"/>
          <cell r="AR250"/>
          <cell r="AU250"/>
          <cell r="AX250"/>
        </row>
        <row r="251">
          <cell r="A251"/>
          <cell r="B251"/>
          <cell r="E251"/>
          <cell r="F251"/>
          <cell r="G251"/>
          <cell r="H251"/>
          <cell r="I251"/>
          <cell r="J251"/>
          <cell r="K251"/>
          <cell r="L251"/>
          <cell r="M251"/>
          <cell r="N251"/>
          <cell r="P251"/>
          <cell r="Q251"/>
          <cell r="R251"/>
          <cell r="T251"/>
          <cell r="U251"/>
          <cell r="V251"/>
          <cell r="W251"/>
          <cell r="X251"/>
          <cell r="Y251"/>
          <cell r="Z251"/>
          <cell r="AA251"/>
          <cell r="AB251"/>
          <cell r="AC251"/>
          <cell r="AD251"/>
          <cell r="AE251"/>
          <cell r="AH251"/>
          <cell r="AN251"/>
          <cell r="AP251"/>
          <cell r="AQ251"/>
          <cell r="AR251"/>
          <cell r="AU251"/>
          <cell r="AX251"/>
        </row>
        <row r="252">
          <cell r="A252"/>
          <cell r="B252"/>
          <cell r="E252"/>
          <cell r="F252"/>
          <cell r="G252"/>
          <cell r="H252"/>
          <cell r="I252"/>
          <cell r="J252"/>
          <cell r="K252"/>
          <cell r="L252"/>
          <cell r="M252"/>
          <cell r="N252"/>
          <cell r="P252"/>
          <cell r="Q252"/>
          <cell r="R252"/>
          <cell r="T252"/>
          <cell r="U252"/>
          <cell r="V252"/>
          <cell r="W252"/>
          <cell r="X252"/>
          <cell r="Y252"/>
          <cell r="Z252"/>
          <cell r="AA252"/>
          <cell r="AB252"/>
          <cell r="AC252"/>
          <cell r="AD252"/>
          <cell r="AE252"/>
          <cell r="AH252"/>
          <cell r="AN252"/>
          <cell r="AP252"/>
          <cell r="AQ252"/>
          <cell r="AR252"/>
          <cell r="AU252"/>
          <cell r="AX252"/>
        </row>
        <row r="253">
          <cell r="A253"/>
          <cell r="B253"/>
          <cell r="E253"/>
          <cell r="F253"/>
          <cell r="G253"/>
          <cell r="H253"/>
          <cell r="I253"/>
          <cell r="J253"/>
          <cell r="K253"/>
          <cell r="L253"/>
          <cell r="M253"/>
          <cell r="N253"/>
          <cell r="P253"/>
          <cell r="Q253"/>
          <cell r="R253"/>
          <cell r="T253"/>
          <cell r="U253"/>
          <cell r="V253"/>
          <cell r="W253"/>
          <cell r="X253"/>
          <cell r="Y253"/>
          <cell r="Z253"/>
          <cell r="AA253"/>
          <cell r="AB253"/>
          <cell r="AC253"/>
          <cell r="AD253"/>
          <cell r="AE253"/>
          <cell r="AH253"/>
          <cell r="AN253"/>
          <cell r="AP253"/>
          <cell r="AQ253"/>
          <cell r="AR253"/>
          <cell r="AU253"/>
          <cell r="AX253"/>
        </row>
        <row r="254">
          <cell r="A254"/>
          <cell r="B254"/>
          <cell r="E254"/>
          <cell r="F254"/>
          <cell r="G254"/>
          <cell r="H254"/>
          <cell r="I254"/>
          <cell r="J254"/>
          <cell r="K254"/>
          <cell r="L254"/>
          <cell r="M254"/>
          <cell r="N254"/>
          <cell r="P254"/>
          <cell r="Q254"/>
          <cell r="R254"/>
          <cell r="T254"/>
          <cell r="U254"/>
          <cell r="V254"/>
          <cell r="W254"/>
          <cell r="X254"/>
          <cell r="Y254"/>
          <cell r="Z254"/>
          <cell r="AA254"/>
          <cell r="AB254"/>
          <cell r="AC254"/>
          <cell r="AD254"/>
          <cell r="AE254"/>
          <cell r="AH254"/>
          <cell r="AN254"/>
          <cell r="AP254"/>
          <cell r="AQ254"/>
          <cell r="AR254"/>
          <cell r="AU254"/>
          <cell r="AX254"/>
        </row>
        <row r="255">
          <cell r="A255"/>
          <cell r="B255"/>
          <cell r="E255"/>
          <cell r="F255"/>
          <cell r="G255"/>
          <cell r="H255"/>
          <cell r="I255"/>
          <cell r="J255"/>
          <cell r="K255"/>
          <cell r="L255"/>
          <cell r="M255"/>
          <cell r="N255"/>
          <cell r="P255"/>
          <cell r="Q255"/>
          <cell r="R255"/>
          <cell r="T255"/>
          <cell r="U255"/>
          <cell r="V255"/>
          <cell r="W255"/>
          <cell r="X255"/>
          <cell r="Y255"/>
          <cell r="Z255"/>
          <cell r="AA255"/>
          <cell r="AB255"/>
          <cell r="AC255"/>
          <cell r="AD255"/>
          <cell r="AE255"/>
          <cell r="AH255"/>
          <cell r="AN255"/>
          <cell r="AP255"/>
          <cell r="AQ255"/>
          <cell r="AR255"/>
          <cell r="AU255"/>
          <cell r="AX255"/>
        </row>
      </sheetData>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4oC6iiO906xu0uX1MEmYbo9YPItgGVCr1uv86s2m8i2XYUX4SVuS7JIOGRqIpG6" itemId="01FCBKB6UIH4FOVNURYVDY72ZVSG7363M2">
      <xxl21:absoluteUrl r:id="rId2"/>
    </xxl21:alternateUrls>
    <sheetNames>
      <sheetName val="Documents"/>
      <sheetName val="i"/>
      <sheetName val="Sayfa1 (2)"/>
      <sheetName val="Sayfa1"/>
      <sheetName val="Report (2)"/>
      <sheetName val="Report"/>
      <sheetName val="BOM (2)"/>
      <sheetName val="KAY5+6 NCRS"/>
      <sheetName val="BOM"/>
      <sheetName val="KAY5+6 NCRS (2)"/>
      <sheetName val="benzersiz veriler"/>
      <sheetName val="KAY5+6 NCRS     YEDEK"/>
      <sheetName val="KAY5+6 NCR"/>
      <sheetName val="NCR"/>
      <sheetName val="Sayfa2"/>
    </sheetNames>
    <sheetDataSet>
      <sheetData sheetId="0"/>
      <sheetData sheetId="1"/>
      <sheetData sheetId="2"/>
      <sheetData sheetId="3">
        <row r="2">
          <cell r="A2" t="str">
            <v>9c62bb3d</v>
          </cell>
          <cell r="B2" t="str">
            <v>BOZ-KAY5+6-FF-001</v>
          </cell>
          <cell r="E2">
            <v>45169</v>
          </cell>
          <cell r="F2">
            <v>45169.333333333336</v>
          </cell>
          <cell r="G2" t="str">
            <v>3876(5)</v>
          </cell>
          <cell r="H2" t="str">
            <v>P</v>
          </cell>
          <cell r="I2" t="str">
            <v>Hat/Line</v>
          </cell>
          <cell r="J2" t="str">
            <v>C-Uyarı, sürüş devamlılığı</v>
          </cell>
          <cell r="K2" t="str">
            <v>Müşteri</v>
          </cell>
          <cell r="L2" t="str">
            <v>Gücel saatden ileri</v>
          </cell>
          <cell r="M2" t="str">
            <v>MER konnektör sökülerek yeniden takıldı araç saat güncellendi</v>
          </cell>
          <cell r="N2">
            <v>34800</v>
          </cell>
          <cell r="P2" t="str">
            <v>C(Sisteme etki etmeyen arıza)</v>
          </cell>
          <cell r="Q2" t="str">
            <v>N.A(Yaralanma yok)</v>
          </cell>
          <cell r="R2" t="str">
            <v>Tedarikçi</v>
          </cell>
          <cell r="S2" t="str">
            <v>Medcom</v>
          </cell>
          <cell r="T2">
            <v>45535</v>
          </cell>
          <cell r="U2">
            <v>45535.419618055559</v>
          </cell>
          <cell r="V2" t="str">
            <v>MEDCOM SP. Z O.O.</v>
          </cell>
          <cell r="W2" t="str">
            <v>(MER-01) XKAZA KAYIT CİHAZ KOMP.</v>
          </cell>
          <cell r="X2" t="str">
            <v>E815-7001</v>
          </cell>
          <cell r="AB2" t="str">
            <v>Arıza çözülecek</v>
          </cell>
          <cell r="AE2" t="str">
            <v/>
          </cell>
          <cell r="AI2">
            <v>45535.458333333336</v>
          </cell>
          <cell r="AN2">
            <v>1</v>
          </cell>
          <cell r="AP2" t="str">
            <v>(I) İlk defa karşılaşılan arıza</v>
          </cell>
          <cell r="AQ2">
            <v>45535</v>
          </cell>
          <cell r="AR2">
            <v>45535.541666666664</v>
          </cell>
          <cell r="AU2" t="str">
            <v>Emniyet Sistemi</v>
          </cell>
        </row>
        <row r="3">
          <cell r="A3" t="str">
            <v>054c6337</v>
          </cell>
          <cell r="B3" t="str">
            <v>BOZ-KAY5+6-FF-002</v>
          </cell>
          <cell r="E3">
            <v>45254</v>
          </cell>
          <cell r="F3">
            <v>45254.791666666664</v>
          </cell>
          <cell r="G3" t="str">
            <v>3874(3)</v>
          </cell>
          <cell r="H3" t="str">
            <v>MA</v>
          </cell>
          <cell r="I3" t="str">
            <v>Hat/Line</v>
          </cell>
          <cell r="J3" t="str">
            <v>C-Uyarı, sürüş devamlılığı</v>
          </cell>
          <cell r="K3" t="str">
            <v>Müşteri</v>
          </cell>
          <cell r="L3" t="str">
            <v>ayna kameraları çalışmıyor</v>
          </cell>
          <cell r="M3" t="str">
            <v>3876-74 ayna kameraları arızalı şikayeti vardı her iki araç kameralarında olumsuz bir durum yok</v>
          </cell>
          <cell r="N3">
            <v>45200</v>
          </cell>
          <cell r="P3" t="str">
            <v>C(Sisteme etki etmeyen arıza)</v>
          </cell>
          <cell r="Q3" t="str">
            <v>N.A(Yaralanma yok)</v>
          </cell>
          <cell r="R3" t="str">
            <v>Tedarikçi</v>
          </cell>
          <cell r="S3" t="str">
            <v>NSC</v>
          </cell>
          <cell r="T3">
            <v>45535</v>
          </cell>
          <cell r="U3">
            <v>45535.486909722225</v>
          </cell>
          <cell r="V3" t="str">
            <v>NSC TEKNOLOJİ ve İNŞAAT LTD.ŞTİ.</v>
          </cell>
          <cell r="W3" t="str">
            <v>CCTV EKRANI</v>
          </cell>
          <cell r="X3" t="str">
            <v>E810-7145</v>
          </cell>
          <cell r="AB3" t="str">
            <v>Arıza çözülecek</v>
          </cell>
          <cell r="AE3" t="str">
            <v/>
          </cell>
          <cell r="AH3" t="str">
            <v/>
          </cell>
          <cell r="AN3">
            <v>1</v>
          </cell>
          <cell r="AP3" t="str">
            <v>(II) Birden fazla karşılaşılan arıza</v>
          </cell>
          <cell r="AQ3">
            <v>45535</v>
          </cell>
          <cell r="AR3">
            <v>45535.625</v>
          </cell>
          <cell r="AU3" t="str">
            <v>PA/PIS/CCTV</v>
          </cell>
        </row>
        <row r="4">
          <cell r="A4" t="str">
            <v>8f6b6f76</v>
          </cell>
          <cell r="B4" t="str">
            <v>BOZ-KAY5+6-FF-003</v>
          </cell>
          <cell r="E4">
            <v>45255</v>
          </cell>
          <cell r="F4">
            <v>45255.318055555559</v>
          </cell>
          <cell r="G4" t="str">
            <v>3873(2)</v>
          </cell>
          <cell r="H4" t="str">
            <v>MA</v>
          </cell>
          <cell r="I4" t="str">
            <v>Hat/Line</v>
          </cell>
          <cell r="J4" t="str">
            <v>C-Uyarı, sürüş devamlılığı</v>
          </cell>
          <cell r="K4" t="str">
            <v>Müşteri</v>
          </cell>
          <cell r="L4" t="str">
            <v>aracın ayna kamera görüntüsü gelmiyor</v>
          </cell>
          <cell r="M4" t="str">
            <v>aracın her iki panel pc arızalı 3877 den alınarak b tarafa takıldı aracın a tarafta panel pc yok dekuplaj edilmeyecek</v>
          </cell>
          <cell r="N4">
            <v>44400</v>
          </cell>
          <cell r="P4" t="str">
            <v>C(Sisteme etki etmeyen arıza)</v>
          </cell>
          <cell r="Q4" t="str">
            <v>N.A(Yaralanma yok)</v>
          </cell>
          <cell r="R4" t="str">
            <v>Tedarikçi</v>
          </cell>
          <cell r="S4" t="str">
            <v>NSC</v>
          </cell>
          <cell r="T4">
            <v>45535</v>
          </cell>
          <cell r="U4">
            <v>45535.476909722223</v>
          </cell>
          <cell r="V4" t="str">
            <v>NSC TEKNOLOJİ ve İNŞAAT LTD.ŞTİ.</v>
          </cell>
          <cell r="W4" t="str">
            <v>CCTV EKRANI</v>
          </cell>
          <cell r="X4" t="str">
            <v>E810-7145</v>
          </cell>
          <cell r="AB4" t="str">
            <v>Arıza çözülecek</v>
          </cell>
          <cell r="AE4" t="str">
            <v/>
          </cell>
          <cell r="AH4" t="str">
            <v/>
          </cell>
          <cell r="AN4">
            <v>1</v>
          </cell>
          <cell r="AP4" t="str">
            <v>(II) Birden fazla karşılaşılan arıza</v>
          </cell>
          <cell r="AQ4">
            <v>45535</v>
          </cell>
          <cell r="AR4">
            <v>45535.625</v>
          </cell>
          <cell r="AU4" t="str">
            <v>PA/PIS/CCTV</v>
          </cell>
        </row>
        <row r="5">
          <cell r="A5" t="str">
            <v>cde35c14</v>
          </cell>
          <cell r="B5" t="str">
            <v>BOZ-KAY5+6-FF-004</v>
          </cell>
          <cell r="E5">
            <v>45255</v>
          </cell>
          <cell r="F5">
            <v>45255.318055555559</v>
          </cell>
          <cell r="G5" t="str">
            <v>3873(2)</v>
          </cell>
          <cell r="H5" t="str">
            <v>MA</v>
          </cell>
          <cell r="I5" t="str">
            <v>Hat/Line</v>
          </cell>
          <cell r="J5" t="str">
            <v>C-Uyarı, sürüş devamlılığı</v>
          </cell>
          <cell r="K5" t="str">
            <v>Müşteri</v>
          </cell>
          <cell r="L5" t="str">
            <v>aracın ayna kamera görüntüsü gelmiyor</v>
          </cell>
          <cell r="M5" t="str">
            <v>gün itibari ile araç serviste çalışmaktadır</v>
          </cell>
          <cell r="N5">
            <v>44400</v>
          </cell>
          <cell r="P5" t="str">
            <v>C(Sisteme etki etmeyen arıza)</v>
          </cell>
          <cell r="Q5" t="str">
            <v>N.A(Yaralanma yok)</v>
          </cell>
          <cell r="R5" t="str">
            <v>Tedarikçi</v>
          </cell>
          <cell r="S5" t="str">
            <v>NSC</v>
          </cell>
          <cell r="T5">
            <v>45535</v>
          </cell>
          <cell r="U5">
            <v>45535.47892361111</v>
          </cell>
          <cell r="V5" t="str">
            <v>NSC TEKNOLOJİ ve İNŞAAT LTD.ŞTİ.</v>
          </cell>
          <cell r="W5" t="str">
            <v>CCTV EKRANI</v>
          </cell>
          <cell r="X5" t="str">
            <v>E810-7145</v>
          </cell>
          <cell r="AB5" t="str">
            <v>Arıza çözülecek</v>
          </cell>
          <cell r="AE5" t="str">
            <v/>
          </cell>
          <cell r="AH5" t="str">
            <v/>
          </cell>
          <cell r="AN5">
            <v>1</v>
          </cell>
          <cell r="AP5" t="str">
            <v>(II) Birden fazla karşılaşılan arıza</v>
          </cell>
          <cell r="AQ5">
            <v>45535</v>
          </cell>
          <cell r="AR5">
            <v>45535.625</v>
          </cell>
          <cell r="AU5" t="str">
            <v>PA/PIS/CCTV</v>
          </cell>
        </row>
        <row r="6">
          <cell r="A6" t="str">
            <v>be46e3c9</v>
          </cell>
          <cell r="B6" t="str">
            <v>BOZ-KAY5+6-FF-005</v>
          </cell>
          <cell r="E6">
            <v>45255</v>
          </cell>
          <cell r="F6">
            <v>45255.934710648151</v>
          </cell>
          <cell r="G6" t="str">
            <v>3875(4)</v>
          </cell>
          <cell r="H6" t="str">
            <v>MA</v>
          </cell>
          <cell r="I6" t="str">
            <v>Hat/Line</v>
          </cell>
          <cell r="J6" t="str">
            <v>C-Uyarı, sürüş devamlılığı</v>
          </cell>
          <cell r="K6" t="str">
            <v>Müşteri</v>
          </cell>
          <cell r="L6" t="str">
            <v>ayna kameralar çalışmıyor</v>
          </cell>
          <cell r="M6" t="str">
            <v>3874 aynakamera görüntü gelmiyordu araç numarası yanlıştı düzeltildi görüntüler geldi</v>
          </cell>
          <cell r="N6">
            <v>45600</v>
          </cell>
          <cell r="P6" t="str">
            <v>C(Sisteme etki etmeyen arıza)</v>
          </cell>
          <cell r="Q6" t="str">
            <v>N.A(Yaralanma yok)</v>
          </cell>
          <cell r="R6" t="str">
            <v>Tedarikçi</v>
          </cell>
          <cell r="S6" t="str">
            <v>NSC</v>
          </cell>
          <cell r="T6">
            <v>45535</v>
          </cell>
          <cell r="U6">
            <v>45535.490370370368</v>
          </cell>
          <cell r="V6" t="str">
            <v>NSC TEKNOLOJİ ve İNŞAAT LTD.ŞTİ.</v>
          </cell>
          <cell r="W6" t="str">
            <v>CCTV EKRANI</v>
          </cell>
          <cell r="X6" t="str">
            <v>E810-7145</v>
          </cell>
          <cell r="AB6" t="str">
            <v>Arıza çözülecek</v>
          </cell>
          <cell r="AE6" t="str">
            <v/>
          </cell>
          <cell r="AH6" t="str">
            <v/>
          </cell>
          <cell r="AN6">
            <v>1</v>
          </cell>
          <cell r="AP6" t="str">
            <v>(II) Birden fazla karşılaşılan arıza</v>
          </cell>
          <cell r="AQ6">
            <v>45535</v>
          </cell>
          <cell r="AR6">
            <v>45535.5625</v>
          </cell>
          <cell r="AU6" t="str">
            <v>PA/PIS/CCTV</v>
          </cell>
        </row>
        <row r="7">
          <cell r="A7" t="str">
            <v>33af09a1</v>
          </cell>
          <cell r="B7" t="str">
            <v>BOZ-KAY5+6-FF-006</v>
          </cell>
          <cell r="E7">
            <v>45257</v>
          </cell>
          <cell r="F7">
            <v>45257.791666666664</v>
          </cell>
          <cell r="G7" t="str">
            <v>3873(2)</v>
          </cell>
          <cell r="H7" t="str">
            <v>MB</v>
          </cell>
          <cell r="I7" t="str">
            <v>Hat/Line</v>
          </cell>
          <cell r="J7" t="str">
            <v>C-Uyarı, sürüş devamlılığı</v>
          </cell>
          <cell r="K7" t="str">
            <v>Müşteri</v>
          </cell>
          <cell r="L7" t="str">
            <v>kabin kliması ısıtması yetersiz</v>
          </cell>
          <cell r="M7" t="str">
            <v>araç kontrol edildi psb1 önemsiz arıza  vermiş araç resetlendi psb1 ve klimalar sorunsuz çalışıyor</v>
          </cell>
          <cell r="N7">
            <v>44600</v>
          </cell>
          <cell r="P7" t="str">
            <v>B(Servisten çekmeye etki eden arızalar)</v>
          </cell>
          <cell r="Q7" t="str">
            <v>N.A(Yaralanma yok)</v>
          </cell>
          <cell r="R7" t="str">
            <v>Tedarikçi</v>
          </cell>
          <cell r="S7" t="str">
            <v>Eltesan</v>
          </cell>
          <cell r="T7">
            <v>45535</v>
          </cell>
          <cell r="U7">
            <v>45535.493310185186</v>
          </cell>
          <cell r="V7" t="str">
            <v>ELTESAN ELEKTRO MEKANİK SOĞUTMA SAN</v>
          </cell>
          <cell r="W7" t="str">
            <v>SURUCU KLIMASI-Eltesan/Hispacold 4,5 KW</v>
          </cell>
          <cell r="X7" t="str">
            <v>H500-7243</v>
          </cell>
          <cell r="AB7" t="str">
            <v>Arıza çözülecek</v>
          </cell>
          <cell r="AE7" t="str">
            <v/>
          </cell>
          <cell r="AH7" t="str">
            <v/>
          </cell>
          <cell r="AN7">
            <v>1</v>
          </cell>
          <cell r="AP7" t="str">
            <v>(II) Birden fazla karşılaşılan arıza</v>
          </cell>
          <cell r="AQ7">
            <v>45535</v>
          </cell>
          <cell r="AR7">
            <v>45535.583333333336</v>
          </cell>
          <cell r="AU7" t="str">
            <v>HVAC Sürücü</v>
          </cell>
        </row>
        <row r="8">
          <cell r="A8" t="str">
            <v>85f8ceb3</v>
          </cell>
          <cell r="B8" t="str">
            <v>BOZ-KAY5+6-FF-007</v>
          </cell>
          <cell r="E8">
            <v>45261</v>
          </cell>
          <cell r="F8">
            <v>45261.381944444445</v>
          </cell>
          <cell r="G8" t="str">
            <v>3874(3)</v>
          </cell>
          <cell r="H8" t="str">
            <v>RB</v>
          </cell>
          <cell r="I8" t="str">
            <v>Hat/Line</v>
          </cell>
          <cell r="J8" t="str">
            <v>C-Uyarı, sürüş devamlılığı</v>
          </cell>
          <cell r="K8" t="str">
            <v>Müşteri</v>
          </cell>
          <cell r="L8" t="str">
            <v>ORTA KISIMDAKİ EKRANLARDA KARARMA MEVCUT</v>
          </cell>
          <cell r="M8" t="str">
            <v>EKRAN DEĞİŞİMİ YAPILDI</v>
          </cell>
          <cell r="N8">
            <v>45000</v>
          </cell>
          <cell r="P8" t="str">
            <v>C(Sisteme etki etmeyen arıza)</v>
          </cell>
          <cell r="Q8" t="str">
            <v>N.A(Yaralanma yok)</v>
          </cell>
          <cell r="R8" t="str">
            <v>Tedarikçi</v>
          </cell>
          <cell r="S8" t="str">
            <v>Atak</v>
          </cell>
          <cell r="T8">
            <v>45261</v>
          </cell>
          <cell r="U8">
            <v>45261.416666666664</v>
          </cell>
          <cell r="V8" t="str">
            <v>ATAK ULAŞIM SAN.TİC.LTD.ŞTİ.</v>
          </cell>
          <cell r="W8" t="str">
            <v>28.6"  EKRAN</v>
          </cell>
          <cell r="X8" t="str">
            <v>E840-7120</v>
          </cell>
          <cell r="Y8">
            <v>1</v>
          </cell>
          <cell r="AB8" t="str">
            <v>Ekipman değiştirilecek</v>
          </cell>
          <cell r="AE8" t="str">
            <v/>
          </cell>
          <cell r="AH8" t="str">
            <v/>
          </cell>
          <cell r="AN8">
            <v>1</v>
          </cell>
          <cell r="AP8" t="str">
            <v>(II) Birden fazla karşılaşılan arıza</v>
          </cell>
          <cell r="AQ8">
            <v>45261</v>
          </cell>
          <cell r="AR8">
            <v>45261.5</v>
          </cell>
          <cell r="AU8" t="str">
            <v>PA/PIS/CCTV</v>
          </cell>
        </row>
        <row r="9">
          <cell r="A9" t="str">
            <v>896b267a</v>
          </cell>
          <cell r="B9" t="str">
            <v>BOZ-KAY5+6-FF-008</v>
          </cell>
          <cell r="E9">
            <v>45261</v>
          </cell>
          <cell r="F9">
            <v>45261.744444444441</v>
          </cell>
          <cell r="G9" t="str">
            <v>3875(4)</v>
          </cell>
          <cell r="H9" t="str">
            <v>MB</v>
          </cell>
          <cell r="I9" t="str">
            <v>Hat/Line</v>
          </cell>
          <cell r="J9" t="str">
            <v>C-Uyarı, sürüş devamlılığı</v>
          </cell>
          <cell r="K9" t="str">
            <v>Müşteri</v>
          </cell>
          <cell r="L9" t="str">
            <v>3875 sol taraf varış yönü sadece c harfi yazıyor</v>
          </cell>
          <cell r="M9" t="str">
            <v>AU300 ve sistem resetlendi.Arıza davamlılığı görülmedi</v>
          </cell>
          <cell r="N9">
            <v>34800</v>
          </cell>
          <cell r="P9" t="str">
            <v>C(Sisteme etki etmeyen arıza)</v>
          </cell>
          <cell r="Q9" t="str">
            <v>N.A(Yaralanma yok)</v>
          </cell>
          <cell r="R9" t="str">
            <v>Tedarikçi</v>
          </cell>
          <cell r="S9" t="str">
            <v>Atak</v>
          </cell>
          <cell r="T9">
            <v>45535</v>
          </cell>
          <cell r="U9">
            <v>45535.49658564815</v>
          </cell>
          <cell r="V9" t="str">
            <v>ATAK ULAŞIM SAN.TİC.LTD.ŞTİ.</v>
          </cell>
          <cell r="W9" t="str">
            <v>Merkez Ünite AU300 (train bus, vehicle b</v>
          </cell>
          <cell r="X9" t="str">
            <v>E840-7002</v>
          </cell>
          <cell r="AB9" t="str">
            <v>Arıza çözülecek</v>
          </cell>
          <cell r="AE9" t="str">
            <v/>
          </cell>
          <cell r="AH9" t="str">
            <v/>
          </cell>
          <cell r="AN9">
            <v>1</v>
          </cell>
          <cell r="AP9" t="str">
            <v>(I) İlk defa karşılaşılan arıza</v>
          </cell>
          <cell r="AQ9">
            <v>45535</v>
          </cell>
          <cell r="AR9">
            <v>45535.583333333336</v>
          </cell>
          <cell r="AU9" t="str">
            <v>PA/PIS/CCTV</v>
          </cell>
        </row>
        <row r="10">
          <cell r="A10" t="str">
            <v>ca584e94</v>
          </cell>
          <cell r="B10" t="str">
            <v>BOZ-KAY5+6-FF-009</v>
          </cell>
          <cell r="E10">
            <v>45269</v>
          </cell>
          <cell r="F10">
            <v>45269.088194444441</v>
          </cell>
          <cell r="G10" t="str">
            <v>3876(5)</v>
          </cell>
          <cell r="H10" t="str">
            <v>MA</v>
          </cell>
          <cell r="I10" t="str">
            <v>Hat/Line</v>
          </cell>
          <cell r="J10" t="str">
            <v>A-Sürüşü engeller</v>
          </cell>
          <cell r="K10" t="str">
            <v>Müşteri</v>
          </cell>
          <cell r="L10" t="str">
            <v>76 NUMARALI ARAÇTAN KONTAK AKTİF EDİLDİĞİNDE 74 NUMARALI ARACIN KONTAĞI AKTİF OLUYOR</v>
          </cell>
          <cell r="M10" t="str">
            <v>SB1157.02 NUMARALI KABLO EKSİK OLDUĞU İÇİN ARIZA VERİYOR KABLO ÇEKİLDİ DÜZELTİLDİ</v>
          </cell>
          <cell r="N10">
            <v>11111</v>
          </cell>
          <cell r="P10" t="str">
            <v>B(Servisten çekmeye etki eden arızalar)</v>
          </cell>
          <cell r="Q10" t="str">
            <v>N.A(Yaralanma yok)</v>
          </cell>
          <cell r="R10" t="str">
            <v>Bozankaya</v>
          </cell>
          <cell r="S10" t="str">
            <v>Üretim</v>
          </cell>
          <cell r="T10">
            <v>45270</v>
          </cell>
          <cell r="U10">
            <v>45270.333333333336</v>
          </cell>
          <cell r="V10" t="str">
            <v>GREBO OTOMOTİV SANAYİ A.Ş</v>
          </cell>
          <cell r="W10" t="str">
            <v>PANO SACI</v>
          </cell>
          <cell r="X10" t="str">
            <v>E750-7300</v>
          </cell>
          <cell r="Y10">
            <v>1</v>
          </cell>
          <cell r="AE10" t="str">
            <v/>
          </cell>
          <cell r="AH10" t="str">
            <v/>
          </cell>
          <cell r="AN10">
            <v>1</v>
          </cell>
          <cell r="AP10" t="str">
            <v>(II) Birden fazla karşılaşılan arıza</v>
          </cell>
          <cell r="AQ10">
            <v>45270</v>
          </cell>
          <cell r="AR10">
            <v>45270.5</v>
          </cell>
          <cell r="AU10" t="str">
            <v>E-Kabinet</v>
          </cell>
        </row>
        <row r="11">
          <cell r="A11" t="str">
            <v>da2f7c51</v>
          </cell>
          <cell r="B11" t="str">
            <v>BOZ-KAY5+6-FF-010</v>
          </cell>
          <cell r="E11">
            <v>45273</v>
          </cell>
          <cell r="F11">
            <v>45273.459027777775</v>
          </cell>
          <cell r="G11" t="str">
            <v>3872(1)</v>
          </cell>
          <cell r="H11" t="str">
            <v>MA</v>
          </cell>
          <cell r="I11" t="str">
            <v>Hat/Line</v>
          </cell>
          <cell r="J11" t="str">
            <v>C-Uyarı, sürüş devamlılığı</v>
          </cell>
          <cell r="K11" t="str">
            <v>Müşteri</v>
          </cell>
          <cell r="L11" t="str">
            <v>12.12.2023 TARİHİNDE YAPILAN SAHA DENETİMİNDE 3872 NUMARALI ARACIN YBS EKRNAI ÇALIŞMADIĞI TESPİT EDİLMİŞTİR GEREKLİ MÜDAHELEYİ YAPAN PERSONEL S.COŞKUN İLE İLETİŞEME GEÇSİN</v>
          </cell>
          <cell r="M11" t="str">
            <v>KAPI ÜSTÜ EKRANLARA BAĞLANILDI FAZLA DOSYALAR SİLİNİP YENİDEN BAŞLATILDI ARIZA GİDERİLDİ</v>
          </cell>
          <cell r="N11">
            <v>22222</v>
          </cell>
          <cell r="P11" t="str">
            <v>B(Servisten çekmeye etki eden arızalar)</v>
          </cell>
          <cell r="Q11" t="str">
            <v>N.A(Yaralanma yok)</v>
          </cell>
          <cell r="R11" t="str">
            <v>Tedarikçi</v>
          </cell>
          <cell r="S11" t="str">
            <v>Atak</v>
          </cell>
          <cell r="T11">
            <v>45273</v>
          </cell>
          <cell r="U11">
            <v>45273.541666666664</v>
          </cell>
          <cell r="V11" t="str">
            <v>ATAK ULAŞIM SAN.TİC.LTD.ŞTİ.</v>
          </cell>
          <cell r="W11" t="str">
            <v>ONBOARD COMPUTER</v>
          </cell>
          <cell r="X11" t="str">
            <v>E855-7029</v>
          </cell>
          <cell r="Y11">
            <v>1</v>
          </cell>
          <cell r="AE11" t="str">
            <v/>
          </cell>
          <cell r="AH11" t="str">
            <v/>
          </cell>
          <cell r="AN11">
            <v>1</v>
          </cell>
          <cell r="AP11" t="str">
            <v>(I) İlk defa karşılaşılan arıza</v>
          </cell>
          <cell r="AQ11">
            <v>45273</v>
          </cell>
          <cell r="AR11">
            <v>45273.625</v>
          </cell>
          <cell r="AU11" t="str">
            <v>PA/PIS/CCTV</v>
          </cell>
        </row>
        <row r="12">
          <cell r="A12" t="str">
            <v>18ed1170</v>
          </cell>
          <cell r="B12" t="str">
            <v>BOZ-KAY5+6-FF-011</v>
          </cell>
          <cell r="E12">
            <v>45274</v>
          </cell>
          <cell r="F12">
            <v>45274.693749999999</v>
          </cell>
          <cell r="G12" t="str">
            <v>3872(1)</v>
          </cell>
          <cell r="H12" t="str">
            <v>MB</v>
          </cell>
          <cell r="I12" t="str">
            <v>Hat/Line</v>
          </cell>
          <cell r="J12" t="str">
            <v>C-Uyarı, sürüş devamlılığı</v>
          </cell>
          <cell r="K12" t="str">
            <v>Müşteri</v>
          </cell>
          <cell r="L12" t="str">
            <v>MB KABİN ARKASI EKRAN ÇALIŞMIYOR</v>
          </cell>
          <cell r="M12" t="str">
            <v>ARACIN KABİN ARKASI ARIZALI SİGORTADALARI İNDİRİLDİ</v>
          </cell>
          <cell r="N12">
            <v>101420</v>
          </cell>
          <cell r="P12" t="str">
            <v>C(Sisteme etki etmeyen arıza)</v>
          </cell>
          <cell r="Q12" t="str">
            <v>N.A(Yaralanma yok)</v>
          </cell>
          <cell r="R12" t="str">
            <v>Tedarikçi</v>
          </cell>
          <cell r="S12" t="str">
            <v>Atak</v>
          </cell>
          <cell r="T12">
            <v>45640</v>
          </cell>
          <cell r="U12">
            <v>45640.708333333336</v>
          </cell>
          <cell r="V12" t="str">
            <v>ATAK ULAŞIM SAN.TİC.LTD.ŞTİ.</v>
          </cell>
          <cell r="W12" t="str">
            <v>ONBOARD COMPUTER</v>
          </cell>
          <cell r="X12" t="str">
            <v>E855-7029</v>
          </cell>
          <cell r="Y12">
            <v>1</v>
          </cell>
          <cell r="AE12" t="str">
            <v/>
          </cell>
          <cell r="AH12" t="str">
            <v/>
          </cell>
          <cell r="AN12">
            <v>1</v>
          </cell>
          <cell r="AP12" t="str">
            <v>(II) Birden fazla karşılaşılan arıza</v>
          </cell>
          <cell r="AQ12">
            <v>45640</v>
          </cell>
          <cell r="AR12">
            <v>45640.729166666664</v>
          </cell>
          <cell r="AU12" t="str">
            <v>PA/PIS/CCTV</v>
          </cell>
        </row>
        <row r="13">
          <cell r="A13" t="str">
            <v>30c8155d</v>
          </cell>
          <cell r="B13" t="str">
            <v>BOZ-KAY5+6-FF-012</v>
          </cell>
          <cell r="E13">
            <v>45274</v>
          </cell>
          <cell r="F13">
            <v>45274.693749999999</v>
          </cell>
          <cell r="G13" t="str">
            <v>3872(1)</v>
          </cell>
          <cell r="H13" t="str">
            <v>MB</v>
          </cell>
          <cell r="I13" t="str">
            <v>Hat/Line</v>
          </cell>
          <cell r="J13" t="str">
            <v>C-Uyarı, sürüş devamlılığı</v>
          </cell>
          <cell r="K13" t="str">
            <v>Müşteri</v>
          </cell>
          <cell r="L13" t="str">
            <v>MB KABİN ARKASI EKRAN ÇALIŞMIYOR</v>
          </cell>
          <cell r="M13" t="str">
            <v>ÜRETİCİ FİRMA İLE AYAR YAPILDI ÇALIŞIYOR</v>
          </cell>
          <cell r="N13">
            <v>40263</v>
          </cell>
          <cell r="P13" t="str">
            <v>C(Sisteme etki etmeyen arıza)</v>
          </cell>
          <cell r="Q13" t="str">
            <v>N.A(Yaralanma yok)</v>
          </cell>
          <cell r="R13" t="str">
            <v>Tedarikçi</v>
          </cell>
          <cell r="S13" t="str">
            <v>Atak</v>
          </cell>
          <cell r="T13">
            <v>45352</v>
          </cell>
          <cell r="U13">
            <v>45352.333333333336</v>
          </cell>
          <cell r="V13" t="str">
            <v>ATAK ULAŞIM SAN.TİC.LTD.ŞTİ.</v>
          </cell>
          <cell r="W13" t="str">
            <v>32" EKRAN</v>
          </cell>
          <cell r="X13" t="str">
            <v>E840-7134</v>
          </cell>
          <cell r="Y13">
            <v>1</v>
          </cell>
          <cell r="AB13" t="str">
            <v>Arıza çözülecek</v>
          </cell>
          <cell r="AE13" t="str">
            <v/>
          </cell>
          <cell r="AH13" t="str">
            <v/>
          </cell>
          <cell r="AN13">
            <v>1</v>
          </cell>
          <cell r="AP13" t="str">
            <v>(II) Birden fazla karşılaşılan arıza</v>
          </cell>
          <cell r="AQ13">
            <v>45352</v>
          </cell>
          <cell r="AR13">
            <v>45352.5</v>
          </cell>
          <cell r="AU13" t="str">
            <v>PA/PIS/CCTV</v>
          </cell>
        </row>
        <row r="14">
          <cell r="A14" t="str">
            <v>87bc535e</v>
          </cell>
          <cell r="B14" t="str">
            <v>BOZ-KAY5+6-FF-013</v>
          </cell>
          <cell r="E14">
            <v>45277</v>
          </cell>
          <cell r="F14">
            <v>45277.851388888892</v>
          </cell>
          <cell r="G14" t="str">
            <v>3874(3)</v>
          </cell>
          <cell r="H14" t="str">
            <v>MA</v>
          </cell>
          <cell r="I14" t="str">
            <v>Hat/Line</v>
          </cell>
          <cell r="J14" t="str">
            <v>A-Sürüşü engeller</v>
          </cell>
          <cell r="K14" t="str">
            <v>Müşteri</v>
          </cell>
          <cell r="L14" t="str">
            <v>ARAÇ İVME KESİYOR KUPLAJ IŞIĞI FLASH YAPIYOR</v>
          </cell>
          <cell r="M14" t="str">
            <v>C-4003.03 KABLOSU YANLIŞ TAKILMIŞ DÜZELTİLDİ</v>
          </cell>
          <cell r="N14">
            <v>22222</v>
          </cell>
          <cell r="P14" t="str">
            <v>B(Servisten çekmeye etki eden arızalar)</v>
          </cell>
          <cell r="Q14" t="str">
            <v>N.A(Yaralanma yok)</v>
          </cell>
          <cell r="R14" t="str">
            <v>Bozankaya</v>
          </cell>
          <cell r="S14" t="str">
            <v>Fabrika Test</v>
          </cell>
          <cell r="T14">
            <v>45278</v>
          </cell>
          <cell r="U14">
            <v>45278.333333333336</v>
          </cell>
          <cell r="V14" t="str">
            <v>MEDCOM SP. Z O.O.</v>
          </cell>
          <cell r="W14" t="str">
            <v>GATEWAY</v>
          </cell>
          <cell r="X14" t="str">
            <v>E870-7052</v>
          </cell>
          <cell r="Y14">
            <v>1</v>
          </cell>
          <cell r="AB14" t="str">
            <v>Yazılım güncelleme</v>
          </cell>
          <cell r="AE14" t="str">
            <v/>
          </cell>
          <cell r="AH14" t="str">
            <v/>
          </cell>
          <cell r="AN14">
            <v>1</v>
          </cell>
          <cell r="AP14" t="str">
            <v>(I) İlk defa karşılaşılan arıza</v>
          </cell>
          <cell r="AQ14">
            <v>45278</v>
          </cell>
          <cell r="AR14">
            <v>45278.5</v>
          </cell>
          <cell r="AU14" t="str">
            <v>E-Kabinet</v>
          </cell>
        </row>
        <row r="15">
          <cell r="A15" t="str">
            <v>98064a59</v>
          </cell>
          <cell r="B15" t="str">
            <v>BOZ-KAY5+6-FF-014</v>
          </cell>
          <cell r="E15">
            <v>45279</v>
          </cell>
          <cell r="F15">
            <v>45279.993055555555</v>
          </cell>
          <cell r="G15" t="str">
            <v>3875(4)</v>
          </cell>
          <cell r="H15" t="str">
            <v>MA</v>
          </cell>
          <cell r="I15" t="str">
            <v>Hat/Line</v>
          </cell>
          <cell r="J15" t="str">
            <v>A-Sürüşü engeller</v>
          </cell>
          <cell r="K15" t="str">
            <v>Müşteri</v>
          </cell>
          <cell r="L15" t="str">
            <v>YOLCU VE MAKİNİST KABİNLERİ SOĞUK KLİMA ÇLIŞMIYOR</v>
          </cell>
          <cell r="M15" t="str">
            <v>YANGIN DEDEKTÖR KABLOLARI YANLIŞ TAKILMIŞ DÜZELTİLDİ</v>
          </cell>
          <cell r="N15">
            <v>121212</v>
          </cell>
          <cell r="P15" t="str">
            <v>B(Servisten çekmeye etki eden arızalar)</v>
          </cell>
          <cell r="Q15" t="str">
            <v>N.A(Yaralanma yok)</v>
          </cell>
          <cell r="R15" t="str">
            <v>Bozankaya</v>
          </cell>
          <cell r="S15" t="str">
            <v>Üretim</v>
          </cell>
          <cell r="T15">
            <v>45280</v>
          </cell>
          <cell r="U15">
            <v>45280.375</v>
          </cell>
          <cell r="V15" t="str">
            <v>Pronis Proje Mühendislik Taahhüt Sa</v>
          </cell>
          <cell r="W15" t="str">
            <v>Yangın-Duman Dedektörü</v>
          </cell>
          <cell r="X15" t="str">
            <v>E110-7654</v>
          </cell>
          <cell r="Y15">
            <v>1</v>
          </cell>
          <cell r="AB15" t="str">
            <v>Tamir edilecek</v>
          </cell>
          <cell r="AE15" t="str">
            <v/>
          </cell>
          <cell r="AH15" t="str">
            <v/>
          </cell>
          <cell r="AN15">
            <v>1</v>
          </cell>
          <cell r="AP15" t="str">
            <v>(II) Birden fazla karşılaşılan arıza</v>
          </cell>
          <cell r="AQ15">
            <v>45280</v>
          </cell>
          <cell r="AR15">
            <v>45280.541666666664</v>
          </cell>
          <cell r="AU15" t="str">
            <v>HVAC Yolcu</v>
          </cell>
        </row>
        <row r="16">
          <cell r="A16" t="str">
            <v>1f27cb39</v>
          </cell>
          <cell r="B16" t="str">
            <v>BOZ-KAY5+6-FF-015</v>
          </cell>
          <cell r="E16">
            <v>45279</v>
          </cell>
          <cell r="F16">
            <v>45279.99722222222</v>
          </cell>
          <cell r="G16" t="str">
            <v>3872(1)</v>
          </cell>
          <cell r="H16" t="str">
            <v>RB</v>
          </cell>
          <cell r="I16" t="str">
            <v>Hat/Line</v>
          </cell>
          <cell r="J16" t="str">
            <v>C-Uyarı, sürüş devamlılığı</v>
          </cell>
          <cell r="K16" t="str">
            <v>Müşteri</v>
          </cell>
          <cell r="L16" t="str">
            <v>YOLCU VE KABİN KLİMASI DEVREYE GİRMİYOR</v>
          </cell>
          <cell r="M16" t="str">
            <v>YANGIN DEDEKTÖR KABLOLARI YANLIŞ TAKILMIŞ DÜZELTİLDİ</v>
          </cell>
          <cell r="N16">
            <v>21212</v>
          </cell>
          <cell r="P16" t="str">
            <v>B(Servisten çekmeye etki eden arızalar)</v>
          </cell>
          <cell r="Q16" t="str">
            <v>N.A(Yaralanma yok)</v>
          </cell>
          <cell r="R16" t="str">
            <v>Bozankaya</v>
          </cell>
          <cell r="S16" t="str">
            <v>Üretim</v>
          </cell>
          <cell r="T16">
            <v>45280</v>
          </cell>
          <cell r="U16">
            <v>45280.333333333336</v>
          </cell>
          <cell r="V16" t="str">
            <v>Pronis Proje Mühendislik Taahhüt Sa</v>
          </cell>
          <cell r="W16" t="str">
            <v>Yangın-Duman Dedektörü</v>
          </cell>
          <cell r="X16" t="str">
            <v>E110-7654</v>
          </cell>
          <cell r="Y16">
            <v>1</v>
          </cell>
          <cell r="AB16" t="str">
            <v>Arıza çözülecek</v>
          </cell>
          <cell r="AE16" t="str">
            <v/>
          </cell>
          <cell r="AH16" t="str">
            <v/>
          </cell>
          <cell r="AN16">
            <v>1</v>
          </cell>
          <cell r="AP16" t="str">
            <v>(II) Birden fazla karşılaşılan arıza</v>
          </cell>
          <cell r="AQ16">
            <v>45280</v>
          </cell>
          <cell r="AR16">
            <v>45280.541666666664</v>
          </cell>
          <cell r="AU16" t="str">
            <v>HVAC Yolcu</v>
          </cell>
        </row>
        <row r="17">
          <cell r="A17" t="str">
            <v>5aaf3e8e</v>
          </cell>
          <cell r="B17" t="str">
            <v>BOZ-KAY5+6-FF-016</v>
          </cell>
          <cell r="E17">
            <v>45281</v>
          </cell>
          <cell r="F17">
            <v>45281.211111111108</v>
          </cell>
          <cell r="G17" t="str">
            <v>3872(1)</v>
          </cell>
          <cell r="H17" t="str">
            <v>RA</v>
          </cell>
          <cell r="I17" t="str">
            <v>Hat/Line</v>
          </cell>
          <cell r="J17" t="str">
            <v>A-Sürüşü engeller</v>
          </cell>
          <cell r="K17" t="str">
            <v>Müşteri</v>
          </cell>
          <cell r="L17" t="str">
            <v>KABİN VE YOLCU BÖLÜMÜ KLİMALAR ÇALIŞMIYOR</v>
          </cell>
          <cell r="M17" t="str">
            <v>ARAÇ YANGIN MODU DEVREYE GİRDİĞİ İÇİN KLİMALAR ÇALIŞMIYOR YAPILAN KONTROLLERDE P PANODA BULUNAN YANGIN DEDEKTÖR KABLOSU YANLIŞ TAKILMIŞ DÜZELTİLDİ</v>
          </cell>
          <cell r="N17">
            <v>21212</v>
          </cell>
          <cell r="P17" t="str">
            <v>B(Servisten çekmeye etki eden arızalar)</v>
          </cell>
          <cell r="Q17" t="str">
            <v>N.A(Yaralanma yok)</v>
          </cell>
          <cell r="R17" t="str">
            <v>Bozankaya</v>
          </cell>
          <cell r="S17" t="str">
            <v>Üretim</v>
          </cell>
          <cell r="T17">
            <v>45647</v>
          </cell>
          <cell r="U17">
            <v>45647.333333333336</v>
          </cell>
          <cell r="V17" t="str">
            <v>Pronis Proje Mühendislik Taahhüt Sa</v>
          </cell>
          <cell r="W17" t="str">
            <v>Yangın-Duman Dedektörü</v>
          </cell>
          <cell r="X17" t="str">
            <v>E110-7654</v>
          </cell>
          <cell r="Y17">
            <v>1</v>
          </cell>
          <cell r="AB17" t="str">
            <v>Tamir edilecek</v>
          </cell>
          <cell r="AE17" t="str">
            <v/>
          </cell>
          <cell r="AH17" t="str">
            <v/>
          </cell>
          <cell r="AN17">
            <v>1</v>
          </cell>
          <cell r="AP17" t="str">
            <v>(I) İlk defa karşılaşılan arıza</v>
          </cell>
          <cell r="AQ17">
            <v>45647</v>
          </cell>
          <cell r="AR17">
            <v>45647.541666666664</v>
          </cell>
          <cell r="AU17" t="str">
            <v>HVAC Yolcu</v>
          </cell>
        </row>
        <row r="18">
          <cell r="A18" t="str">
            <v>18d1988f</v>
          </cell>
          <cell r="B18" t="str">
            <v>BOZ-KAY5+6-FF-017</v>
          </cell>
          <cell r="E18">
            <v>45281</v>
          </cell>
          <cell r="F18">
            <v>45281.677777777775</v>
          </cell>
          <cell r="G18" t="str">
            <v>3874(3)</v>
          </cell>
          <cell r="H18" t="str">
            <v>MA</v>
          </cell>
          <cell r="I18" t="str">
            <v>Hat/Line</v>
          </cell>
          <cell r="J18" t="str">
            <v>C-Uyarı, sürüş devamlılığı</v>
          </cell>
          <cell r="K18" t="str">
            <v>Müşteri</v>
          </cell>
          <cell r="L18" t="str">
            <v>Araç nvrları kesik  kesik kayıt yapıyor.Kendi kendine açılıp kapanıyor</v>
          </cell>
          <cell r="M18" t="str">
            <v>Gerekli modifikasyonlar uygulanmıştır</v>
          </cell>
          <cell r="N18">
            <v>45000</v>
          </cell>
          <cell r="P18" t="str">
            <v>C(Sisteme etki etmeyen arıza)</v>
          </cell>
          <cell r="Q18" t="str">
            <v>N.A(Yaralanma yok)</v>
          </cell>
          <cell r="R18" t="str">
            <v>Tedarikçi</v>
          </cell>
          <cell r="S18" t="str">
            <v>NSC</v>
          </cell>
          <cell r="T18">
            <v>45534</v>
          </cell>
          <cell r="U18">
            <v>45534.667453703703</v>
          </cell>
          <cell r="V18" t="str">
            <v>NSC TEKNOLOJİ ve İNŞAAT LTD.ŞTİ.</v>
          </cell>
          <cell r="W18" t="str">
            <v>XKAYIT CİHAZI(NVR)</v>
          </cell>
          <cell r="X18" t="str">
            <v>E810-7002</v>
          </cell>
          <cell r="AB18" t="str">
            <v>Arıza çözülecek</v>
          </cell>
          <cell r="AE18" t="str">
            <v/>
          </cell>
          <cell r="AH18" t="str">
            <v/>
          </cell>
          <cell r="AN18">
            <v>1</v>
          </cell>
          <cell r="AP18" t="str">
            <v>(II) Birden fazla karşılaşılan arıza</v>
          </cell>
          <cell r="AQ18">
            <v>45534</v>
          </cell>
          <cell r="AR18">
            <v>45534.708333333336</v>
          </cell>
          <cell r="AU18" t="str">
            <v>PA/PIS/CCTV</v>
          </cell>
        </row>
        <row r="19">
          <cell r="A19" t="str">
            <v>a1c41617</v>
          </cell>
          <cell r="B19" t="str">
            <v>BOZ-KAY5+6-FF-018</v>
          </cell>
          <cell r="E19">
            <v>45281</v>
          </cell>
          <cell r="F19">
            <v>45281.677777777775</v>
          </cell>
          <cell r="G19" t="str">
            <v>3875(4)</v>
          </cell>
          <cell r="H19" t="str">
            <v>MA</v>
          </cell>
          <cell r="I19" t="str">
            <v>Hat/Line</v>
          </cell>
          <cell r="J19" t="str">
            <v>C-Uyarı, sürüş devamlılığı</v>
          </cell>
          <cell r="K19" t="str">
            <v>Müşteri</v>
          </cell>
          <cell r="L19" t="str">
            <v>Araç nvrları kesik  kesik kayıt yapıyor.Kendi kendine açılıp kapanıyor</v>
          </cell>
          <cell r="M19" t="str">
            <v>Gerekli modifikasyonlar uygulanmıştır</v>
          </cell>
          <cell r="N19">
            <v>35000</v>
          </cell>
          <cell r="P19" t="str">
            <v>C(Sisteme etki etmeyen arıza)</v>
          </cell>
          <cell r="Q19" t="str">
            <v>N.A(Yaralanma yok)</v>
          </cell>
          <cell r="R19" t="str">
            <v>Tedarikçi</v>
          </cell>
          <cell r="S19" t="str">
            <v>NSC</v>
          </cell>
          <cell r="T19">
            <v>45534</v>
          </cell>
          <cell r="U19">
            <v>45534.666076388887</v>
          </cell>
          <cell r="V19" t="str">
            <v>NSC TEKNOLOJİ ve İNŞAAT LTD.ŞTİ.</v>
          </cell>
          <cell r="W19" t="str">
            <v>XKAYIT CİHAZI(NVR)</v>
          </cell>
          <cell r="X19" t="str">
            <v>E810-7002</v>
          </cell>
          <cell r="AE19" t="str">
            <v/>
          </cell>
          <cell r="AH19" t="str">
            <v/>
          </cell>
          <cell r="AN19">
            <v>1</v>
          </cell>
          <cell r="AP19" t="str">
            <v>(II) Birden fazla karşılaşılan arıza</v>
          </cell>
          <cell r="AQ19">
            <v>45534</v>
          </cell>
          <cell r="AR19">
            <v>45534.708333333336</v>
          </cell>
          <cell r="AU19" t="str">
            <v>PA/PIS/CCTV</v>
          </cell>
        </row>
        <row r="20">
          <cell r="A20" t="str">
            <v>0272ee9e</v>
          </cell>
          <cell r="B20" t="str">
            <v>BOZ-KAY5+6-FF-019</v>
          </cell>
          <cell r="E20">
            <v>45281</v>
          </cell>
          <cell r="F20">
            <v>45281.678472222222</v>
          </cell>
          <cell r="G20" t="str">
            <v>3876(5)</v>
          </cell>
          <cell r="H20" t="str">
            <v>MA</v>
          </cell>
          <cell r="I20" t="str">
            <v>Hat/Line</v>
          </cell>
          <cell r="J20" t="str">
            <v>C-Uyarı, sürüş devamlılığı</v>
          </cell>
          <cell r="K20" t="str">
            <v>Müşteri</v>
          </cell>
          <cell r="L20" t="str">
            <v>Araç nvrları kesik  kesik kayıt yapıyor.Kendi kendine açılıp kapanıyor</v>
          </cell>
          <cell r="M20" t="str">
            <v>Gerekli modifikasyonlar uygulanmıştır</v>
          </cell>
          <cell r="N20">
            <v>36000</v>
          </cell>
          <cell r="P20" t="str">
            <v>C(Sisteme etki etmeyen arıza)</v>
          </cell>
          <cell r="Q20" t="str">
            <v>N.A(Yaralanma yok)</v>
          </cell>
          <cell r="R20" t="str">
            <v>Tedarikçi</v>
          </cell>
          <cell r="S20" t="str">
            <v>NSC</v>
          </cell>
          <cell r="T20">
            <v>45534</v>
          </cell>
          <cell r="U20">
            <v>45534.668611111112</v>
          </cell>
          <cell r="V20" t="str">
            <v>NSC TEKNOLOJİ ve İNŞAAT LTD.ŞTİ.</v>
          </cell>
          <cell r="W20" t="str">
            <v>XKAYIT CİHAZI(NVR)</v>
          </cell>
          <cell r="X20" t="str">
            <v>E810-7002</v>
          </cell>
          <cell r="AB20" t="str">
            <v>Arıza çözülecek</v>
          </cell>
          <cell r="AE20" t="str">
            <v/>
          </cell>
          <cell r="AH20" t="str">
            <v/>
          </cell>
          <cell r="AN20">
            <v>1</v>
          </cell>
          <cell r="AP20" t="str">
            <v>(II) Birden fazla karşılaşılan arıza</v>
          </cell>
          <cell r="AQ20">
            <v>45534</v>
          </cell>
          <cell r="AR20">
            <v>45534.708333333336</v>
          </cell>
          <cell r="AU20" t="str">
            <v>PA/PIS/CCTV</v>
          </cell>
        </row>
        <row r="21">
          <cell r="A21" t="str">
            <v>30f6a84a</v>
          </cell>
          <cell r="B21" t="str">
            <v>BOZ-KAY5+6-FF-020</v>
          </cell>
          <cell r="E21">
            <v>45281</v>
          </cell>
          <cell r="F21">
            <v>45281.679166666669</v>
          </cell>
          <cell r="G21" t="str">
            <v>3878(7)</v>
          </cell>
          <cell r="H21" t="str">
            <v>MA</v>
          </cell>
          <cell r="I21" t="str">
            <v>Hat/Line</v>
          </cell>
          <cell r="J21" t="str">
            <v>C-Uyarı, sürüş devamlılığı</v>
          </cell>
          <cell r="K21" t="str">
            <v>Müşteri</v>
          </cell>
          <cell r="L21" t="str">
            <v>Araç nvrları kesik kesik kayıt yapıyor.Kendi kendine açılıp kapanıyor</v>
          </cell>
          <cell r="M21" t="str">
            <v>Gerekli modikasyonlar uygulanmıştır</v>
          </cell>
          <cell r="N21">
            <v>15000</v>
          </cell>
          <cell r="P21" t="str">
            <v>C(Sisteme etki etmeyen arıza)</v>
          </cell>
          <cell r="Q21" t="str">
            <v>N.A(Yaralanma yok)</v>
          </cell>
          <cell r="R21" t="str">
            <v>Tedarikçi</v>
          </cell>
          <cell r="S21" t="str">
            <v>NSC</v>
          </cell>
          <cell r="T21">
            <v>45534</v>
          </cell>
          <cell r="U21">
            <v>45534.664074074077</v>
          </cell>
          <cell r="V21" t="str">
            <v>NSC TEKNOLOJİ ve İNŞAAT LTD.ŞTİ.</v>
          </cell>
          <cell r="W21" t="str">
            <v>XKAYIT CİHAZI(NVR)</v>
          </cell>
          <cell r="X21" t="str">
            <v>E810-7002</v>
          </cell>
          <cell r="AB21" t="str">
            <v>Arıza çözülecek</v>
          </cell>
          <cell r="AE21" t="str">
            <v/>
          </cell>
          <cell r="AH21" t="str">
            <v/>
          </cell>
          <cell r="AN21">
            <v>1</v>
          </cell>
          <cell r="AP21" t="str">
            <v>(II) Birden fazla karşılaşılan arıza</v>
          </cell>
          <cell r="AQ21">
            <v>45534</v>
          </cell>
          <cell r="AR21">
            <v>45534.708333333336</v>
          </cell>
          <cell r="AU21" t="str">
            <v>PA/PIS/CCTV</v>
          </cell>
        </row>
        <row r="22">
          <cell r="A22" t="str">
            <v>dcc2f568</v>
          </cell>
          <cell r="B22" t="str">
            <v>BOZ-KAY5+6-FF-021</v>
          </cell>
          <cell r="E22">
            <v>45282</v>
          </cell>
          <cell r="F22">
            <v>45282.684027777781</v>
          </cell>
          <cell r="G22" t="str">
            <v>3875(4)</v>
          </cell>
          <cell r="H22" t="str">
            <v>MA</v>
          </cell>
          <cell r="I22" t="str">
            <v>Hat/Line</v>
          </cell>
          <cell r="J22" t="str">
            <v>C-Uyarı, sürüş devamlılığı</v>
          </cell>
          <cell r="K22" t="str">
            <v>Müşteri</v>
          </cell>
          <cell r="L22" t="str">
            <v>MA Akü yanık üst plakalarda ısınma ve deforme mevcut</v>
          </cell>
          <cell r="M22" t="str">
            <v>Akü sökülüp koruyucu bakıma teslim edildi</v>
          </cell>
          <cell r="N22">
            <v>35100</v>
          </cell>
          <cell r="P22" t="str">
            <v>C(Sisteme etki etmeyen arıza)</v>
          </cell>
          <cell r="Q22" t="str">
            <v>N.A(Yaralanma yok)</v>
          </cell>
          <cell r="R22" t="str">
            <v>Tedarikçi</v>
          </cell>
          <cell r="S22" t="str">
            <v>Hoppecke</v>
          </cell>
          <cell r="T22">
            <v>45531</v>
          </cell>
          <cell r="U22">
            <v>45531.642291666663</v>
          </cell>
          <cell r="V22" t="str">
            <v>HOPPECKE Batterie Systeme GmbH</v>
          </cell>
          <cell r="W22" t="str">
            <v>24V BATARYA KUTUSU İÇ MALZEMELER</v>
          </cell>
          <cell r="X22" t="str">
            <v>P680-7147</v>
          </cell>
          <cell r="AE22" t="str">
            <v/>
          </cell>
          <cell r="AH22" t="str">
            <v/>
          </cell>
          <cell r="AN22">
            <v>1</v>
          </cell>
          <cell r="AP22" t="str">
            <v>(I) İlk defa karşılaşılan arıza</v>
          </cell>
          <cell r="AQ22">
            <v>45531</v>
          </cell>
          <cell r="AR22">
            <v>45531.770833333336</v>
          </cell>
          <cell r="AU22" t="str">
            <v>Batarya</v>
          </cell>
        </row>
        <row r="23">
          <cell r="A23" t="str">
            <v>6f00c2d1</v>
          </cell>
          <cell r="B23" t="str">
            <v>BOZ-KAY5+6-FF-022</v>
          </cell>
          <cell r="E23">
            <v>45285</v>
          </cell>
          <cell r="F23">
            <v>45285.236111111109</v>
          </cell>
          <cell r="G23" t="str">
            <v>3873(2)</v>
          </cell>
          <cell r="H23" t="str">
            <v>MB</v>
          </cell>
          <cell r="I23" t="str">
            <v>Hat/Line</v>
          </cell>
          <cell r="J23" t="str">
            <v>C-Uyarı, sürüş devamlılığı</v>
          </cell>
          <cell r="K23" t="str">
            <v>Müşteri</v>
          </cell>
          <cell r="L23" t="str">
            <v>MB BÖLÜMÜ AYDINLATMA BİR BÖLÜMÜ YANMIYOR</v>
          </cell>
          <cell r="M23" t="str">
            <v>KC1076.03 KABLOSU KL'12YE GİRİLMİŞ DÜZELTİLDİ</v>
          </cell>
          <cell r="N23">
            <v>44900</v>
          </cell>
          <cell r="P23" t="str">
            <v>C(Sisteme etki etmeyen arıza)</v>
          </cell>
          <cell r="Q23" t="str">
            <v>N.A(Yaralanma yok)</v>
          </cell>
          <cell r="R23" t="str">
            <v>Bozankaya</v>
          </cell>
          <cell r="S23" t="str">
            <v>Fabrika Test</v>
          </cell>
          <cell r="T23">
            <v>45285</v>
          </cell>
          <cell r="U23">
            <v>45285.333333333336</v>
          </cell>
          <cell r="V23" t="str">
            <v>ERA ELEKTRONIK SANAYİ VE TİCARET A.</v>
          </cell>
          <cell r="W23" t="str">
            <v>TAVAN AYDINLATMA ARMATÜRÜ SETİ</v>
          </cell>
          <cell r="X23" t="str">
            <v>E455-7055</v>
          </cell>
          <cell r="AE23" t="str">
            <v/>
          </cell>
          <cell r="AH23" t="str">
            <v/>
          </cell>
          <cell r="AN23">
            <v>1</v>
          </cell>
          <cell r="AP23" t="str">
            <v>(I) İlk defa karşılaşılan arıza</v>
          </cell>
          <cell r="AQ23">
            <v>45285</v>
          </cell>
          <cell r="AR23">
            <v>45285.458333333336</v>
          </cell>
          <cell r="AU23" t="str">
            <v>Aydınlatma İç</v>
          </cell>
        </row>
        <row r="24">
          <cell r="A24" t="str">
            <v>9b865495</v>
          </cell>
          <cell r="B24" t="str">
            <v>BOZ-KAY5+6-FF-023</v>
          </cell>
          <cell r="E24">
            <v>45290</v>
          </cell>
          <cell r="F24">
            <v>45290.973611111112</v>
          </cell>
          <cell r="G24" t="str">
            <v>3872(1)</v>
          </cell>
          <cell r="H24" t="str">
            <v>MA</v>
          </cell>
          <cell r="I24" t="str">
            <v>Hat/Line</v>
          </cell>
          <cell r="J24" t="str">
            <v>C-Uyarı, sürüş devamlılığı</v>
          </cell>
          <cell r="K24" t="str">
            <v>Müşteri</v>
          </cell>
          <cell r="L24" t="str">
            <v>Araç nvr kesik kesik kayıt ediyor</v>
          </cell>
          <cell r="M24" t="str">
            <v>Gerekli modifikasyon uygulandı.Sorun giderildi</v>
          </cell>
          <cell r="N24">
            <v>35500</v>
          </cell>
          <cell r="P24" t="str">
            <v>C(Sisteme etki etmeyen arıza)</v>
          </cell>
          <cell r="Q24" t="str">
            <v>N.A(Yaralanma yok)</v>
          </cell>
          <cell r="R24" t="str">
            <v>Tedarikçi</v>
          </cell>
          <cell r="S24" t="str">
            <v>NSC</v>
          </cell>
          <cell r="T24">
            <v>45534</v>
          </cell>
          <cell r="U24">
            <v>45534.685659722221</v>
          </cell>
          <cell r="V24" t="str">
            <v>NSC TEKNOLOJİ ve İNŞAAT LTD.ŞTİ.</v>
          </cell>
          <cell r="W24" t="str">
            <v>XKAYIT CİHAZI(NVR)</v>
          </cell>
          <cell r="X24" t="str">
            <v>E810-7002</v>
          </cell>
          <cell r="AB24" t="str">
            <v>Arıza çözülecek</v>
          </cell>
          <cell r="AE24" t="str">
            <v/>
          </cell>
          <cell r="AH24" t="str">
            <v/>
          </cell>
          <cell r="AN24">
            <v>1</v>
          </cell>
          <cell r="AP24" t="str">
            <v>(II) Birden fazla karşılaşılan arıza</v>
          </cell>
          <cell r="AQ24">
            <v>45534</v>
          </cell>
          <cell r="AR24">
            <v>45534.75</v>
          </cell>
          <cell r="AU24" t="str">
            <v>PA/PIS/CCTV</v>
          </cell>
        </row>
        <row r="25">
          <cell r="A25" t="str">
            <v>175f6c7d</v>
          </cell>
          <cell r="B25" t="str">
            <v>BOZ-KAY5+6-FF-024</v>
          </cell>
          <cell r="E25">
            <v>45290</v>
          </cell>
          <cell r="F25">
            <v>45290.979861111111</v>
          </cell>
          <cell r="G25" t="str">
            <v>3875(4)</v>
          </cell>
          <cell r="H25" t="str">
            <v>MA</v>
          </cell>
          <cell r="I25" t="str">
            <v>Depo/Depot</v>
          </cell>
          <cell r="J25" t="str">
            <v>C-Uyarı, sürüş devamlılığı</v>
          </cell>
          <cell r="K25" t="str">
            <v>Müşteri</v>
          </cell>
          <cell r="L25" t="str">
            <v>Araç NVR kesik kesik kayıt ediyor</v>
          </cell>
          <cell r="M25" t="str">
            <v>Kesik kayıt modifikasyonu yapıldı</v>
          </cell>
          <cell r="N25">
            <v>35500</v>
          </cell>
          <cell r="P25" t="str">
            <v>C(Sisteme etki etmeyen arıza)</v>
          </cell>
          <cell r="Q25" t="str">
            <v>N.A(Yaralanma yok)</v>
          </cell>
          <cell r="R25" t="str">
            <v>Tedarikçi</v>
          </cell>
          <cell r="S25" t="str">
            <v>NSC</v>
          </cell>
          <cell r="T25">
            <v>45531</v>
          </cell>
          <cell r="U25">
            <v>45531.632268518515</v>
          </cell>
          <cell r="V25" t="str">
            <v>NSC TEKNOLOJİ ve İNŞAAT LTD.ŞTİ.</v>
          </cell>
          <cell r="W25" t="str">
            <v>XKAYIT CİHAZI(NVR)</v>
          </cell>
          <cell r="X25" t="str">
            <v>E810-7002</v>
          </cell>
          <cell r="AE25" t="str">
            <v/>
          </cell>
          <cell r="AH25" t="str">
            <v/>
          </cell>
          <cell r="AN25">
            <v>1</v>
          </cell>
          <cell r="AP25" t="str">
            <v>(I) İlk defa karşılaşılan arıza</v>
          </cell>
          <cell r="AQ25">
            <v>45531</v>
          </cell>
          <cell r="AR25">
            <v>45531.75</v>
          </cell>
          <cell r="AU25" t="str">
            <v>PA/PIS/CCTV</v>
          </cell>
        </row>
        <row r="26">
          <cell r="A26" t="str">
            <v>26c3e555</v>
          </cell>
          <cell r="B26" t="str">
            <v>BOZ-KAY5+6-FF-025</v>
          </cell>
          <cell r="E26">
            <v>45290</v>
          </cell>
          <cell r="F26">
            <v>45290.981249999997</v>
          </cell>
          <cell r="G26" t="str">
            <v>3877(6)</v>
          </cell>
          <cell r="H26" t="str">
            <v>MA</v>
          </cell>
          <cell r="I26" t="str">
            <v>Hat/Line</v>
          </cell>
          <cell r="J26" t="str">
            <v>C-Uyarı, sürüş devamlılığı</v>
          </cell>
          <cell r="K26" t="str">
            <v>Müşteri</v>
          </cell>
          <cell r="L26" t="str">
            <v>Araç nvr kesik kesik kayıt ediyor</v>
          </cell>
          <cell r="M26" t="str">
            <v>gerekli modifikasyon uygulandı.sorun giderildi</v>
          </cell>
          <cell r="N26">
            <v>22500</v>
          </cell>
          <cell r="P26" t="str">
            <v>C(Sisteme etki etmeyen arıza)</v>
          </cell>
          <cell r="Q26" t="str">
            <v>N.A(Yaralanma yok)</v>
          </cell>
          <cell r="R26" t="str">
            <v>Tedarikçi</v>
          </cell>
          <cell r="S26" t="str">
            <v>NSC</v>
          </cell>
          <cell r="T26">
            <v>45534</v>
          </cell>
          <cell r="U26">
            <v>45534.683761574073</v>
          </cell>
          <cell r="V26" t="str">
            <v>NSC TEKNOLOJİ ve İNŞAAT LTD.ŞTİ.</v>
          </cell>
          <cell r="W26" t="str">
            <v>XKAYIT CİHAZI(NVR)</v>
          </cell>
          <cell r="X26" t="str">
            <v>E810-7002</v>
          </cell>
          <cell r="AB26" t="str">
            <v>Arıza çözülecek</v>
          </cell>
          <cell r="AE26" t="str">
            <v/>
          </cell>
          <cell r="AH26" t="str">
            <v/>
          </cell>
          <cell r="AN26">
            <v>1</v>
          </cell>
          <cell r="AP26" t="str">
            <v>(II) Birden fazla karşılaşılan arıza</v>
          </cell>
          <cell r="AQ26">
            <v>45534</v>
          </cell>
          <cell r="AR26">
            <v>45534.75</v>
          </cell>
          <cell r="AU26" t="str">
            <v>PA/PIS/CCTV</v>
          </cell>
        </row>
        <row r="27">
          <cell r="A27" t="str">
            <v>8bcc477f</v>
          </cell>
          <cell r="B27" t="str">
            <v>BOZ-KAY5+6-FF-026</v>
          </cell>
          <cell r="E27">
            <v>45290</v>
          </cell>
          <cell r="F27">
            <v>45290.988194444442</v>
          </cell>
          <cell r="G27" t="str">
            <v>3873(2)</v>
          </cell>
          <cell r="H27" t="str">
            <v>MA</v>
          </cell>
          <cell r="I27" t="str">
            <v>Hat/Line</v>
          </cell>
          <cell r="J27" t="str">
            <v>C-Uyarı, sürüş devamlılığı</v>
          </cell>
          <cell r="K27" t="str">
            <v>Müşteri</v>
          </cell>
          <cell r="L27" t="str">
            <v>Araç nvrkesik  kesik kayıt ediyor</v>
          </cell>
          <cell r="M27" t="str">
            <v>gerekli modifikasyon yapıldı</v>
          </cell>
          <cell r="N27">
            <v>45000</v>
          </cell>
          <cell r="P27" t="str">
            <v>C(Sisteme etki etmeyen arıza)</v>
          </cell>
          <cell r="Q27" t="str">
            <v>N.A(Yaralanma yok)</v>
          </cell>
          <cell r="R27" t="str">
            <v>Tedarikçi</v>
          </cell>
          <cell r="S27" t="str">
            <v>NSC</v>
          </cell>
          <cell r="T27">
            <v>45534</v>
          </cell>
          <cell r="U27">
            <v>45534.67496527778</v>
          </cell>
          <cell r="V27" t="str">
            <v>NSC TEKNOLOJİ ve İNŞAAT LTD.ŞTİ.</v>
          </cell>
          <cell r="W27" t="str">
            <v>XKAYIT CİHAZI(NVR)</v>
          </cell>
          <cell r="X27" t="str">
            <v>E810-7002</v>
          </cell>
          <cell r="AB27" t="str">
            <v>Arıza çözülecek</v>
          </cell>
          <cell r="AE27" t="str">
            <v/>
          </cell>
          <cell r="AH27" t="str">
            <v/>
          </cell>
          <cell r="AN27">
            <v>1</v>
          </cell>
          <cell r="AP27" t="str">
            <v>(II) Birden fazla karşılaşılan arıza</v>
          </cell>
          <cell r="AQ27">
            <v>45534</v>
          </cell>
          <cell r="AR27">
            <v>45534.75</v>
          </cell>
          <cell r="AU27" t="str">
            <v>PA/PIS/CCTV</v>
          </cell>
        </row>
        <row r="28">
          <cell r="A28" t="str">
            <v>095c35fb</v>
          </cell>
          <cell r="B28" t="str">
            <v>BOZ-KAY5+6-FF-027</v>
          </cell>
          <cell r="E28">
            <v>45295</v>
          </cell>
          <cell r="F28">
            <v>45295.365972222222</v>
          </cell>
          <cell r="G28" t="str">
            <v>3878(7)</v>
          </cell>
          <cell r="H28" t="str">
            <v>MA</v>
          </cell>
          <cell r="I28" t="str">
            <v>Hat/Line</v>
          </cell>
          <cell r="J28" t="str">
            <v>C-Uyarı, sürüş devamlılığı</v>
          </cell>
          <cell r="K28" t="str">
            <v>Müşteri</v>
          </cell>
          <cell r="L28" t="str">
            <v>3878 kullanılan baştan kamera görüntüleri gelmiyor</v>
          </cell>
          <cell r="M28" t="str">
            <v>Araç resetlendi kameralar geldi cb sol kamerada açı ayarı yapıldı</v>
          </cell>
          <cell r="N28">
            <v>15500</v>
          </cell>
          <cell r="P28" t="str">
            <v>C(Sisteme etki etmeyen arıza)</v>
          </cell>
          <cell r="Q28" t="str">
            <v>N.A(Yaralanma yok)</v>
          </cell>
          <cell r="R28" t="str">
            <v>Tedarikçi</v>
          </cell>
          <cell r="S28" t="str">
            <v>NSC</v>
          </cell>
          <cell r="T28">
            <v>45534</v>
          </cell>
          <cell r="U28">
            <v>45534.696319444447</v>
          </cell>
          <cell r="V28" t="str">
            <v>NSC TEKNOLOJİ ve İNŞAAT LTD.ŞTİ.</v>
          </cell>
          <cell r="W28" t="str">
            <v>CCTV EKRANI</v>
          </cell>
          <cell r="X28" t="str">
            <v>E810-7145</v>
          </cell>
          <cell r="AB28" t="str">
            <v>Arıza çözülecek</v>
          </cell>
          <cell r="AE28" t="str">
            <v/>
          </cell>
          <cell r="AH28" t="str">
            <v/>
          </cell>
          <cell r="AN28">
            <v>1</v>
          </cell>
          <cell r="AP28" t="str">
            <v>(II) Birden fazla karşılaşılan arıza</v>
          </cell>
          <cell r="AQ28">
            <v>45534</v>
          </cell>
          <cell r="AR28">
            <v>45534.75</v>
          </cell>
          <cell r="AU28" t="str">
            <v>PA/PIS/CCTV</v>
          </cell>
        </row>
        <row r="29">
          <cell r="A29" t="str">
            <v>5b28110f</v>
          </cell>
          <cell r="B29" t="str">
            <v>BOZ-KAY5+6-FF-028</v>
          </cell>
          <cell r="E29">
            <v>45302</v>
          </cell>
          <cell r="F29">
            <v>45302.294444444444</v>
          </cell>
          <cell r="G29" t="str">
            <v>3872(1)</v>
          </cell>
          <cell r="H29" t="str">
            <v>MA</v>
          </cell>
          <cell r="I29" t="str">
            <v>Hat/Line</v>
          </cell>
          <cell r="J29" t="str">
            <v>C-Uyarı, sürüş devamlılığı</v>
          </cell>
          <cell r="K29" t="str">
            <v>Müşteri</v>
          </cell>
          <cell r="L29" t="str">
            <v>KABİN FANI ÇOK KISA ÇALIŞIYOR KABİN İÇERİSİ SOĞUK</v>
          </cell>
          <cell r="M29" t="str">
            <v>HMI DONDUĞU İÇİN KLİMALAR DEVREYE GİRMEMİŞ RESETLENDİ DÜZELDİ</v>
          </cell>
          <cell r="N29">
            <v>38250</v>
          </cell>
          <cell r="P29" t="str">
            <v>B(Servisten çekmeye etki eden arızalar)</v>
          </cell>
          <cell r="Q29" t="str">
            <v>N.A(Yaralanma yok)</v>
          </cell>
          <cell r="R29" t="str">
            <v>Tedarikçi</v>
          </cell>
          <cell r="S29" t="str">
            <v>Medcom</v>
          </cell>
          <cell r="T29">
            <v>45302</v>
          </cell>
          <cell r="U29">
            <v>45302.354166666664</v>
          </cell>
          <cell r="V29" t="str">
            <v>MEDCOM SP. Z O.O.</v>
          </cell>
          <cell r="W29" t="str">
            <v>INC 90 SMALL TOUCH ONLY</v>
          </cell>
          <cell r="X29" t="str">
            <v>E300-7058</v>
          </cell>
          <cell r="AE29" t="str">
            <v/>
          </cell>
          <cell r="AH29" t="str">
            <v/>
          </cell>
          <cell r="AN29">
            <v>1</v>
          </cell>
          <cell r="AP29" t="str">
            <v>(I) İlk defa karşılaşılan arıza</v>
          </cell>
          <cell r="AQ29">
            <v>45302</v>
          </cell>
          <cell r="AR29">
            <v>45302.458333333336</v>
          </cell>
          <cell r="AU29" t="str">
            <v>Kabin Masası</v>
          </cell>
        </row>
        <row r="30">
          <cell r="A30" t="str">
            <v>2fe410f3</v>
          </cell>
          <cell r="B30" t="str">
            <v>BOZ-KAY5+6-FF-029</v>
          </cell>
          <cell r="E30">
            <v>45303</v>
          </cell>
          <cell r="F30">
            <v>45303.006944444445</v>
          </cell>
          <cell r="G30" t="str">
            <v>3877(6)</v>
          </cell>
          <cell r="H30" t="str">
            <v>MB</v>
          </cell>
          <cell r="I30" t="str">
            <v>Hat/Line</v>
          </cell>
          <cell r="J30" t="str">
            <v>A-Sürüşü engeller</v>
          </cell>
          <cell r="K30" t="str">
            <v>Müşteri</v>
          </cell>
          <cell r="L30" t="str">
            <v>AYNA KAMERALAR ARA ARA SİYAH OLUYOR RESETLEYİNCE DÜZELMİYOR</v>
          </cell>
          <cell r="M30" t="str">
            <v>ARAÇ KONTROLÜ YAPILDI SORUN GÖRÜLMEDİ</v>
          </cell>
          <cell r="N30">
            <v>25000</v>
          </cell>
          <cell r="P30" t="str">
            <v>B(Servisten çekmeye etki eden arızalar)</v>
          </cell>
          <cell r="Q30" t="str">
            <v>N.A(Yaralanma yok)</v>
          </cell>
          <cell r="R30" t="str">
            <v>Tedarikçi</v>
          </cell>
          <cell r="S30" t="str">
            <v>NSC</v>
          </cell>
          <cell r="T30">
            <v>45304</v>
          </cell>
          <cell r="U30">
            <v>45304.333333333336</v>
          </cell>
          <cell r="V30" t="str">
            <v>NSC TEKNOLOJİ ve İNŞAAT LTD.ŞTİ.</v>
          </cell>
          <cell r="W30" t="str">
            <v>CCTV EKRANI</v>
          </cell>
          <cell r="X30" t="str">
            <v>E810-7145</v>
          </cell>
          <cell r="AE30" t="str">
            <v/>
          </cell>
          <cell r="AH30" t="str">
            <v/>
          </cell>
          <cell r="AN30">
            <v>1</v>
          </cell>
          <cell r="AP30" t="str">
            <v>(II) Birden fazla karşılaşılan arıza</v>
          </cell>
          <cell r="AQ30">
            <v>45304</v>
          </cell>
          <cell r="AR30">
            <v>45304.458333333336</v>
          </cell>
          <cell r="AU30" t="str">
            <v>PA/PIS/CCTV</v>
          </cell>
        </row>
        <row r="31">
          <cell r="A31" t="str">
            <v>4d3a79b9</v>
          </cell>
          <cell r="B31" t="str">
            <v>BOZ-KAY5+6-FF-030</v>
          </cell>
          <cell r="E31">
            <v>45303</v>
          </cell>
          <cell r="F31">
            <v>45303.559027777781</v>
          </cell>
          <cell r="G31" t="str">
            <v>3874(3)</v>
          </cell>
          <cell r="H31" t="str">
            <v>MA</v>
          </cell>
          <cell r="I31" t="str">
            <v>Hat/Line</v>
          </cell>
          <cell r="J31" t="str">
            <v>A-Sürüşü engeller</v>
          </cell>
          <cell r="K31" t="str">
            <v>Müşteri</v>
          </cell>
          <cell r="L31" t="str">
            <v>CA KABİN SİLECEK ÇALIŞMIYOR</v>
          </cell>
          <cell r="M31" t="str">
            <v>SİLECEK SOMUNU GEVŞEMİŞ SIKILDI</v>
          </cell>
          <cell r="N31">
            <v>22222</v>
          </cell>
          <cell r="P31" t="str">
            <v>B(Servisten çekmeye etki eden arızalar)</v>
          </cell>
          <cell r="Q31" t="str">
            <v>N.A(Yaralanma yok)</v>
          </cell>
          <cell r="R31" t="str">
            <v>Tedarikçi</v>
          </cell>
          <cell r="S31" t="str">
            <v>Bozankaya</v>
          </cell>
          <cell r="T31">
            <v>45303</v>
          </cell>
          <cell r="U31">
            <v>45303.583333333336</v>
          </cell>
          <cell r="V31" t="str">
            <v>DENİZLER OTOMOTİV SAN. VE TİC.LTD.Ş</v>
          </cell>
          <cell r="W31" t="str">
            <v>SİLECEK MEKANİZMASI Denizler / M.11.2506</v>
          </cell>
          <cell r="X31" t="str">
            <v>M100-7066</v>
          </cell>
          <cell r="Y31">
            <v>1</v>
          </cell>
          <cell r="AB31" t="str">
            <v>Tamir edilecek</v>
          </cell>
          <cell r="AE31" t="str">
            <v/>
          </cell>
          <cell r="AH31" t="str">
            <v/>
          </cell>
          <cell r="AN31">
            <v>1</v>
          </cell>
          <cell r="AP31" t="str">
            <v>(II) Birden fazla karşılaşılan arıza</v>
          </cell>
          <cell r="AQ31">
            <v>45303</v>
          </cell>
          <cell r="AR31">
            <v>45303.666666666664</v>
          </cell>
          <cell r="AU31" t="str">
            <v>Giydirme Dış</v>
          </cell>
        </row>
        <row r="32">
          <cell r="A32" t="str">
            <v>5c9554f2</v>
          </cell>
          <cell r="B32" t="str">
            <v>BOZ-KAY5+6-FF-031</v>
          </cell>
          <cell r="E32">
            <v>45303</v>
          </cell>
          <cell r="F32">
            <v>45303.899305555555</v>
          </cell>
          <cell r="G32" t="str">
            <v>3872(1)</v>
          </cell>
          <cell r="H32" t="str">
            <v>MB</v>
          </cell>
          <cell r="I32" t="str">
            <v>Hat/Line</v>
          </cell>
          <cell r="J32" t="str">
            <v>A-Sürüşü engeller</v>
          </cell>
          <cell r="K32" t="str">
            <v>Müşteri</v>
          </cell>
          <cell r="L32" t="str">
            <v>3872 nolu araç modül mb 3 ve 4 nolu invertörler devreye girmiyor.Araç restlendikten sonra haraket ediyor birkaç peron sonra tekrar aynı arızayı veriyor.Toplamda 2 sefer iptali ve 2 seferde 11 dakika tehir olmuştur.</v>
          </cell>
          <cell r="M32" t="str">
            <v>IGBT Drive kartı değişmiştir</v>
          </cell>
          <cell r="N32">
            <v>38800</v>
          </cell>
          <cell r="P32" t="str">
            <v>B(Servisten çekmeye etki eden arızalar)</v>
          </cell>
          <cell r="Q32" t="str">
            <v>N.A(Yaralanma yok)</v>
          </cell>
          <cell r="R32" t="str">
            <v>Tedarikçi</v>
          </cell>
          <cell r="S32" t="str">
            <v>Medcom</v>
          </cell>
          <cell r="T32">
            <v>45531</v>
          </cell>
          <cell r="U32">
            <v>45531.63863425926</v>
          </cell>
          <cell r="V32" t="str">
            <v>MEDCOM SP. Z O.O.</v>
          </cell>
          <cell r="W32" t="str">
            <v>COMBO KUTUSU (+LHD) MEDCOM</v>
          </cell>
          <cell r="X32" t="str">
            <v>P620-7023</v>
          </cell>
          <cell r="AE32" t="str">
            <v/>
          </cell>
          <cell r="AH32" t="str">
            <v/>
          </cell>
          <cell r="AN32">
            <v>1</v>
          </cell>
          <cell r="AP32" t="str">
            <v>(I) İlk defa karşılaşılan arıza</v>
          </cell>
          <cell r="AQ32">
            <v>45531</v>
          </cell>
          <cell r="AR32">
            <v>45531.75</v>
          </cell>
          <cell r="AU32" t="str">
            <v>ComboBox</v>
          </cell>
        </row>
        <row r="33">
          <cell r="A33" t="str">
            <v>9a8149b4</v>
          </cell>
          <cell r="B33" t="str">
            <v>BOZ-KAY5+6-FF-032</v>
          </cell>
          <cell r="E33">
            <v>45305</v>
          </cell>
          <cell r="F33">
            <v>45305.855555555558</v>
          </cell>
          <cell r="G33" t="str">
            <v>3878(7)</v>
          </cell>
          <cell r="H33" t="str">
            <v>RA</v>
          </cell>
          <cell r="I33" t="str">
            <v>Hat/Line</v>
          </cell>
          <cell r="J33" t="str">
            <v>C-Uyarı, sürüş devamlılığı</v>
          </cell>
          <cell r="K33" t="str">
            <v>Müşteri</v>
          </cell>
          <cell r="L33" t="str">
            <v>4 NOLU KAPI ARIZA VERDİ KAPI İZOLE EDİLDİ</v>
          </cell>
          <cell r="M33" t="str">
            <v>KAPI KONTROLÜ YAPILDI S2 SWİTCH VİDALARI GEVŞEMİŞ SIKILDI ARIZA GİDERİLDİ</v>
          </cell>
          <cell r="N33">
            <v>1111</v>
          </cell>
          <cell r="P33" t="str">
            <v>B(Servisten çekmeye etki eden arızalar)</v>
          </cell>
          <cell r="Q33" t="str">
            <v>N.A(Yaralanma yok)</v>
          </cell>
          <cell r="R33" t="str">
            <v>Bozankaya</v>
          </cell>
          <cell r="S33" t="str">
            <v>Üretim</v>
          </cell>
          <cell r="T33">
            <v>45305</v>
          </cell>
          <cell r="U33">
            <v>45305.875</v>
          </cell>
          <cell r="V33" t="str">
            <v>KNORR-BREMSE GMBH DİVİSİON IFE AUTO</v>
          </cell>
          <cell r="W33" t="str">
            <v>PRM’LI ÇİFTLİ KAPI</v>
          </cell>
          <cell r="X33" t="str">
            <v>M110-7082</v>
          </cell>
          <cell r="Y33">
            <v>1</v>
          </cell>
          <cell r="AB33" t="str">
            <v>Tamir edilecek</v>
          </cell>
          <cell r="AE33" t="str">
            <v/>
          </cell>
          <cell r="AH33" t="str">
            <v/>
          </cell>
          <cell r="AN33">
            <v>1</v>
          </cell>
          <cell r="AP33" t="str">
            <v>(I) İlk defa karşılaşılan arıza</v>
          </cell>
          <cell r="AQ33">
            <v>45306</v>
          </cell>
          <cell r="AR33">
            <v>45306.416666666664</v>
          </cell>
          <cell r="AU33" t="str">
            <v>Kapı</v>
          </cell>
        </row>
        <row r="34">
          <cell r="A34" t="str">
            <v>639ddbde</v>
          </cell>
          <cell r="B34" t="str">
            <v>BOZ-KAY5+6-FF-033</v>
          </cell>
          <cell r="E34">
            <v>45306</v>
          </cell>
          <cell r="F34">
            <v>45306.454861111109</v>
          </cell>
          <cell r="G34" t="str">
            <v>3876(5)</v>
          </cell>
          <cell r="H34" t="str">
            <v>MA</v>
          </cell>
          <cell r="I34" t="str">
            <v>Hat/Line</v>
          </cell>
          <cell r="J34" t="str">
            <v>A-Sürüşü engeller</v>
          </cell>
          <cell r="K34" t="str">
            <v>Müşteri</v>
          </cell>
          <cell r="L34" t="str">
            <v>1 NUMARALI KAPI KAPANIRKEN RAHATSIZ EDİCİ ŞEKİLDE UĞULTU YAPIYOR</v>
          </cell>
          <cell r="M34" t="str">
            <v>KAPI BUZZER KONNEKTÖRÜ SÖKÜLÜP</v>
          </cell>
          <cell r="N34">
            <v>2222</v>
          </cell>
          <cell r="P34" t="str">
            <v>B(Servisten çekmeye etki eden arızalar)</v>
          </cell>
          <cell r="Q34" t="str">
            <v>N.A(Yaralanma yok)</v>
          </cell>
          <cell r="R34" t="str">
            <v>Tedarikçi</v>
          </cell>
          <cell r="S34" t="str">
            <v>TSL</v>
          </cell>
          <cell r="T34">
            <v>45306</v>
          </cell>
          <cell r="U34">
            <v>45306.458333333336</v>
          </cell>
          <cell r="V34" t="str">
            <v>TURCK OTOMASYON TİC. LTD.ŞTİ.</v>
          </cell>
          <cell r="W34" t="str">
            <v>SESLI UYARI CIHAZI</v>
          </cell>
          <cell r="X34" t="str">
            <v>M110-7057</v>
          </cell>
          <cell r="Y34">
            <v>1</v>
          </cell>
          <cell r="AB34" t="str">
            <v>Tamir edilecek</v>
          </cell>
          <cell r="AE34" t="str">
            <v/>
          </cell>
          <cell r="AH34" t="str">
            <v/>
          </cell>
          <cell r="AN34">
            <v>1</v>
          </cell>
          <cell r="AP34" t="str">
            <v>(II) Birden fazla karşılaşılan arıza</v>
          </cell>
          <cell r="AQ34">
            <v>45306</v>
          </cell>
          <cell r="AR34">
            <v>45306.583333333336</v>
          </cell>
          <cell r="AU34" t="str">
            <v>Kapı</v>
          </cell>
        </row>
        <row r="35">
          <cell r="A35" t="str">
            <v>f8211193</v>
          </cell>
          <cell r="B35" t="str">
            <v>BOZ-KAY5+6-FF-034</v>
          </cell>
          <cell r="E35">
            <v>45306</v>
          </cell>
          <cell r="F35">
            <v>45306.456944444442</v>
          </cell>
          <cell r="G35" t="str">
            <v>3874(3)</v>
          </cell>
          <cell r="H35" t="str">
            <v>MA</v>
          </cell>
          <cell r="I35" t="str">
            <v>Hat/Line</v>
          </cell>
          <cell r="J35" t="str">
            <v>C-Uyarı, sürüş devamlılığı</v>
          </cell>
          <cell r="K35" t="str">
            <v>Müşteri</v>
          </cell>
          <cell r="L35" t="str">
            <v>3874 nolu araç kabin ca kliması çalışmıyor kabin soğuk</v>
          </cell>
          <cell r="M35" t="str">
            <v>Kontrol edildi sorun görülmedi</v>
          </cell>
          <cell r="N35">
            <v>46300</v>
          </cell>
          <cell r="P35" t="str">
            <v>C(Sisteme etki etmeyen arıza)</v>
          </cell>
          <cell r="Q35" t="str">
            <v>N.A(Yaralanma yok)</v>
          </cell>
          <cell r="R35" t="str">
            <v>Tedarikçi</v>
          </cell>
          <cell r="S35" t="str">
            <v>Eltesan</v>
          </cell>
          <cell r="T35">
            <v>45535</v>
          </cell>
          <cell r="U35">
            <v>45535.413344907407</v>
          </cell>
          <cell r="V35" t="str">
            <v>ELTESAN ELEKTRO MEKANİK SOĞUTMA SAN</v>
          </cell>
          <cell r="W35" t="str">
            <v>SURUCU KLIMASI-Eltesan/Hispacold 4,5 KW</v>
          </cell>
          <cell r="X35" t="str">
            <v>H500-7243</v>
          </cell>
          <cell r="AE35" t="str">
            <v/>
          </cell>
          <cell r="AH35" t="str">
            <v/>
          </cell>
          <cell r="AN35">
            <v>1</v>
          </cell>
          <cell r="AP35" t="str">
            <v>(II) Birden fazla karşılaşılan arıza</v>
          </cell>
          <cell r="AQ35">
            <v>45535</v>
          </cell>
          <cell r="AR35">
            <v>45535.5</v>
          </cell>
          <cell r="AU35" t="str">
            <v>HVAC Sürücü</v>
          </cell>
        </row>
        <row r="36">
          <cell r="A36" t="str">
            <v>04d632b4</v>
          </cell>
          <cell r="B36" t="str">
            <v>BOZ-KAY5+6-FF-035</v>
          </cell>
          <cell r="E36">
            <v>45306</v>
          </cell>
          <cell r="F36">
            <v>45306.693749999999</v>
          </cell>
          <cell r="G36" t="str">
            <v>3877(6)</v>
          </cell>
          <cell r="H36" t="str">
            <v>MA</v>
          </cell>
          <cell r="I36" t="str">
            <v>Hat/Line</v>
          </cell>
          <cell r="J36" t="str">
            <v>B-Hız veya güç azalması</v>
          </cell>
          <cell r="K36" t="str">
            <v>Müşteri</v>
          </cell>
          <cell r="L36" t="str">
            <v>Kuplaj motoru sağa sola oynuyor</v>
          </cell>
          <cell r="M36" t="str">
            <v>CA kuplaj asansörden düşmüş yeniden yerinde takıldı</v>
          </cell>
          <cell r="N36">
            <v>25500</v>
          </cell>
          <cell r="P36" t="str">
            <v>C(Sisteme etki etmeyen arıza)</v>
          </cell>
          <cell r="Q36" t="str">
            <v>N.A(Yaralanma yok)</v>
          </cell>
          <cell r="R36" t="str">
            <v>Tedarikçi</v>
          </cell>
          <cell r="S36" t="str">
            <v>Bozankaya</v>
          </cell>
          <cell r="T36">
            <v>45535</v>
          </cell>
          <cell r="U36">
            <v>45535.410196759258</v>
          </cell>
          <cell r="V36" t="str">
            <v>DELLNER COUPLERC AB</v>
          </cell>
          <cell r="W36" t="str">
            <v>OTOMATIK KUPLÖR DELLNER</v>
          </cell>
          <cell r="X36" t="str">
            <v>M350-7062</v>
          </cell>
          <cell r="AB36" t="str">
            <v>Arıza çözülecek</v>
          </cell>
          <cell r="AE36" t="str">
            <v/>
          </cell>
          <cell r="AH36" t="str">
            <v/>
          </cell>
          <cell r="AN36">
            <v>1</v>
          </cell>
          <cell r="AP36" t="str">
            <v>(I) İlk defa karşılaşılan arıza</v>
          </cell>
          <cell r="AQ36">
            <v>45535</v>
          </cell>
          <cell r="AR36">
            <v>45535.5</v>
          </cell>
          <cell r="AU36" t="str">
            <v>Autocoupler</v>
          </cell>
        </row>
        <row r="37">
          <cell r="A37" t="str">
            <v>9e6aa44f</v>
          </cell>
          <cell r="B37" t="str">
            <v>BOZ-KAY5+6-FF-036</v>
          </cell>
          <cell r="E37">
            <v>45306</v>
          </cell>
          <cell r="F37">
            <v>45306.838194444441</v>
          </cell>
          <cell r="G37" t="str">
            <v>3875(4)</v>
          </cell>
          <cell r="H37" t="str">
            <v>RA</v>
          </cell>
          <cell r="I37" t="str">
            <v>Hat/Line</v>
          </cell>
          <cell r="J37" t="str">
            <v>B-Hız veya güç azalması</v>
          </cell>
          <cell r="K37" t="str">
            <v>Müşteri</v>
          </cell>
          <cell r="L37" t="str">
            <v>5 NOLU KAPI KAPANMASINA RAĞMEN KAPI IŞIĞI GELMEDİ KAPI RESETLENİNCE DÜZELDİ 1 SEFERDE 3 DK TEHİR MEYDANA GELD</v>
          </cell>
          <cell r="M37" t="str">
            <v>KAYITLAR İNCELENDİ ARAÇTA KAPI ARIZASI YOK DİĞER MAKİNİST DİĞER KUPLAJLI ARACA BİNEREK KONTAĞI AKTİF EDİYOR</v>
          </cell>
          <cell r="N37">
            <v>38652</v>
          </cell>
          <cell r="P37" t="str">
            <v>B(Servisten çekmeye etki eden arızalar)</v>
          </cell>
          <cell r="Q37" t="str">
            <v>N.A(Yaralanma yok)</v>
          </cell>
          <cell r="R37" t="str">
            <v>Bozankaya</v>
          </cell>
          <cell r="S37" t="str">
            <v>Üretim</v>
          </cell>
          <cell r="T37">
            <v>45307</v>
          </cell>
          <cell r="U37">
            <v>45307.333333333336</v>
          </cell>
          <cell r="V37" t="str">
            <v>GREBO OTOMOTİV SANAYİ A.Ş</v>
          </cell>
          <cell r="W37" t="str">
            <v>PANO KOMPLESI</v>
          </cell>
          <cell r="X37" t="str">
            <v>FE750-7303</v>
          </cell>
          <cell r="AE37" t="str">
            <v/>
          </cell>
          <cell r="AH37" t="str">
            <v/>
          </cell>
          <cell r="AN37">
            <v>1</v>
          </cell>
          <cell r="AP37" t="str">
            <v>(II) Birden fazla karşılaşılan arıza</v>
          </cell>
          <cell r="AQ37">
            <v>45307</v>
          </cell>
          <cell r="AR37">
            <v>45307.416666666664</v>
          </cell>
          <cell r="AU37" t="str">
            <v>E-Kabinet</v>
          </cell>
        </row>
        <row r="38">
          <cell r="A38" t="str">
            <v>4bf7825a</v>
          </cell>
          <cell r="B38" t="str">
            <v>BOZ-KAY5+6-FF-037</v>
          </cell>
          <cell r="E38">
            <v>45307</v>
          </cell>
          <cell r="F38">
            <v>45307.39166666667</v>
          </cell>
          <cell r="G38" t="str">
            <v>3875(4)</v>
          </cell>
          <cell r="H38" t="str">
            <v>MA</v>
          </cell>
          <cell r="I38" t="str">
            <v>Hat/Line</v>
          </cell>
          <cell r="J38" t="str">
            <v>A-Sürüşü engeller</v>
          </cell>
          <cell r="K38" t="str">
            <v>Müşteri</v>
          </cell>
          <cell r="L38" t="str">
            <v>3875-3877 numaralı araçlar kuplajlıyken 3875'ten kontak aktifken 3877'den kontak açıldığında 3875 pasif olup 3877 aktif oluyor.</v>
          </cell>
          <cell r="M38" t="str">
            <v>Araç kontrolü yapıldı. SB1187.02 kablosu çekildi. Arıza giderildi.</v>
          </cell>
          <cell r="N38">
            <v>28650</v>
          </cell>
          <cell r="P38" t="str">
            <v>B(Servisten çekmeye etki eden arızalar)</v>
          </cell>
          <cell r="Q38" t="str">
            <v>N.A(Yaralanma yok)</v>
          </cell>
          <cell r="R38" t="str">
            <v>Bozankaya</v>
          </cell>
          <cell r="S38" t="str">
            <v>Üretim</v>
          </cell>
          <cell r="T38">
            <v>45537</v>
          </cell>
          <cell r="U38">
            <v>45537.409918981481</v>
          </cell>
          <cell r="V38" t="str">
            <v>GREBO OTOMOTİV SANAYİ A.Ş</v>
          </cell>
          <cell r="W38" t="str">
            <v>PANO KOMPLESI</v>
          </cell>
          <cell r="X38" t="str">
            <v>FE750-7303</v>
          </cell>
          <cell r="AB38" t="str">
            <v>Arıza çözülecek</v>
          </cell>
          <cell r="AE38" t="str">
            <v/>
          </cell>
          <cell r="AH38" t="str">
            <v/>
          </cell>
          <cell r="AN38">
            <v>1</v>
          </cell>
          <cell r="AP38" t="str">
            <v>(II) Birden fazla karşılaşılan arıza</v>
          </cell>
          <cell r="AQ38">
            <v>45537</v>
          </cell>
          <cell r="AR38">
            <v>45537.541666666664</v>
          </cell>
          <cell r="AU38" t="str">
            <v>E-Kabinet</v>
          </cell>
        </row>
        <row r="39">
          <cell r="A39" t="str">
            <v>c55321a5</v>
          </cell>
          <cell r="B39" t="str">
            <v>BOZ-KAY5+6-FF-038</v>
          </cell>
          <cell r="E39">
            <v>45307</v>
          </cell>
          <cell r="F39">
            <v>45307.674305555556</v>
          </cell>
          <cell r="G39" t="str">
            <v>3878(7)</v>
          </cell>
          <cell r="H39" t="str">
            <v>RA</v>
          </cell>
          <cell r="I39" t="str">
            <v>Hat/Line</v>
          </cell>
          <cell r="J39" t="str">
            <v>C-Uyarı, sürüş devamlılığı</v>
          </cell>
          <cell r="K39" t="str">
            <v>Müşteri</v>
          </cell>
          <cell r="L39" t="str">
            <v>6 numaralı kapı buzzer uyarısı verdiği için izole edildi</v>
          </cell>
          <cell r="M39" t="str">
            <v>Kapı buzzer çalışmıyordu.Hoparlör kablosu çıkmış yerinde  takıldı</v>
          </cell>
          <cell r="N39">
            <v>16200</v>
          </cell>
          <cell r="P39" t="str">
            <v>C(Sisteme etki etmeyen arıza)</v>
          </cell>
          <cell r="Q39" t="str">
            <v>N.A(Yaralanma yok)</v>
          </cell>
          <cell r="R39" t="str">
            <v>Tedarikçi</v>
          </cell>
          <cell r="S39" t="str">
            <v>TSL</v>
          </cell>
          <cell r="T39">
            <v>45535</v>
          </cell>
          <cell r="U39">
            <v>45535.402592592596</v>
          </cell>
          <cell r="V39" t="str">
            <v>TURCK OTOMASYON TİC. LTD.ŞTİ.</v>
          </cell>
          <cell r="W39" t="str">
            <v>SESLI UYARI CIHAZI</v>
          </cell>
          <cell r="X39" t="str">
            <v>M110-7057</v>
          </cell>
          <cell r="AB39" t="str">
            <v>Arıza çözülecek</v>
          </cell>
          <cell r="AE39" t="str">
            <v/>
          </cell>
          <cell r="AH39" t="str">
            <v/>
          </cell>
          <cell r="AN39">
            <v>1</v>
          </cell>
          <cell r="AP39" t="str">
            <v>(I) İlk defa karşılaşılan arıza</v>
          </cell>
          <cell r="AQ39">
            <v>45535</v>
          </cell>
          <cell r="AR39">
            <v>45535.5</v>
          </cell>
          <cell r="AU39" t="str">
            <v>Kapı</v>
          </cell>
        </row>
        <row r="40">
          <cell r="A40" t="str">
            <v>69a4def3</v>
          </cell>
          <cell r="B40" t="str">
            <v>BOZ-KAY5+6-FF-039</v>
          </cell>
          <cell r="E40">
            <v>45308</v>
          </cell>
          <cell r="F40">
            <v>45308.333333333336</v>
          </cell>
          <cell r="G40" t="str">
            <v>3872(1)</v>
          </cell>
          <cell r="H40" t="str">
            <v>MA</v>
          </cell>
          <cell r="I40" t="str">
            <v>Hat/Line</v>
          </cell>
          <cell r="J40" t="str">
            <v>A-Sürüşü engeller</v>
          </cell>
          <cell r="K40" t="str">
            <v>Müşteri</v>
          </cell>
          <cell r="L40" t="str">
            <v>invertör arızaya geçip kendini kapatıyor</v>
          </cell>
          <cell r="M40" t="str">
            <v>mecom ile bağlantı kuruldu.IGBT drive kart değişimleri yapıldı</v>
          </cell>
          <cell r="N40">
            <v>34800</v>
          </cell>
          <cell r="P40" t="str">
            <v>A(Hareket etmeyi engelleyen arıza)</v>
          </cell>
          <cell r="Q40" t="str">
            <v>N.A(Yaralanma yok)</v>
          </cell>
          <cell r="R40" t="str">
            <v>Tedarikçi</v>
          </cell>
          <cell r="S40" t="str">
            <v>Medcom</v>
          </cell>
          <cell r="T40">
            <v>45532</v>
          </cell>
          <cell r="U40">
            <v>45532.4921875</v>
          </cell>
          <cell r="V40" t="str">
            <v>MEDCOM SP. Z O.O.</v>
          </cell>
          <cell r="W40" t="str">
            <v>COMBO KUTUSU (+LHD) MEDCOM</v>
          </cell>
          <cell r="X40" t="str">
            <v>P620-7023</v>
          </cell>
          <cell r="AE40" t="str">
            <v/>
          </cell>
          <cell r="AH40" t="str">
            <v/>
          </cell>
          <cell r="AN40">
            <v>1</v>
          </cell>
          <cell r="AP40" t="str">
            <v>(I) İlk defa karşılaşılan arıza</v>
          </cell>
          <cell r="AQ40">
            <v>45532</v>
          </cell>
          <cell r="AR40">
            <v>45532.625</v>
          </cell>
          <cell r="AU40" t="str">
            <v>ComboBox</v>
          </cell>
        </row>
        <row r="41">
          <cell r="A41" t="str">
            <v>7cbdd980</v>
          </cell>
          <cell r="B41" t="str">
            <v>BOZ-KAY5+6-FF-040</v>
          </cell>
          <cell r="E41">
            <v>45308</v>
          </cell>
          <cell r="F41">
            <v>45308.333333333336</v>
          </cell>
          <cell r="G41" t="str">
            <v>3872(1)</v>
          </cell>
          <cell r="H41" t="str">
            <v>MA</v>
          </cell>
          <cell r="I41" t="str">
            <v>Hat/Line</v>
          </cell>
          <cell r="J41" t="str">
            <v>B-Hız veya güç azalması</v>
          </cell>
          <cell r="K41" t="str">
            <v>Müşteri</v>
          </cell>
          <cell r="L41" t="str">
            <v>İNVERTÖR ARIZAYA GEÇİP KENDİSİNİ KAPATIYOR</v>
          </cell>
          <cell r="M41" t="str">
            <v>2 ADET IGBT KART DEĞİŞİMİ YAPILDI</v>
          </cell>
          <cell r="N41">
            <v>38200</v>
          </cell>
          <cell r="P41" t="str">
            <v>B(Servisten çekmeye etki eden arızalar)</v>
          </cell>
          <cell r="Q41" t="str">
            <v>N.A(Yaralanma yok)</v>
          </cell>
          <cell r="R41" t="str">
            <v>Tedarikçi</v>
          </cell>
          <cell r="S41" t="str">
            <v>Medcom</v>
          </cell>
          <cell r="T41">
            <v>45308</v>
          </cell>
          <cell r="U41">
            <v>45308.375</v>
          </cell>
          <cell r="V41" t="str">
            <v>MEDCOM SP. Z O.O.</v>
          </cell>
          <cell r="W41" t="str">
            <v>COMBO KUTUSU (+LHD) MEDCOM</v>
          </cell>
          <cell r="X41" t="str">
            <v>P620-7023</v>
          </cell>
          <cell r="AE41" t="str">
            <v/>
          </cell>
          <cell r="AH41" t="str">
            <v/>
          </cell>
          <cell r="AN41">
            <v>1</v>
          </cell>
          <cell r="AP41" t="str">
            <v>(I) İlk defa karşılaşılan arıza</v>
          </cell>
          <cell r="AQ41">
            <v>45309</v>
          </cell>
          <cell r="AR41">
            <v>45309.416666666664</v>
          </cell>
          <cell r="AU41" t="str">
            <v>ComboBox</v>
          </cell>
        </row>
        <row r="42">
          <cell r="A42" t="str">
            <v>e746a059</v>
          </cell>
          <cell r="B42" t="str">
            <v>BOZ-KAY5+6-FF-041</v>
          </cell>
          <cell r="E42">
            <v>45309</v>
          </cell>
          <cell r="F42">
            <v>45309.303472222222</v>
          </cell>
          <cell r="G42" t="str">
            <v>3874(3)</v>
          </cell>
          <cell r="H42" t="str">
            <v>MA</v>
          </cell>
          <cell r="I42" t="str">
            <v>Hat/Line</v>
          </cell>
          <cell r="J42" t="str">
            <v>A-Sürüşü engeller</v>
          </cell>
          <cell r="K42" t="str">
            <v>Müşteri</v>
          </cell>
          <cell r="L42" t="str">
            <v>makinist kabinleri ısıtma yapmıyor</v>
          </cell>
          <cell r="M42" t="str">
            <v>kabindeki ısı sensörleri aşağı alınarak revizyon yapıldı .test edildi sorun görülmedi</v>
          </cell>
          <cell r="N42">
            <v>45000</v>
          </cell>
          <cell r="P42" t="str">
            <v>B(Servisten çekmeye etki eden arızalar)</v>
          </cell>
          <cell r="Q42" t="str">
            <v>N.A(Yaralanma yok)</v>
          </cell>
          <cell r="R42" t="str">
            <v>Tedarikçi</v>
          </cell>
          <cell r="S42" t="str">
            <v>Eltesan</v>
          </cell>
          <cell r="T42">
            <v>45532</v>
          </cell>
          <cell r="U42">
            <v>45532.486597222225</v>
          </cell>
          <cell r="V42" t="str">
            <v>ELTESAN ELEKTRO MEKANİK SOĞUTMA SAN</v>
          </cell>
          <cell r="W42" t="str">
            <v>SURUCU KLIMASI-Eltesan/Hispacold 4,5 KW</v>
          </cell>
          <cell r="X42" t="str">
            <v>H500-7243</v>
          </cell>
          <cell r="AB42" t="str">
            <v>Arıza çözülecek</v>
          </cell>
          <cell r="AE42" t="str">
            <v/>
          </cell>
          <cell r="AH42" t="str">
            <v/>
          </cell>
          <cell r="AN42">
            <v>1</v>
          </cell>
          <cell r="AP42" t="str">
            <v>(II) Birden fazla karşılaşılan arıza</v>
          </cell>
          <cell r="AQ42">
            <v>45532</v>
          </cell>
          <cell r="AR42">
            <v>45532.583333333336</v>
          </cell>
          <cell r="AU42" t="str">
            <v>HVAC Sürücü</v>
          </cell>
        </row>
        <row r="43">
          <cell r="A43" t="str">
            <v>03a9f63b</v>
          </cell>
          <cell r="B43" t="str">
            <v>BOZ-KAY5+6-FF-042</v>
          </cell>
          <cell r="E43">
            <v>45309</v>
          </cell>
          <cell r="F43">
            <v>45309.304166666669</v>
          </cell>
          <cell r="G43" t="str">
            <v>3876(5)</v>
          </cell>
          <cell r="H43" t="str">
            <v>MB</v>
          </cell>
          <cell r="I43" t="str">
            <v>Hat/Line</v>
          </cell>
          <cell r="J43" t="str">
            <v>A-Sürüşü engeller</v>
          </cell>
          <cell r="K43" t="str">
            <v>Müşteri</v>
          </cell>
          <cell r="L43" t="str">
            <v>makinist kabinleri ısıtma yapmıyor</v>
          </cell>
          <cell r="M43" t="str">
            <v>cb kabindeki ısı sensörleri aşağıya alınarak revizyon yapıldı</v>
          </cell>
          <cell r="N43">
            <v>38000</v>
          </cell>
          <cell r="P43" t="str">
            <v>B(Servisten çekmeye etki eden arızalar)</v>
          </cell>
          <cell r="Q43" t="str">
            <v>N.A(Yaralanma yok)</v>
          </cell>
          <cell r="R43" t="str">
            <v>Tedarikçi</v>
          </cell>
          <cell r="S43" t="str">
            <v>Eltesan</v>
          </cell>
          <cell r="T43">
            <v>45532</v>
          </cell>
          <cell r="U43">
            <v>45532.48978009259</v>
          </cell>
          <cell r="V43" t="str">
            <v>ELTESAN ELEKTRO MEKANİK SOĞUTMA SAN</v>
          </cell>
          <cell r="W43" t="str">
            <v>SURUCU KLIMASI-Eltesan/Hispacold 4,5 KW</v>
          </cell>
          <cell r="X43" t="str">
            <v>H500-7243</v>
          </cell>
          <cell r="AB43" t="str">
            <v>Arıza çözülecek</v>
          </cell>
          <cell r="AE43" t="str">
            <v/>
          </cell>
          <cell r="AH43" t="str">
            <v/>
          </cell>
          <cell r="AN43">
            <v>1</v>
          </cell>
          <cell r="AP43" t="str">
            <v>(III) Birden fazla aynı araçta karşılaşılan arıza</v>
          </cell>
          <cell r="AQ43">
            <v>45532</v>
          </cell>
          <cell r="AR43">
            <v>45532.625</v>
          </cell>
          <cell r="AU43" t="str">
            <v>HVAC Sürücü</v>
          </cell>
        </row>
        <row r="44">
          <cell r="A44" t="str">
            <v>899f4fe3</v>
          </cell>
          <cell r="B44" t="str">
            <v>BOZ-KAY5+6-FF-043</v>
          </cell>
          <cell r="E44">
            <v>45314</v>
          </cell>
          <cell r="F44">
            <v>45314.31527777778</v>
          </cell>
          <cell r="G44" t="str">
            <v>3874(3)</v>
          </cell>
          <cell r="H44" t="str">
            <v>MB</v>
          </cell>
          <cell r="I44" t="str">
            <v>Hat/Line</v>
          </cell>
          <cell r="J44" t="str">
            <v>C-Uyarı, sürüş devamlılığı</v>
          </cell>
          <cell r="K44" t="str">
            <v>Müşteri</v>
          </cell>
          <cell r="L44" t="str">
            <v>iç anons sistemi çalışmıyor</v>
          </cell>
          <cell r="M44" t="str">
            <v>ses seviyesi ayarlandı</v>
          </cell>
          <cell r="N44">
            <v>45000</v>
          </cell>
          <cell r="P44" t="str">
            <v>C(Sisteme etki etmeyen arıza)</v>
          </cell>
          <cell r="Q44" t="str">
            <v>N.A(Yaralanma yok)</v>
          </cell>
          <cell r="R44" t="str">
            <v>Tedarikçi</v>
          </cell>
          <cell r="S44" t="str">
            <v>LUTZE</v>
          </cell>
          <cell r="T44">
            <v>45532</v>
          </cell>
          <cell r="U44">
            <v>45532.462430555555</v>
          </cell>
          <cell r="V44" t="str">
            <v>Lütze Transportation GmbH</v>
          </cell>
          <cell r="W44" t="str">
            <v>ACSys-19'' RACK</v>
          </cell>
          <cell r="X44" t="str">
            <v>E820-7020</v>
          </cell>
          <cell r="AE44" t="str">
            <v/>
          </cell>
          <cell r="AH44" t="str">
            <v/>
          </cell>
          <cell r="AN44">
            <v>1</v>
          </cell>
          <cell r="AP44" t="str">
            <v>(I) İlk defa karşılaşılan arıza</v>
          </cell>
          <cell r="AQ44">
            <v>45532</v>
          </cell>
          <cell r="AR44">
            <v>45532.625</v>
          </cell>
          <cell r="AU44" t="str">
            <v>Giydirme İç</v>
          </cell>
        </row>
        <row r="45">
          <cell r="A45" t="str">
            <v>6b11f2c7</v>
          </cell>
          <cell r="B45" t="str">
            <v>BOZ-KAY5+6-FF-044</v>
          </cell>
          <cell r="E45">
            <v>45314</v>
          </cell>
          <cell r="F45">
            <v>45314.567361111112</v>
          </cell>
          <cell r="G45" t="str">
            <v>3875(4)</v>
          </cell>
          <cell r="H45" t="str">
            <v>MA</v>
          </cell>
          <cell r="I45" t="str">
            <v>Hat/Line</v>
          </cell>
          <cell r="J45" t="str">
            <v>C-Uyarı, sürüş devamlılığı</v>
          </cell>
          <cell r="K45" t="str">
            <v>Müşteri</v>
          </cell>
          <cell r="L45" t="str">
            <v>3875 nolu araç 1 nolu kapı kapanırken sesli kapanıyor</v>
          </cell>
          <cell r="M45" t="str">
            <v>kapı ayarı yapılıp gerekli testler yapıldı</v>
          </cell>
          <cell r="N45">
            <v>38500</v>
          </cell>
          <cell r="P45" t="str">
            <v>C(Sisteme etki etmeyen arıza)</v>
          </cell>
          <cell r="Q45" t="str">
            <v>N.A(Yaralanma yok)</v>
          </cell>
          <cell r="R45" t="str">
            <v>Tedarikçi</v>
          </cell>
          <cell r="S45" t="str">
            <v>IFE</v>
          </cell>
          <cell r="T45">
            <v>45532</v>
          </cell>
          <cell r="U45">
            <v>45532.460879629631</v>
          </cell>
          <cell r="V45" t="str">
            <v>KNORR-BREMSE GMBH DİVİSİON IFE AUTO</v>
          </cell>
          <cell r="W45" t="str">
            <v>TEKLİ KAPI</v>
          </cell>
          <cell r="X45" t="str">
            <v>M110-7085</v>
          </cell>
          <cell r="AB45" t="str">
            <v>Arıza çözülecek</v>
          </cell>
          <cell r="AE45" t="str">
            <v/>
          </cell>
          <cell r="AH45" t="str">
            <v/>
          </cell>
          <cell r="AN45">
            <v>1</v>
          </cell>
          <cell r="AP45" t="str">
            <v>(I) İlk defa karşılaşılan arıza</v>
          </cell>
          <cell r="AQ45">
            <v>45532</v>
          </cell>
          <cell r="AR45">
            <v>45532.625</v>
          </cell>
          <cell r="AU45" t="str">
            <v>Kapı</v>
          </cell>
        </row>
        <row r="46">
          <cell r="A46" t="str">
            <v>197f74fa</v>
          </cell>
          <cell r="B46" t="str">
            <v>BOZ-KAY5+6-FF-045</v>
          </cell>
          <cell r="E46">
            <v>45314</v>
          </cell>
          <cell r="F46">
            <v>45314.575694444444</v>
          </cell>
          <cell r="G46" t="str">
            <v>3877(6)</v>
          </cell>
          <cell r="H46" t="str">
            <v>MA</v>
          </cell>
          <cell r="I46" t="str">
            <v>Hat/Line</v>
          </cell>
          <cell r="J46" t="str">
            <v>C-Uyarı, sürüş devamlılığı</v>
          </cell>
          <cell r="K46" t="str">
            <v>Müşteri</v>
          </cell>
          <cell r="L46" t="str">
            <v>3877 ca 2 nolu kapı kapanırken gürültü çıkarıyor</v>
          </cell>
          <cell r="M46" t="str">
            <v>Kapı altındaki sonradan yapılmış revizyonlu braket düzgün kesilmediği  için kapıya temas ediyor idi.braket düzgün kesilerek montajı yapıldı</v>
          </cell>
          <cell r="N46">
            <v>25000</v>
          </cell>
          <cell r="P46" t="str">
            <v>C(Sisteme etki etmeyen arıza)</v>
          </cell>
          <cell r="Q46" t="str">
            <v>N.A(Yaralanma yok)</v>
          </cell>
          <cell r="R46" t="str">
            <v>Tedarikçi</v>
          </cell>
          <cell r="S46" t="str">
            <v>Bozankaya</v>
          </cell>
          <cell r="T46">
            <v>45532</v>
          </cell>
          <cell r="U46">
            <v>45532.481840277775</v>
          </cell>
          <cell r="V46" t="str">
            <v>KNORR-BREMSE GMBH DİVİSİON IFE AUTO</v>
          </cell>
          <cell r="W46" t="str">
            <v>TEKLİ KAPI</v>
          </cell>
          <cell r="X46" t="str">
            <v>M110-7085</v>
          </cell>
          <cell r="AB46" t="str">
            <v>Arıza çözülecek</v>
          </cell>
          <cell r="AE46" t="str">
            <v/>
          </cell>
          <cell r="AH46" t="str">
            <v/>
          </cell>
          <cell r="AN46">
            <v>1</v>
          </cell>
          <cell r="AP46" t="str">
            <v>(I) İlk defa karşılaşılan arıza</v>
          </cell>
          <cell r="AQ46">
            <v>45532</v>
          </cell>
          <cell r="AR46">
            <v>45532.625</v>
          </cell>
          <cell r="AU46" t="str">
            <v>Kapı</v>
          </cell>
        </row>
        <row r="47">
          <cell r="A47" t="str">
            <v>8848521e</v>
          </cell>
          <cell r="B47" t="str">
            <v>BOZ-KAY5+6-FF-046</v>
          </cell>
          <cell r="E47">
            <v>45315</v>
          </cell>
          <cell r="F47">
            <v>45315.027777777781</v>
          </cell>
          <cell r="G47" t="str">
            <v>3876(5)</v>
          </cell>
          <cell r="H47" t="str">
            <v>RA</v>
          </cell>
          <cell r="I47" t="str">
            <v>Hat/Line</v>
          </cell>
          <cell r="J47" t="str">
            <v>A-Sürüşü engeller</v>
          </cell>
          <cell r="K47" t="str">
            <v>Müşteri</v>
          </cell>
          <cell r="L47" t="str">
            <v>Yolcu bölümü klimalar çalışmıyor.Yolcudan şikayet geldi</v>
          </cell>
          <cell r="M47" t="str">
            <v>Araç resetlendi ısıtma yapıyor</v>
          </cell>
          <cell r="N47">
            <v>38500</v>
          </cell>
          <cell r="P47" t="str">
            <v>B(Servisten çekmeye etki eden arızalar)</v>
          </cell>
          <cell r="Q47" t="str">
            <v>N.A(Yaralanma yok)</v>
          </cell>
          <cell r="R47" t="str">
            <v>Tedarikçi</v>
          </cell>
          <cell r="S47" t="str">
            <v>Eltesan</v>
          </cell>
          <cell r="T47">
            <v>45532</v>
          </cell>
          <cell r="U47">
            <v>45532.45621527778</v>
          </cell>
          <cell r="V47" t="str">
            <v>ELTESAN ELEKTRO MEKANİK SOĞUTMA SAN</v>
          </cell>
          <cell r="W47" t="str">
            <v>KLIMA UNITESİ /Eltesan/Hispacold 41,5 kW</v>
          </cell>
          <cell r="X47" t="str">
            <v>H500-7240</v>
          </cell>
          <cell r="AB47" t="str">
            <v>Arıza çözülecek</v>
          </cell>
          <cell r="AE47" t="str">
            <v/>
          </cell>
          <cell r="AH47" t="str">
            <v/>
          </cell>
          <cell r="AN47">
            <v>1</v>
          </cell>
          <cell r="AP47" t="str">
            <v>(II) Birden fazla karşılaşılan arıza</v>
          </cell>
          <cell r="AQ47">
            <v>45532</v>
          </cell>
          <cell r="AR47">
            <v>45532.625</v>
          </cell>
          <cell r="AU47" t="str">
            <v>HVAC Yolcu</v>
          </cell>
        </row>
        <row r="48">
          <cell r="A48" t="str">
            <v>d0a413eb</v>
          </cell>
          <cell r="B48" t="str">
            <v>BOZ-KAY5+6-FF-047</v>
          </cell>
          <cell r="E48">
            <v>45315</v>
          </cell>
          <cell r="F48">
            <v>45315.679861111108</v>
          </cell>
          <cell r="G48" t="str">
            <v>3877(6)</v>
          </cell>
          <cell r="H48" t="str">
            <v>MA</v>
          </cell>
          <cell r="I48" t="str">
            <v>Hat/Line</v>
          </cell>
          <cell r="J48" t="str">
            <v>B-Hız veya güç azalması</v>
          </cell>
          <cell r="K48" t="str">
            <v>Müşteri</v>
          </cell>
          <cell r="L48" t="str">
            <v>3877 nolu araç 1 nolu kapı kapanmadığı için izole edildi 1 seferde 6 dakika tehir oluştu</v>
          </cell>
          <cell r="M48" t="str">
            <v>kapı ayarı bozulduğu için  switch basmıyordu ayar yapıldı sorunsuz çalışıyor</v>
          </cell>
          <cell r="N48">
            <v>25000</v>
          </cell>
          <cell r="P48" t="str">
            <v>A(Hareket etmeyi engelleyen arıza)</v>
          </cell>
          <cell r="Q48" t="str">
            <v>N.A(Yaralanma yok)</v>
          </cell>
          <cell r="R48" t="str">
            <v>Tedarikçi</v>
          </cell>
          <cell r="S48" t="str">
            <v>IFE</v>
          </cell>
          <cell r="T48">
            <v>45532</v>
          </cell>
          <cell r="U48">
            <v>45532.458935185183</v>
          </cell>
          <cell r="V48" t="str">
            <v>KNORR-BREMSE GMBH DİVİSİON IFE AUTO</v>
          </cell>
          <cell r="W48" t="str">
            <v>TEKLİ KAPI</v>
          </cell>
          <cell r="X48" t="str">
            <v>M110-7085</v>
          </cell>
          <cell r="AB48" t="str">
            <v>Arıza çözülecek</v>
          </cell>
          <cell r="AE48" t="str">
            <v/>
          </cell>
          <cell r="AH48" t="str">
            <v/>
          </cell>
          <cell r="AN48">
            <v>1</v>
          </cell>
          <cell r="AP48" t="str">
            <v>(II) Birden fazla karşılaşılan arıza</v>
          </cell>
          <cell r="AQ48">
            <v>45532</v>
          </cell>
          <cell r="AR48">
            <v>45532.666666666664</v>
          </cell>
          <cell r="AU48" t="str">
            <v>Kapı</v>
          </cell>
        </row>
        <row r="49">
          <cell r="A49" t="str">
            <v>3ffd4ca8</v>
          </cell>
          <cell r="B49" t="str">
            <v>BOZ-KAY5+6-FF-048</v>
          </cell>
          <cell r="E49">
            <v>45316</v>
          </cell>
          <cell r="F49">
            <v>45316</v>
          </cell>
          <cell r="G49" t="str">
            <v>3878(7)</v>
          </cell>
          <cell r="H49" t="str">
            <v>MA</v>
          </cell>
          <cell r="I49" t="str">
            <v>Hat/Line</v>
          </cell>
          <cell r="J49" t="str">
            <v>C-Uyarı, sürüş devamlılığı</v>
          </cell>
          <cell r="K49" t="str">
            <v>Müşteri</v>
          </cell>
          <cell r="L49" t="str">
            <v>3878 CA Kameralar gidip gidip geliyor</v>
          </cell>
          <cell r="M49" t="str">
            <v>Akıllı port üzerinden switch yeri değiştirildi</v>
          </cell>
          <cell r="N49">
            <v>1500</v>
          </cell>
          <cell r="P49" t="str">
            <v>C(Sisteme etki etmeyen arıza)</v>
          </cell>
          <cell r="Q49" t="str">
            <v>N.A(Yaralanma yok)</v>
          </cell>
          <cell r="R49" t="str">
            <v>Tedarikçi</v>
          </cell>
          <cell r="S49" t="str">
            <v>NSC</v>
          </cell>
          <cell r="T49">
            <v>45532</v>
          </cell>
          <cell r="U49">
            <v>45532.445486111108</v>
          </cell>
          <cell r="V49" t="str">
            <v>NSC TEKNOLOJİ ve İNŞAAT LTD.ŞTİ.</v>
          </cell>
          <cell r="W49" t="str">
            <v>8 Port POE switch HIRSCHMANN</v>
          </cell>
          <cell r="X49" t="str">
            <v>E810-7114</v>
          </cell>
          <cell r="AB49" t="str">
            <v>Arıza çözülecek</v>
          </cell>
          <cell r="AE49" t="str">
            <v/>
          </cell>
          <cell r="AH49" t="str">
            <v/>
          </cell>
          <cell r="AN49">
            <v>1</v>
          </cell>
          <cell r="AP49" t="str">
            <v>(I) İlk defa karşılaşılan arıza</v>
          </cell>
          <cell r="AQ49">
            <v>45532</v>
          </cell>
          <cell r="AR49">
            <v>45532.666666666664</v>
          </cell>
          <cell r="AU49" t="str">
            <v>PA/PIS/CCTV</v>
          </cell>
        </row>
        <row r="50">
          <cell r="A50" t="str">
            <v>c8b65e82</v>
          </cell>
          <cell r="B50" t="str">
            <v>BOZ-KAY5+6-FF-049</v>
          </cell>
          <cell r="E50">
            <v>45317</v>
          </cell>
          <cell r="F50">
            <v>45317.262499999997</v>
          </cell>
          <cell r="G50" t="str">
            <v>3875(4)</v>
          </cell>
          <cell r="H50" t="str">
            <v>MB</v>
          </cell>
          <cell r="I50" t="str">
            <v>Hat/Line</v>
          </cell>
          <cell r="J50" t="str">
            <v>C-Uyarı, sürüş devamlılığı</v>
          </cell>
          <cell r="K50" t="str">
            <v>Müşteri</v>
          </cell>
          <cell r="L50" t="str">
            <v>12 nolu kapı izole edildi</v>
          </cell>
          <cell r="M50" t="str">
            <v>Kapı ayarı yapıldı.Switch ayarlandı</v>
          </cell>
          <cell r="N50">
            <v>38000</v>
          </cell>
          <cell r="P50" t="str">
            <v>B(Servisten çekmeye etki eden arızalar)</v>
          </cell>
          <cell r="Q50" t="str">
            <v>N.A(Yaralanma yok)</v>
          </cell>
          <cell r="R50" t="str">
            <v>Tedarikçi</v>
          </cell>
          <cell r="S50" t="str">
            <v>Bozankaya</v>
          </cell>
          <cell r="T50">
            <v>45532</v>
          </cell>
          <cell r="U50">
            <v>45532.423715277779</v>
          </cell>
          <cell r="V50" t="str">
            <v>KNORR-BREMSE GMBH DİVİSİON IFE AUTO</v>
          </cell>
          <cell r="W50" t="str">
            <v>TEKLİ KAPI</v>
          </cell>
          <cell r="X50" t="str">
            <v>M110-7085</v>
          </cell>
          <cell r="AB50" t="str">
            <v>Arıza çözülecek</v>
          </cell>
          <cell r="AE50" t="str">
            <v/>
          </cell>
          <cell r="AH50" t="str">
            <v/>
          </cell>
          <cell r="AN50">
            <v>1</v>
          </cell>
          <cell r="AP50" t="str">
            <v>(II) Birden fazla karşılaşılan arıza</v>
          </cell>
          <cell r="AQ50">
            <v>45532</v>
          </cell>
          <cell r="AR50">
            <v>45532.75</v>
          </cell>
          <cell r="AU50" t="str">
            <v>Kapı</v>
          </cell>
        </row>
        <row r="51">
          <cell r="A51" t="str">
            <v>bea9271f</v>
          </cell>
          <cell r="B51" t="str">
            <v>BOZ-KAY5+6-FF-050</v>
          </cell>
          <cell r="E51">
            <v>45322</v>
          </cell>
          <cell r="F51">
            <v>45322.904166666667</v>
          </cell>
          <cell r="G51" t="str">
            <v>3873(2)</v>
          </cell>
          <cell r="H51" t="str">
            <v>MB</v>
          </cell>
          <cell r="I51" t="str">
            <v>Hat/Line</v>
          </cell>
          <cell r="J51" t="str">
            <v>A-Sürüşü engeller</v>
          </cell>
          <cell r="K51" t="str">
            <v>Müşteri</v>
          </cell>
          <cell r="L51" t="str">
            <v>CB kabin çalıştıktan sonra kendiliğinden kapanıyor.kabin soğuk</v>
          </cell>
          <cell r="M51" t="str">
            <v>Kontrol edildi.Sorun görülmedi</v>
          </cell>
          <cell r="N51">
            <v>46000</v>
          </cell>
          <cell r="P51" t="str">
            <v>B(Servisten çekmeye etki eden arızalar)</v>
          </cell>
          <cell r="Q51" t="str">
            <v>N.A(Yaralanma yok)</v>
          </cell>
          <cell r="R51" t="str">
            <v>Tedarikçi</v>
          </cell>
          <cell r="S51" t="str">
            <v>Eltesan</v>
          </cell>
          <cell r="T51">
            <v>45532</v>
          </cell>
          <cell r="U51">
            <v>45532.41978009259</v>
          </cell>
          <cell r="V51" t="str">
            <v>ELTESAN ELEKTRO MEKANİK SOĞUTMA SAN</v>
          </cell>
          <cell r="W51" t="str">
            <v>SURUCU KLIMASI-Eltesan/Hispacold 4,5 KW</v>
          </cell>
          <cell r="X51" t="str">
            <v>H500-7243</v>
          </cell>
          <cell r="AB51" t="str">
            <v>Arıza çözülecek</v>
          </cell>
          <cell r="AE51" t="str">
            <v/>
          </cell>
          <cell r="AH51" t="str">
            <v/>
          </cell>
          <cell r="AN51">
            <v>1</v>
          </cell>
          <cell r="AP51" t="str">
            <v>(II) Birden fazla karşılaşılan arıza</v>
          </cell>
          <cell r="AQ51">
            <v>45532</v>
          </cell>
          <cell r="AR51">
            <v>45532.583333333336</v>
          </cell>
          <cell r="AU51" t="str">
            <v>HVAC Sürücü</v>
          </cell>
        </row>
        <row r="52">
          <cell r="A52" t="str">
            <v>1c638a2a</v>
          </cell>
          <cell r="B52" t="str">
            <v>BOZ-KAY5+6-FF-051</v>
          </cell>
          <cell r="E52">
            <v>45324</v>
          </cell>
          <cell r="F52">
            <v>45324.256249999999</v>
          </cell>
          <cell r="G52" t="str">
            <v>3875(4)</v>
          </cell>
          <cell r="H52" t="str">
            <v>MA</v>
          </cell>
          <cell r="I52" t="str">
            <v>Hat/Line</v>
          </cell>
          <cell r="J52" t="str">
            <v>C-Uyarı, sürüş devamlılığı</v>
          </cell>
          <cell r="K52" t="str">
            <v>Müşteri</v>
          </cell>
          <cell r="L52" t="str">
            <v>75 nolu aracın askılık kırık</v>
          </cell>
          <cell r="M52" t="str">
            <v>Askılık değişimi yapıldı</v>
          </cell>
          <cell r="N52">
            <v>40000</v>
          </cell>
          <cell r="P52" t="str">
            <v>C(Sisteme etki etmeyen arıza)</v>
          </cell>
          <cell r="Q52" t="str">
            <v>N.A(Yaralanma yok)</v>
          </cell>
          <cell r="R52" t="str">
            <v>Tedarikçi</v>
          </cell>
          <cell r="S52" t="str">
            <v>Bozankaya</v>
          </cell>
          <cell r="T52">
            <v>45531</v>
          </cell>
          <cell r="U52">
            <v>45531.648587962962</v>
          </cell>
          <cell r="V52" t="str">
            <v>HAPPICH OTOMOTİV AKUSTİK PARÇALARI</v>
          </cell>
          <cell r="W52" t="str">
            <v>ASKILIK</v>
          </cell>
          <cell r="X52" t="str">
            <v>T210-1001</v>
          </cell>
          <cell r="AE52" t="str">
            <v/>
          </cell>
          <cell r="AH52" t="str">
            <v/>
          </cell>
          <cell r="AN52">
            <v>1</v>
          </cell>
          <cell r="AP52" t="str">
            <v>(I) İlk defa karşılaşılan arıza</v>
          </cell>
          <cell r="AQ52">
            <v>45531</v>
          </cell>
          <cell r="AR52">
            <v>45531.75</v>
          </cell>
          <cell r="AU52" t="str">
            <v>Giydirme İç</v>
          </cell>
        </row>
        <row r="53">
          <cell r="A53" t="str">
            <v>5aad4c57</v>
          </cell>
          <cell r="B53" t="str">
            <v>BOZ-KAY5+6-FF-052</v>
          </cell>
          <cell r="E53">
            <v>45324</v>
          </cell>
          <cell r="F53">
            <v>45324.702777777777</v>
          </cell>
          <cell r="G53" t="str">
            <v>3875(4)</v>
          </cell>
          <cell r="H53" t="str">
            <v>MA</v>
          </cell>
          <cell r="I53" t="str">
            <v>Hat/Line</v>
          </cell>
          <cell r="J53" t="str">
            <v>A-Sürüşü engeller</v>
          </cell>
          <cell r="K53" t="str">
            <v>Müşteri</v>
          </cell>
          <cell r="L53" t="str">
            <v>MA frenler arıza verdi 2 seferde 11 dk tehir meydana geldi</v>
          </cell>
          <cell r="M53" t="str">
            <v>28.02.2024 tarihi itibari ile fren arızası bulunmamaktadır</v>
          </cell>
          <cell r="N53">
            <v>45000</v>
          </cell>
          <cell r="P53" t="str">
            <v>A(Hareket etmeyi engelleyen arıza)</v>
          </cell>
          <cell r="Q53" t="str">
            <v>N.A(Yaralanma yok)</v>
          </cell>
          <cell r="R53" t="str">
            <v>Tedarikçi</v>
          </cell>
          <cell r="S53" t="str">
            <v>Medcom</v>
          </cell>
          <cell r="T53">
            <v>45532</v>
          </cell>
          <cell r="U53">
            <v>45532.415254629632</v>
          </cell>
          <cell r="V53" t="str">
            <v>MEDCOM SP. Z O.O.</v>
          </cell>
          <cell r="W53" t="str">
            <v>COMBO KUTUSU (+LHD) MEDCOM</v>
          </cell>
          <cell r="X53" t="str">
            <v>P620-7023</v>
          </cell>
          <cell r="AE53" t="str">
            <v/>
          </cell>
          <cell r="AH53" t="str">
            <v/>
          </cell>
          <cell r="AN53">
            <v>1</v>
          </cell>
          <cell r="AP53" t="str">
            <v>(I) İlk defa karşılaşılan arıza</v>
          </cell>
          <cell r="AQ53">
            <v>45532</v>
          </cell>
          <cell r="AR53">
            <v>45532.583333333336</v>
          </cell>
          <cell r="AU53" t="str">
            <v>Fren</v>
          </cell>
        </row>
        <row r="54">
          <cell r="A54" t="str">
            <v>94d74445</v>
          </cell>
          <cell r="B54" t="str">
            <v>BOZ-KAY5+6-FF-053</v>
          </cell>
          <cell r="E54">
            <v>45327</v>
          </cell>
          <cell r="F54">
            <v>45327.463194444441</v>
          </cell>
          <cell r="G54" t="str">
            <v>3876(5)</v>
          </cell>
          <cell r="H54" t="str">
            <v>MA</v>
          </cell>
          <cell r="I54" t="str">
            <v>Hat/Line</v>
          </cell>
          <cell r="J54" t="str">
            <v>C-Uyarı, sürüş devamlılığı</v>
          </cell>
          <cell r="K54" t="str">
            <v>Müşteri</v>
          </cell>
          <cell r="L54" t="str">
            <v>2 NOLU KAPI AÇILIRKEN RAHATSIZ EDİCİ SES ÇIKARIYOR(YOLCU ŞİKAYETİ)</v>
          </cell>
          <cell r="N54">
            <v>40500</v>
          </cell>
          <cell r="P54" t="str">
            <v>C(Sisteme etki etmeyen arıza)</v>
          </cell>
          <cell r="Q54" t="str">
            <v>N.A(Yaralanma yok)</v>
          </cell>
          <cell r="R54" t="str">
            <v>Tedarikçi</v>
          </cell>
          <cell r="S54" t="str">
            <v>TSL</v>
          </cell>
          <cell r="T54">
            <v>45327</v>
          </cell>
          <cell r="U54">
            <v>45327.541666666664</v>
          </cell>
          <cell r="V54" t="str">
            <v>TURCK OTOMASYON TİC. LTD.ŞTİ.</v>
          </cell>
          <cell r="W54" t="str">
            <v>SESLI UYARI CIHAZI</v>
          </cell>
          <cell r="X54" t="str">
            <v>M110-7057</v>
          </cell>
          <cell r="AE54" t="str">
            <v/>
          </cell>
          <cell r="AH54" t="str">
            <v/>
          </cell>
          <cell r="AN54">
            <v>1</v>
          </cell>
          <cell r="AP54" t="str">
            <v>(III) Birden fazla aynı araçta karşılaşılan arıza</v>
          </cell>
          <cell r="AQ54">
            <v>45327</v>
          </cell>
          <cell r="AR54">
            <v>45327.666666666664</v>
          </cell>
          <cell r="AU54" t="str">
            <v>Kapı</v>
          </cell>
        </row>
        <row r="55">
          <cell r="A55" t="str">
            <v>db5d24ec</v>
          </cell>
          <cell r="B55" t="str">
            <v>BOZ-KAY5+6-FF-054</v>
          </cell>
          <cell r="E55">
            <v>45327</v>
          </cell>
          <cell r="F55">
            <v>45327.463888888888</v>
          </cell>
          <cell r="G55" t="str">
            <v>3876(5)</v>
          </cell>
          <cell r="H55" t="str">
            <v>MB</v>
          </cell>
          <cell r="I55" t="str">
            <v>Hat/Line</v>
          </cell>
          <cell r="J55" t="str">
            <v>C-Uyarı, sürüş devamlılığı</v>
          </cell>
          <cell r="K55" t="str">
            <v>Müşteri</v>
          </cell>
          <cell r="L55" t="str">
            <v>CB sol ayna görüntüsü yok</v>
          </cell>
          <cell r="M55" t="str">
            <v>CB sol ayna bağlantı kablosunda temassızlık ve kısa devre vardı.Yeniden lehim yapıldı.An itibariyle kameralar normal çalışıyor</v>
          </cell>
          <cell r="N55">
            <v>39500</v>
          </cell>
          <cell r="P55" t="str">
            <v>C(Sisteme etki etmeyen arıza)</v>
          </cell>
          <cell r="Q55" t="str">
            <v>N.A(Yaralanma yok)</v>
          </cell>
          <cell r="R55" t="str">
            <v>Bozankaya</v>
          </cell>
          <cell r="S55" t="str">
            <v>Üretim</v>
          </cell>
          <cell r="T55">
            <v>45531</v>
          </cell>
          <cell r="U55">
            <v>45531.652499999997</v>
          </cell>
          <cell r="V55" t="str">
            <v>NSC TEKNOLOJİ ve İNŞAAT LTD.ŞTİ.</v>
          </cell>
          <cell r="W55" t="str">
            <v>XAYNA KAMERA</v>
          </cell>
          <cell r="X55" t="str">
            <v>E810-7004</v>
          </cell>
          <cell r="AE55" t="str">
            <v/>
          </cell>
          <cell r="AH55" t="str">
            <v/>
          </cell>
          <cell r="AN55">
            <v>1</v>
          </cell>
          <cell r="AP55" t="str">
            <v>(I) İlk defa karşılaşılan arıza</v>
          </cell>
          <cell r="AQ55">
            <v>45531</v>
          </cell>
          <cell r="AR55">
            <v>45531.75</v>
          </cell>
          <cell r="AU55" t="str">
            <v>PA/PIS/CCTV</v>
          </cell>
        </row>
        <row r="56">
          <cell r="A56" t="str">
            <v>bd7c518c</v>
          </cell>
          <cell r="B56" t="str">
            <v>BOZ-KAY5+6-FF-055</v>
          </cell>
          <cell r="E56">
            <v>45327</v>
          </cell>
          <cell r="F56">
            <v>45327.618055555555</v>
          </cell>
          <cell r="G56" t="str">
            <v>3873(2)</v>
          </cell>
          <cell r="H56" t="str">
            <v>RA</v>
          </cell>
          <cell r="I56" t="str">
            <v>Hat/Line</v>
          </cell>
          <cell r="J56" t="str">
            <v>C-Uyarı, sürüş devamlılığı</v>
          </cell>
          <cell r="K56" t="str">
            <v>Müşteri</v>
          </cell>
          <cell r="L56" t="str">
            <v>Anons sistemi sık sık taklma yapıyor</v>
          </cell>
          <cell r="M56" t="str">
            <v>Aracın odometresine enerji gidip geliyordu gerekli kontoller sağlanırken sistem normale döndü.Arıza tekrar gelirse detaylı kontol edilecek.</v>
          </cell>
          <cell r="N56">
            <v>47500</v>
          </cell>
          <cell r="P56" t="str">
            <v>C(Sisteme etki etmeyen arıza)</v>
          </cell>
          <cell r="Q56" t="str">
            <v>N.A(Yaralanma yok)</v>
          </cell>
          <cell r="R56" t="str">
            <v>Tedarikçi</v>
          </cell>
          <cell r="S56" t="str">
            <v>Atak</v>
          </cell>
          <cell r="T56">
            <v>45531</v>
          </cell>
          <cell r="U56">
            <v>45531.657407407409</v>
          </cell>
          <cell r="V56" t="str">
            <v>ATAK ULAŞIM SAN.TİC.LTD.ŞTİ.</v>
          </cell>
          <cell r="W56" t="str">
            <v>Merkez Ünite AU300 (train bus, vehicle b</v>
          </cell>
          <cell r="X56" t="str">
            <v>E840-7002</v>
          </cell>
          <cell r="AB56" t="str">
            <v>Arıza çözülecek</v>
          </cell>
          <cell r="AE56" t="str">
            <v/>
          </cell>
          <cell r="AH56" t="str">
            <v/>
          </cell>
          <cell r="AN56">
            <v>1</v>
          </cell>
          <cell r="AP56" t="str">
            <v>(I) İlk defa karşılaşılan arıza</v>
          </cell>
          <cell r="AQ56">
            <v>45531</v>
          </cell>
          <cell r="AR56">
            <v>45531.75</v>
          </cell>
          <cell r="AU56" t="str">
            <v>Giydirme İç</v>
          </cell>
        </row>
        <row r="57">
          <cell r="A57" t="str">
            <v>86e1e8f3</v>
          </cell>
          <cell r="B57" t="str">
            <v>BOZ-KAY5+6-FF-056</v>
          </cell>
          <cell r="E57">
            <v>45327</v>
          </cell>
          <cell r="F57">
            <v>45327.80972222222</v>
          </cell>
          <cell r="G57" t="str">
            <v>3875(4)</v>
          </cell>
          <cell r="H57" t="str">
            <v>MA</v>
          </cell>
          <cell r="I57" t="str">
            <v>Hat/Line</v>
          </cell>
          <cell r="J57" t="str">
            <v>C-Uyarı, sürüş devamlılığı</v>
          </cell>
          <cell r="K57" t="str">
            <v>Müşteri</v>
          </cell>
          <cell r="L57" t="str">
            <v>3875 CB Kabin750 v ışığı yanmıyor.araç haraketinde problem  bulunmuyor</v>
          </cell>
          <cell r="M57" t="str">
            <v>indikatör paneli 750 v ışığı patlamış.değişimi yapıldı.</v>
          </cell>
          <cell r="N57">
            <v>40000</v>
          </cell>
          <cell r="P57" t="str">
            <v>C(Sisteme etki etmeyen arıza)</v>
          </cell>
          <cell r="Q57" t="str">
            <v>N.A(Yaralanma yok)</v>
          </cell>
          <cell r="R57" t="str">
            <v>Tedarikçi</v>
          </cell>
          <cell r="S57" t="str">
            <v>Atak</v>
          </cell>
          <cell r="T57">
            <v>45335</v>
          </cell>
          <cell r="U57">
            <v>45335.603472222225</v>
          </cell>
          <cell r="V57" t="str">
            <v>ATAK ULAŞIM SAN.TİC.LTD.ŞTİ.</v>
          </cell>
          <cell r="W57" t="str">
            <v>İNDİKATÖR PANELİ</v>
          </cell>
          <cell r="X57" t="str">
            <v>E300-7007</v>
          </cell>
          <cell r="Y57">
            <v>1</v>
          </cell>
          <cell r="AB57" t="str">
            <v>Ekipman değiştirilecek</v>
          </cell>
          <cell r="AE57" t="str">
            <v/>
          </cell>
          <cell r="AH57" t="str">
            <v/>
          </cell>
          <cell r="AN57">
            <v>1</v>
          </cell>
          <cell r="AP57" t="str">
            <v>(I) İlk defa karşılaşılan arıza</v>
          </cell>
          <cell r="AQ57">
            <v>45335</v>
          </cell>
          <cell r="AR57">
            <v>45335.666666666664</v>
          </cell>
          <cell r="AU57" t="str">
            <v>Kabin Masası</v>
          </cell>
        </row>
        <row r="58">
          <cell r="A58" t="str">
            <v>e3addd4f</v>
          </cell>
          <cell r="B58" t="str">
            <v>BOZ-KAY5+6-FF-057</v>
          </cell>
          <cell r="E58">
            <v>45327</v>
          </cell>
          <cell r="F58">
            <v>45327.80972222222</v>
          </cell>
          <cell r="G58" t="str">
            <v>3877(6)</v>
          </cell>
          <cell r="H58" t="str">
            <v>MA</v>
          </cell>
          <cell r="I58" t="str">
            <v>Hat/Line</v>
          </cell>
          <cell r="J58" t="str">
            <v>C-Uyarı, sürüş devamlılığı</v>
          </cell>
          <cell r="K58" t="str">
            <v>Müşteri</v>
          </cell>
          <cell r="L58" t="str">
            <v>4800 KODLU FREN ARIZASI UYARISI VAR</v>
          </cell>
          <cell r="M58" t="str">
            <v>ARAÇ FC48 ARIZASI VERMİŞ ARAÇ RESETLENDİ TEST YAPILDI ARIZA DEVAMLILIĞI GÖRÜLMEDİ</v>
          </cell>
          <cell r="N58">
            <v>25700</v>
          </cell>
          <cell r="P58" t="str">
            <v>C(Sisteme etki etmeyen arıza)</v>
          </cell>
          <cell r="Q58" t="str">
            <v>N.A(Yaralanma yok)</v>
          </cell>
          <cell r="R58" t="str">
            <v>Tedarikçi</v>
          </cell>
          <cell r="S58" t="str">
            <v>HANNING  KAHL</v>
          </cell>
          <cell r="T58">
            <v>45327</v>
          </cell>
          <cell r="U58">
            <v>45327.833333333336</v>
          </cell>
          <cell r="V58" t="str">
            <v>HANNING &amp; KAHL GMBH &amp; CO.KG</v>
          </cell>
          <cell r="W58" t="str">
            <v>XFren Kontrol Ünitesi</v>
          </cell>
          <cell r="X58" t="str">
            <v>S306-7074</v>
          </cell>
          <cell r="AE58" t="str">
            <v/>
          </cell>
          <cell r="AH58" t="str">
            <v/>
          </cell>
          <cell r="AN58">
            <v>1</v>
          </cell>
          <cell r="AP58" t="str">
            <v>(I) İlk defa karşılaşılan arıza</v>
          </cell>
          <cell r="AQ58">
            <v>45327</v>
          </cell>
          <cell r="AR58">
            <v>45327.916666666664</v>
          </cell>
          <cell r="AU58" t="str">
            <v>Fren</v>
          </cell>
        </row>
        <row r="59">
          <cell r="A59" t="str">
            <v>74cd0b22</v>
          </cell>
          <cell r="B59" t="str">
            <v>BOZ-KAY5+6-FF-058</v>
          </cell>
          <cell r="E59">
            <v>45335</v>
          </cell>
          <cell r="F59">
            <v>45335.731944444444</v>
          </cell>
          <cell r="G59" t="str">
            <v>3873(2)</v>
          </cell>
          <cell r="H59" t="str">
            <v>MB</v>
          </cell>
          <cell r="I59" t="str">
            <v>Hat/Line</v>
          </cell>
          <cell r="J59" t="str">
            <v>C-Uyarı, sürüş devamlılığı</v>
          </cell>
          <cell r="K59" t="str">
            <v>Müşteri</v>
          </cell>
          <cell r="L59" t="str">
            <v>CB KABİN AYNA KAMERA EKRANI SALLANIYOR</v>
          </cell>
          <cell r="M59" t="str">
            <v>AYNA KAMERA EKRAN SOMUNU GEVŞEMİŞ SIKILDI ARIZA GİDERİLDİ</v>
          </cell>
          <cell r="N59">
            <v>47153</v>
          </cell>
          <cell r="P59" t="str">
            <v>C(Sisteme etki etmeyen arıza)</v>
          </cell>
          <cell r="Q59" t="str">
            <v>N.A(Yaralanma yok)</v>
          </cell>
          <cell r="R59" t="str">
            <v>Bozankaya</v>
          </cell>
          <cell r="S59" t="str">
            <v>Üretim</v>
          </cell>
          <cell r="T59">
            <v>45335</v>
          </cell>
          <cell r="U59">
            <v>45335.736111111109</v>
          </cell>
          <cell r="V59" t="str">
            <v>STONKAM CO ., LTD</v>
          </cell>
          <cell r="W59" t="str">
            <v>AYNA EKRAN</v>
          </cell>
          <cell r="X59" t="str">
            <v>E810-7151</v>
          </cell>
          <cell r="AE59" t="str">
            <v/>
          </cell>
          <cell r="AH59" t="str">
            <v/>
          </cell>
          <cell r="AN59">
            <v>1</v>
          </cell>
          <cell r="AP59" t="str">
            <v>(II) Birden fazla karşılaşılan arıza</v>
          </cell>
          <cell r="AQ59">
            <v>45335</v>
          </cell>
          <cell r="AR59">
            <v>45335.770833333336</v>
          </cell>
          <cell r="AU59" t="str">
            <v>PA/PIS/CCTV</v>
          </cell>
        </row>
        <row r="60">
          <cell r="A60" t="str">
            <v>c7ebabbb</v>
          </cell>
          <cell r="B60" t="str">
            <v>BOZ-KAY5+6-FF-059</v>
          </cell>
          <cell r="E60">
            <v>45336</v>
          </cell>
          <cell r="F60">
            <v>45336.649305555555</v>
          </cell>
          <cell r="G60" t="str">
            <v>3872(1)</v>
          </cell>
          <cell r="H60" t="str">
            <v>MB</v>
          </cell>
          <cell r="I60" t="str">
            <v>Hat/Line</v>
          </cell>
          <cell r="J60" t="str">
            <v>C-Uyarı, sürüş devamlılığı</v>
          </cell>
          <cell r="K60" t="str">
            <v>Müşteri</v>
          </cell>
          <cell r="L60" t="str">
            <v>aracın her iki makinist kolçakları arızalı</v>
          </cell>
          <cell r="M60" t="str">
            <v>cb kolçak tamir edildi.ca tamir edilince form kapatılacak ca baş kolçak 26/05/2024de tamir edildi.bozankaya ssh ekibine bilgi verildi</v>
          </cell>
          <cell r="N60">
            <v>39700</v>
          </cell>
          <cell r="P60" t="str">
            <v>C(Sisteme etki etmeyen arıza)</v>
          </cell>
          <cell r="Q60" t="str">
            <v>N.A(Yaralanma yok)</v>
          </cell>
          <cell r="R60" t="str">
            <v>Bozankaya</v>
          </cell>
          <cell r="S60" t="str">
            <v>Tasarım</v>
          </cell>
          <cell r="T60">
            <v>45528</v>
          </cell>
          <cell r="U60">
            <v>45528.425625000003</v>
          </cell>
          <cell r="V60" t="str">
            <v>Bozankaya</v>
          </cell>
          <cell r="AE60" t="str">
            <v/>
          </cell>
          <cell r="AH60" t="str">
            <v/>
          </cell>
          <cell r="AP60" t="str">
            <v>(I) İlk defa karşılaşılan arıza</v>
          </cell>
          <cell r="AQ60" t="str">
            <v/>
          </cell>
          <cell r="AU60" t="str">
            <v>Giydirme İç</v>
          </cell>
        </row>
        <row r="61">
          <cell r="A61" t="str">
            <v>bda2fce3</v>
          </cell>
          <cell r="B61" t="str">
            <v>BOZ-KAY5+6-FF-060</v>
          </cell>
          <cell r="E61">
            <v>45338</v>
          </cell>
          <cell r="F61">
            <v>45338.498611111114</v>
          </cell>
          <cell r="G61" t="str">
            <v>3877(6)</v>
          </cell>
          <cell r="H61" t="str">
            <v>MA</v>
          </cell>
          <cell r="I61" t="str">
            <v>Hat/Line</v>
          </cell>
          <cell r="J61" t="str">
            <v>C-Uyarı, sürüş devamlılığı</v>
          </cell>
          <cell r="K61" t="str">
            <v>Müşteri</v>
          </cell>
          <cell r="L61" t="str">
            <v>araç kameralarının görüntüsü görünmüyor</v>
          </cell>
          <cell r="M61" t="str">
            <v>sistem kontrol edildi.normal çalışıyor</v>
          </cell>
          <cell r="N61">
            <v>26500</v>
          </cell>
          <cell r="P61" t="str">
            <v>C(Sisteme etki etmeyen arıza)</v>
          </cell>
          <cell r="Q61" t="str">
            <v>N.A(Yaralanma yok)</v>
          </cell>
          <cell r="R61" t="str">
            <v>Tedarikçi</v>
          </cell>
          <cell r="S61" t="str">
            <v>NSC</v>
          </cell>
          <cell r="T61">
            <v>45338</v>
          </cell>
          <cell r="U61">
            <v>45338.541666666664</v>
          </cell>
          <cell r="V61" t="str">
            <v>NSC TEKNOLOJİ ve İNŞAAT LTD.ŞTİ.</v>
          </cell>
          <cell r="W61" t="str">
            <v>CCTV EKRANI</v>
          </cell>
          <cell r="X61" t="str">
            <v>E810-7145</v>
          </cell>
          <cell r="AB61" t="str">
            <v>Arıza çözülecek</v>
          </cell>
          <cell r="AE61" t="str">
            <v/>
          </cell>
          <cell r="AH61" t="str">
            <v/>
          </cell>
          <cell r="AN61">
            <v>1</v>
          </cell>
          <cell r="AP61" t="str">
            <v>(II) Birden fazla karşılaşılan arıza</v>
          </cell>
          <cell r="AQ61">
            <v>45338</v>
          </cell>
          <cell r="AR61">
            <v>45338.666666666664</v>
          </cell>
          <cell r="AU61" t="str">
            <v>PA/PIS/CCTV</v>
          </cell>
        </row>
        <row r="62">
          <cell r="A62" t="str">
            <v>e4bb3ce4</v>
          </cell>
          <cell r="B62" t="str">
            <v>BOZ-KAY5+6-FF-061</v>
          </cell>
          <cell r="E62">
            <v>45341</v>
          </cell>
          <cell r="F62">
            <v>45341.451388888891</v>
          </cell>
          <cell r="G62" t="str">
            <v>3875(4)</v>
          </cell>
          <cell r="H62" t="str">
            <v>RB</v>
          </cell>
          <cell r="I62" t="str">
            <v>Hat/Line</v>
          </cell>
          <cell r="J62" t="str">
            <v>C-Uyarı, sürüş devamlılığı</v>
          </cell>
          <cell r="K62" t="str">
            <v>Müşteri</v>
          </cell>
          <cell r="L62" t="str">
            <v>3875 nolu aracın kapı üstü ve iç ekranlar çalışmıyor</v>
          </cell>
          <cell r="M62" t="str">
            <v>Aracın tüm ekipmanları sigortadan resetlendi,ayrıca ana bilgisayar resetlendi.Ayrıca ana bilgisayardan displaylere paylaşım yapan cihazın HDMI kablosu PB1140.01 Kablosu bozuktu.Bozankaya tarafından değiştirildi</v>
          </cell>
          <cell r="N62">
            <v>40300</v>
          </cell>
          <cell r="P62" t="str">
            <v>C(Sisteme etki etmeyen arıza)</v>
          </cell>
          <cell r="Q62" t="str">
            <v>N.A(Yaralanma yok)</v>
          </cell>
          <cell r="R62" t="str">
            <v>Tedarikçi</v>
          </cell>
          <cell r="S62" t="str">
            <v>Atak</v>
          </cell>
          <cell r="T62">
            <v>45341</v>
          </cell>
          <cell r="U62">
            <v>45341.451388888891</v>
          </cell>
          <cell r="V62" t="str">
            <v>ARDA MAKİNA ELEKTRİK TİC.VE</v>
          </cell>
          <cell r="W62" t="str">
            <v>HDMI KABLO ERKEK-ERKEK 3 METRE</v>
          </cell>
          <cell r="X62" t="str">
            <v>E110-7503</v>
          </cell>
          <cell r="Y62">
            <v>1</v>
          </cell>
          <cell r="AB62" t="str">
            <v>Ekipman değiştirilecek</v>
          </cell>
          <cell r="AE62" t="str">
            <v/>
          </cell>
          <cell r="AH62" t="str">
            <v/>
          </cell>
          <cell r="AN62">
            <v>1</v>
          </cell>
          <cell r="AP62" t="str">
            <v>(I) İlk defa karşılaşılan arıza</v>
          </cell>
          <cell r="AQ62">
            <v>45341</v>
          </cell>
          <cell r="AR62">
            <v>45341.5</v>
          </cell>
          <cell r="AU62" t="str">
            <v>PA/PIS/CCTV</v>
          </cell>
        </row>
        <row r="63">
          <cell r="A63" t="str">
            <v>73ae576c</v>
          </cell>
          <cell r="B63" t="str">
            <v>BOZ-KAY5+6-FF-062</v>
          </cell>
          <cell r="E63">
            <v>45341</v>
          </cell>
          <cell r="F63">
            <v>45341.68472222222</v>
          </cell>
          <cell r="G63" t="str">
            <v>3879(8)</v>
          </cell>
          <cell r="H63" t="str">
            <v>MB</v>
          </cell>
          <cell r="I63" t="str">
            <v>Hat/Line</v>
          </cell>
          <cell r="J63" t="str">
            <v>C-Uyarı, sürüş devamlılığı</v>
          </cell>
          <cell r="K63" t="str">
            <v>Müşteri</v>
          </cell>
          <cell r="L63" t="str">
            <v>3879 B baş sol ve sağ ayna kameraları ters</v>
          </cell>
          <cell r="M63" t="str">
            <v>Ayna kameraları koridor moduna alındı kameralar düzeldi</v>
          </cell>
          <cell r="N63">
            <v>1800</v>
          </cell>
          <cell r="P63" t="str">
            <v>C(Sisteme etki etmeyen arıza)</v>
          </cell>
          <cell r="Q63" t="str">
            <v>N.A(Yaralanma yok)</v>
          </cell>
          <cell r="R63" t="str">
            <v>Tedarikçi</v>
          </cell>
          <cell r="S63" t="str">
            <v>NSC</v>
          </cell>
          <cell r="T63">
            <v>45341</v>
          </cell>
          <cell r="U63">
            <v>45341.68472222222</v>
          </cell>
          <cell r="V63" t="str">
            <v>NSC TEKNOLOJİ ve İNŞAAT LTD.ŞTİ.</v>
          </cell>
          <cell r="W63" t="str">
            <v>XKAYIT CİHAZI(NVR)</v>
          </cell>
          <cell r="X63" t="str">
            <v>E810-7002</v>
          </cell>
          <cell r="AB63" t="str">
            <v>Arıza çözülecek</v>
          </cell>
          <cell r="AE63" t="str">
            <v/>
          </cell>
          <cell r="AH63" t="str">
            <v/>
          </cell>
          <cell r="AP63" t="str">
            <v>(I) İlk defa karşılaşılan arıza</v>
          </cell>
          <cell r="AQ63" t="str">
            <v/>
          </cell>
          <cell r="AU63" t="str">
            <v>PA/PIS/CCTV</v>
          </cell>
        </row>
        <row r="64">
          <cell r="A64" t="str">
            <v>e72058d4</v>
          </cell>
          <cell r="B64" t="str">
            <v>BOZ-KAY5+6-FF-063</v>
          </cell>
          <cell r="E64">
            <v>45342</v>
          </cell>
          <cell r="F64">
            <v>45342.39166666667</v>
          </cell>
          <cell r="G64" t="str">
            <v>3879(8)</v>
          </cell>
          <cell r="H64" t="str">
            <v>MA</v>
          </cell>
          <cell r="I64" t="str">
            <v>Depo/Depot</v>
          </cell>
          <cell r="J64" t="str">
            <v>C-Uyarı, sürüş devamlılığı</v>
          </cell>
          <cell r="K64" t="str">
            <v>Müşteri</v>
          </cell>
          <cell r="L64" t="str">
            <v>3875-3877 nolu araçlar kuplajlı iken 3875 den kontak aktifken 3877 den kontak açıldığında 3875 pasif olup 3877 aktif oluyor</v>
          </cell>
          <cell r="M64" t="str">
            <v>Araç kontrolü yapıldı.SB1187.02 Kablosu çekildi.Arıza giderildi</v>
          </cell>
          <cell r="N64">
            <v>44800</v>
          </cell>
          <cell r="P64" t="str">
            <v>A(Hareket etmeyi engelleyen arıza)</v>
          </cell>
          <cell r="Q64" t="str">
            <v>N.A(Yaralanma yok)</v>
          </cell>
          <cell r="R64" t="str">
            <v>Bozankaya</v>
          </cell>
          <cell r="S64" t="str">
            <v>Üretim</v>
          </cell>
          <cell r="T64">
            <v>45532</v>
          </cell>
          <cell r="U64">
            <v>45532.592187499999</v>
          </cell>
          <cell r="V64" t="str">
            <v>GREBO OTOMOTİV SANAYİ A.Ş</v>
          </cell>
          <cell r="W64" t="str">
            <v>PANO KOMPLESI</v>
          </cell>
          <cell r="X64" t="str">
            <v>FE750-7303</v>
          </cell>
          <cell r="AB64" t="str">
            <v>Arıza çözülecek</v>
          </cell>
          <cell r="AE64" t="str">
            <v/>
          </cell>
          <cell r="AH64" t="str">
            <v/>
          </cell>
          <cell r="AN64">
            <v>1</v>
          </cell>
          <cell r="AP64" t="str">
            <v>(II) Birden fazla karşılaşılan arıza</v>
          </cell>
          <cell r="AQ64">
            <v>45532</v>
          </cell>
          <cell r="AR64">
            <v>45532.75</v>
          </cell>
          <cell r="AU64" t="str">
            <v>E-Kabinet</v>
          </cell>
        </row>
        <row r="65">
          <cell r="A65" t="str">
            <v>f9f76ac7</v>
          </cell>
          <cell r="B65" t="str">
            <v>BOZ-KAY5+6-FF-064</v>
          </cell>
          <cell r="E65">
            <v>45342</v>
          </cell>
          <cell r="F65">
            <v>45342.667361111111</v>
          </cell>
          <cell r="G65" t="str">
            <v>3872(1)</v>
          </cell>
          <cell r="H65" t="str">
            <v>MA</v>
          </cell>
          <cell r="I65" t="str">
            <v>Hat/Line</v>
          </cell>
          <cell r="J65" t="str">
            <v>C-Uyarı, sürüş devamlılığı</v>
          </cell>
          <cell r="K65" t="str">
            <v>Müşteri</v>
          </cell>
          <cell r="L65" t="str">
            <v>4 nolu kapı buzzer sürekli çalışıyor</v>
          </cell>
          <cell r="M65" t="str">
            <v>kapı resetlendi arıza düzeltildi</v>
          </cell>
          <cell r="N65">
            <v>40000</v>
          </cell>
          <cell r="P65" t="str">
            <v>C(Sisteme etki etmeyen arıza)</v>
          </cell>
          <cell r="Q65" t="str">
            <v>N.A(Yaralanma yok)</v>
          </cell>
          <cell r="R65" t="str">
            <v>Tedarikçi</v>
          </cell>
          <cell r="S65" t="str">
            <v>TSL</v>
          </cell>
          <cell r="T65">
            <v>45342</v>
          </cell>
          <cell r="U65">
            <v>45342.667361111111</v>
          </cell>
          <cell r="V65" t="str">
            <v>TURCK OTOMASYON TİC. LTD.ŞTİ.</v>
          </cell>
          <cell r="W65" t="str">
            <v>SESLI UYARI CIHAZI</v>
          </cell>
          <cell r="X65" t="str">
            <v>M110-7057</v>
          </cell>
          <cell r="AB65" t="str">
            <v>Arıza çözülecek</v>
          </cell>
          <cell r="AE65" t="str">
            <v/>
          </cell>
          <cell r="AH65" t="str">
            <v/>
          </cell>
          <cell r="AN65">
            <v>1</v>
          </cell>
          <cell r="AP65" t="str">
            <v>(I) İlk defa karşılaşılan arıza</v>
          </cell>
          <cell r="AQ65">
            <v>45342</v>
          </cell>
          <cell r="AR65">
            <v>45342.75</v>
          </cell>
          <cell r="AU65" t="str">
            <v>Kapı</v>
          </cell>
        </row>
        <row r="66">
          <cell r="A66" t="str">
            <v>aaf892d7</v>
          </cell>
          <cell r="B66" t="str">
            <v>BOZ-KAY5+6-FF-065</v>
          </cell>
          <cell r="E66">
            <v>45342</v>
          </cell>
          <cell r="F66">
            <v>45342.708333333336</v>
          </cell>
          <cell r="G66" t="str">
            <v>3877(6)</v>
          </cell>
          <cell r="H66" t="str">
            <v>MB</v>
          </cell>
          <cell r="I66" t="str">
            <v>Hat/Line</v>
          </cell>
          <cell r="J66" t="str">
            <v>C-Uyarı, sürüş devamlılığı</v>
          </cell>
          <cell r="K66" t="str">
            <v>Müşteri</v>
          </cell>
          <cell r="L66" t="str">
            <v>CB silecek çalışmıyor</v>
          </cell>
          <cell r="M66" t="str">
            <v>CB silecek çalışmıyordu sabitleme somunları gevşekti sıkılandıayar yapıldı.test edildi sorun görülmedi</v>
          </cell>
          <cell r="N66">
            <v>25000</v>
          </cell>
          <cell r="P66" t="str">
            <v>C(Sisteme etki etmeyen arıza)</v>
          </cell>
          <cell r="Q66" t="str">
            <v>N.A(Yaralanma yok)</v>
          </cell>
          <cell r="R66" t="str">
            <v>Tedarikçi</v>
          </cell>
          <cell r="S66" t="str">
            <v>Bozankaya</v>
          </cell>
          <cell r="T66">
            <v>45342</v>
          </cell>
          <cell r="U66">
            <v>45342.708333333336</v>
          </cell>
          <cell r="V66" t="str">
            <v>DENİZLER OTOMOTİV SAN. VE TİC.LTD.Ş</v>
          </cell>
          <cell r="W66" t="str">
            <v>SİLECEK MEKANİZMASI Denizler / M.11.2506</v>
          </cell>
          <cell r="X66" t="str">
            <v>M100-7066</v>
          </cell>
          <cell r="AB66" t="str">
            <v>Tamir edilecek</v>
          </cell>
          <cell r="AE66" t="str">
            <v/>
          </cell>
          <cell r="AH66" t="str">
            <v/>
          </cell>
          <cell r="AN66">
            <v>1</v>
          </cell>
          <cell r="AP66" t="str">
            <v>(II) Birden fazla karşılaşılan arıza</v>
          </cell>
          <cell r="AQ66">
            <v>45342</v>
          </cell>
          <cell r="AR66">
            <v>45342.75</v>
          </cell>
          <cell r="AU66" t="str">
            <v>Silecek</v>
          </cell>
        </row>
        <row r="67">
          <cell r="A67" t="str">
            <v>4f17d1ed</v>
          </cell>
          <cell r="B67" t="str">
            <v>BOZ-KAY5+6-FF-066</v>
          </cell>
          <cell r="E67">
            <v>45342</v>
          </cell>
          <cell r="F67">
            <v>45342.71597222222</v>
          </cell>
          <cell r="G67" t="str">
            <v>3877(6)</v>
          </cell>
          <cell r="H67" t="str">
            <v>RB</v>
          </cell>
          <cell r="I67" t="str">
            <v>Hat/Line</v>
          </cell>
          <cell r="J67" t="str">
            <v>C-Uyarı, sürüş devamlılığı</v>
          </cell>
          <cell r="K67" t="str">
            <v>Müşteri</v>
          </cell>
          <cell r="L67" t="str">
            <v>7 nolu kapı açıldıktan sonra mekanizmaya çarpıyor</v>
          </cell>
          <cell r="M67" t="str">
            <v>7 nolu kapı sağ kanat sonlandırma topuzu ayarı yapıldı.ses gitti sorun giderildi.</v>
          </cell>
          <cell r="N67">
            <v>25000</v>
          </cell>
          <cell r="P67" t="str">
            <v>B(Servisten çekmeye etki eden arızalar)</v>
          </cell>
          <cell r="Q67" t="str">
            <v>N.A(Yaralanma yok)</v>
          </cell>
          <cell r="R67" t="str">
            <v>Tedarikçi</v>
          </cell>
          <cell r="S67" t="str">
            <v>IFE</v>
          </cell>
          <cell r="T67">
            <v>45342</v>
          </cell>
          <cell r="U67">
            <v>45342.71597222222</v>
          </cell>
          <cell r="V67" t="str">
            <v>KNORR-BREMSE GMBH DİVİSİON IFE AUTO</v>
          </cell>
          <cell r="W67" t="str">
            <v>PRM’LI ÇİFTLİ KAPI</v>
          </cell>
          <cell r="X67" t="str">
            <v>M110-7082</v>
          </cell>
          <cell r="AB67" t="str">
            <v>Tamir edilecek</v>
          </cell>
          <cell r="AE67" t="str">
            <v/>
          </cell>
          <cell r="AH67" t="str">
            <v/>
          </cell>
          <cell r="AN67">
            <v>1</v>
          </cell>
          <cell r="AP67" t="str">
            <v>(I) İlk defa karşılaşılan arıza</v>
          </cell>
          <cell r="AQ67">
            <v>45342</v>
          </cell>
          <cell r="AR67">
            <v>45342.75</v>
          </cell>
          <cell r="AU67" t="str">
            <v>Kapı</v>
          </cell>
        </row>
        <row r="68">
          <cell r="A68" t="str">
            <v>15a8f894</v>
          </cell>
          <cell r="B68" t="str">
            <v>BOZ-KAY5+6-FF-067</v>
          </cell>
          <cell r="E68">
            <v>45343</v>
          </cell>
          <cell r="F68">
            <v>45343.393750000003</v>
          </cell>
          <cell r="G68" t="str">
            <v>3879(8)</v>
          </cell>
          <cell r="H68" t="str">
            <v>MB</v>
          </cell>
          <cell r="I68" t="str">
            <v>Hat/Line</v>
          </cell>
          <cell r="J68" t="str">
            <v>C-Uyarı, sürüş devamlılığı</v>
          </cell>
          <cell r="K68" t="str">
            <v>Müşteri</v>
          </cell>
          <cell r="L68" t="str">
            <v>CB KABİN KAPISI ÜST CİVATALARI YERİNDEN ÇIKMIŞ</v>
          </cell>
          <cell r="N68">
            <v>1489</v>
          </cell>
          <cell r="P68" t="str">
            <v>C(Sisteme etki etmeyen arıza)</v>
          </cell>
          <cell r="Q68" t="str">
            <v>N.A(Yaralanma yok)</v>
          </cell>
          <cell r="R68" t="str">
            <v>Bozankaya</v>
          </cell>
          <cell r="S68" t="str">
            <v>Üretim</v>
          </cell>
          <cell r="T68">
            <v>45526</v>
          </cell>
          <cell r="U68">
            <v>45526.427627314813</v>
          </cell>
          <cell r="V68" t="str">
            <v>GREBO OTOMOTİV SANAYİ A.Ş</v>
          </cell>
          <cell r="W68" t="str">
            <v>SURUCU KAPISI KOMPLESI</v>
          </cell>
          <cell r="X68" t="str">
            <v>T110-7047</v>
          </cell>
          <cell r="AE68" t="str">
            <v/>
          </cell>
          <cell r="AH68" t="str">
            <v/>
          </cell>
          <cell r="AN68">
            <v>1</v>
          </cell>
          <cell r="AP68" t="str">
            <v>(II) Birden fazla karşılaşılan arıza</v>
          </cell>
          <cell r="AQ68">
            <v>45526</v>
          </cell>
          <cell r="AR68">
            <v>45526.583333333336</v>
          </cell>
          <cell r="AU68" t="str">
            <v>Giydirme İç</v>
          </cell>
        </row>
        <row r="69">
          <cell r="A69" t="str">
            <v>176d4518</v>
          </cell>
          <cell r="B69" t="str">
            <v>BOZ-KAY5+6-FF-068</v>
          </cell>
          <cell r="E69">
            <v>45343</v>
          </cell>
          <cell r="F69">
            <v>45343.684027777781</v>
          </cell>
          <cell r="G69" t="str">
            <v>3872(1)</v>
          </cell>
          <cell r="H69" t="str">
            <v>MB</v>
          </cell>
          <cell r="I69" t="str">
            <v>Hat/Line</v>
          </cell>
          <cell r="J69" t="str">
            <v>A-Sürüşü engeller</v>
          </cell>
          <cell r="K69" t="str">
            <v>Müşteri</v>
          </cell>
          <cell r="L69" t="str">
            <v>FREN BÖLÜMÜ ARIZA VERDİ ARAÇ RESETLENDİ PS1-PS2 DEVREYE GİRMEDİ YOLCULAR TAHLİYE EDİLDİ FREN RESET KULLANILARAK 20KM/H İLE YOLCUSUZ DEVAM EDİLDİ (T4 HATTI 2 SEFERDE 9 DK) (T1 HATTI 1 SEFERDE 4 DK) (T3 HATTI 1 SEFERDE 9 DK) TEHİR OLUŞTU TOPLAM 4 SEFERDE 22 DK TEHİR OLUŞTU</v>
          </cell>
          <cell r="M69" t="str">
            <v>ARAÇTA İNVERTER SİSTEMİ KAPANDIĞI İÇİN HİDROLİK FREN SÜREKLİ DEVREYE GİRMEKTEDİR. ARAÇTA FREN ARIZASI BULUNMAMAKTADIR</v>
          </cell>
          <cell r="N69">
            <v>38000</v>
          </cell>
          <cell r="P69" t="str">
            <v>B(Servisten çekmeye etki eden arızalar)</v>
          </cell>
          <cell r="Q69" t="str">
            <v>N.A(Yaralanma yok)</v>
          </cell>
          <cell r="R69" t="str">
            <v>Tedarikçi</v>
          </cell>
          <cell r="S69" t="str">
            <v>Medcom</v>
          </cell>
          <cell r="T69">
            <v>45352</v>
          </cell>
          <cell r="U69">
            <v>45352.333333333336</v>
          </cell>
          <cell r="V69" t="str">
            <v>MEDCOM SP. Z O.O.</v>
          </cell>
          <cell r="W69" t="str">
            <v>COMBO KUTUSU (+LHD) MEDCOM</v>
          </cell>
          <cell r="X69" t="str">
            <v>P620-7023</v>
          </cell>
          <cell r="AE69" t="str">
            <v/>
          </cell>
          <cell r="AH69" t="str">
            <v/>
          </cell>
          <cell r="AN69">
            <v>1</v>
          </cell>
          <cell r="AP69" t="str">
            <v>(I) İlk defa karşılaşılan arıza</v>
          </cell>
          <cell r="AQ69">
            <v>45352</v>
          </cell>
          <cell r="AR69">
            <v>45352.75</v>
          </cell>
          <cell r="AU69" t="str">
            <v>ComboBox</v>
          </cell>
        </row>
        <row r="70">
          <cell r="A70" t="str">
            <v>a281baec</v>
          </cell>
          <cell r="B70" t="str">
            <v>BOZ-KAY5+6-FF-069</v>
          </cell>
          <cell r="E70">
            <v>45343</v>
          </cell>
          <cell r="F70">
            <v>45343.869675925926</v>
          </cell>
          <cell r="G70" t="str">
            <v>3879(8)</v>
          </cell>
          <cell r="H70" t="str">
            <v>P</v>
          </cell>
          <cell r="I70" t="str">
            <v>Hat/Line</v>
          </cell>
          <cell r="J70" t="str">
            <v>A-Sürüşü engeller</v>
          </cell>
          <cell r="K70" t="str">
            <v>Müşteri</v>
          </cell>
          <cell r="L70" t="str">
            <v>ARAÇ TALEP VERMİYOR VİCOSTA GÖRÜNMÜYOR</v>
          </cell>
          <cell r="M70" t="str">
            <v>CARTRİDGE KABLOSU TAKILDI</v>
          </cell>
          <cell r="N70">
            <v>1459</v>
          </cell>
          <cell r="P70" t="str">
            <v>B(Servisten çekmeye etki eden arızalar)</v>
          </cell>
          <cell r="Q70" t="str">
            <v>N.A(Yaralanma yok)</v>
          </cell>
          <cell r="R70" t="str">
            <v>Bozankaya</v>
          </cell>
          <cell r="S70" t="str">
            <v>Üretim</v>
          </cell>
          <cell r="T70">
            <v>45343</v>
          </cell>
          <cell r="U70">
            <v>45343.927083333336</v>
          </cell>
          <cell r="V70" t="str">
            <v>Stadler Signalling Deutschland GmbH</v>
          </cell>
          <cell r="W70" t="str">
            <v>IMU 100 FZA KOMPLESI</v>
          </cell>
          <cell r="X70" t="str">
            <v>E865-7011</v>
          </cell>
          <cell r="AE70" t="str">
            <v/>
          </cell>
          <cell r="AH70" t="str">
            <v/>
          </cell>
          <cell r="AN70">
            <v>1</v>
          </cell>
          <cell r="AP70" t="str">
            <v>(I) İlk defa karşılaşılan arıza</v>
          </cell>
          <cell r="AQ70">
            <v>45344</v>
          </cell>
          <cell r="AR70">
            <v>45344</v>
          </cell>
          <cell r="AU70" t="str">
            <v>Kabin Masası</v>
          </cell>
        </row>
        <row r="71">
          <cell r="A71" t="str">
            <v>07b5c65e</v>
          </cell>
          <cell r="B71" t="str">
            <v>BOZ-KAY5+6-FF-070</v>
          </cell>
          <cell r="E71">
            <v>45343</v>
          </cell>
          <cell r="F71">
            <v>45343.915277777778</v>
          </cell>
          <cell r="G71" t="str">
            <v>3879(8)</v>
          </cell>
          <cell r="H71" t="str">
            <v>MA</v>
          </cell>
          <cell r="I71" t="str">
            <v>Hat/Line</v>
          </cell>
          <cell r="J71" t="str">
            <v>A-Sürüşü engeller</v>
          </cell>
          <cell r="K71" t="str">
            <v>Müşteri</v>
          </cell>
          <cell r="L71" t="str">
            <v>KAMERALARDA GÖRÜNTÜ YOK</v>
          </cell>
          <cell r="M71" t="str">
            <v>CCTV EKRANI IP NUMARASI YANLIŞ GİRİLMİŞ DÜZELTİLDİ</v>
          </cell>
          <cell r="N71">
            <v>1459</v>
          </cell>
          <cell r="P71" t="str">
            <v>B(Servisten çekmeye etki eden arızalar)</v>
          </cell>
          <cell r="Q71" t="str">
            <v>N.A(Yaralanma yok)</v>
          </cell>
          <cell r="R71" t="str">
            <v>Tedarikçi</v>
          </cell>
          <cell r="S71" t="str">
            <v>NSC</v>
          </cell>
          <cell r="T71">
            <v>45343</v>
          </cell>
          <cell r="U71">
            <v>45343.916666666664</v>
          </cell>
          <cell r="V71" t="str">
            <v>NSC TEKNOLOJİ ve İNŞAAT LTD.ŞTİ.</v>
          </cell>
          <cell r="W71" t="str">
            <v>CCTV EKRANI</v>
          </cell>
          <cell r="X71" t="str">
            <v>E810-7145</v>
          </cell>
          <cell r="AE71" t="str">
            <v/>
          </cell>
          <cell r="AH71" t="str">
            <v/>
          </cell>
          <cell r="AN71">
            <v>1</v>
          </cell>
          <cell r="AP71" t="str">
            <v>(I) İlk defa karşılaşılan arıza</v>
          </cell>
          <cell r="AQ71">
            <v>45344</v>
          </cell>
          <cell r="AR71">
            <v>45344</v>
          </cell>
          <cell r="AU71" t="str">
            <v>PA/PIS/CCTV</v>
          </cell>
        </row>
        <row r="72">
          <cell r="A72" t="str">
            <v>6efa5765</v>
          </cell>
          <cell r="B72" t="str">
            <v>BOZ-KAY5+6-FF-071</v>
          </cell>
          <cell r="E72">
            <v>45343</v>
          </cell>
          <cell r="F72">
            <v>45343.917361111111</v>
          </cell>
          <cell r="G72" t="str">
            <v>3879(8)</v>
          </cell>
          <cell r="H72" t="str">
            <v>P</v>
          </cell>
          <cell r="I72" t="str">
            <v>Hat/Line</v>
          </cell>
          <cell r="J72" t="str">
            <v>A-Sürüşü engeller</v>
          </cell>
          <cell r="K72" t="str">
            <v>Müşteri</v>
          </cell>
          <cell r="L72" t="str">
            <v>IMU ÇALIŞMIYOR BİLGİ GİRİŞİ YAPILMIYOR</v>
          </cell>
          <cell r="M72" t="str">
            <v>IMU CİHAZINDAKİ CARTRİDGE KABLOSU TAKILDI</v>
          </cell>
          <cell r="N72">
            <v>1459</v>
          </cell>
          <cell r="P72" t="str">
            <v>B(Servisten çekmeye etki eden arızalar)</v>
          </cell>
          <cell r="Q72" t="str">
            <v>N.A(Yaralanma yok)</v>
          </cell>
          <cell r="R72" t="str">
            <v>Bozankaya</v>
          </cell>
          <cell r="S72" t="str">
            <v>Üretim</v>
          </cell>
          <cell r="T72">
            <v>45344</v>
          </cell>
          <cell r="U72">
            <v>45344.333333333336</v>
          </cell>
          <cell r="V72" t="str">
            <v>Stadler Signalling Deutschland GmbH</v>
          </cell>
          <cell r="W72" t="str">
            <v>IMU 100 FZA KOMPLESI</v>
          </cell>
          <cell r="X72" t="str">
            <v>E865-7011</v>
          </cell>
          <cell r="AE72" t="str">
            <v/>
          </cell>
          <cell r="AH72" t="str">
            <v/>
          </cell>
          <cell r="AN72">
            <v>1</v>
          </cell>
          <cell r="AP72" t="str">
            <v>(I) İlk defa karşılaşılan arıza</v>
          </cell>
          <cell r="AQ72">
            <v>45344</v>
          </cell>
          <cell r="AR72">
            <v>45344.458333333336</v>
          </cell>
          <cell r="AU72" t="str">
            <v>Kabin Masası</v>
          </cell>
        </row>
        <row r="73">
          <cell r="A73" t="str">
            <v>524dff30</v>
          </cell>
          <cell r="B73" t="str">
            <v>BOZ-KAY5+6-FF-072</v>
          </cell>
          <cell r="E73">
            <v>45343</v>
          </cell>
          <cell r="F73">
            <v>45343.918055555558</v>
          </cell>
          <cell r="G73" t="str">
            <v>3879(8)</v>
          </cell>
          <cell r="H73" t="str">
            <v>MA</v>
          </cell>
          <cell r="I73" t="str">
            <v>Hat/Line</v>
          </cell>
          <cell r="J73" t="str">
            <v>C-Uyarı, sürüş devamlılığı</v>
          </cell>
          <cell r="K73" t="str">
            <v>Müşteri</v>
          </cell>
          <cell r="L73" t="str">
            <v>ANONS SİSTEMİ PERONA GELMEDEN ANONS YAPIYOR KAPILAR AÇILINCA PERON ANONSU YAPMIYOR</v>
          </cell>
          <cell r="M73" t="str">
            <v>ARIZA GÜNÜ ARACA TEST YAPILAMADI 29.02.2024 TARİHİ İTİBARİ İLE ARAÇ SERVİSTE ÇALIŞMAKTADIR.</v>
          </cell>
          <cell r="N73">
            <v>1459</v>
          </cell>
          <cell r="P73" t="str">
            <v>C(Sisteme etki etmeyen arıza)</v>
          </cell>
          <cell r="Q73" t="str">
            <v>N.A(Yaralanma yok)</v>
          </cell>
          <cell r="R73" t="str">
            <v>Bozankaya</v>
          </cell>
          <cell r="S73" t="str">
            <v>Fabrika Test</v>
          </cell>
          <cell r="T73">
            <v>45344</v>
          </cell>
          <cell r="U73">
            <v>45344.333333333336</v>
          </cell>
          <cell r="V73" t="str">
            <v>Lütze Transportation GmbH</v>
          </cell>
          <cell r="W73" t="str">
            <v>ACSys-19'' RACK</v>
          </cell>
          <cell r="X73" t="str">
            <v>E820-7020</v>
          </cell>
          <cell r="AE73" t="str">
            <v/>
          </cell>
          <cell r="AH73" t="str">
            <v/>
          </cell>
          <cell r="AN73">
            <v>1</v>
          </cell>
          <cell r="AP73" t="str">
            <v>(I) İlk defa karşılaşılan arıza</v>
          </cell>
          <cell r="AQ73">
            <v>45344</v>
          </cell>
          <cell r="AR73">
            <v>45344.5</v>
          </cell>
          <cell r="AU73" t="str">
            <v>PA/PIS/CCTV</v>
          </cell>
        </row>
        <row r="74">
          <cell r="A74" t="str">
            <v>4e49d947</v>
          </cell>
          <cell r="B74" t="str">
            <v>BOZ-KAY5+6-FF-073</v>
          </cell>
          <cell r="E74">
            <v>45344</v>
          </cell>
          <cell r="F74">
            <v>45344.466666666667</v>
          </cell>
          <cell r="G74" t="str">
            <v>3873(2)</v>
          </cell>
          <cell r="H74" t="str">
            <v>RA</v>
          </cell>
          <cell r="I74" t="str">
            <v>Hat/Line</v>
          </cell>
          <cell r="J74" t="str">
            <v>C-Uyarı, sürüş devamlılığı</v>
          </cell>
          <cell r="K74" t="str">
            <v>Müşteri</v>
          </cell>
          <cell r="L74" t="str">
            <v>6 NOLU KAPI BUZZER SÜREKLİ ÖTÜYOR</v>
          </cell>
          <cell r="M74" t="str">
            <v>KAPI RESETLENDİ ARIZA DÜZELDİ</v>
          </cell>
          <cell r="N74">
            <v>45200</v>
          </cell>
          <cell r="P74" t="str">
            <v>C(Sisteme etki etmeyen arıza)</v>
          </cell>
          <cell r="Q74" t="str">
            <v>N.A(Yaralanma yok)</v>
          </cell>
          <cell r="R74" t="str">
            <v>Tedarikçi</v>
          </cell>
          <cell r="S74" t="str">
            <v>TSL</v>
          </cell>
          <cell r="T74">
            <v>45344</v>
          </cell>
          <cell r="U74">
            <v>45344.5</v>
          </cell>
          <cell r="V74" t="str">
            <v>TURCK OTOMASYON TİC. LTD.ŞTİ.</v>
          </cell>
          <cell r="W74" t="str">
            <v>SESLI UYARI CIHAZI</v>
          </cell>
          <cell r="X74" t="str">
            <v>M110-7057</v>
          </cell>
          <cell r="AE74" t="str">
            <v/>
          </cell>
          <cell r="AH74" t="str">
            <v/>
          </cell>
          <cell r="AN74">
            <v>1</v>
          </cell>
          <cell r="AP74" t="str">
            <v>(II) Birden fazla karşılaşılan arıza</v>
          </cell>
          <cell r="AQ74">
            <v>45344</v>
          </cell>
          <cell r="AR74">
            <v>45344.583333333336</v>
          </cell>
          <cell r="AU74" t="str">
            <v>Kapı</v>
          </cell>
        </row>
        <row r="75">
          <cell r="A75" t="str">
            <v>74daaf62</v>
          </cell>
          <cell r="B75" t="str">
            <v>BOZ-KAY5+6-FF-074</v>
          </cell>
          <cell r="E75">
            <v>45344</v>
          </cell>
          <cell r="F75">
            <v>45344.469444444447</v>
          </cell>
          <cell r="G75" t="str">
            <v>3874(3)</v>
          </cell>
          <cell r="H75" t="str">
            <v>MA</v>
          </cell>
          <cell r="I75" t="str">
            <v>Hat/Line</v>
          </cell>
          <cell r="J75" t="str">
            <v>A-Sürüşü engeller</v>
          </cell>
          <cell r="K75" t="str">
            <v>Müşteri</v>
          </cell>
          <cell r="L75" t="str">
            <v>MA BOJİ HPU YARDIMCI HİDROLİKTE YAĞ KAÇAĞI VAR</v>
          </cell>
          <cell r="M75" t="str">
            <v>YARDIMCI HPU DEĞİŞİMİ YAPILDI</v>
          </cell>
          <cell r="N75">
            <v>46200</v>
          </cell>
          <cell r="P75" t="str">
            <v>A(Hareket etmeyi engelleyen arıza)</v>
          </cell>
          <cell r="Q75" t="str">
            <v>N.A(Yaralanma yok)</v>
          </cell>
          <cell r="R75" t="str">
            <v>Tedarikçi</v>
          </cell>
          <cell r="S75" t="str">
            <v>HANNING  KAHL</v>
          </cell>
          <cell r="T75">
            <v>45345</v>
          </cell>
          <cell r="U75">
            <v>45345.333333333336</v>
          </cell>
          <cell r="V75" t="str">
            <v>HANNING &amp; KAHL GMBH &amp; CO.KG</v>
          </cell>
          <cell r="W75" t="str">
            <v>XHidrolik Ünite HZY-NL</v>
          </cell>
          <cell r="X75" t="str">
            <v>S306-7003</v>
          </cell>
          <cell r="AB75" t="str">
            <v>Ekipman değiştirilecek</v>
          </cell>
          <cell r="AE75" t="str">
            <v/>
          </cell>
          <cell r="AH75" t="str">
            <v/>
          </cell>
          <cell r="AN75">
            <v>1</v>
          </cell>
          <cell r="AP75" t="str">
            <v>(I) İlk defa karşılaşılan arıza</v>
          </cell>
          <cell r="AQ75">
            <v>45345</v>
          </cell>
          <cell r="AR75">
            <v>45345.625</v>
          </cell>
          <cell r="AU75" t="str">
            <v>Fren</v>
          </cell>
        </row>
        <row r="76">
          <cell r="A76" t="str">
            <v>178085ec</v>
          </cell>
          <cell r="B76" t="str">
            <v>BOZ-KAY5+6-FF-075</v>
          </cell>
          <cell r="E76">
            <v>45344</v>
          </cell>
          <cell r="F76">
            <v>45344.783333333333</v>
          </cell>
          <cell r="G76" t="str">
            <v>3877(6)</v>
          </cell>
          <cell r="H76" t="str">
            <v>MA</v>
          </cell>
          <cell r="I76" t="str">
            <v>Hat/Line</v>
          </cell>
          <cell r="J76" t="str">
            <v>A-Sürüşü engeller</v>
          </cell>
          <cell r="K76" t="str">
            <v>Müşteri</v>
          </cell>
          <cell r="L76" t="str">
            <v>A KABİN SİLECEK ÇALIŞMIYOR</v>
          </cell>
          <cell r="M76" t="str">
            <v>SİLECEK MODÜLÜ TAKILI KALMIŞ RESETLENDİ</v>
          </cell>
          <cell r="N76">
            <v>26200</v>
          </cell>
          <cell r="P76" t="str">
            <v>B(Servisten çekmeye etki eden arızalar)</v>
          </cell>
          <cell r="Q76" t="str">
            <v>N.A(Yaralanma yok)</v>
          </cell>
          <cell r="R76" t="str">
            <v>Tedarikçi</v>
          </cell>
          <cell r="S76" t="str">
            <v>Bozankaya</v>
          </cell>
          <cell r="T76">
            <v>45344</v>
          </cell>
          <cell r="U76">
            <v>45344.791666666664</v>
          </cell>
          <cell r="V76" t="str">
            <v>DENİZLER OTOMOTİV SAN. VE TİC.LTD.Ş</v>
          </cell>
          <cell r="W76" t="str">
            <v>SİLECEK MEKANİZMASI Denizler / M.11.2506</v>
          </cell>
          <cell r="X76" t="str">
            <v>M100-7066</v>
          </cell>
          <cell r="AE76" t="str">
            <v/>
          </cell>
          <cell r="AH76" t="str">
            <v/>
          </cell>
          <cell r="AN76">
            <v>1</v>
          </cell>
          <cell r="AP76" t="str">
            <v>(II) Birden fazla karşılaşılan arıza</v>
          </cell>
          <cell r="AQ76">
            <v>45344</v>
          </cell>
          <cell r="AR76">
            <v>45344.833333333336</v>
          </cell>
          <cell r="AU76" t="str">
            <v>Giydirme Dış</v>
          </cell>
        </row>
        <row r="77">
          <cell r="A77" t="str">
            <v>647d09a9</v>
          </cell>
          <cell r="B77" t="str">
            <v>BOZ-KAY5+6-FF-076</v>
          </cell>
          <cell r="E77">
            <v>45344</v>
          </cell>
          <cell r="F77">
            <v>45344.783333333333</v>
          </cell>
          <cell r="G77" t="str">
            <v>3877(6)</v>
          </cell>
          <cell r="H77" t="str">
            <v>MA</v>
          </cell>
          <cell r="I77" t="str">
            <v>Hat/Line</v>
          </cell>
          <cell r="J77" t="str">
            <v>A-Sürüşü engeller</v>
          </cell>
          <cell r="K77" t="str">
            <v>Müşteri</v>
          </cell>
          <cell r="L77" t="str">
            <v>A KABİN SİLECEK ÇALIŞMIYOR</v>
          </cell>
          <cell r="M77" t="str">
            <v>SİLECEK MODÜLÜ TAKILI KALMIŞ ONARILDI</v>
          </cell>
          <cell r="N77">
            <v>26500</v>
          </cell>
          <cell r="P77" t="str">
            <v>B(Servisten çekmeye etki eden arızalar)</v>
          </cell>
          <cell r="Q77" t="str">
            <v>N.A(Yaralanma yok)</v>
          </cell>
          <cell r="R77" t="str">
            <v>Bozankaya</v>
          </cell>
          <cell r="S77" t="str">
            <v>Tasarım</v>
          </cell>
          <cell r="T77">
            <v>45344</v>
          </cell>
          <cell r="U77">
            <v>45344.791666666664</v>
          </cell>
          <cell r="V77" t="str">
            <v>DENİZLER OTOMOTİV SAN. VE TİC.LTD.Ş</v>
          </cell>
          <cell r="W77" t="str">
            <v>SİLECEK MEKANİZMASI Denizler / M.11.2506</v>
          </cell>
          <cell r="X77" t="str">
            <v>M100-7066</v>
          </cell>
          <cell r="AE77" t="str">
            <v/>
          </cell>
          <cell r="AH77" t="str">
            <v/>
          </cell>
          <cell r="AN77">
            <v>1</v>
          </cell>
          <cell r="AP77" t="str">
            <v>(II) Birden fazla karşılaşılan arıza</v>
          </cell>
          <cell r="AQ77">
            <v>45344</v>
          </cell>
          <cell r="AR77">
            <v>45344.875</v>
          </cell>
          <cell r="AU77" t="str">
            <v>Giydirme Dış</v>
          </cell>
        </row>
        <row r="78">
          <cell r="A78" t="str">
            <v>e3cbd052</v>
          </cell>
          <cell r="B78" t="str">
            <v>BOZ-KAY5+6-FF-077</v>
          </cell>
          <cell r="E78">
            <v>45344</v>
          </cell>
          <cell r="F78">
            <v>45344.783333333333</v>
          </cell>
          <cell r="G78" t="str">
            <v>3877(6)</v>
          </cell>
          <cell r="H78" t="str">
            <v>MA</v>
          </cell>
          <cell r="I78" t="str">
            <v>Hat/Line</v>
          </cell>
          <cell r="J78" t="str">
            <v>C-Uyarı, sürüş devamlılığı</v>
          </cell>
          <cell r="K78" t="str">
            <v>Müşteri</v>
          </cell>
          <cell r="L78" t="str">
            <v>A Kabin silgeç çalışmıyor</v>
          </cell>
          <cell r="M78" t="str">
            <v>3877 silecek arızası kontrol edildi.Silecek modülü takılı kalmış onarıldı</v>
          </cell>
          <cell r="N78">
            <v>25500</v>
          </cell>
          <cell r="P78" t="str">
            <v>B(Servisten çekmeye etki eden arızalar)</v>
          </cell>
          <cell r="Q78" t="str">
            <v>N.A(Yaralanma yok)</v>
          </cell>
          <cell r="R78" t="str">
            <v>Tedarikçi</v>
          </cell>
          <cell r="S78" t="str">
            <v>Bozankaya</v>
          </cell>
          <cell r="T78">
            <v>45538</v>
          </cell>
          <cell r="U78">
            <v>45538.378819444442</v>
          </cell>
          <cell r="V78" t="str">
            <v>YILKA OTOMOTİV VE RAYLI ARAÇ TEKNO.</v>
          </cell>
          <cell r="W78" t="str">
            <v>SİLECEK MODÜLÜ (24 VOLT)</v>
          </cell>
          <cell r="X78" t="str">
            <v>E865-7038</v>
          </cell>
          <cell r="AB78" t="str">
            <v>Arıza çözülecek</v>
          </cell>
          <cell r="AE78" t="str">
            <v/>
          </cell>
          <cell r="AH78" t="str">
            <v/>
          </cell>
          <cell r="AN78">
            <v>1</v>
          </cell>
          <cell r="AP78" t="str">
            <v>(II) Birden fazla karşılaşılan arıza</v>
          </cell>
          <cell r="AQ78">
            <v>45538</v>
          </cell>
          <cell r="AR78">
            <v>45538.458333333336</v>
          </cell>
          <cell r="AU78" t="str">
            <v>Silecek</v>
          </cell>
        </row>
        <row r="79">
          <cell r="A79" t="str">
            <v>d13e944e</v>
          </cell>
          <cell r="B79" t="str">
            <v>BOZ-KAY5+6-FF-078</v>
          </cell>
          <cell r="E79">
            <v>45344</v>
          </cell>
          <cell r="F79">
            <v>45344.958333333336</v>
          </cell>
          <cell r="G79" t="str">
            <v>3880(9)</v>
          </cell>
          <cell r="H79" t="str">
            <v>P</v>
          </cell>
          <cell r="I79" t="str">
            <v>Hat/Line</v>
          </cell>
          <cell r="J79" t="str">
            <v>A-Sürüşü engeller</v>
          </cell>
          <cell r="K79" t="str">
            <v>Müşteri</v>
          </cell>
          <cell r="L79" t="str">
            <v>ARAÇ KLİMA IMU ANONS SİSTEMİ ARIZASI NEDENİYLE RESETLENDİ ARAÇ PANTOGRAF ARIZASI VERDİ</v>
          </cell>
          <cell r="M79" t="str">
            <v>PANTOGRAF HALL EFFECT SENSOR AYARI YAPILDI IMU KABLOSU YANLIŞ TAKILMIŞ DÜZELTİLDİ</v>
          </cell>
          <cell r="N79">
            <v>2450</v>
          </cell>
          <cell r="P79" t="str">
            <v>A(Hareket etmeyi engelleyen arıza)</v>
          </cell>
          <cell r="Q79" t="str">
            <v>N.A(Yaralanma yok)</v>
          </cell>
          <cell r="R79" t="str">
            <v>Tedarikçi</v>
          </cell>
          <cell r="S79" t="str">
            <v>Bozankaya</v>
          </cell>
          <cell r="T79">
            <v>45345</v>
          </cell>
          <cell r="U79">
            <v>45345.333333333336</v>
          </cell>
          <cell r="V79" t="str">
            <v>STEMMANN-POLSKA SP. Z O.O.</v>
          </cell>
          <cell r="W79" t="str">
            <v>PANTOGRAF KOMPLESI</v>
          </cell>
          <cell r="X79" t="str">
            <v>P710-7019</v>
          </cell>
          <cell r="AE79" t="str">
            <v/>
          </cell>
          <cell r="AH79" t="str">
            <v/>
          </cell>
          <cell r="AN79">
            <v>1</v>
          </cell>
          <cell r="AP79" t="str">
            <v>(I) İlk defa karşılaşılan arıza</v>
          </cell>
          <cell r="AQ79">
            <v>45345</v>
          </cell>
          <cell r="AR79">
            <v>45345.5</v>
          </cell>
          <cell r="AU79" t="str">
            <v>Pantograf</v>
          </cell>
        </row>
        <row r="80">
          <cell r="A80" t="str">
            <v>bd460d2e</v>
          </cell>
          <cell r="B80" t="str">
            <v>BOZ-KAY5+6-FF-079</v>
          </cell>
          <cell r="E80">
            <v>45345</v>
          </cell>
          <cell r="F80">
            <v>45345.368055555555</v>
          </cell>
          <cell r="G80" t="str">
            <v>3874(3)</v>
          </cell>
          <cell r="H80" t="str">
            <v>MB</v>
          </cell>
          <cell r="I80" t="str">
            <v>Hat/Line</v>
          </cell>
          <cell r="J80" t="str">
            <v>A-Sürüşü engeller</v>
          </cell>
          <cell r="K80" t="str">
            <v>Müşteri</v>
          </cell>
          <cell r="L80" t="str">
            <v>CB SİLECEK ÇALIŞMIYOR</v>
          </cell>
          <cell r="M80" t="str">
            <v>SİLECEK SOMUNU GEVŞEMİŞ SIKILDI</v>
          </cell>
          <cell r="N80">
            <v>47757</v>
          </cell>
          <cell r="P80" t="str">
            <v>B(Servisten çekmeye etki eden arızalar)</v>
          </cell>
          <cell r="Q80" t="str">
            <v>N.A(Yaralanma yok)</v>
          </cell>
          <cell r="R80" t="str">
            <v>Tedarikçi</v>
          </cell>
          <cell r="S80" t="str">
            <v>Bozankaya</v>
          </cell>
          <cell r="T80">
            <v>45345</v>
          </cell>
          <cell r="U80">
            <v>45345.416666666664</v>
          </cell>
          <cell r="V80" t="str">
            <v>DENİZLER OTOMOTİV SAN. VE TİC.LTD.Ş</v>
          </cell>
          <cell r="W80" t="str">
            <v>SİLECEK MEKANİZMASI Denizler / M.11.2506</v>
          </cell>
          <cell r="X80" t="str">
            <v>M100-7066</v>
          </cell>
          <cell r="Y80">
            <v>1</v>
          </cell>
          <cell r="AB80" t="str">
            <v>Tamir edilecek</v>
          </cell>
          <cell r="AE80" t="str">
            <v/>
          </cell>
          <cell r="AH80" t="str">
            <v/>
          </cell>
          <cell r="AN80">
            <v>1</v>
          </cell>
          <cell r="AP80" t="str">
            <v>(II) Birden fazla karşılaşılan arıza</v>
          </cell>
          <cell r="AQ80">
            <v>45345</v>
          </cell>
          <cell r="AR80">
            <v>45345.5</v>
          </cell>
          <cell r="AU80" t="str">
            <v>Giydirme Dış</v>
          </cell>
        </row>
        <row r="81">
          <cell r="A81" t="str">
            <v>3d023442</v>
          </cell>
          <cell r="B81" t="str">
            <v>BOZ-KAY5+6-FF-080</v>
          </cell>
          <cell r="E81">
            <v>45345</v>
          </cell>
          <cell r="F81">
            <v>45345.43472222222</v>
          </cell>
          <cell r="G81" t="str">
            <v>3873(2)</v>
          </cell>
          <cell r="H81" t="str">
            <v>MA</v>
          </cell>
          <cell r="I81" t="str">
            <v>Hat/Line</v>
          </cell>
          <cell r="J81" t="str">
            <v>A-Sürüşü engeller</v>
          </cell>
          <cell r="K81" t="str">
            <v>Müşteri</v>
          </cell>
          <cell r="L81" t="str">
            <v>A BAŞ CCTV EKRANI ÇALIŞMIYOR</v>
          </cell>
          <cell r="M81" t="str">
            <v>EKRAN DEĞİŞİMİ YAPILDI</v>
          </cell>
          <cell r="N81">
            <v>40000</v>
          </cell>
          <cell r="P81" t="str">
            <v>B(Servisten çekmeye etki eden arızalar)</v>
          </cell>
          <cell r="Q81" t="str">
            <v>N.A(Yaralanma yok)</v>
          </cell>
          <cell r="R81" t="str">
            <v>Tedarikçi</v>
          </cell>
          <cell r="S81" t="str">
            <v>NSC</v>
          </cell>
          <cell r="T81">
            <v>45345</v>
          </cell>
          <cell r="U81">
            <v>45345.458333333336</v>
          </cell>
          <cell r="V81" t="str">
            <v>NSC TEKNOLOJİ ve İNŞAAT LTD.ŞTİ.</v>
          </cell>
          <cell r="W81" t="str">
            <v>CCTV EKRANI</v>
          </cell>
          <cell r="X81" t="str">
            <v>E810-7145</v>
          </cell>
          <cell r="AE81" t="str">
            <v/>
          </cell>
          <cell r="AH81" t="str">
            <v/>
          </cell>
          <cell r="AN81">
            <v>1</v>
          </cell>
          <cell r="AP81" t="str">
            <v>(II) Birden fazla karşılaşılan arıza</v>
          </cell>
          <cell r="AQ81">
            <v>45345</v>
          </cell>
          <cell r="AR81">
            <v>45345.583333333336</v>
          </cell>
          <cell r="AU81" t="str">
            <v>PA/PIS/CCTV</v>
          </cell>
        </row>
        <row r="82">
          <cell r="A82" t="str">
            <v>8ee5cd92</v>
          </cell>
          <cell r="B82" t="str">
            <v>BOZ-KAY5+6-FF-081</v>
          </cell>
          <cell r="E82">
            <v>45345</v>
          </cell>
          <cell r="F82">
            <v>45345.445833333331</v>
          </cell>
          <cell r="G82" t="str">
            <v>3874(3)</v>
          </cell>
          <cell r="H82" t="str">
            <v>RB</v>
          </cell>
          <cell r="I82" t="str">
            <v>Hat/Line</v>
          </cell>
          <cell r="J82" t="str">
            <v>B-Hız veya güç azalması</v>
          </cell>
          <cell r="K82" t="str">
            <v>Müşteri</v>
          </cell>
          <cell r="L82" t="str">
            <v>8 NOLU KAPI AÇMA BUTONU ÇALIŞMIYOR</v>
          </cell>
          <cell r="M82" t="str">
            <v>BUTON KABLOSU KOPMUŞ LEHİMLENDİ SORUN GİDERİLDİ</v>
          </cell>
          <cell r="N82">
            <v>40000</v>
          </cell>
          <cell r="P82" t="str">
            <v>B(Servisten çekmeye etki eden arızalar)</v>
          </cell>
          <cell r="Q82" t="str">
            <v>N.A(Yaralanma yok)</v>
          </cell>
          <cell r="R82" t="str">
            <v>Bozankaya</v>
          </cell>
          <cell r="S82" t="str">
            <v>Üretim</v>
          </cell>
          <cell r="T82">
            <v>45345</v>
          </cell>
          <cell r="U82">
            <v>45345.5</v>
          </cell>
          <cell r="V82" t="str">
            <v>KNORR-BREMSE GMBH DİVİSİON IFE AUTO</v>
          </cell>
          <cell r="W82" t="str">
            <v>PRM’LI ÇİFTLİ KAPI</v>
          </cell>
          <cell r="X82" t="str">
            <v>M110-7082</v>
          </cell>
          <cell r="AE82" t="str">
            <v/>
          </cell>
          <cell r="AH82" t="str">
            <v/>
          </cell>
          <cell r="AN82">
            <v>1</v>
          </cell>
          <cell r="AP82" t="str">
            <v>(I) İlk defa karşılaşılan arıza</v>
          </cell>
          <cell r="AQ82">
            <v>45345</v>
          </cell>
          <cell r="AR82">
            <v>45345.583333333336</v>
          </cell>
          <cell r="AU82" t="str">
            <v>Kapı</v>
          </cell>
        </row>
        <row r="83">
          <cell r="A83" t="str">
            <v>a75c49dc</v>
          </cell>
          <cell r="B83" t="str">
            <v>BOZ-KAY5+6-FF-082</v>
          </cell>
          <cell r="E83">
            <v>45345</v>
          </cell>
          <cell r="F83">
            <v>45345.45208333333</v>
          </cell>
          <cell r="G83" t="str">
            <v>3874(3)</v>
          </cell>
          <cell r="H83" t="str">
            <v>MB</v>
          </cell>
          <cell r="I83" t="str">
            <v>Hat/Line</v>
          </cell>
          <cell r="J83" t="str">
            <v>A-Sürüşü engeller</v>
          </cell>
          <cell r="K83" t="str">
            <v>Müşteri</v>
          </cell>
          <cell r="L83" t="str">
            <v>SC SİLECEK KOLÇAK BUTONUNDAN ÇALIŞTIRILDIĞINDA TAKILARAK ÇALIŞIYOR</v>
          </cell>
          <cell r="M83" t="str">
            <v>KONNEKTÖR TAM OTURTULDU SORUN GİDERİLDİ</v>
          </cell>
          <cell r="N83">
            <v>47754</v>
          </cell>
          <cell r="P83" t="str">
            <v>B(Servisten çekmeye etki eden arızalar)</v>
          </cell>
          <cell r="Q83" t="str">
            <v>N.A(Yaralanma yok)</v>
          </cell>
          <cell r="R83" t="str">
            <v>Bozankaya</v>
          </cell>
          <cell r="S83" t="str">
            <v>Üretim</v>
          </cell>
          <cell r="T83">
            <v>45345</v>
          </cell>
          <cell r="U83">
            <v>45345.458333333336</v>
          </cell>
          <cell r="V83" t="str">
            <v>GENERAL TEKNİK ELEKTRONİK TESİSAT</v>
          </cell>
          <cell r="W83" t="str">
            <v>SAĞ BUTON KOMPLESİ</v>
          </cell>
          <cell r="X83" t="str">
            <v>E300-7359</v>
          </cell>
          <cell r="Y83">
            <v>1</v>
          </cell>
          <cell r="AB83" t="str">
            <v>Tamir edilecek</v>
          </cell>
          <cell r="AE83" t="str">
            <v/>
          </cell>
          <cell r="AH83" t="str">
            <v/>
          </cell>
          <cell r="AN83">
            <v>1</v>
          </cell>
          <cell r="AP83" t="str">
            <v>(I) İlk defa karşılaşılan arıza</v>
          </cell>
          <cell r="AQ83">
            <v>45345</v>
          </cell>
          <cell r="AR83">
            <v>45345.666666666664</v>
          </cell>
          <cell r="AU83" t="str">
            <v>Kabin Masası</v>
          </cell>
        </row>
        <row r="84">
          <cell r="A84" t="str">
            <v>60b2d4c6</v>
          </cell>
          <cell r="B84" t="str">
            <v>BOZ-KAY5+6-FF-083</v>
          </cell>
          <cell r="E84">
            <v>45345</v>
          </cell>
          <cell r="F84">
            <v>45345.652777777781</v>
          </cell>
          <cell r="G84" t="str">
            <v>3874(3)</v>
          </cell>
          <cell r="H84" t="str">
            <v>MA</v>
          </cell>
          <cell r="I84" t="str">
            <v>Hat/Line</v>
          </cell>
          <cell r="J84" t="str">
            <v>C-Uyarı, sürüş devamlılığı</v>
          </cell>
          <cell r="K84" t="str">
            <v>Müşteri</v>
          </cell>
          <cell r="L84" t="str">
            <v>CA-CB KABİN PERDE LİMİT AYARI YAPILMAMIŞ</v>
          </cell>
          <cell r="M84" t="str">
            <v>PERDE LİMİT AYARI YAPILDI</v>
          </cell>
          <cell r="N84">
            <v>47754</v>
          </cell>
          <cell r="P84" t="str">
            <v>B(Servisten çekmeye etki eden arızalar)</v>
          </cell>
          <cell r="Q84" t="str">
            <v>N.A(Yaralanma yok)</v>
          </cell>
          <cell r="R84" t="str">
            <v>Bozankaya</v>
          </cell>
          <cell r="S84" t="str">
            <v>Fabrika Test</v>
          </cell>
          <cell r="T84">
            <v>45345</v>
          </cell>
          <cell r="U84">
            <v>45345.697916666664</v>
          </cell>
          <cell r="V84" t="str">
            <v>HÜRSANPER OTOMOTİV YAN SANAYİ TİCAR</v>
          </cell>
          <cell r="W84" t="str">
            <v>MOTORLU ÖN PERDE</v>
          </cell>
          <cell r="X84" t="str">
            <v>T910-7001</v>
          </cell>
          <cell r="Y84">
            <v>1</v>
          </cell>
          <cell r="AB84" t="str">
            <v>Tamir edilecek</v>
          </cell>
          <cell r="AE84" t="str">
            <v/>
          </cell>
          <cell r="AH84" t="str">
            <v/>
          </cell>
          <cell r="AN84">
            <v>1</v>
          </cell>
          <cell r="AP84" t="str">
            <v>(I) İlk defa karşılaşılan arıza</v>
          </cell>
          <cell r="AQ84">
            <v>45345</v>
          </cell>
          <cell r="AR84">
            <v>45345.729166666664</v>
          </cell>
          <cell r="AU84" t="str">
            <v>Kabin Masası</v>
          </cell>
        </row>
        <row r="85">
          <cell r="A85" t="str">
            <v>79c86c0d</v>
          </cell>
          <cell r="B85" t="str">
            <v>BOZ-KAY5+6-FF-084</v>
          </cell>
          <cell r="E85">
            <v>45345</v>
          </cell>
          <cell r="F85">
            <v>45345.694004629629</v>
          </cell>
          <cell r="G85" t="str">
            <v>3875(4)</v>
          </cell>
          <cell r="H85" t="str">
            <v>MA</v>
          </cell>
          <cell r="I85" t="str">
            <v>Hat/Line</v>
          </cell>
          <cell r="J85" t="str">
            <v>C-Uyarı, sürüş devamlılığı</v>
          </cell>
          <cell r="K85" t="str">
            <v>Müşteri</v>
          </cell>
          <cell r="L85" t="str">
            <v>KAPI ÜZERİ YOLCU BİLGİLENDİRME EKRANI ÇALIŞMIYOR</v>
          </cell>
          <cell r="M85" t="str">
            <v>EKRAN DEĞİŞİMİ YAPILDI SORUN GİDERİLDİ</v>
          </cell>
          <cell r="N85">
            <v>44212</v>
          </cell>
          <cell r="P85" t="str">
            <v>B(Servisten çekmeye etki eden arızalar)</v>
          </cell>
          <cell r="Q85" t="str">
            <v>N.A(Yaralanma yok)</v>
          </cell>
          <cell r="R85" t="str">
            <v>Tedarikçi</v>
          </cell>
          <cell r="S85" t="str">
            <v>Atak</v>
          </cell>
          <cell r="T85">
            <v>45346</v>
          </cell>
          <cell r="U85">
            <v>45346.333333333336</v>
          </cell>
          <cell r="V85" t="str">
            <v>ATAK ULAŞIM SAN.TİC.LTD.ŞTİ.</v>
          </cell>
          <cell r="W85" t="str">
            <v>STRETCH LCD EKRAN</v>
          </cell>
          <cell r="X85" t="str">
            <v>E410-7003</v>
          </cell>
          <cell r="Y85">
            <v>1</v>
          </cell>
          <cell r="AB85" t="str">
            <v>Ekipman değiştirilecek</v>
          </cell>
          <cell r="AE85" t="str">
            <v/>
          </cell>
          <cell r="AH85" t="str">
            <v/>
          </cell>
          <cell r="AN85">
            <v>1</v>
          </cell>
          <cell r="AP85" t="str">
            <v>(II) Birden fazla karşılaşılan arıza</v>
          </cell>
          <cell r="AQ85">
            <v>45346</v>
          </cell>
          <cell r="AR85">
            <v>45346.416666666664</v>
          </cell>
          <cell r="AU85" t="str">
            <v>PA/PIS/CCTV</v>
          </cell>
        </row>
        <row r="86">
          <cell r="A86" t="str">
            <v>5cba2a56</v>
          </cell>
          <cell r="B86" t="str">
            <v>BOZ-KAY5+6-FF-085</v>
          </cell>
          <cell r="E86">
            <v>45346</v>
          </cell>
          <cell r="F86">
            <v>45346.611111111109</v>
          </cell>
          <cell r="G86" t="str">
            <v>3874(3)</v>
          </cell>
          <cell r="H86" t="str">
            <v>RB</v>
          </cell>
          <cell r="I86" t="str">
            <v>Hat/Line</v>
          </cell>
          <cell r="J86" t="str">
            <v>A-Sürüşü engeller</v>
          </cell>
          <cell r="K86" t="str">
            <v>Müşteri</v>
          </cell>
          <cell r="L86" t="str">
            <v>RB HVAC KONDANSER FAN SÜRTME YAPIYOR.</v>
          </cell>
          <cell r="M86" t="str">
            <v>KONDANSER FAN DEĞİŞİMİ YAPILDI.</v>
          </cell>
          <cell r="N86">
            <v>48300</v>
          </cell>
          <cell r="P86" t="str">
            <v>B(Servisten çekmeye etki eden arızalar)</v>
          </cell>
          <cell r="Q86" t="str">
            <v>N.A(Yaralanma yok)</v>
          </cell>
          <cell r="R86" t="str">
            <v>Tedarikçi</v>
          </cell>
          <cell r="S86" t="str">
            <v>Eltesan</v>
          </cell>
          <cell r="T86">
            <v>45346</v>
          </cell>
          <cell r="U86">
            <v>45346.612222222226</v>
          </cell>
          <cell r="V86" t="str">
            <v>ELTESAN ELEKTRO MEKANİK SOĞUTMA SAN</v>
          </cell>
          <cell r="W86" t="str">
            <v>KLIMA UNITESİ /Eltesan/Hispacold 41,5 kW</v>
          </cell>
          <cell r="X86" t="str">
            <v>H500-7240</v>
          </cell>
          <cell r="AB86" t="str">
            <v>Ekipman değiştirilecek</v>
          </cell>
          <cell r="AE86" t="str">
            <v/>
          </cell>
          <cell r="AH86" t="str">
            <v/>
          </cell>
          <cell r="AN86">
            <v>1</v>
          </cell>
          <cell r="AP86" t="str">
            <v>(I) İlk defa karşılaşılan arıza</v>
          </cell>
          <cell r="AQ86">
            <v>45346</v>
          </cell>
          <cell r="AR86">
            <v>45346.75</v>
          </cell>
          <cell r="AU86" t="str">
            <v>HVAC Yolcu</v>
          </cell>
        </row>
        <row r="87">
          <cell r="A87" t="str">
            <v>210e8c24</v>
          </cell>
          <cell r="B87" t="str">
            <v>BOZ-KAY5+6-FF-086</v>
          </cell>
          <cell r="E87">
            <v>45347</v>
          </cell>
          <cell r="F87">
            <v>45347.322916666664</v>
          </cell>
          <cell r="G87" t="str">
            <v>3874(3)</v>
          </cell>
          <cell r="H87" t="str">
            <v>RA</v>
          </cell>
          <cell r="I87" t="str">
            <v>Hat/Line</v>
          </cell>
          <cell r="J87" t="str">
            <v>A-Sürüşü engeller</v>
          </cell>
          <cell r="K87" t="str">
            <v>Müşteri</v>
          </cell>
          <cell r="L87" t="str">
            <v>CA KABİN IMU ÇALIŞMIYOR</v>
          </cell>
          <cell r="M87" t="str">
            <v>AU300 DEĞİŞİMİ YAPILDI</v>
          </cell>
          <cell r="N87">
            <v>48122</v>
          </cell>
          <cell r="P87" t="str">
            <v>B(Servisten çekmeye etki eden arızalar)</v>
          </cell>
          <cell r="Q87" t="str">
            <v>N.A(Yaralanma yok)</v>
          </cell>
          <cell r="R87" t="str">
            <v>Tedarikçi</v>
          </cell>
          <cell r="S87" t="str">
            <v>Atak</v>
          </cell>
          <cell r="T87">
            <v>45347</v>
          </cell>
          <cell r="U87">
            <v>45347.375</v>
          </cell>
          <cell r="V87" t="str">
            <v>ATAK ULAŞIM SAN.TİC.LTD.ŞTİ.</v>
          </cell>
          <cell r="W87" t="str">
            <v>Merkez Ünite AU300 (train bus, vehicle b</v>
          </cell>
          <cell r="X87" t="str">
            <v>E840-7002</v>
          </cell>
          <cell r="Y87">
            <v>1</v>
          </cell>
          <cell r="AB87" t="str">
            <v>Ekipman değiştirilecek</v>
          </cell>
          <cell r="AE87" t="str">
            <v/>
          </cell>
          <cell r="AH87" t="str">
            <v/>
          </cell>
          <cell r="AN87">
            <v>1</v>
          </cell>
          <cell r="AP87" t="str">
            <v>(II) Birden fazla karşılaşılan arıza</v>
          </cell>
          <cell r="AQ87">
            <v>45347</v>
          </cell>
          <cell r="AR87">
            <v>45347.5</v>
          </cell>
          <cell r="AU87" t="str">
            <v>PA/PIS/CCTV</v>
          </cell>
        </row>
        <row r="88">
          <cell r="A88">
            <v>68871541</v>
          </cell>
          <cell r="B88" t="str">
            <v>BOZ-KAY5+6-FF-087</v>
          </cell>
          <cell r="E88">
            <v>45347</v>
          </cell>
          <cell r="F88">
            <v>45347.675000000003</v>
          </cell>
          <cell r="G88" t="str">
            <v>3876(5)</v>
          </cell>
          <cell r="H88" t="str">
            <v>RA</v>
          </cell>
          <cell r="I88" t="str">
            <v>Hat/Line</v>
          </cell>
          <cell r="J88" t="str">
            <v>A-Sürüşü engeller</v>
          </cell>
          <cell r="K88" t="str">
            <v>Müşteri</v>
          </cell>
          <cell r="L88" t="str">
            <v>IMU SİSTEMİ ÇALIŞMIYOR AU300 HABERLEŞMESİ YOK</v>
          </cell>
          <cell r="M88" t="str">
            <v>AU300 DEĞİŞİMİ YAPILDI</v>
          </cell>
          <cell r="N88">
            <v>48152</v>
          </cell>
          <cell r="P88" t="str">
            <v>B(Servisten çekmeye etki eden arızalar)</v>
          </cell>
          <cell r="Q88" t="str">
            <v>N.A(Yaralanma yok)</v>
          </cell>
          <cell r="R88" t="str">
            <v>Tedarikçi</v>
          </cell>
          <cell r="S88" t="str">
            <v>Atak</v>
          </cell>
          <cell r="T88">
            <v>45347</v>
          </cell>
          <cell r="U88">
            <v>45347.6875</v>
          </cell>
          <cell r="V88" t="str">
            <v>ATAK ULAŞIM SAN.TİC.LTD.ŞTİ.</v>
          </cell>
          <cell r="W88" t="str">
            <v>Merkez Ünite AU300 (train bus, vehicle b</v>
          </cell>
          <cell r="X88" t="str">
            <v>E840-7002</v>
          </cell>
          <cell r="AB88" t="str">
            <v>Ekipman değiştirilecek</v>
          </cell>
          <cell r="AE88" t="str">
            <v/>
          </cell>
          <cell r="AH88" t="str">
            <v/>
          </cell>
          <cell r="AN88">
            <v>1</v>
          </cell>
          <cell r="AP88" t="str">
            <v>(II) Birden fazla karşılaşılan arıza</v>
          </cell>
          <cell r="AQ88">
            <v>45347</v>
          </cell>
          <cell r="AR88">
            <v>45347.75</v>
          </cell>
          <cell r="AU88" t="str">
            <v>PA/PIS/CCTV</v>
          </cell>
        </row>
        <row r="89">
          <cell r="A89" t="str">
            <v>664ab156</v>
          </cell>
          <cell r="B89" t="str">
            <v>BOZ-KAY5+6-FF-088</v>
          </cell>
          <cell r="E89">
            <v>45348</v>
          </cell>
          <cell r="F89">
            <v>45348.583333333336</v>
          </cell>
          <cell r="G89" t="str">
            <v>3878(7)</v>
          </cell>
          <cell r="H89" t="str">
            <v>MB</v>
          </cell>
          <cell r="I89" t="str">
            <v>Hat/Line</v>
          </cell>
          <cell r="J89" t="str">
            <v>A-Sürüşü engeller</v>
          </cell>
          <cell r="K89" t="str">
            <v>Müşteri</v>
          </cell>
          <cell r="L89" t="str">
            <v>ARAÇ KAPISI SERBESTE ALINDIĞINDA HSCB AÇIYOR.</v>
          </cell>
          <cell r="M89" t="str">
            <v>KUPLÖRÜN ALTINDAKİ KABLOLARDA YERE SÜRTMEKTEN DOLAYI DEFORMASYON YAŞANMIŞ. ARIZA BU DURUMDAN KAYNAKLIDIR.</v>
          </cell>
          <cell r="N89">
            <v>17328</v>
          </cell>
          <cell r="P89" t="str">
            <v>A(Hareket etmeyi engelleyen arıza)</v>
          </cell>
          <cell r="Q89" t="str">
            <v>N.A(Yaralanma yok)</v>
          </cell>
          <cell r="R89" t="str">
            <v>Bozankaya</v>
          </cell>
          <cell r="S89" t="str">
            <v>Üretim</v>
          </cell>
          <cell r="T89">
            <v>45526</v>
          </cell>
          <cell r="U89">
            <v>45526.407418981478</v>
          </cell>
          <cell r="V89" t="str">
            <v>DELLNER COUPLERC AB</v>
          </cell>
          <cell r="W89" t="str">
            <v>OTOMATIK KUPLÖR DELLNER</v>
          </cell>
          <cell r="X89" t="str">
            <v>M350-7062</v>
          </cell>
          <cell r="AB89" t="str">
            <v>Ekipman değiştirilecek</v>
          </cell>
          <cell r="AE89" t="str">
            <v/>
          </cell>
          <cell r="AH89" t="str">
            <v/>
          </cell>
          <cell r="AN89">
            <v>1</v>
          </cell>
          <cell r="AP89" t="str">
            <v>(I) İlk defa karşılaşılan arıza</v>
          </cell>
          <cell r="AQ89">
            <v>45526</v>
          </cell>
          <cell r="AR89">
            <v>45526.541666666664</v>
          </cell>
          <cell r="AU89" t="str">
            <v>Autocoupler</v>
          </cell>
        </row>
        <row r="90">
          <cell r="A90" t="str">
            <v>66ef4fa5</v>
          </cell>
          <cell r="B90" t="str">
            <v>BOZ-KAY5+6-FF-089</v>
          </cell>
          <cell r="E90">
            <v>45349</v>
          </cell>
          <cell r="F90">
            <v>45349.875</v>
          </cell>
          <cell r="G90" t="str">
            <v>3872(1)</v>
          </cell>
          <cell r="H90" t="str">
            <v>MB</v>
          </cell>
          <cell r="I90" t="str">
            <v>Hat/Line</v>
          </cell>
          <cell r="J90" t="str">
            <v>C-Uyarı, sürüş devamlılığı</v>
          </cell>
          <cell r="K90" t="str">
            <v>Müşteri</v>
          </cell>
          <cell r="L90" t="str">
            <v>ARAÇ VİCOSTA 3874 OLARAK GÖRÜNÜYOR</v>
          </cell>
          <cell r="M90" t="str">
            <v>ST300 ÜZERİNDEN ARAÇ NUMARASI GÜNCELLENDİ</v>
          </cell>
          <cell r="N90">
            <v>40253</v>
          </cell>
          <cell r="P90" t="str">
            <v>C(Sisteme etki etmeyen arıza)</v>
          </cell>
          <cell r="Q90" t="str">
            <v>N.A(Yaralanma yok)</v>
          </cell>
          <cell r="R90" t="str">
            <v>Tedarikçi</v>
          </cell>
          <cell r="S90" t="str">
            <v>Atak</v>
          </cell>
          <cell r="T90">
            <v>45350</v>
          </cell>
          <cell r="U90">
            <v>45350.333333333336</v>
          </cell>
          <cell r="V90" t="str">
            <v>ATAK ULAŞIM SAN.TİC.LTD.ŞTİ.</v>
          </cell>
          <cell r="W90" t="str">
            <v>SÜRÜCÜ PANELİ ST300W</v>
          </cell>
          <cell r="X90" t="str">
            <v>E840-7003</v>
          </cell>
          <cell r="Y90">
            <v>1</v>
          </cell>
          <cell r="AB90" t="str">
            <v>Ekipman değiştirilecek</v>
          </cell>
          <cell r="AE90" t="str">
            <v/>
          </cell>
          <cell r="AH90" t="str">
            <v/>
          </cell>
          <cell r="AN90">
            <v>1</v>
          </cell>
          <cell r="AP90" t="str">
            <v>(II) Birden fazla karşılaşılan arıza</v>
          </cell>
          <cell r="AQ90">
            <v>45350</v>
          </cell>
          <cell r="AR90">
            <v>45350.375</v>
          </cell>
          <cell r="AU90" t="str">
            <v>PA/PIS/CCTV</v>
          </cell>
        </row>
        <row r="91">
          <cell r="A91" t="str">
            <v>4c09df22</v>
          </cell>
          <cell r="B91" t="str">
            <v>BOZ-KAY5+6-FF-090</v>
          </cell>
          <cell r="E91">
            <v>45349</v>
          </cell>
          <cell r="F91">
            <v>45349.934027777781</v>
          </cell>
          <cell r="G91" t="str">
            <v>3875(4)</v>
          </cell>
          <cell r="H91" t="str">
            <v>MA</v>
          </cell>
          <cell r="I91" t="str">
            <v>Hat/Line</v>
          </cell>
          <cell r="J91" t="str">
            <v>A-Sürüşü engeller</v>
          </cell>
          <cell r="K91" t="str">
            <v>Müşteri</v>
          </cell>
          <cell r="L91" t="str">
            <v>ARAÇ NUMARASI IMUDA 82 OLARAK GÖRÜNÜYOR</v>
          </cell>
          <cell r="M91" t="str">
            <v>ST300 ÜZERİNDEN ARAÇ NUMARASI GÜNCELLENDİ</v>
          </cell>
          <cell r="N91">
            <v>48853</v>
          </cell>
          <cell r="P91" t="str">
            <v>C(Sisteme etki etmeyen arıza)</v>
          </cell>
          <cell r="Q91" t="str">
            <v>N.A(Yaralanma yok)</v>
          </cell>
          <cell r="R91" t="str">
            <v>Tedarikçi</v>
          </cell>
          <cell r="S91" t="str">
            <v>Atak</v>
          </cell>
          <cell r="T91">
            <v>45349</v>
          </cell>
          <cell r="U91">
            <v>45349.9375</v>
          </cell>
          <cell r="V91" t="str">
            <v>ATAK ULAŞIM SAN.TİC.LTD.ŞTİ.</v>
          </cell>
          <cell r="W91" t="str">
            <v>Merkez Ünite AU300 (train bus, vehicle b</v>
          </cell>
          <cell r="X91" t="str">
            <v>E840-7002</v>
          </cell>
          <cell r="Y91">
            <v>1</v>
          </cell>
          <cell r="AB91" t="str">
            <v>Ekipman değiştirilecek</v>
          </cell>
          <cell r="AE91" t="str">
            <v/>
          </cell>
          <cell r="AH91" t="str">
            <v/>
          </cell>
          <cell r="AN91">
            <v>1</v>
          </cell>
          <cell r="AP91" t="str">
            <v>(I) İlk defa karşılaşılan arıza</v>
          </cell>
          <cell r="AQ91">
            <v>45350</v>
          </cell>
          <cell r="AR91">
            <v>45350</v>
          </cell>
          <cell r="AU91" t="str">
            <v>PA/PIS/CCTV</v>
          </cell>
        </row>
        <row r="92">
          <cell r="A92" t="str">
            <v>7c46f7fb</v>
          </cell>
          <cell r="B92" t="str">
            <v>BOZ-KAY5+6-FF-091</v>
          </cell>
          <cell r="E92">
            <v>45349</v>
          </cell>
          <cell r="F92">
            <v>45349.934027777781</v>
          </cell>
          <cell r="G92" t="str">
            <v>3875(4)</v>
          </cell>
          <cell r="H92" t="str">
            <v>MA</v>
          </cell>
          <cell r="I92" t="str">
            <v>Hat/Line</v>
          </cell>
          <cell r="J92" t="str">
            <v>A-Sürüşü engeller</v>
          </cell>
          <cell r="K92" t="str">
            <v>Müşteri</v>
          </cell>
          <cell r="L92" t="str">
            <v>SİLECEK ÇALIŞMIYOR</v>
          </cell>
          <cell r="M92" t="str">
            <v>SİLECEK EĞİLMİŞ DÜZELTİLDİ MEKANİZMA BAĞLANTI CİVATASI GEVŞEMİŞ SIKILDI SİLECEK ÇALIŞIYOR</v>
          </cell>
          <cell r="N92">
            <v>40052</v>
          </cell>
          <cell r="P92" t="str">
            <v>B(Servisten çekmeye etki eden arızalar)</v>
          </cell>
          <cell r="Q92" t="str">
            <v>N.A(Yaralanma yok)</v>
          </cell>
          <cell r="R92" t="str">
            <v>Tedarikçi</v>
          </cell>
          <cell r="S92" t="str">
            <v>Bozankaya</v>
          </cell>
          <cell r="T92">
            <v>45349</v>
          </cell>
          <cell r="U92">
            <v>45349.947916666664</v>
          </cell>
          <cell r="V92" t="str">
            <v>DENİZLER OTOMOTİV SAN. VE TİC.LTD.Ş</v>
          </cell>
          <cell r="W92" t="str">
            <v>SİLECEK MEKANİZMASI Denizler / M.11.2506</v>
          </cell>
          <cell r="X92" t="str">
            <v>M100-7066</v>
          </cell>
          <cell r="Y92">
            <v>1</v>
          </cell>
          <cell r="AB92" t="str">
            <v>Tamir edilecek</v>
          </cell>
          <cell r="AE92" t="str">
            <v/>
          </cell>
          <cell r="AH92" t="str">
            <v/>
          </cell>
          <cell r="AN92">
            <v>1</v>
          </cell>
          <cell r="AP92" t="str">
            <v>(II) Birden fazla karşılaşılan arıza</v>
          </cell>
          <cell r="AQ92">
            <v>45350</v>
          </cell>
          <cell r="AR92">
            <v>45350</v>
          </cell>
          <cell r="AU92" t="str">
            <v>Giydirme Dış</v>
          </cell>
        </row>
        <row r="93">
          <cell r="A93" t="str">
            <v>a2af3a00</v>
          </cell>
          <cell r="B93" t="str">
            <v>BOZ-KAY5+6-FF-092</v>
          </cell>
          <cell r="E93">
            <v>45349</v>
          </cell>
          <cell r="F93">
            <v>45349.980555555558</v>
          </cell>
          <cell r="G93" t="str">
            <v>3875(4)</v>
          </cell>
          <cell r="H93" t="str">
            <v>MA</v>
          </cell>
          <cell r="I93" t="str">
            <v>Hat/Line</v>
          </cell>
          <cell r="J93" t="str">
            <v>A-Sürüşü engeller</v>
          </cell>
          <cell r="K93" t="str">
            <v>Müşteri</v>
          </cell>
          <cell r="L93" t="str">
            <v>MAKİNİST KABİNİ ISITMA YAPMIYOR</v>
          </cell>
          <cell r="M93" t="str">
            <v>ARACIN ISITMA SİSTEMİ NORMAL ÇALIŞIYOR SENSÖR ISIYI HEMEN ALGILADIĞI İÇİN ISITMAYI KESİYOR BU NEDENLE KABİN İÇİ SOĞUK KALIYOR</v>
          </cell>
          <cell r="N93">
            <v>40052</v>
          </cell>
          <cell r="P93" t="str">
            <v>B(Servisten çekmeye etki eden arızalar)</v>
          </cell>
          <cell r="Q93" t="str">
            <v>N.A(Yaralanma yok)</v>
          </cell>
          <cell r="R93" t="str">
            <v>Tedarikçi</v>
          </cell>
          <cell r="S93" t="str">
            <v>Eltesan</v>
          </cell>
          <cell r="T93">
            <v>45350</v>
          </cell>
          <cell r="U93">
            <v>45350.416666666664</v>
          </cell>
          <cell r="V93" t="str">
            <v>ELTESAN ELEKTRO MEKANİK SOĞUTMA SAN</v>
          </cell>
          <cell r="W93" t="str">
            <v>KLIMA UNITESİ /Eltesan/Hispacold 41,5 kW</v>
          </cell>
          <cell r="X93" t="str">
            <v>H500-7240</v>
          </cell>
          <cell r="Y93">
            <v>1</v>
          </cell>
          <cell r="AB93" t="str">
            <v>Arıza çözülecek</v>
          </cell>
          <cell r="AE93" t="str">
            <v/>
          </cell>
          <cell r="AH93" t="str">
            <v/>
          </cell>
          <cell r="AN93">
            <v>1</v>
          </cell>
          <cell r="AP93" t="str">
            <v>(II) Birden fazla karşılaşılan arıza</v>
          </cell>
          <cell r="AQ93">
            <v>45350</v>
          </cell>
          <cell r="AR93">
            <v>45350.5</v>
          </cell>
          <cell r="AU93" t="str">
            <v>HVAC Sürücü</v>
          </cell>
        </row>
        <row r="94">
          <cell r="A94" t="str">
            <v>af91faf4</v>
          </cell>
          <cell r="B94" t="str">
            <v>BOZ-KAY5+6-FF-093</v>
          </cell>
          <cell r="E94">
            <v>45350</v>
          </cell>
          <cell r="F94">
            <v>45350.270833333336</v>
          </cell>
          <cell r="G94" t="str">
            <v>3874(3)</v>
          </cell>
          <cell r="H94" t="str">
            <v>RA</v>
          </cell>
          <cell r="I94" t="str">
            <v>Hat/Line</v>
          </cell>
          <cell r="J94" t="str">
            <v>B-Hız veya güç azalması</v>
          </cell>
          <cell r="K94" t="str">
            <v>Müşteri</v>
          </cell>
          <cell r="L94" t="str">
            <v>6 NOLU KAPI İZOLE EDİLDİ</v>
          </cell>
          <cell r="M94" t="str">
            <v>S1 VE S2 SWİTCHLERİNİN SENKRON OLMADIĞI GÖZLEMLENDİ AYARI YAPILDI</v>
          </cell>
          <cell r="N94">
            <v>0</v>
          </cell>
          <cell r="P94" t="str">
            <v>B(Servisten çekmeye etki eden arızalar)</v>
          </cell>
          <cell r="Q94" t="str">
            <v>N.A(Yaralanma yok)</v>
          </cell>
          <cell r="R94" t="str">
            <v>Bozankaya</v>
          </cell>
          <cell r="S94" t="str">
            <v>Üretim</v>
          </cell>
          <cell r="T94">
            <v>45350</v>
          </cell>
          <cell r="U94">
            <v>45350.333333333336</v>
          </cell>
          <cell r="V94" t="str">
            <v>KNORR-BREMSE GMBH DİVİSİON IFE AUTO</v>
          </cell>
          <cell r="W94" t="str">
            <v>PRM’LI ÇİFTLİ KAPI</v>
          </cell>
          <cell r="X94" t="str">
            <v>M110-7082</v>
          </cell>
          <cell r="Y94">
            <v>1</v>
          </cell>
          <cell r="AE94" t="str">
            <v/>
          </cell>
          <cell r="AH94" t="str">
            <v/>
          </cell>
          <cell r="AN94">
            <v>1</v>
          </cell>
          <cell r="AP94" t="str">
            <v>(I) İlk defa karşılaşılan arıza</v>
          </cell>
          <cell r="AQ94">
            <v>45350</v>
          </cell>
          <cell r="AR94">
            <v>45350.625</v>
          </cell>
          <cell r="AU94" t="str">
            <v>Kapı</v>
          </cell>
        </row>
        <row r="95">
          <cell r="A95" t="str">
            <v>d26a91c3</v>
          </cell>
          <cell r="B95" t="str">
            <v>BOZ-KAY5+6-FF-094</v>
          </cell>
          <cell r="E95">
            <v>45350</v>
          </cell>
          <cell r="F95">
            <v>45350.584027777775</v>
          </cell>
          <cell r="G95" t="str">
            <v>3875(4)</v>
          </cell>
          <cell r="H95" t="str">
            <v>MA</v>
          </cell>
          <cell r="I95" t="str">
            <v>Hat/Line</v>
          </cell>
          <cell r="J95" t="str">
            <v>A-Sürüşü engeller</v>
          </cell>
          <cell r="K95" t="str">
            <v>Müşteri</v>
          </cell>
          <cell r="L95" t="str">
            <v>FREN ARIZASI VERDİ. ARAÇ RESETLENİNCE DÜZELDİ</v>
          </cell>
          <cell r="M95" t="str">
            <v>ARAÇ FB00 ARIZASI VERMİŞ ALT KONTROLLERDE HERHANGİ BİR YAĞ KAÇAĞI GÖRÜLMEDİ VE YAĞ SEVİYESİ NORMAL COMMİSİONING MODDA TEST YAPARKEN LOW SPEED KOMUTUNUN ÇALIŞMADIĞI GÖRÜLDÜ HEY-C ÜNİTESİ DEĞİŞTİRİLDİ GEREKLİ TESTLER YAPILDI SORUN GİDERİLDİ</v>
          </cell>
          <cell r="N95">
            <v>40012</v>
          </cell>
          <cell r="P95" t="str">
            <v>B(Servisten çekmeye etki eden arızalar)</v>
          </cell>
          <cell r="Q95" t="str">
            <v>N.A(Yaralanma yok)</v>
          </cell>
          <cell r="R95" t="str">
            <v>Tedarikçi</v>
          </cell>
          <cell r="S95" t="str">
            <v>HANNING  KAHL</v>
          </cell>
          <cell r="T95">
            <v>45350</v>
          </cell>
          <cell r="U95">
            <v>45350.625</v>
          </cell>
          <cell r="V95" t="str">
            <v>HANNING &amp; KAHL GMBH &amp; CO.KG</v>
          </cell>
          <cell r="W95" t="str">
            <v>XFren Kontrol Ünitesi</v>
          </cell>
          <cell r="X95" t="str">
            <v>S306-7074</v>
          </cell>
          <cell r="Y95">
            <v>1</v>
          </cell>
          <cell r="AB95" t="str">
            <v>Tamir edilecek</v>
          </cell>
          <cell r="AE95" t="str">
            <v/>
          </cell>
          <cell r="AH95" t="str">
            <v/>
          </cell>
          <cell r="AN95">
            <v>1</v>
          </cell>
          <cell r="AP95" t="str">
            <v>(I) İlk defa karşılaşılan arıza</v>
          </cell>
          <cell r="AQ95">
            <v>45350</v>
          </cell>
          <cell r="AR95">
            <v>45350.75</v>
          </cell>
          <cell r="AU95" t="str">
            <v>Fren</v>
          </cell>
        </row>
        <row r="96">
          <cell r="A96" t="str">
            <v>7ecdd49b</v>
          </cell>
          <cell r="B96" t="str">
            <v>BOZ-KAY5+6-FF-095</v>
          </cell>
          <cell r="E96">
            <v>45351</v>
          </cell>
          <cell r="F96">
            <v>45351.447916666664</v>
          </cell>
          <cell r="G96" t="str">
            <v>3875(4)</v>
          </cell>
          <cell r="H96" t="str">
            <v>RB</v>
          </cell>
          <cell r="I96" t="str">
            <v>Hat/Line</v>
          </cell>
          <cell r="J96" t="str">
            <v>C-Uyarı, sürüş devamlılığı</v>
          </cell>
          <cell r="K96" t="str">
            <v>Müşteri</v>
          </cell>
          <cell r="L96" t="str">
            <v>8 NUMARALI KAPI BUZZER SESİ RAHATSIZ EDİYOR</v>
          </cell>
          <cell r="M96" t="str">
            <v>KAPI BUZZER RESETLENDİ SORUN GİDERİLDİ</v>
          </cell>
          <cell r="N96">
            <v>35000</v>
          </cell>
          <cell r="P96" t="str">
            <v>C(Sisteme etki etmeyen arıza)</v>
          </cell>
          <cell r="Q96" t="str">
            <v>N.A(Yaralanma yok)</v>
          </cell>
          <cell r="R96" t="str">
            <v>Tedarikçi</v>
          </cell>
          <cell r="S96" t="str">
            <v>TSL</v>
          </cell>
          <cell r="T96">
            <v>45351</v>
          </cell>
          <cell r="U96">
            <v>45351.541666666664</v>
          </cell>
          <cell r="V96" t="str">
            <v>KNORR-BREMSE GMBH DİVİSİON IFE AUTO</v>
          </cell>
          <cell r="W96" t="str">
            <v>PRM’LI ÇİFTLİ KAPI</v>
          </cell>
          <cell r="X96" t="str">
            <v>M110-7082</v>
          </cell>
          <cell r="AE96" t="str">
            <v/>
          </cell>
          <cell r="AH96" t="str">
            <v/>
          </cell>
          <cell r="AN96">
            <v>1</v>
          </cell>
          <cell r="AP96" t="str">
            <v>(II) Birden fazla karşılaşılan arıza</v>
          </cell>
          <cell r="AQ96">
            <v>45351</v>
          </cell>
          <cell r="AR96">
            <v>45351.625</v>
          </cell>
          <cell r="AU96" t="str">
            <v>Kapı</v>
          </cell>
        </row>
        <row r="97">
          <cell r="A97" t="str">
            <v>631ddb1d</v>
          </cell>
          <cell r="B97" t="str">
            <v>BOZ-KAY5+6-FF-096</v>
          </cell>
          <cell r="E97">
            <v>45351</v>
          </cell>
          <cell r="F97">
            <v>45351.536805555559</v>
          </cell>
          <cell r="G97" t="str">
            <v>3877(6)</v>
          </cell>
          <cell r="H97" t="str">
            <v>MA</v>
          </cell>
          <cell r="I97" t="str">
            <v>Hat/Line</v>
          </cell>
          <cell r="J97" t="str">
            <v>C-Uyarı, sürüş devamlılığı</v>
          </cell>
          <cell r="K97" t="str">
            <v>Müşteri</v>
          </cell>
          <cell r="L97" t="str">
            <v>tüm bölümler için anlık fren arızası verdi kısa sürede tekrar düzeldi</v>
          </cell>
          <cell r="M97" t="str">
            <v>TCMSDEN çıkan RA1394.04 Kablosu yanlış yakılmış düzeltildi.Sorun giderildi</v>
          </cell>
          <cell r="N97">
            <v>26500</v>
          </cell>
          <cell r="P97" t="str">
            <v>A(Hareket etmeyi engelleyen arıza)</v>
          </cell>
          <cell r="Q97" t="str">
            <v>N.A(Yaralanma yok)</v>
          </cell>
          <cell r="R97" t="str">
            <v>Bozankaya</v>
          </cell>
          <cell r="S97" t="str">
            <v>Üretim</v>
          </cell>
          <cell r="T97">
            <v>45351</v>
          </cell>
          <cell r="U97">
            <v>45351.541666666664</v>
          </cell>
          <cell r="V97" t="str">
            <v>MEDCOM SP. Z O.O.</v>
          </cell>
          <cell r="W97" t="str">
            <v>TCMS ELEMANI</v>
          </cell>
          <cell r="X97" t="str">
            <v>E110-7384</v>
          </cell>
          <cell r="AB97" t="str">
            <v>Arıza çözülecek</v>
          </cell>
          <cell r="AE97" t="str">
            <v/>
          </cell>
          <cell r="AH97" t="str">
            <v/>
          </cell>
          <cell r="AN97">
            <v>1</v>
          </cell>
          <cell r="AP97" t="str">
            <v>(I) İlk defa karşılaşılan arıza</v>
          </cell>
          <cell r="AQ97">
            <v>45351</v>
          </cell>
          <cell r="AR97">
            <v>45351.75</v>
          </cell>
          <cell r="AU97" t="str">
            <v>TCMS</v>
          </cell>
        </row>
        <row r="98">
          <cell r="A98" t="str">
            <v>bd8199e0</v>
          </cell>
          <cell r="B98" t="str">
            <v>BOZ-KAY5+6-FF-097</v>
          </cell>
          <cell r="E98">
            <v>45351</v>
          </cell>
          <cell r="F98">
            <v>45351.744444444441</v>
          </cell>
          <cell r="G98" t="str">
            <v>3874(3)</v>
          </cell>
          <cell r="H98" t="str">
            <v>MA</v>
          </cell>
          <cell r="I98" t="str">
            <v>Hat/Line</v>
          </cell>
          <cell r="J98" t="str">
            <v>C-Uyarı, sürüş devamlılığı</v>
          </cell>
          <cell r="K98" t="str">
            <v>Müşteri</v>
          </cell>
          <cell r="L98" t="str">
            <v>29.02.2024 tarihinde yapılan saha denetiminde 3874 nolu aracın kapı üstündeki ekranların çalışmadığı tespit edilmiştir.Gerekli müdahaleyi gerçekleştirelim</v>
          </cell>
          <cell r="M98" t="str">
            <v>Yapılan kontollerde sorun görülmedi.Rota kuruluyor</v>
          </cell>
          <cell r="N98">
            <v>49500</v>
          </cell>
          <cell r="P98" t="str">
            <v>C(Sisteme etki etmeyen arıza)</v>
          </cell>
          <cell r="Q98" t="str">
            <v>N.A(Yaralanma yok)</v>
          </cell>
          <cell r="R98" t="str">
            <v>Tedarikçi</v>
          </cell>
          <cell r="S98" t="str">
            <v>Atak</v>
          </cell>
          <cell r="T98">
            <v>45532</v>
          </cell>
          <cell r="U98">
            <v>45532.407812500001</v>
          </cell>
          <cell r="V98" t="str">
            <v>ATAK ULAŞIM SAN.TİC.LTD.ŞTİ.</v>
          </cell>
          <cell r="W98" t="str">
            <v>STRETCH LCD EKRAN</v>
          </cell>
          <cell r="X98" t="str">
            <v>E410-7003</v>
          </cell>
          <cell r="AB98" t="str">
            <v>Arıza çözülecek</v>
          </cell>
          <cell r="AE98" t="str">
            <v/>
          </cell>
          <cell r="AH98" t="str">
            <v/>
          </cell>
          <cell r="AN98">
            <v>1</v>
          </cell>
          <cell r="AP98" t="str">
            <v>(III) Birden fazla aynı araçta karşılaşılan arıza</v>
          </cell>
          <cell r="AQ98">
            <v>45532</v>
          </cell>
          <cell r="AR98">
            <v>45532.458333333336</v>
          </cell>
          <cell r="AU98" t="str">
            <v>PA/PIS/CCTV</v>
          </cell>
        </row>
        <row r="99">
          <cell r="A99" t="str">
            <v>03b69786</v>
          </cell>
          <cell r="B99" t="str">
            <v>BOZ-KAY5+6-FF-098</v>
          </cell>
          <cell r="E99">
            <v>45352</v>
          </cell>
          <cell r="F99">
            <v>45352.376388888886</v>
          </cell>
          <cell r="G99" t="str">
            <v>3875(4)</v>
          </cell>
          <cell r="H99" t="str">
            <v>MA</v>
          </cell>
          <cell r="I99" t="str">
            <v>Hat/Line</v>
          </cell>
          <cell r="J99" t="str">
            <v>A-Sürüşü engeller</v>
          </cell>
          <cell r="K99" t="str">
            <v>Müşteri</v>
          </cell>
          <cell r="L99" t="str">
            <v>MA FREN ARIZASI VERDİ. HATA KODU FB02 1 SEFER İPTALİ YAŞANMIŞTIR.</v>
          </cell>
          <cell r="M99" t="str">
            <v>ARIZA İNVERTÖR KAYNAKLIDIR. HİDROLİK SİSTEM NORMAL ÇALIŞMAKTADIR.</v>
          </cell>
          <cell r="N99">
            <v>40512</v>
          </cell>
          <cell r="P99" t="str">
            <v>A(Hareket etmeyi engelleyen arıza)</v>
          </cell>
          <cell r="Q99" t="str">
            <v>N.A(Yaralanma yok)</v>
          </cell>
          <cell r="R99" t="str">
            <v>Bozankaya</v>
          </cell>
          <cell r="S99" t="str">
            <v>Fabrika Test</v>
          </cell>
          <cell r="T99">
            <v>45526</v>
          </cell>
          <cell r="U99">
            <v>45526.73228009259</v>
          </cell>
          <cell r="V99" t="str">
            <v>MEDCOM SP. Z O.O.</v>
          </cell>
          <cell r="W99" t="str">
            <v>COMBO KUTUSU (+LHD) MEDCOM</v>
          </cell>
          <cell r="X99" t="str">
            <v>P620-7023</v>
          </cell>
          <cell r="AB99" t="str">
            <v>Tamir edilecek</v>
          </cell>
          <cell r="AE99" t="str">
            <v/>
          </cell>
          <cell r="AH99" t="str">
            <v/>
          </cell>
          <cell r="AN99">
            <v>1</v>
          </cell>
          <cell r="AP99" t="str">
            <v>(I) İlk defa karşılaşılan arıza</v>
          </cell>
          <cell r="AQ99">
            <v>45527</v>
          </cell>
          <cell r="AR99">
            <v>45527.583333333336</v>
          </cell>
          <cell r="AU99" t="str">
            <v>ComboBox</v>
          </cell>
        </row>
        <row r="100">
          <cell r="A100" t="str">
            <v>d0206cc1</v>
          </cell>
          <cell r="B100" t="str">
            <v>BOZ-KAY5+6-FF-099</v>
          </cell>
          <cell r="E100">
            <v>45352</v>
          </cell>
          <cell r="F100">
            <v>45352.730555555558</v>
          </cell>
          <cell r="G100" t="str">
            <v>3879(8)</v>
          </cell>
          <cell r="H100" t="str">
            <v>RA</v>
          </cell>
          <cell r="I100" t="str">
            <v>Hat/Line</v>
          </cell>
          <cell r="J100" t="str">
            <v>C-Uyarı, sürüş devamlılığı</v>
          </cell>
          <cell r="K100" t="str">
            <v>Müşteri</v>
          </cell>
          <cell r="L100" t="str">
            <v>5 NOLU LKAĞI AÇILIP KAPANIRKEN DİĞER KAPILARIDAN FARKLI RAHATSIZ EDİCİ BİR UYARI SESİ ÇIKARIYOR</v>
          </cell>
          <cell r="M100" t="str">
            <v>5 NOLU KAPI RESETLENDİ ARIZA DEVAMLILIĞI GÖRÜLMEDİ</v>
          </cell>
          <cell r="N100">
            <v>2400</v>
          </cell>
          <cell r="P100" t="str">
            <v>C(Sisteme etki etmeyen arıza)</v>
          </cell>
          <cell r="Q100" t="str">
            <v>N.A(Yaralanma yok)</v>
          </cell>
          <cell r="R100" t="str">
            <v>Tedarikçi</v>
          </cell>
          <cell r="S100" t="str">
            <v>TSL</v>
          </cell>
          <cell r="T100">
            <v>45353</v>
          </cell>
          <cell r="U100">
            <v>45353.333333333336</v>
          </cell>
          <cell r="V100" t="str">
            <v>TURCK OTOMASYON TİC. LTD.ŞTİ.</v>
          </cell>
          <cell r="W100" t="str">
            <v>SESLI UYARI CIHAZI</v>
          </cell>
          <cell r="X100" t="str">
            <v>M110-7057</v>
          </cell>
          <cell r="AE100" t="str">
            <v/>
          </cell>
          <cell r="AH100" t="str">
            <v/>
          </cell>
          <cell r="AN100">
            <v>1</v>
          </cell>
          <cell r="AP100" t="str">
            <v>(II) Birden fazla karşılaşılan arıza</v>
          </cell>
          <cell r="AQ100">
            <v>45353</v>
          </cell>
          <cell r="AR100">
            <v>45353.458333333336</v>
          </cell>
          <cell r="AU100" t="str">
            <v>Kapı</v>
          </cell>
        </row>
        <row r="101">
          <cell r="A101" t="str">
            <v>8a3d1d82</v>
          </cell>
          <cell r="B101" t="str">
            <v>BOZ-KAY5+6-FF-100</v>
          </cell>
          <cell r="E101">
            <v>45356</v>
          </cell>
          <cell r="F101">
            <v>45356.277083333334</v>
          </cell>
          <cell r="G101" t="str">
            <v>3879(8)</v>
          </cell>
          <cell r="H101" t="str">
            <v>MA</v>
          </cell>
          <cell r="I101" t="str">
            <v>Hat/Line</v>
          </cell>
          <cell r="J101" t="str">
            <v>A-Sürüşü engeller</v>
          </cell>
          <cell r="K101" t="str">
            <v>Müşteri</v>
          </cell>
          <cell r="L101" t="str">
            <v>ARAÇ KABİN CA KLİMALARI SOĞUK ÜFLÜYOR FAN HIZI AYARLANAMIYOR.</v>
          </cell>
          <cell r="M101" t="str">
            <v>ARACIN CA KLİMASI ÇALIŞMIYORDU. ÖNCELİKLE KABİN KLİMA SENSÖR MODİFİKASYONU YAPILDI. ÇALIŞMADI. KLİMANIN KONTROL KARTI DEĞİŞİMİ YAPILDI VE DİP SWİTCHLER AYARLANDI, YENİ YAZILIM ATILDI IP AYARLANDI. KLİMA NORMAL ÇALIŞMAYA BAŞLADI, ISITMA YAPIYOR.</v>
          </cell>
          <cell r="N101">
            <v>2489</v>
          </cell>
          <cell r="P101" t="str">
            <v>B(Servisten çekmeye etki eden arızalar)</v>
          </cell>
          <cell r="Q101" t="str">
            <v>N.A(Yaralanma yok)</v>
          </cell>
          <cell r="R101" t="str">
            <v>Tedarikçi</v>
          </cell>
          <cell r="S101" t="str">
            <v>Eltesan</v>
          </cell>
          <cell r="T101">
            <v>45526</v>
          </cell>
          <cell r="U101">
            <v>45526.479097222225</v>
          </cell>
          <cell r="V101" t="str">
            <v>ELTESAN ELEKTRO MEKANİK SOĞUTMA SAN</v>
          </cell>
          <cell r="W101" t="str">
            <v>MASTER KONTROL ÜNİTESİ</v>
          </cell>
          <cell r="X101" t="str">
            <v>H500-9751</v>
          </cell>
          <cell r="AB101" t="str">
            <v>Yazılım güncelleme</v>
          </cell>
          <cell r="AE101" t="str">
            <v/>
          </cell>
          <cell r="AH101" t="str">
            <v/>
          </cell>
          <cell r="AN101">
            <v>1</v>
          </cell>
          <cell r="AP101" t="str">
            <v>(II) Birden fazla karşılaşılan arıza</v>
          </cell>
          <cell r="AQ101">
            <v>45526</v>
          </cell>
          <cell r="AR101">
            <v>45526.625</v>
          </cell>
          <cell r="AU101" t="str">
            <v>HVAC Sürücü</v>
          </cell>
        </row>
        <row r="102">
          <cell r="A102" t="str">
            <v>e731484a</v>
          </cell>
          <cell r="B102" t="str">
            <v>BOZ-KAY5+6-FF-101</v>
          </cell>
          <cell r="E102">
            <v>45357</v>
          </cell>
          <cell r="F102">
            <v>45357.554166666669</v>
          </cell>
          <cell r="G102" t="str">
            <v>3872(1)</v>
          </cell>
          <cell r="H102" t="str">
            <v>MA</v>
          </cell>
          <cell r="I102" t="str">
            <v>Hat/Line</v>
          </cell>
          <cell r="J102" t="str">
            <v>A-Sürüşü engeller</v>
          </cell>
          <cell r="K102" t="str">
            <v>Müşteri</v>
          </cell>
          <cell r="L102" t="str">
            <v>SİLECEK HORTUMU YIRTILMIŞ SAĞ SOLA ÇARPIYOR.</v>
          </cell>
          <cell r="M102" t="str">
            <v>SİLECEK HORTUMU YERİNDEN ÇIKMIŞ TAKILDI.</v>
          </cell>
          <cell r="N102">
            <v>41453</v>
          </cell>
          <cell r="P102" t="str">
            <v>B(Servisten çekmeye etki eden arızalar)</v>
          </cell>
          <cell r="Q102" t="str">
            <v>N.A(Yaralanma yok)</v>
          </cell>
          <cell r="R102" t="str">
            <v>Bozankaya</v>
          </cell>
          <cell r="S102" t="str">
            <v>Tasarım</v>
          </cell>
          <cell r="T102">
            <v>45526</v>
          </cell>
          <cell r="U102">
            <v>45526.735069444447</v>
          </cell>
          <cell r="V102" t="str">
            <v>DENİZLER OTOMOTİV SAN. VE TİC.LTD.Ş</v>
          </cell>
          <cell r="W102" t="str">
            <v>SİLECEK MEKANİZMASI Denizler / M.11.2506</v>
          </cell>
          <cell r="X102" t="str">
            <v>M100-7066</v>
          </cell>
          <cell r="AB102" t="str">
            <v>Tamir edilecek</v>
          </cell>
          <cell r="AE102" t="str">
            <v/>
          </cell>
          <cell r="AH102" t="str">
            <v/>
          </cell>
          <cell r="AN102">
            <v>1</v>
          </cell>
          <cell r="AP102" t="str">
            <v>(II) Birden fazla karşılaşılan arıza</v>
          </cell>
          <cell r="AQ102">
            <v>45526</v>
          </cell>
          <cell r="AR102">
            <v>45526.770833333336</v>
          </cell>
          <cell r="AU102" t="str">
            <v>Giydirme Dış</v>
          </cell>
        </row>
        <row r="103">
          <cell r="A103" t="str">
            <v>0cb56b1a</v>
          </cell>
          <cell r="B103" t="str">
            <v>BOZ-KAY5+6-FF-102</v>
          </cell>
          <cell r="E103">
            <v>45357</v>
          </cell>
          <cell r="F103">
            <v>45357.706944444442</v>
          </cell>
          <cell r="G103" t="str">
            <v>3881(10)</v>
          </cell>
          <cell r="H103" t="str">
            <v>MA</v>
          </cell>
          <cell r="I103" t="str">
            <v>Hat/Line</v>
          </cell>
          <cell r="J103" t="str">
            <v>C-Uyarı, sürüş devamlılığı</v>
          </cell>
          <cell r="K103" t="str">
            <v>Müşteri</v>
          </cell>
          <cell r="L103" t="str">
            <v>Kabin klima ff-04 sigorta değeri yanlış</v>
          </cell>
          <cell r="M103" t="str">
            <v>Sigorta değişimi  yapıldı</v>
          </cell>
          <cell r="N103">
            <v>180</v>
          </cell>
          <cell r="P103" t="str">
            <v>B(Servisten çekmeye etki eden arızalar)</v>
          </cell>
          <cell r="Q103" t="str">
            <v>N.A(Yaralanma yok)</v>
          </cell>
          <cell r="R103" t="str">
            <v>Bozankaya</v>
          </cell>
          <cell r="S103" t="str">
            <v>Üretim</v>
          </cell>
          <cell r="T103">
            <v>45538</v>
          </cell>
          <cell r="U103">
            <v>45538.384629629632</v>
          </cell>
          <cell r="V103" t="str">
            <v>GÖKHAN ELEKTRİK MALZ. SAN TİC. LTD.</v>
          </cell>
          <cell r="W103" t="str">
            <v>8A Sigorta</v>
          </cell>
          <cell r="X103" t="str">
            <v>E110-7167</v>
          </cell>
          <cell r="AB103" t="str">
            <v>Ekipman değiştirilecek</v>
          </cell>
          <cell r="AE103" t="str">
            <v/>
          </cell>
          <cell r="AH103" t="str">
            <v/>
          </cell>
          <cell r="AN103">
            <v>1</v>
          </cell>
          <cell r="AP103" t="str">
            <v>(I) İlk defa karşılaşılan arıza</v>
          </cell>
          <cell r="AQ103">
            <v>45538</v>
          </cell>
          <cell r="AR103">
            <v>45538.479166666664</v>
          </cell>
          <cell r="AU103" t="str">
            <v>HVAC Sürücü</v>
          </cell>
        </row>
        <row r="104">
          <cell r="A104" t="str">
            <v>c66f48bf</v>
          </cell>
          <cell r="B104" t="str">
            <v>BOZ-KAY5+6-FF-103</v>
          </cell>
          <cell r="E104">
            <v>45357</v>
          </cell>
          <cell r="F104">
            <v>45357.706944444442</v>
          </cell>
          <cell r="G104" t="str">
            <v>3881(10)</v>
          </cell>
          <cell r="H104" t="str">
            <v>MA</v>
          </cell>
          <cell r="I104" t="str">
            <v>Hat/Line</v>
          </cell>
          <cell r="J104" t="str">
            <v>C-Uyarı, sürüş devamlılığı</v>
          </cell>
          <cell r="K104" t="str">
            <v>Müşteri</v>
          </cell>
          <cell r="L104" t="str">
            <v>KABİN KLİMASI FF-04 SİGORTA DEĞERİ YANLIŞ</v>
          </cell>
          <cell r="M104" t="str">
            <v>DOĞRU DEĞER SİGORTA DEĞİŞİMİ YAPILDI</v>
          </cell>
          <cell r="N104">
            <v>170</v>
          </cell>
          <cell r="P104" t="str">
            <v>B(Servisten çekmeye etki eden arızalar)</v>
          </cell>
          <cell r="Q104" t="str">
            <v>N.A(Yaralanma yok)</v>
          </cell>
          <cell r="R104" t="str">
            <v>Bozankaya</v>
          </cell>
          <cell r="S104" t="str">
            <v>Üretim</v>
          </cell>
          <cell r="T104">
            <v>45357</v>
          </cell>
          <cell r="U104">
            <v>45357.708333333336</v>
          </cell>
          <cell r="V104" t="str">
            <v>ELTESAN ELEKTRO MEKANİK SOĞUTMA SAN</v>
          </cell>
          <cell r="W104" t="str">
            <v>KLIMA UNITESİ /Eltesan/Hispacold 41,5 kW</v>
          </cell>
          <cell r="X104" t="str">
            <v>H500-7240</v>
          </cell>
          <cell r="Y104">
            <v>1</v>
          </cell>
          <cell r="AE104" t="str">
            <v/>
          </cell>
          <cell r="AH104" t="str">
            <v/>
          </cell>
          <cell r="AN104">
            <v>1</v>
          </cell>
          <cell r="AP104" t="str">
            <v>(I) İlk defa karşılaşılan arıza</v>
          </cell>
          <cell r="AQ104">
            <v>45357</v>
          </cell>
          <cell r="AR104">
            <v>45357.75</v>
          </cell>
          <cell r="AU104" t="str">
            <v>E-Kabinet</v>
          </cell>
        </row>
        <row r="105">
          <cell r="A105">
            <v>72313988</v>
          </cell>
          <cell r="B105" t="str">
            <v>BOZ-KAY5+6-FF-104</v>
          </cell>
          <cell r="E105">
            <v>45357</v>
          </cell>
          <cell r="F105">
            <v>45357.707638888889</v>
          </cell>
          <cell r="G105" t="str">
            <v>3880(9)</v>
          </cell>
          <cell r="H105" t="str">
            <v>MA</v>
          </cell>
          <cell r="I105" t="str">
            <v>Hat/Line</v>
          </cell>
          <cell r="J105" t="str">
            <v>A-Sürüşü engeller</v>
          </cell>
          <cell r="K105" t="str">
            <v>Müşteri</v>
          </cell>
          <cell r="L105" t="str">
            <v>KABİN KLİMASI ÇALIŞMIYOR</v>
          </cell>
          <cell r="M105" t="str">
            <v>MASTERCARD DEĞİŞİMİ YAPILDI SORUN GİDERİLDİ</v>
          </cell>
          <cell r="N105">
            <v>260</v>
          </cell>
          <cell r="P105" t="str">
            <v>B(Servisten çekmeye etki eden arızalar)</v>
          </cell>
          <cell r="Q105" t="str">
            <v>N.A(Yaralanma yok)</v>
          </cell>
          <cell r="R105" t="str">
            <v>Tedarikçi</v>
          </cell>
          <cell r="S105" t="str">
            <v>Eltesan</v>
          </cell>
          <cell r="T105">
            <v>45358</v>
          </cell>
          <cell r="U105">
            <v>45358.333333333336</v>
          </cell>
          <cell r="V105" t="str">
            <v>ELTESAN ELEKTRO MEKANİK SOĞUTMA SAN</v>
          </cell>
          <cell r="W105" t="str">
            <v>KLIMA UNITESİ /Eltesan/Hispacold 41,5 kW</v>
          </cell>
          <cell r="X105" t="str">
            <v>H500-7240</v>
          </cell>
          <cell r="Y105">
            <v>1</v>
          </cell>
          <cell r="AE105" t="str">
            <v/>
          </cell>
          <cell r="AH105" t="str">
            <v/>
          </cell>
          <cell r="AN105">
            <v>1</v>
          </cell>
          <cell r="AP105" t="str">
            <v>(II) Birden fazla karşılaşılan arıza</v>
          </cell>
          <cell r="AQ105">
            <v>45358</v>
          </cell>
          <cell r="AR105">
            <v>45358.5</v>
          </cell>
          <cell r="AU105" t="str">
            <v>HVAC Sürücü</v>
          </cell>
        </row>
        <row r="106">
          <cell r="A106" t="str">
            <v>39dc7a96</v>
          </cell>
          <cell r="B106" t="str">
            <v>BOZ-KAY5+6-FF-105</v>
          </cell>
          <cell r="E106">
            <v>45357</v>
          </cell>
          <cell r="F106">
            <v>45357.707638888889</v>
          </cell>
          <cell r="G106" t="str">
            <v>3880(9)</v>
          </cell>
          <cell r="H106" t="str">
            <v>MA</v>
          </cell>
          <cell r="I106" t="str">
            <v>Hat/Line</v>
          </cell>
          <cell r="J106" t="str">
            <v>A-Sürüşü engeller</v>
          </cell>
          <cell r="K106" t="str">
            <v>Müşteri</v>
          </cell>
          <cell r="L106" t="str">
            <v>KABİN KLİMASI ÇALIŞMIYOR</v>
          </cell>
          <cell r="M106" t="str">
            <v>MASTERCARD DEĞİŞİMİ YAPILDI</v>
          </cell>
          <cell r="N106">
            <v>270</v>
          </cell>
          <cell r="P106" t="str">
            <v>B(Servisten çekmeye etki eden arızalar)</v>
          </cell>
          <cell r="Q106" t="str">
            <v>N.A(Yaralanma yok)</v>
          </cell>
          <cell r="R106" t="str">
            <v>Tedarikçi</v>
          </cell>
          <cell r="S106" t="str">
            <v>Eltesan</v>
          </cell>
          <cell r="T106">
            <v>45358</v>
          </cell>
          <cell r="U106">
            <v>45358.333333333336</v>
          </cell>
          <cell r="V106" t="str">
            <v>ELTESAN ELEKTRO MEKANİK SOĞUTMA SAN</v>
          </cell>
          <cell r="W106" t="str">
            <v>KLIMA UNITESİ /Eltesan/Hispacold 41,5 kW</v>
          </cell>
          <cell r="X106" t="str">
            <v>H500-7240</v>
          </cell>
          <cell r="Y106">
            <v>1</v>
          </cell>
          <cell r="AE106" t="str">
            <v/>
          </cell>
          <cell r="AH106" t="str">
            <v/>
          </cell>
          <cell r="AN106">
            <v>1</v>
          </cell>
          <cell r="AP106" t="str">
            <v>(II) Birden fazla karşılaşılan arıza</v>
          </cell>
          <cell r="AQ106">
            <v>45358</v>
          </cell>
          <cell r="AR106">
            <v>45358.5</v>
          </cell>
          <cell r="AU106" t="str">
            <v>HVAC Sürücü</v>
          </cell>
        </row>
        <row r="107">
          <cell r="A107" t="str">
            <v>b67f59ce</v>
          </cell>
          <cell r="B107" t="str">
            <v>BOZ-KAY5+6-FF-106</v>
          </cell>
          <cell r="E107">
            <v>45357</v>
          </cell>
          <cell r="F107">
            <v>45357.707905092589</v>
          </cell>
          <cell r="G107" t="str">
            <v>3880(9)</v>
          </cell>
          <cell r="H107" t="str">
            <v>MA</v>
          </cell>
          <cell r="I107" t="str">
            <v>Hat/Line</v>
          </cell>
          <cell r="J107" t="str">
            <v>C-Uyarı, sürüş devamlılığı</v>
          </cell>
          <cell r="K107" t="str">
            <v>Müşteri</v>
          </cell>
          <cell r="L107" t="str">
            <v>kabin klima çalışmıyor</v>
          </cell>
          <cell r="M107" t="str">
            <v>mastercard değişimi yapıldı</v>
          </cell>
          <cell r="N107">
            <v>280</v>
          </cell>
          <cell r="P107" t="str">
            <v>B(Servisten çekmeye etki eden arızalar)</v>
          </cell>
          <cell r="Q107" t="str">
            <v>N.A(Yaralanma yok)</v>
          </cell>
          <cell r="R107" t="str">
            <v>Tedarikçi</v>
          </cell>
          <cell r="S107" t="str">
            <v>Eltesan</v>
          </cell>
          <cell r="T107">
            <v>45527</v>
          </cell>
          <cell r="U107">
            <v>45527.594305555554</v>
          </cell>
          <cell r="V107" t="str">
            <v>ELTESAN ELEKTRO MEKANİK SOĞUTMA SAN</v>
          </cell>
          <cell r="W107" t="str">
            <v>KLIMA UNITESİ /Eltesan/Hispacold 41,5 kW</v>
          </cell>
          <cell r="X107" t="str">
            <v>H500-7240</v>
          </cell>
          <cell r="Y107">
            <v>1</v>
          </cell>
          <cell r="AB107" t="str">
            <v>Ekipman değiştirilecek</v>
          </cell>
          <cell r="AE107" t="str">
            <v/>
          </cell>
          <cell r="AH107" t="str">
            <v/>
          </cell>
          <cell r="AP107" t="str">
            <v>(II) Birden fazla karşılaşılan arıza</v>
          </cell>
          <cell r="AQ107">
            <v>45527</v>
          </cell>
          <cell r="AR107">
            <v>45527.708333333336</v>
          </cell>
          <cell r="AU107" t="str">
            <v>HVAC Sürücü</v>
          </cell>
        </row>
        <row r="108">
          <cell r="A108" t="str">
            <v>a3c6cc27</v>
          </cell>
          <cell r="B108" t="str">
            <v>BOZ-KAY5+6-FF-107</v>
          </cell>
          <cell r="E108">
            <v>45358</v>
          </cell>
          <cell r="F108">
            <v>45358.711111111108</v>
          </cell>
          <cell r="G108" t="str">
            <v>3872(1)</v>
          </cell>
          <cell r="H108" t="str">
            <v>RB</v>
          </cell>
          <cell r="I108" t="str">
            <v>Hat/Line</v>
          </cell>
          <cell r="J108" t="str">
            <v>B-Hız veya güç azalması</v>
          </cell>
          <cell r="K108" t="str">
            <v>Müşteri</v>
          </cell>
          <cell r="L108" t="str">
            <v>07.03.2024 TARİHİNDE GERÇEKLEŞTİRİLEN SAHA DENETİMİNDE 3872 NOLU ARAÇTA KAPI ÜSTÜ BİLGİLENDİRMELERİNİN AKTİF OLMADIĞI TESPİT EDİLMİŞTİR.</v>
          </cell>
          <cell r="M108" t="str">
            <v>KONTROL MERKEZİ TARAFINDAN KONTROL ETTİRİLDİ ARAÇTA TÜM YOLCU BİLGİLENDİRME EKRANLARI ÇALIŞMAKTADIR.</v>
          </cell>
          <cell r="N108">
            <v>41623</v>
          </cell>
          <cell r="P108" t="str">
            <v>B(Servisten çekmeye etki eden arızalar)</v>
          </cell>
          <cell r="Q108" t="str">
            <v>N.A(Yaralanma yok)</v>
          </cell>
          <cell r="R108" t="str">
            <v>Tedarikçi</v>
          </cell>
          <cell r="S108" t="str">
            <v>Atak</v>
          </cell>
          <cell r="T108">
            <v>45526</v>
          </cell>
          <cell r="U108">
            <v>45526.611377314817</v>
          </cell>
          <cell r="V108" t="str">
            <v>ATAK ULAŞIM SAN.TİC.LTD.ŞTİ.</v>
          </cell>
          <cell r="W108" t="str">
            <v>STRETCH LCD EKRAN</v>
          </cell>
          <cell r="X108" t="str">
            <v>E410-7003</v>
          </cell>
          <cell r="Y108">
            <v>1</v>
          </cell>
          <cell r="AB108" t="str">
            <v>Ekipman değiştirilecek</v>
          </cell>
          <cell r="AE108" t="str">
            <v/>
          </cell>
          <cell r="AH108" t="str">
            <v/>
          </cell>
          <cell r="AN108">
            <v>1</v>
          </cell>
          <cell r="AP108" t="str">
            <v>(II) Birden fazla karşılaşılan arıza</v>
          </cell>
          <cell r="AQ108">
            <v>45526</v>
          </cell>
          <cell r="AR108">
            <v>45526.6875</v>
          </cell>
          <cell r="AU108" t="str">
            <v>PA/PIS/CCTV</v>
          </cell>
        </row>
        <row r="109">
          <cell r="A109" t="str">
            <v>b6a995a5</v>
          </cell>
          <cell r="B109" t="str">
            <v>BOZ-KAY5+6-FF-108</v>
          </cell>
          <cell r="E109">
            <v>45358</v>
          </cell>
          <cell r="F109">
            <v>45358.797222222223</v>
          </cell>
          <cell r="G109" t="str">
            <v>3876(5)</v>
          </cell>
          <cell r="H109" t="str">
            <v>MB</v>
          </cell>
          <cell r="I109" t="str">
            <v>Hat/Line</v>
          </cell>
          <cell r="J109" t="str">
            <v>C-Uyarı, sürüş devamlılığı</v>
          </cell>
          <cell r="K109" t="str">
            <v>Müşteri</v>
          </cell>
          <cell r="L109" t="str">
            <v>3876 nolu  araç kabin cb ivmekolu alt kısım plastiği kırılmıl</v>
          </cell>
          <cell r="M109" t="str">
            <v>ivme kolu topuzu alt kısımdan kırılmış değişimi talep edilmektedir</v>
          </cell>
          <cell r="N109">
            <v>42000</v>
          </cell>
          <cell r="P109" t="str">
            <v>C(Sisteme etki etmeyen arıza)</v>
          </cell>
          <cell r="Q109" t="str">
            <v>N.A(Yaralanma yok)</v>
          </cell>
          <cell r="R109" t="str">
            <v>Tedarikçi</v>
          </cell>
          <cell r="S109" t="str">
            <v>Medcom</v>
          </cell>
          <cell r="T109">
            <v>45528</v>
          </cell>
          <cell r="U109">
            <v>45528.409467592595</v>
          </cell>
          <cell r="V109" t="str">
            <v>MEDCOM SP. Z O.O.</v>
          </cell>
          <cell r="W109" t="str">
            <v>MASTER CONTRROLER S334 C36B</v>
          </cell>
          <cell r="X109" t="str">
            <v>E300-7001</v>
          </cell>
          <cell r="Y109">
            <v>1</v>
          </cell>
          <cell r="AE109" t="str">
            <v/>
          </cell>
          <cell r="AH109" t="str">
            <v/>
          </cell>
          <cell r="AN109">
            <v>2</v>
          </cell>
          <cell r="AP109" t="str">
            <v>(I) İlk defa karşılaşılan arıza</v>
          </cell>
          <cell r="AQ109">
            <v>45528</v>
          </cell>
          <cell r="AR109">
            <v>45528.583333333336</v>
          </cell>
          <cell r="AU109" t="str">
            <v>Kabin Masası</v>
          </cell>
        </row>
        <row r="110">
          <cell r="A110" t="str">
            <v>cb5a50ef</v>
          </cell>
          <cell r="B110" t="str">
            <v>BOZ-KAY5+6-FF-109</v>
          </cell>
          <cell r="E110">
            <v>45359</v>
          </cell>
          <cell r="F110">
            <v>45359.29791666667</v>
          </cell>
          <cell r="G110" t="str">
            <v>3880(9)</v>
          </cell>
          <cell r="H110" t="str">
            <v>MA</v>
          </cell>
          <cell r="I110" t="str">
            <v>Hat/Line</v>
          </cell>
          <cell r="J110" t="str">
            <v>B-Hız veya güç azalması</v>
          </cell>
          <cell r="K110" t="str">
            <v>Müşteri</v>
          </cell>
          <cell r="L110" t="str">
            <v>MAKİNİST KABİNİ KLİMALAR ISITMA YAPMIYOR.</v>
          </cell>
          <cell r="M110" t="str">
            <v>MASTERCARD KOMUT ALMIYORDU. TEKRAR YAZILIM YÜKLENDİ. FAKAT DÜZELMEDİ. MASTER CARD DEĞİŞİMİ YAPILDI.</v>
          </cell>
          <cell r="N110">
            <v>37450</v>
          </cell>
          <cell r="P110" t="str">
            <v>B(Servisten çekmeye etki eden arızalar)</v>
          </cell>
          <cell r="Q110" t="str">
            <v>N.A(Yaralanma yok)</v>
          </cell>
          <cell r="R110" t="str">
            <v>Tedarikçi</v>
          </cell>
          <cell r="S110" t="str">
            <v>Eltesan</v>
          </cell>
          <cell r="T110">
            <v>45526</v>
          </cell>
          <cell r="U110">
            <v>45526.592870370368</v>
          </cell>
          <cell r="V110" t="str">
            <v>ELTESAN ELEKTRO MEKANİK SOĞUTMA SAN</v>
          </cell>
          <cell r="W110" t="str">
            <v>KLIMA UNITESİ /Eltesan/Hispacold 41,5 kW</v>
          </cell>
          <cell r="X110" t="str">
            <v>H500-7240</v>
          </cell>
          <cell r="Y110">
            <v>1</v>
          </cell>
          <cell r="AB110" t="str">
            <v>Ekipman değiştirilecek</v>
          </cell>
          <cell r="AE110" t="str">
            <v/>
          </cell>
          <cell r="AH110" t="str">
            <v/>
          </cell>
          <cell r="AN110">
            <v>1</v>
          </cell>
          <cell r="AP110" t="str">
            <v>(II) Birden fazla karşılaşılan arıza</v>
          </cell>
          <cell r="AQ110">
            <v>45526</v>
          </cell>
          <cell r="AR110">
            <v>45526.6875</v>
          </cell>
          <cell r="AU110" t="str">
            <v>HVAC Sürücü</v>
          </cell>
        </row>
        <row r="111">
          <cell r="A111" t="str">
            <v>b227c7c3</v>
          </cell>
          <cell r="B111" t="str">
            <v>BOZ-KAY5+6-FF-110</v>
          </cell>
          <cell r="E111">
            <v>45359</v>
          </cell>
          <cell r="F111">
            <v>45359.299305555556</v>
          </cell>
          <cell r="G111" t="str">
            <v>3881(10)</v>
          </cell>
          <cell r="H111" t="str">
            <v>MA</v>
          </cell>
          <cell r="I111" t="str">
            <v>Hat/Line</v>
          </cell>
          <cell r="J111" t="str">
            <v>B-Hız veya güç azalması</v>
          </cell>
          <cell r="K111" t="str">
            <v>Müşteri</v>
          </cell>
          <cell r="L111" t="str">
            <v>MAKİNİST KABİNİ KLİMALAR ISITMA YAPMIYOR.</v>
          </cell>
          <cell r="M111" t="str">
            <v>MA KABİN MASTER CARD DEĞİŞİMİ YAPILDI.</v>
          </cell>
          <cell r="N111">
            <v>30265</v>
          </cell>
          <cell r="P111" t="str">
            <v>B(Servisten çekmeye etki eden arızalar)</v>
          </cell>
          <cell r="Q111" t="str">
            <v>N.A(Yaralanma yok)</v>
          </cell>
          <cell r="R111" t="str">
            <v>Tedarikçi</v>
          </cell>
          <cell r="S111" t="str">
            <v>Eltesan</v>
          </cell>
          <cell r="T111">
            <v>45526</v>
          </cell>
          <cell r="U111">
            <v>45526.717361111114</v>
          </cell>
          <cell r="V111" t="str">
            <v>ELTESAN ELEKTRO MEKANİK SOĞUTMA SAN</v>
          </cell>
          <cell r="W111" t="str">
            <v>KLIMA UNITESİ /Eltesan/Hispacold 41,5 kW</v>
          </cell>
          <cell r="X111" t="str">
            <v>H500-7240</v>
          </cell>
          <cell r="Y111">
            <v>1</v>
          </cell>
          <cell r="AB111" t="str">
            <v>Ekipman değiştirilecek</v>
          </cell>
          <cell r="AE111" t="str">
            <v/>
          </cell>
          <cell r="AH111" t="str">
            <v/>
          </cell>
          <cell r="AN111">
            <v>1</v>
          </cell>
          <cell r="AP111" t="str">
            <v>(II) Birden fazla karşılaşılan arıza</v>
          </cell>
          <cell r="AQ111">
            <v>45526</v>
          </cell>
          <cell r="AR111">
            <v>45526.770833333336</v>
          </cell>
          <cell r="AU111" t="str">
            <v>HVAC Sürücü</v>
          </cell>
        </row>
        <row r="112">
          <cell r="A112" t="str">
            <v>ac9a62a0</v>
          </cell>
          <cell r="B112" t="str">
            <v>BOZ-KAY5+6-FF-111</v>
          </cell>
          <cell r="E112">
            <v>45359</v>
          </cell>
          <cell r="F112">
            <v>45359.993750000001</v>
          </cell>
          <cell r="G112" t="str">
            <v>3877(6)</v>
          </cell>
          <cell r="H112" t="str">
            <v>MB</v>
          </cell>
          <cell r="I112" t="str">
            <v>Hat/Line</v>
          </cell>
          <cell r="J112" t="str">
            <v>B-Hız veya güç azalması</v>
          </cell>
          <cell r="K112" t="str">
            <v>Müşteri</v>
          </cell>
          <cell r="L112" t="str">
            <v>KABİN ISITMA YAPMIYOR</v>
          </cell>
          <cell r="M112" t="str">
            <v>KONTROLLERİ YAPILDI. KLİMA FORCED MODDA HİÇBİR ŞEKİLDE KOMUT ALMIYORDU VE KONDENSER FAN SÜREKLİ ÇALIŞIYORDU. MASTERCARD'A YAZILIM YÜKLENDİ FAKAT DÜZELMEDİ. MASTER CARD DEĞİŞİMİ YAPILDI. YAZILIM YÜKLENDİ. TEST YAPILDI. NORMAL ÇALIŞIYOR.</v>
          </cell>
          <cell r="N112">
            <v>18628</v>
          </cell>
          <cell r="P112" t="str">
            <v>B(Servisten çekmeye etki eden arızalar)</v>
          </cell>
          <cell r="Q112" t="str">
            <v>N.A(Yaralanma yok)</v>
          </cell>
          <cell r="R112" t="str">
            <v>Tedarikçi</v>
          </cell>
          <cell r="S112" t="str">
            <v>Eltesan</v>
          </cell>
          <cell r="T112">
            <v>45526</v>
          </cell>
          <cell r="U112">
            <v>45526.599988425929</v>
          </cell>
          <cell r="V112" t="str">
            <v>ELTESAN ELEKTRO MEKANİK SOĞUTMA SAN</v>
          </cell>
          <cell r="W112" t="str">
            <v>KLIMA UNITESİ /Eltesan/Hispacold 41,5 kW</v>
          </cell>
          <cell r="X112" t="str">
            <v>H500-7240</v>
          </cell>
          <cell r="Y112">
            <v>1</v>
          </cell>
          <cell r="AB112" t="str">
            <v>Ekipman değiştirilecek</v>
          </cell>
          <cell r="AE112" t="str">
            <v/>
          </cell>
          <cell r="AH112" t="str">
            <v/>
          </cell>
          <cell r="AN112">
            <v>1</v>
          </cell>
          <cell r="AP112" t="str">
            <v>(II) Birden fazla karşılaşılan arıza</v>
          </cell>
          <cell r="AQ112">
            <v>45526</v>
          </cell>
          <cell r="AR112">
            <v>45526.666666666664</v>
          </cell>
          <cell r="AU112" t="str">
            <v>HVAC Sürücü</v>
          </cell>
        </row>
        <row r="113">
          <cell r="A113" t="str">
            <v>ad2dfbd9</v>
          </cell>
          <cell r="B113" t="str">
            <v>BOZ-KAY5+6-FF-112</v>
          </cell>
          <cell r="E113">
            <v>45360</v>
          </cell>
          <cell r="F113">
            <v>45360.616666666669</v>
          </cell>
          <cell r="G113" t="str">
            <v>3877(6)</v>
          </cell>
          <cell r="H113" t="str">
            <v>RB</v>
          </cell>
          <cell r="I113" t="str">
            <v>Hat/Line</v>
          </cell>
          <cell r="J113" t="str">
            <v>B-Hız veya güç azalması</v>
          </cell>
          <cell r="K113" t="str">
            <v>Müşteri</v>
          </cell>
          <cell r="L113" t="str">
            <v>RB HVAC TAVAN ISITICI REZİSTANSINDA PATLAK VAR.</v>
          </cell>
          <cell r="M113" t="str">
            <v>PATLAK OLAN REZİSTANS DEĞİŞİMİ YAPILDI.</v>
          </cell>
          <cell r="N113">
            <v>28012</v>
          </cell>
          <cell r="P113" t="str">
            <v>B(Servisten çekmeye etki eden arızalar)</v>
          </cell>
          <cell r="Q113" t="str">
            <v>N.A(Yaralanma yok)</v>
          </cell>
          <cell r="R113" t="str">
            <v>Tedarikçi</v>
          </cell>
          <cell r="S113" t="str">
            <v>Eltesan</v>
          </cell>
          <cell r="T113">
            <v>45527</v>
          </cell>
          <cell r="U113">
            <v>45527.333333333336</v>
          </cell>
          <cell r="V113" t="str">
            <v>ELTESAN ELEKTRO MEKANİK SOĞUTMA SAN</v>
          </cell>
          <cell r="W113" t="str">
            <v>KLIMA UNITESİ /Eltesan/Hispacold 41,5 kW</v>
          </cell>
          <cell r="X113" t="str">
            <v>H500-7240</v>
          </cell>
          <cell r="Y113">
            <v>1</v>
          </cell>
          <cell r="AB113" t="str">
            <v>Ekipman değiştirilecek</v>
          </cell>
          <cell r="AE113" t="str">
            <v/>
          </cell>
          <cell r="AH113" t="str">
            <v/>
          </cell>
          <cell r="AN113">
            <v>2</v>
          </cell>
          <cell r="AP113" t="str">
            <v>(I) İlk defa karşılaşılan arıza</v>
          </cell>
          <cell r="AQ113">
            <v>45527</v>
          </cell>
          <cell r="AR113">
            <v>45527.5</v>
          </cell>
          <cell r="AU113" t="str">
            <v>HVAC Yolcu</v>
          </cell>
        </row>
        <row r="114">
          <cell r="A114" t="str">
            <v>1aa141bd</v>
          </cell>
          <cell r="B114" t="str">
            <v>BOZ-KAY5+6-FF-113</v>
          </cell>
          <cell r="E114">
            <v>45363</v>
          </cell>
          <cell r="F114">
            <v>45363.229895833334</v>
          </cell>
          <cell r="G114" t="str">
            <v>3878(7)</v>
          </cell>
          <cell r="H114" t="str">
            <v>MA</v>
          </cell>
          <cell r="I114" t="str">
            <v>Hat/Line</v>
          </cell>
          <cell r="J114" t="str">
            <v>C-Uyarı, sürüş devamlılığı</v>
          </cell>
          <cell r="K114" t="str">
            <v>Müşteri</v>
          </cell>
          <cell r="L114" t="str">
            <v>3878 CA Kabin kapısı kitlenmiyor</v>
          </cell>
          <cell r="M114" t="str">
            <v>Kabin kapısı kilit mekanizması içeriden sıyırmış içeriden sıyırmış.Düzeltildi</v>
          </cell>
          <cell r="N114">
            <v>58015</v>
          </cell>
          <cell r="P114" t="str">
            <v>C(Sisteme etki etmeyen arıza)</v>
          </cell>
          <cell r="Q114" t="str">
            <v>N.A(Yaralanma yok)</v>
          </cell>
          <cell r="R114" t="str">
            <v>Bozankaya</v>
          </cell>
          <cell r="S114" t="str">
            <v>Tasarım</v>
          </cell>
          <cell r="T114">
            <v>45527</v>
          </cell>
          <cell r="U114">
            <v>45527.333333333336</v>
          </cell>
          <cell r="V114" t="str">
            <v>GREBO OTOMOTİV SANAYİ A.Ş</v>
          </cell>
          <cell r="W114" t="str">
            <v>SURUCU KAPISI KOMPLESI</v>
          </cell>
          <cell r="X114" t="str">
            <v>T110-7047</v>
          </cell>
          <cell r="Y114">
            <v>1</v>
          </cell>
          <cell r="AB114" t="str">
            <v>Tamir edilecek</v>
          </cell>
          <cell r="AE114" t="str">
            <v/>
          </cell>
          <cell r="AH114" t="str">
            <v/>
          </cell>
          <cell r="AN114">
            <v>2</v>
          </cell>
          <cell r="AP114" t="str">
            <v>(II) Birden fazla karşılaşılan arıza</v>
          </cell>
          <cell r="AQ114">
            <v>45527</v>
          </cell>
          <cell r="AR114">
            <v>45527.5</v>
          </cell>
          <cell r="AU114" t="str">
            <v>Kapı</v>
          </cell>
        </row>
        <row r="115">
          <cell r="A115" t="str">
            <v>aad3d5d6</v>
          </cell>
          <cell r="B115" t="str">
            <v>BOZ-KAY5+6-FF-114</v>
          </cell>
          <cell r="E115">
            <v>45363</v>
          </cell>
          <cell r="F115">
            <v>45363.230555555558</v>
          </cell>
          <cell r="G115" t="str">
            <v>3879(8)</v>
          </cell>
          <cell r="H115" t="str">
            <v>MA</v>
          </cell>
          <cell r="I115" t="str">
            <v>Hat/Line</v>
          </cell>
          <cell r="J115" t="str">
            <v>B-Hız veya güç azalması</v>
          </cell>
          <cell r="K115" t="str">
            <v>Müşteri</v>
          </cell>
          <cell r="L115" t="str">
            <v>SİLECEK SONA DOĞRU YAN DÖNÜYOR.</v>
          </cell>
          <cell r="M115" t="str">
            <v>SİLECEĞİN DÖNEN MEKANİZMALARI YAĞLANDI. NORMAL ÇALIŞIYOR.</v>
          </cell>
          <cell r="N115">
            <v>42117</v>
          </cell>
          <cell r="P115" t="str">
            <v>B(Servisten çekmeye etki eden arızalar)</v>
          </cell>
          <cell r="Q115" t="str">
            <v>N.A(Yaralanma yok)</v>
          </cell>
          <cell r="R115" t="str">
            <v>Bozankaya</v>
          </cell>
          <cell r="S115" t="str">
            <v>Tasarım</v>
          </cell>
          <cell r="T115">
            <v>45526</v>
          </cell>
          <cell r="U115">
            <v>45526.737453703703</v>
          </cell>
          <cell r="V115" t="str">
            <v>DENİZLER OTOMOTİV SAN. VE TİC.LTD.Ş</v>
          </cell>
          <cell r="W115" t="str">
            <v>SILECEK KOL KOMPLESI ANA KOL+YARDIMCI KO</v>
          </cell>
          <cell r="X115" t="str">
            <v>M100-7069</v>
          </cell>
          <cell r="Y115">
            <v>1</v>
          </cell>
          <cell r="AB115" t="str">
            <v>Tamir edilecek</v>
          </cell>
          <cell r="AE115" t="str">
            <v/>
          </cell>
          <cell r="AH115" t="str">
            <v/>
          </cell>
          <cell r="AN115">
            <v>1</v>
          </cell>
          <cell r="AP115" t="str">
            <v>(II) Birden fazla karşılaşılan arıza</v>
          </cell>
          <cell r="AQ115">
            <v>45526</v>
          </cell>
          <cell r="AR115">
            <v>45526.770833333336</v>
          </cell>
          <cell r="AU115" t="str">
            <v>Giydirme Dış</v>
          </cell>
        </row>
        <row r="116">
          <cell r="A116" t="str">
            <v>d93bc341</v>
          </cell>
          <cell r="B116" t="str">
            <v>BOZ-KAY5+6-FF-115</v>
          </cell>
          <cell r="E116">
            <v>45363</v>
          </cell>
          <cell r="F116">
            <v>45363.463194444441</v>
          </cell>
          <cell r="G116" t="str">
            <v>3874(3)</v>
          </cell>
          <cell r="H116" t="str">
            <v>RA</v>
          </cell>
          <cell r="I116" t="str">
            <v>Hat/Line</v>
          </cell>
          <cell r="J116" t="str">
            <v>C-Uyarı, sürüş devamlılığı</v>
          </cell>
          <cell r="K116" t="str">
            <v>Müşteri</v>
          </cell>
          <cell r="L116" t="str">
            <v>KAPI ÜZERİ EKRAN ÇALIŞMIYOR</v>
          </cell>
          <cell r="M116" t="str">
            <v>EKRAN DEĞİŞİMİ YAPILDI</v>
          </cell>
          <cell r="N116">
            <v>53100</v>
          </cell>
          <cell r="P116" t="str">
            <v>B(Servisten çekmeye etki eden arızalar)</v>
          </cell>
          <cell r="Q116" t="str">
            <v>N.A(Yaralanma yok)</v>
          </cell>
          <cell r="R116" t="str">
            <v>Tedarikçi</v>
          </cell>
          <cell r="S116" t="str">
            <v>Atak</v>
          </cell>
          <cell r="T116">
            <v>45441</v>
          </cell>
          <cell r="U116">
            <v>45441.375</v>
          </cell>
          <cell r="V116" t="str">
            <v>ATAK ULAŞIM SAN.TİC.LTD.ŞTİ.</v>
          </cell>
          <cell r="W116" t="str">
            <v>STRETCH LCD EKRAN</v>
          </cell>
          <cell r="X116" t="str">
            <v>E410-7003</v>
          </cell>
          <cell r="Y116">
            <v>1</v>
          </cell>
          <cell r="AB116" t="str">
            <v>Ekipman değiştirilecek</v>
          </cell>
          <cell r="AE116" t="str">
            <v/>
          </cell>
          <cell r="AH116" t="str">
            <v/>
          </cell>
          <cell r="AN116">
            <v>2</v>
          </cell>
          <cell r="AP116" t="str">
            <v>(II) Birden fazla karşılaşılan arıza</v>
          </cell>
          <cell r="AQ116">
            <v>45441</v>
          </cell>
          <cell r="AR116">
            <v>45441.5</v>
          </cell>
          <cell r="AU116" t="str">
            <v>PA/PIS/CCTV</v>
          </cell>
        </row>
        <row r="117">
          <cell r="A117" t="str">
            <v>1fa5598c</v>
          </cell>
          <cell r="B117" t="str">
            <v>BOZ-KAY5+6-FF-116</v>
          </cell>
          <cell r="E117">
            <v>45363</v>
          </cell>
          <cell r="F117">
            <v>45363.755555555559</v>
          </cell>
          <cell r="G117" t="str">
            <v>3875(4)</v>
          </cell>
          <cell r="H117" t="str">
            <v>MA</v>
          </cell>
          <cell r="I117" t="str">
            <v>Hat/Line</v>
          </cell>
          <cell r="J117" t="str">
            <v>C-Uyarı, sürüş devamlılığı</v>
          </cell>
          <cell r="K117" t="str">
            <v>Müşteri</v>
          </cell>
          <cell r="L117" t="str">
            <v>CA KABİN ARIZA GÖSTERGE PANELİ YERİNDEN ÇIKMIŞ</v>
          </cell>
          <cell r="M117" t="str">
            <v>CA KABİN ARIZA GÖSTERGE PANELİ YERİNDEN ÇIKMIŞ YERİNE SABİTLENDİ.</v>
          </cell>
          <cell r="N117">
            <v>42010</v>
          </cell>
          <cell r="P117" t="str">
            <v>C(Sisteme etki etmeyen arıza)</v>
          </cell>
          <cell r="Q117" t="str">
            <v>N.A(Yaralanma yok)</v>
          </cell>
          <cell r="R117" t="str">
            <v>Bozankaya</v>
          </cell>
          <cell r="S117" t="str">
            <v>Üretim</v>
          </cell>
          <cell r="T117">
            <v>45526</v>
          </cell>
          <cell r="U117">
            <v>45526.618321759262</v>
          </cell>
          <cell r="V117" t="str">
            <v>ATAK ULAŞIM SAN.TİC.LTD.ŞTİ.</v>
          </cell>
          <cell r="W117" t="str">
            <v>İNDİKATÖR PANELİ</v>
          </cell>
          <cell r="X117" t="str">
            <v>E300-7007</v>
          </cell>
          <cell r="Y117">
            <v>1</v>
          </cell>
          <cell r="AB117" t="str">
            <v>Tamir edilecek</v>
          </cell>
          <cell r="AE117" t="str">
            <v/>
          </cell>
          <cell r="AH117" t="str">
            <v/>
          </cell>
          <cell r="AN117">
            <v>1</v>
          </cell>
          <cell r="AP117" t="str">
            <v>(II) Birden fazla karşılaşılan arıza</v>
          </cell>
          <cell r="AQ117">
            <v>45526</v>
          </cell>
          <cell r="AR117">
            <v>45526.666666666664</v>
          </cell>
          <cell r="AU117" t="str">
            <v>Kabin Masası</v>
          </cell>
        </row>
        <row r="118">
          <cell r="A118" t="str">
            <v>df1ea5ef</v>
          </cell>
          <cell r="B118" t="str">
            <v>BOZ-KAY5+6-FF-117</v>
          </cell>
          <cell r="E118">
            <v>45363</v>
          </cell>
          <cell r="F118">
            <v>45363.755555555559</v>
          </cell>
          <cell r="G118" t="str">
            <v>3875(4)</v>
          </cell>
          <cell r="H118" t="str">
            <v>MA</v>
          </cell>
          <cell r="I118" t="str">
            <v>Hat/Line</v>
          </cell>
          <cell r="J118" t="str">
            <v>C-Uyarı, sürüş devamlılığı</v>
          </cell>
          <cell r="K118" t="str">
            <v>Müşteri</v>
          </cell>
          <cell r="L118" t="str">
            <v>CA KABİN ARIZA GÖSTERGE PANELİ YERİNDEN ÇIKMIŞ</v>
          </cell>
          <cell r="M118" t="str">
            <v>YERİNE SABİTLENDİ.</v>
          </cell>
          <cell r="N118">
            <v>40252</v>
          </cell>
          <cell r="P118" t="str">
            <v>C(Sisteme etki etmeyen arıza)</v>
          </cell>
          <cell r="Q118" t="str">
            <v>N.A(Yaralanma yok)</v>
          </cell>
          <cell r="R118" t="str">
            <v>Bozankaya</v>
          </cell>
          <cell r="S118" t="str">
            <v>Üretim</v>
          </cell>
          <cell r="T118">
            <v>45526</v>
          </cell>
          <cell r="U118">
            <v>45526.607939814814</v>
          </cell>
          <cell r="V118" t="str">
            <v>ATAK ULAŞIM SAN.TİC.LTD.ŞTİ.</v>
          </cell>
          <cell r="W118" t="str">
            <v>İNDİKATÖR PANELİ</v>
          </cell>
          <cell r="X118" t="str">
            <v>E300-7007</v>
          </cell>
          <cell r="Y118">
            <v>1</v>
          </cell>
          <cell r="AB118" t="str">
            <v>Tamir edilecek</v>
          </cell>
          <cell r="AE118" t="str">
            <v/>
          </cell>
          <cell r="AH118" t="str">
            <v/>
          </cell>
          <cell r="AN118">
            <v>1</v>
          </cell>
          <cell r="AP118" t="str">
            <v>(II) Birden fazla karşılaşılan arıza</v>
          </cell>
          <cell r="AQ118">
            <v>45526</v>
          </cell>
          <cell r="AR118">
            <v>45526.666666666664</v>
          </cell>
          <cell r="AU118" t="str">
            <v>Kabin Masası</v>
          </cell>
        </row>
        <row r="119">
          <cell r="A119" t="str">
            <v>ac820c30</v>
          </cell>
          <cell r="B119" t="str">
            <v>BOZ-KAY5+6-FF-118</v>
          </cell>
          <cell r="E119">
            <v>45364</v>
          </cell>
          <cell r="F119">
            <v>45364.27847222222</v>
          </cell>
          <cell r="G119" t="str">
            <v>3880(9)</v>
          </cell>
          <cell r="H119" t="str">
            <v>MA</v>
          </cell>
          <cell r="I119" t="str">
            <v>Hat/Line</v>
          </cell>
          <cell r="J119" t="str">
            <v>C-Uyarı, sürüş devamlılığı</v>
          </cell>
          <cell r="K119" t="str">
            <v>Müşteri</v>
          </cell>
          <cell r="L119" t="str">
            <v>Kabin kliması ısıtma yapmıyor</v>
          </cell>
          <cell r="M119" t="str">
            <v>Kabin sensör ısıtma yapmıyor</v>
          </cell>
          <cell r="N119">
            <v>39228</v>
          </cell>
          <cell r="P119" t="str">
            <v>B(Servisten çekmeye etki eden arızalar)</v>
          </cell>
          <cell r="Q119" t="str">
            <v>N.A(Yaralanma yok)</v>
          </cell>
          <cell r="R119" t="str">
            <v>Tedarikçi</v>
          </cell>
          <cell r="S119" t="str">
            <v>Eltesan</v>
          </cell>
          <cell r="T119">
            <v>45538</v>
          </cell>
          <cell r="U119">
            <v>45538.382592592592</v>
          </cell>
          <cell r="V119" t="str">
            <v>ELTESAN ELEKTRO MEKANİK SOĞUTMA SAN</v>
          </cell>
          <cell r="W119" t="str">
            <v>KLIMA UNITESİ /Eltesan/Hispacold 41,5 kW</v>
          </cell>
          <cell r="X119" t="str">
            <v>H500-7240</v>
          </cell>
          <cell r="Y119">
            <v>1</v>
          </cell>
          <cell r="AB119" t="str">
            <v>Tamir edilecek</v>
          </cell>
          <cell r="AE119" t="str">
            <v/>
          </cell>
          <cell r="AH119" t="str">
            <v/>
          </cell>
          <cell r="AN119">
            <v>1</v>
          </cell>
          <cell r="AP119" t="str">
            <v>(III) Birden fazla aynı araçta karşılaşılan arıza</v>
          </cell>
          <cell r="AQ119">
            <v>45538</v>
          </cell>
          <cell r="AR119">
            <v>45538.5</v>
          </cell>
          <cell r="AU119" t="str">
            <v>HVAC Sürücü</v>
          </cell>
        </row>
        <row r="120">
          <cell r="A120" t="str">
            <v>a65a726d</v>
          </cell>
          <cell r="B120" t="str">
            <v>BOZ-KAY5+6-FF-119</v>
          </cell>
          <cell r="E120">
            <v>45364</v>
          </cell>
          <cell r="F120">
            <v>45364.441666666666</v>
          </cell>
          <cell r="G120" t="str">
            <v>3879(8)</v>
          </cell>
          <cell r="H120" t="str">
            <v>P</v>
          </cell>
          <cell r="I120" t="str">
            <v>Hat/Line</v>
          </cell>
          <cell r="J120" t="str">
            <v>B-Hız veya güç azalması</v>
          </cell>
          <cell r="K120" t="str">
            <v>Müşteri</v>
          </cell>
          <cell r="L120" t="str">
            <v>12.03.2024 TARİHİNDE YAPILAN SAHA DENETİMİNDE SAAT 09:39 DA 3879 NUMARALI KAPI ÜSTÜ EKRANLARIN ÇALIŞMADIĞI TESPİT EDİLMİŞTİR.</v>
          </cell>
          <cell r="M120" t="str">
            <v>SİSTEM RESETLENDİ. ARIZA DEVAMLILIĞI GÖRÜLMEDİ.</v>
          </cell>
          <cell r="N120">
            <v>42117</v>
          </cell>
          <cell r="P120" t="str">
            <v>B(Servisten çekmeye etki eden arızalar)</v>
          </cell>
          <cell r="Q120" t="str">
            <v>N.A(Yaralanma yok)</v>
          </cell>
          <cell r="R120" t="str">
            <v>Tedarikçi</v>
          </cell>
          <cell r="S120" t="str">
            <v>Atak</v>
          </cell>
          <cell r="T120">
            <v>45526</v>
          </cell>
          <cell r="U120">
            <v>45526.636782407404</v>
          </cell>
          <cell r="V120" t="str">
            <v>ATAK ULAŞIM SAN.TİC.LTD.ŞTİ.</v>
          </cell>
          <cell r="W120" t="str">
            <v>STRETCH LCD EKRAN</v>
          </cell>
          <cell r="X120" t="str">
            <v>E410-7003</v>
          </cell>
          <cell r="Y120">
            <v>1</v>
          </cell>
          <cell r="AE120" t="str">
            <v/>
          </cell>
          <cell r="AH120" t="str">
            <v/>
          </cell>
          <cell r="AN120">
            <v>1</v>
          </cell>
          <cell r="AP120" t="str">
            <v>(II) Birden fazla karşılaşılan arıza</v>
          </cell>
          <cell r="AQ120">
            <v>45526</v>
          </cell>
          <cell r="AR120">
            <v>45526.75</v>
          </cell>
          <cell r="AU120" t="str">
            <v>PA/PIS/CCTV</v>
          </cell>
        </row>
        <row r="121">
          <cell r="A121" t="str">
            <v>79765f2f</v>
          </cell>
          <cell r="B121" t="str">
            <v>BOZ-KAY5+6-FF-120</v>
          </cell>
          <cell r="E121">
            <v>45364</v>
          </cell>
          <cell r="F121">
            <v>45364.443055555559</v>
          </cell>
          <cell r="G121" t="str">
            <v>3874(3)</v>
          </cell>
          <cell r="H121" t="str">
            <v>MA</v>
          </cell>
          <cell r="I121" t="str">
            <v>Hat/Line</v>
          </cell>
          <cell r="J121" t="str">
            <v>B-Hız veya güç azalması</v>
          </cell>
          <cell r="K121" t="str">
            <v>Müşteri</v>
          </cell>
          <cell r="L121" t="str">
            <v>12.03.2024 TARİHİNDE YAPILAN SAHA DENETİMİNDE SAAT:11:04 DE 3874 NUMARALI ARACIN KAPI ÜSTÜ EKRANLARIN ÇALIŞMADIĞI TESPİT EDİLMİŞTİR.</v>
          </cell>
          <cell r="M121" t="str">
            <v>ARIZA 3876'DA. AU300 YENİDEN YAZILIM ATILDI. KAPI ÜSTÜ GÖRSELLER YENİDEN YÜKLENDİ. ARIZA DEVAMLILIĞI GÖRÜLMEDİ.</v>
          </cell>
          <cell r="N121">
            <v>52252</v>
          </cell>
          <cell r="P121" t="str">
            <v>B(Servisten çekmeye etki eden arızalar)</v>
          </cell>
          <cell r="Q121" t="str">
            <v>N.A(Yaralanma yok)</v>
          </cell>
          <cell r="R121" t="str">
            <v>Tedarikçi</v>
          </cell>
          <cell r="S121" t="str">
            <v>Atak</v>
          </cell>
          <cell r="T121">
            <v>45526</v>
          </cell>
          <cell r="U121">
            <v>45526.615740740737</v>
          </cell>
          <cell r="V121" t="str">
            <v>ATAK ULAŞIM SAN.TİC.LTD.ŞTİ.</v>
          </cell>
          <cell r="W121" t="str">
            <v>STRETCH LCD EKRAN</v>
          </cell>
          <cell r="X121" t="str">
            <v>E410-7003</v>
          </cell>
          <cell r="Y121">
            <v>1</v>
          </cell>
          <cell r="AB121" t="str">
            <v>Yazılım güncelleme</v>
          </cell>
          <cell r="AE121" t="str">
            <v/>
          </cell>
          <cell r="AH121" t="str">
            <v/>
          </cell>
          <cell r="AN121">
            <v>1</v>
          </cell>
          <cell r="AP121" t="str">
            <v>(II) Birden fazla karşılaşılan arıza</v>
          </cell>
          <cell r="AQ121">
            <v>45526</v>
          </cell>
          <cell r="AR121">
            <v>45526.708333333336</v>
          </cell>
          <cell r="AU121" t="str">
            <v>PA/PIS/CCTV</v>
          </cell>
        </row>
        <row r="122">
          <cell r="A122" t="str">
            <v>135cbbdb</v>
          </cell>
          <cell r="B122" t="str">
            <v>BOZ-KAY5+6-FF-121</v>
          </cell>
          <cell r="E122">
            <v>45364</v>
          </cell>
          <cell r="F122">
            <v>45364.444120370368</v>
          </cell>
          <cell r="G122" t="str">
            <v>3872(1)</v>
          </cell>
          <cell r="H122" t="str">
            <v>MA</v>
          </cell>
          <cell r="I122" t="str">
            <v>Hat/Line</v>
          </cell>
          <cell r="J122" t="str">
            <v>C-Uyarı, sürüş devamlılığı</v>
          </cell>
          <cell r="K122" t="str">
            <v>Müşteri</v>
          </cell>
          <cell r="L122" t="str">
            <v>12.03.2024 Tarihinde yapılan saha denetiminde  saat 11:49 da 3872 nolu aracın kapı üstü ekranların çalışmadığı tespit edilmiştir</v>
          </cell>
          <cell r="M122" t="str">
            <v>Görsel PC resetlendi.Arıza giderildi.</v>
          </cell>
          <cell r="N122">
            <v>44000</v>
          </cell>
          <cell r="P122" t="str">
            <v>C(Sisteme etki etmeyen arıza)</v>
          </cell>
          <cell r="Q122" t="str">
            <v>N.A(Yaralanma yok)</v>
          </cell>
          <cell r="R122" t="str">
            <v>Tedarikçi</v>
          </cell>
          <cell r="S122" t="str">
            <v>Atak</v>
          </cell>
          <cell r="T122">
            <v>45526</v>
          </cell>
          <cell r="U122">
            <v>45526.641481481478</v>
          </cell>
          <cell r="V122" t="str">
            <v>ATAK ULAŞIM SAN.TİC.LTD.ŞTİ.</v>
          </cell>
          <cell r="W122" t="str">
            <v>STRETCH LCD EKRAN</v>
          </cell>
          <cell r="X122" t="str">
            <v>E410-7003</v>
          </cell>
          <cell r="AE122" t="str">
            <v/>
          </cell>
          <cell r="AH122" t="str">
            <v/>
          </cell>
          <cell r="AP122" t="str">
            <v>(III) Birden fazla aynı araçta karşılaşılan arıza</v>
          </cell>
          <cell r="AQ122" t="str">
            <v/>
          </cell>
          <cell r="AU122" t="str">
            <v>PA/PIS/CCTV</v>
          </cell>
        </row>
        <row r="123">
          <cell r="A123" t="str">
            <v>362fcf4f</v>
          </cell>
          <cell r="B123" t="str">
            <v>BOZ-KAY5+6-FF-122</v>
          </cell>
          <cell r="E123">
            <v>45365</v>
          </cell>
          <cell r="F123">
            <v>45365.34375</v>
          </cell>
          <cell r="G123" t="str">
            <v>3880(9)</v>
          </cell>
          <cell r="H123" t="str">
            <v>MA</v>
          </cell>
          <cell r="I123" t="str">
            <v>Hat/Line</v>
          </cell>
          <cell r="J123" t="str">
            <v>A-Sürüşü engeller</v>
          </cell>
          <cell r="K123" t="str">
            <v>Müşteri</v>
          </cell>
          <cell r="L123" t="str">
            <v>3880-3881 NOLU KUPLAJLI ARACIN IMULARI ARIZALI OLMASI NEDENİYLE 6 SEFERDE 47 DK TEHİR MEYDANA GELMİŞTİR.</v>
          </cell>
          <cell r="M123" t="str">
            <v>81 NUMARALI ARAÇTAKİ İDU LİNE KABLOLARI DÜZELTİLDİ.</v>
          </cell>
          <cell r="N123">
            <v>36952</v>
          </cell>
          <cell r="P123" t="str">
            <v>A(Hareket etmeyi engelleyen arıza)</v>
          </cell>
          <cell r="Q123" t="str">
            <v>N.A(Yaralanma yok)</v>
          </cell>
          <cell r="R123" t="str">
            <v>Bozankaya</v>
          </cell>
          <cell r="S123" t="str">
            <v>Fabrika Test</v>
          </cell>
          <cell r="T123">
            <v>45526</v>
          </cell>
          <cell r="U123">
            <v>45526.709270833337</v>
          </cell>
          <cell r="V123" t="str">
            <v>Stadler Signalling Deutschland GmbH</v>
          </cell>
          <cell r="W123" t="str">
            <v>IMU 100 FZA KOMPLESI</v>
          </cell>
          <cell r="X123" t="str">
            <v>E865-7011</v>
          </cell>
          <cell r="Y123">
            <v>1</v>
          </cell>
          <cell r="AB123" t="str">
            <v>Tamir edilecek</v>
          </cell>
          <cell r="AE123" t="str">
            <v/>
          </cell>
          <cell r="AH123" t="str">
            <v/>
          </cell>
          <cell r="AN123">
            <v>1</v>
          </cell>
          <cell r="AP123" t="str">
            <v>(I) İlk defa karşılaşılan arıza</v>
          </cell>
          <cell r="AQ123">
            <v>45526</v>
          </cell>
          <cell r="AR123">
            <v>45526.770833333336</v>
          </cell>
          <cell r="AU123" t="str">
            <v>Kabin Masası</v>
          </cell>
        </row>
        <row r="124">
          <cell r="A124" t="str">
            <v>c9ec7c5a</v>
          </cell>
          <cell r="B124" t="str">
            <v>BOZ-KAY5+6-FF-123</v>
          </cell>
          <cell r="E124">
            <v>45365</v>
          </cell>
          <cell r="F124">
            <v>45365.34652777778</v>
          </cell>
          <cell r="G124" t="str">
            <v>3873(2)</v>
          </cell>
          <cell r="H124" t="str">
            <v>MB</v>
          </cell>
          <cell r="I124" t="str">
            <v>Hat/Line</v>
          </cell>
          <cell r="J124" t="str">
            <v>A-Sürüşü engeller</v>
          </cell>
          <cell r="K124" t="str">
            <v>Müşteri</v>
          </cell>
          <cell r="L124" t="str">
            <v>CB KABİNDEN ARAÇ KAPILARI SERBEST OLMUYOR</v>
          </cell>
          <cell r="M124" t="str">
            <v>NB-F01 SİGORTASI ATMIŞ KALDIRILDI</v>
          </cell>
          <cell r="N124">
            <v>49521</v>
          </cell>
          <cell r="P124" t="str">
            <v>B(Servisten çekmeye etki eden arızalar)</v>
          </cell>
          <cell r="Q124" t="str">
            <v>N.A(Yaralanma yok)</v>
          </cell>
          <cell r="R124" t="str">
            <v>Tedarikçi</v>
          </cell>
          <cell r="S124" t="str">
            <v>Eltesan</v>
          </cell>
          <cell r="T124">
            <v>45526</v>
          </cell>
          <cell r="U124">
            <v>45526.705682870372</v>
          </cell>
          <cell r="V124" t="str">
            <v>Bozankaya</v>
          </cell>
          <cell r="W124" t="str">
            <v>KAPILAR</v>
          </cell>
          <cell r="Y124">
            <v>1</v>
          </cell>
          <cell r="AB124" t="str">
            <v>Arıza çözülecek</v>
          </cell>
          <cell r="AE124" t="str">
            <v/>
          </cell>
          <cell r="AH124" t="str">
            <v/>
          </cell>
          <cell r="AP124" t="str">
            <v>(I) İlk defa karşılaşılan arıza</v>
          </cell>
          <cell r="AQ124" t="str">
            <v/>
          </cell>
          <cell r="AU124" t="str">
            <v>Kapı</v>
          </cell>
        </row>
        <row r="125">
          <cell r="A125" t="str">
            <v>0af83c6a</v>
          </cell>
          <cell r="B125" t="str">
            <v>BOZ-KAY5+6-FF-124</v>
          </cell>
          <cell r="E125">
            <v>45365</v>
          </cell>
          <cell r="F125">
            <v>45365.43472222222</v>
          </cell>
          <cell r="G125" t="str">
            <v>3879(8)</v>
          </cell>
          <cell r="H125" t="str">
            <v>MA</v>
          </cell>
          <cell r="I125" t="str">
            <v>Hat/Line</v>
          </cell>
          <cell r="J125" t="str">
            <v>C-Uyarı, sürüş devamlılığı</v>
          </cell>
          <cell r="K125" t="str">
            <v>Müşteri</v>
          </cell>
          <cell r="L125" t="str">
            <v>3879-3878 NOLU ARAÇLAR İMU ARIZASI VERİYOR VARIŞ YÖNÜ TABELASI KURULAMIYOR.</v>
          </cell>
          <cell r="M125" t="str">
            <v>ST300 DONMUŞ AU300 RESETLENDİ DÜZELDİ.</v>
          </cell>
          <cell r="N125">
            <v>4854</v>
          </cell>
          <cell r="P125" t="str">
            <v>B(Servisten çekmeye etki eden arızalar)</v>
          </cell>
          <cell r="Q125" t="str">
            <v>N.A(Yaralanma yok)</v>
          </cell>
          <cell r="R125" t="str">
            <v>Tedarikçi</v>
          </cell>
          <cell r="S125" t="str">
            <v>Atak</v>
          </cell>
          <cell r="T125">
            <v>45526</v>
          </cell>
          <cell r="U125">
            <v>45526.605324074073</v>
          </cell>
          <cell r="V125" t="str">
            <v>ATAK ULAŞIM SAN.TİC.LTD.ŞTİ.</v>
          </cell>
          <cell r="W125" t="str">
            <v>Merkez Ünite AU300 (train bus, vehicle b</v>
          </cell>
          <cell r="X125" t="str">
            <v>E840-7002</v>
          </cell>
          <cell r="Y125">
            <v>1</v>
          </cell>
          <cell r="AB125" t="str">
            <v>Arıza çözülecek</v>
          </cell>
          <cell r="AE125" t="str">
            <v/>
          </cell>
          <cell r="AH125" t="str">
            <v/>
          </cell>
          <cell r="AN125">
            <v>1</v>
          </cell>
          <cell r="AP125" t="str">
            <v>(II) Birden fazla karşılaşılan arıza</v>
          </cell>
          <cell r="AQ125">
            <v>45526</v>
          </cell>
          <cell r="AR125">
            <v>45526.666666666664</v>
          </cell>
          <cell r="AU125" t="str">
            <v>Sinyalizasyon</v>
          </cell>
        </row>
        <row r="126">
          <cell r="A126" t="str">
            <v>0d6e1827</v>
          </cell>
          <cell r="B126" t="str">
            <v>BOZ-KAY5+6-FF-125</v>
          </cell>
          <cell r="E126">
            <v>45366</v>
          </cell>
          <cell r="F126">
            <v>45366.038888888892</v>
          </cell>
          <cell r="G126" t="str">
            <v>3881(10)</v>
          </cell>
          <cell r="H126" t="str">
            <v>MA</v>
          </cell>
          <cell r="I126" t="str">
            <v>Hat/Line</v>
          </cell>
          <cell r="J126" t="str">
            <v>A-Sürüşü engeller</v>
          </cell>
          <cell r="K126" t="str">
            <v>Müşteri</v>
          </cell>
          <cell r="L126" t="str">
            <v>ARAÇ SIFIR HIZ ARIZASI VERDİ. 2 KERE RESETLENDİ DÜZELMEDİ. BAZI KAPILAR İSTASYONLARDA AÇILMADI. AYRICA İVME VE FRENDE İDU ÜZERİNDEN KAPILAR SARI VE KIRMIZI OLARAK GÖZÜKTÜ. A KABİN KLİMALAR TAKILI KALDI.</v>
          </cell>
          <cell r="M126" t="str">
            <v>CAN2 HATTININ TÜM KABLOLARINDA YEŞİL VE KIRMIZI OLUYORDU. YAPILAN KONTROLLERDE MA SÜRÜCÜ KLİMASININ  CAN2 HATTINI BOZDUĞUNU TESPİT ETTİK. SÜRÜCÜ KLİMASI MASTER CARD DEĞİŞİMİ YAPILDI. YAZILIM YÜKLENDİ TEST YAPILDI. SORUN GİDERİLDİ.</v>
          </cell>
          <cell r="N126">
            <v>29765</v>
          </cell>
          <cell r="P126" t="str">
            <v>B(Servisten çekmeye etki eden arızalar)</v>
          </cell>
          <cell r="Q126" t="str">
            <v>N.A(Yaralanma yok)</v>
          </cell>
          <cell r="R126" t="str">
            <v>Tedarikçi</v>
          </cell>
          <cell r="S126" t="str">
            <v>Eltesan</v>
          </cell>
          <cell r="T126">
            <v>45526</v>
          </cell>
          <cell r="U126">
            <v>45526.715636574074</v>
          </cell>
          <cell r="V126" t="str">
            <v>ELTESAN ELEKTRO MEKANİK SOĞUTMA SAN</v>
          </cell>
          <cell r="W126" t="str">
            <v>KLIMA UNITESİ /Eltesan/Hispacold 41,5 kW</v>
          </cell>
          <cell r="X126" t="str">
            <v>H500-7240</v>
          </cell>
          <cell r="Y126">
            <v>1</v>
          </cell>
          <cell r="AB126" t="str">
            <v>Tamir edilecek</v>
          </cell>
          <cell r="AE126" t="str">
            <v/>
          </cell>
          <cell r="AH126" t="str">
            <v/>
          </cell>
          <cell r="AN126">
            <v>1</v>
          </cell>
          <cell r="AP126" t="str">
            <v>(II) Birden fazla karşılaşılan arıza</v>
          </cell>
          <cell r="AQ126">
            <v>45526</v>
          </cell>
          <cell r="AR126">
            <v>45526.770833333336</v>
          </cell>
          <cell r="AU126" t="str">
            <v>HVAC Sürücü</v>
          </cell>
        </row>
        <row r="127">
          <cell r="A127" t="str">
            <v>54900cbc</v>
          </cell>
          <cell r="B127" t="str">
            <v>BOZ-KAY5+6-FF-126</v>
          </cell>
          <cell r="E127">
            <v>45367</v>
          </cell>
          <cell r="F127">
            <v>45367.006249999999</v>
          </cell>
          <cell r="G127" t="str">
            <v>3875(4)</v>
          </cell>
          <cell r="H127" t="str">
            <v>MA</v>
          </cell>
          <cell r="I127" t="str">
            <v>Hat/Line</v>
          </cell>
          <cell r="J127" t="str">
            <v>B-Hız veya güç azalması</v>
          </cell>
          <cell r="K127" t="str">
            <v>Müşteri</v>
          </cell>
          <cell r="L127" t="str">
            <v>HER İKİ BAŞ KABİN KLİMALARI ISITMA YAPMIYOR.</v>
          </cell>
          <cell r="M127" t="str">
            <v>HER İKİ KABİN SENSÖR REVİZYONU YAPILDI. MA SÜRÜCÜ KABİNİ MASTERCARD REZİSTANS KONTAKTÖRÜNE KOMUT VERMİYORDU. MASTER CARD DEĞİŞİMİ YAPILDI.</v>
          </cell>
          <cell r="N127">
            <v>40822</v>
          </cell>
          <cell r="P127" t="str">
            <v>B(Servisten çekmeye etki eden arızalar)</v>
          </cell>
          <cell r="Q127" t="str">
            <v>N.A(Yaralanma yok)</v>
          </cell>
          <cell r="R127" t="str">
            <v>Tedarikçi</v>
          </cell>
          <cell r="S127" t="str">
            <v>Eltesan</v>
          </cell>
          <cell r="T127">
            <v>45527</v>
          </cell>
          <cell r="U127">
            <v>45527.333333333336</v>
          </cell>
          <cell r="V127" t="str">
            <v>ELTESAN ELEKTRO MEKANİK SOĞUTMA SAN</v>
          </cell>
          <cell r="W127" t="str">
            <v>KLIMA UNITESİ /Eltesan/Hispacold 41,5 kW</v>
          </cell>
          <cell r="X127" t="str">
            <v>H500-7240</v>
          </cell>
          <cell r="Y127">
            <v>2</v>
          </cell>
          <cell r="AE127" t="str">
            <v/>
          </cell>
          <cell r="AH127" t="str">
            <v/>
          </cell>
          <cell r="AN127">
            <v>2</v>
          </cell>
          <cell r="AP127" t="str">
            <v>(II) Birden fazla karşılaşılan arıza</v>
          </cell>
          <cell r="AQ127">
            <v>45527</v>
          </cell>
          <cell r="AR127">
            <v>45527.5</v>
          </cell>
          <cell r="AU127" t="str">
            <v>HVAC Sürücü</v>
          </cell>
        </row>
        <row r="128">
          <cell r="A128" t="str">
            <v>857af0ab</v>
          </cell>
          <cell r="B128" t="str">
            <v>BOZ-KAY5+6-FF-127</v>
          </cell>
          <cell r="E128">
            <v>45367</v>
          </cell>
          <cell r="F128">
            <v>45367.279131944444</v>
          </cell>
          <cell r="G128" t="str">
            <v>3880(9)</v>
          </cell>
          <cell r="H128" t="str">
            <v>MB</v>
          </cell>
          <cell r="I128" t="str">
            <v>Hat/Line</v>
          </cell>
          <cell r="J128" t="str">
            <v>C-Uyarı, sürüş devamlılığı</v>
          </cell>
          <cell r="K128" t="str">
            <v>Müşteri</v>
          </cell>
          <cell r="L128" t="str">
            <v>KABİN KLİMASI ISITMA YAPMIYOR</v>
          </cell>
          <cell r="M128" t="str">
            <v>KABİN SENSÖR REVİZYONU YAPILDI.SORUN GİDERİLDİ</v>
          </cell>
          <cell r="N128">
            <v>37352</v>
          </cell>
          <cell r="P128" t="str">
            <v>B(Servisten çekmeye etki eden arızalar)</v>
          </cell>
          <cell r="Q128" t="str">
            <v>N.A(Yaralanma yok)</v>
          </cell>
          <cell r="R128" t="str">
            <v>Tedarikçi</v>
          </cell>
          <cell r="S128" t="str">
            <v>Eltesan</v>
          </cell>
          <cell r="T128">
            <v>45527</v>
          </cell>
          <cell r="U128">
            <v>45527.605150462965</v>
          </cell>
          <cell r="V128" t="str">
            <v>ELTESAN ELEKTRO MEKANİK SOĞUTMA SAN</v>
          </cell>
          <cell r="W128" t="str">
            <v>KLIMA UNITESİ /Eltesan/Hispacold 41,5 kW</v>
          </cell>
          <cell r="X128" t="str">
            <v>H500-7240</v>
          </cell>
          <cell r="Y128">
            <v>1</v>
          </cell>
          <cell r="AB128" t="str">
            <v>Arıza çözülecek</v>
          </cell>
          <cell r="AE128" t="str">
            <v/>
          </cell>
          <cell r="AH128" t="str">
            <v/>
          </cell>
          <cell r="AN128">
            <v>2</v>
          </cell>
          <cell r="AP128" t="str">
            <v>(II) Birden fazla karşılaşılan arıza</v>
          </cell>
          <cell r="AQ128">
            <v>45527</v>
          </cell>
          <cell r="AR128">
            <v>45527.75</v>
          </cell>
          <cell r="AU128" t="str">
            <v>HVAC Sürücü</v>
          </cell>
        </row>
        <row r="129">
          <cell r="A129" t="str">
            <v>cb1b0934</v>
          </cell>
          <cell r="B129" t="str">
            <v>BOZ-KAY5+6-FF-128</v>
          </cell>
          <cell r="E129">
            <v>45367</v>
          </cell>
          <cell r="F129">
            <v>45367.334027777775</v>
          </cell>
          <cell r="G129" t="str">
            <v>3875(4)</v>
          </cell>
          <cell r="H129" t="str">
            <v>MB</v>
          </cell>
          <cell r="I129" t="str">
            <v>Hat/Line</v>
          </cell>
          <cell r="J129" t="str">
            <v>C-Uyarı, sürüş devamlılığı</v>
          </cell>
          <cell r="K129" t="str">
            <v>Müşteri</v>
          </cell>
          <cell r="L129" t="str">
            <v>KUPLÖR KATLANMIYOR. ASANSÖR ARIZALI</v>
          </cell>
          <cell r="M129" t="str">
            <v>KUPLÖR ASANSÖR MODİFİKASYONU YAPILDI.</v>
          </cell>
          <cell r="N129">
            <v>40400</v>
          </cell>
          <cell r="P129" t="str">
            <v>C(Sisteme etki etmeyen arıza)</v>
          </cell>
          <cell r="Q129" t="str">
            <v>N.A(Yaralanma yok)</v>
          </cell>
          <cell r="R129" t="str">
            <v>Bozankaya</v>
          </cell>
          <cell r="S129" t="str">
            <v>Üretim</v>
          </cell>
          <cell r="T129">
            <v>45600</v>
          </cell>
          <cell r="U129">
            <v>45600.333333333336</v>
          </cell>
          <cell r="V129" t="str">
            <v>DELLNER COUPLERC AB</v>
          </cell>
          <cell r="W129" t="str">
            <v>OTOMATIK KUPLÖR DELLNER</v>
          </cell>
          <cell r="X129" t="str">
            <v>M350-7062</v>
          </cell>
          <cell r="Y129">
            <v>1</v>
          </cell>
          <cell r="AB129" t="str">
            <v>Ekipman değiştirilecek</v>
          </cell>
          <cell r="AE129" t="str">
            <v/>
          </cell>
          <cell r="AN129">
            <v>1</v>
          </cell>
          <cell r="AP129" t="str">
            <v>(II) Birden fazla karşılaşılan arıza</v>
          </cell>
          <cell r="AQ129">
            <v>45600</v>
          </cell>
          <cell r="AR129">
            <v>45600.625</v>
          </cell>
          <cell r="AU129" t="str">
            <v>Autocoupler</v>
          </cell>
        </row>
        <row r="130">
          <cell r="A130" t="str">
            <v>ba7f74ee</v>
          </cell>
          <cell r="B130" t="str">
            <v>BOZ-KAY5+6-FF-129</v>
          </cell>
          <cell r="E130">
            <v>45370</v>
          </cell>
          <cell r="F130">
            <v>45370.456944444442</v>
          </cell>
          <cell r="G130" t="str">
            <v>3879(8)</v>
          </cell>
          <cell r="H130" t="str">
            <v>RA</v>
          </cell>
          <cell r="I130" t="str">
            <v>Hat/Line</v>
          </cell>
          <cell r="J130" t="str">
            <v>C-Uyarı, sürüş devamlılığı</v>
          </cell>
          <cell r="K130" t="str">
            <v>Müşteri</v>
          </cell>
          <cell r="L130" t="str">
            <v>KAPI ÜZERİ EKRAN ÇALIŞMIYOR</v>
          </cell>
          <cell r="M130" t="str">
            <v>Ekranlar uyku moduna geçtiği için çalışmıyor.Araç resetlendi düzeldi</v>
          </cell>
          <cell r="N130">
            <v>47752</v>
          </cell>
          <cell r="P130" t="str">
            <v>C(Sisteme etki etmeyen arıza)</v>
          </cell>
          <cell r="Q130" t="str">
            <v>N.A(Yaralanma yok)</v>
          </cell>
          <cell r="R130" t="str">
            <v>Tedarikçi</v>
          </cell>
          <cell r="S130" t="str">
            <v>Atak</v>
          </cell>
          <cell r="T130">
            <v>45527</v>
          </cell>
          <cell r="U130">
            <v>45527.598217592589</v>
          </cell>
          <cell r="V130" t="str">
            <v>ATAK ULAŞIM SAN.TİC.LTD.ŞTİ.</v>
          </cell>
          <cell r="W130" t="str">
            <v>STRETCH LCD EKRAN</v>
          </cell>
          <cell r="X130" t="str">
            <v>E410-7003</v>
          </cell>
          <cell r="Y130">
            <v>1</v>
          </cell>
          <cell r="AB130" t="str">
            <v>Arıza çözülecek</v>
          </cell>
          <cell r="AE130" t="str">
            <v/>
          </cell>
          <cell r="AH130" t="str">
            <v/>
          </cell>
          <cell r="AN130">
            <v>1</v>
          </cell>
          <cell r="AP130" t="str">
            <v>(III) Birden fazla aynı araçta karşılaşılan arıza</v>
          </cell>
          <cell r="AQ130">
            <v>45527</v>
          </cell>
          <cell r="AR130">
            <v>45527.708333333336</v>
          </cell>
          <cell r="AU130" t="str">
            <v>PA/PIS/CCTV</v>
          </cell>
        </row>
        <row r="131">
          <cell r="A131" t="str">
            <v>bcf954a9</v>
          </cell>
          <cell r="B131" t="str">
            <v>BOZ-KAY5+6-FF-130</v>
          </cell>
          <cell r="E131">
            <v>45371</v>
          </cell>
          <cell r="F131">
            <v>45371.251388888886</v>
          </cell>
          <cell r="G131" t="str">
            <v>3876(5)</v>
          </cell>
          <cell r="H131" t="str">
            <v>MB</v>
          </cell>
          <cell r="I131" t="str">
            <v>Hat/Line</v>
          </cell>
          <cell r="J131" t="str">
            <v>B-Hız veya güç azalması</v>
          </cell>
          <cell r="K131" t="str">
            <v>Müşteri</v>
          </cell>
          <cell r="L131" t="str">
            <v>CB KABİN VE MB BÖLÜMÜ KLİMALAR AÇILIYOR GERİ KAPANIYOR.</v>
          </cell>
          <cell r="M131" t="str">
            <v>ELTESAN FİRMASI BAĞLANTI YAPTI. YAZILIM GÜNCELLEMESİ YAPTI. ARIZA GİDERİLDİ.</v>
          </cell>
          <cell r="N131">
            <v>45451</v>
          </cell>
          <cell r="P131" t="str">
            <v>B(Servisten çekmeye etki eden arızalar)</v>
          </cell>
          <cell r="Q131" t="str">
            <v>N.A(Yaralanma yok)</v>
          </cell>
          <cell r="R131" t="str">
            <v>Tedarikçi</v>
          </cell>
          <cell r="S131" t="str">
            <v>Eltesan</v>
          </cell>
          <cell r="T131">
            <v>45526</v>
          </cell>
          <cell r="U131">
            <v>45526.702662037038</v>
          </cell>
          <cell r="V131" t="str">
            <v>ELTESAN ELEKTRO MEKANİK SOĞUTMA SAN</v>
          </cell>
          <cell r="W131" t="str">
            <v>KLIMA UNITESİ /Eltesan/Hispacold 41,5 kW</v>
          </cell>
          <cell r="X131" t="str">
            <v>H500-7240</v>
          </cell>
          <cell r="Y131">
            <v>1</v>
          </cell>
          <cell r="AB131" t="str">
            <v>Yazılım güncelleme</v>
          </cell>
          <cell r="AE131" t="str">
            <v/>
          </cell>
          <cell r="AH131" t="str">
            <v/>
          </cell>
          <cell r="AN131">
            <v>2</v>
          </cell>
          <cell r="AP131" t="str">
            <v>(II) Birden fazla karşılaşılan arıza</v>
          </cell>
          <cell r="AQ131">
            <v>45526</v>
          </cell>
          <cell r="AR131">
            <v>45526.770833333336</v>
          </cell>
          <cell r="AU131" t="str">
            <v>HVAC Sürücü</v>
          </cell>
        </row>
        <row r="132">
          <cell r="A132" t="str">
            <v>ffc452d4</v>
          </cell>
          <cell r="B132" t="str">
            <v>BOZ-KAY5+6-FF-131</v>
          </cell>
          <cell r="E132">
            <v>45372</v>
          </cell>
          <cell r="F132">
            <v>45372.888888888891</v>
          </cell>
          <cell r="G132" t="str">
            <v>3877(6)</v>
          </cell>
          <cell r="H132" t="str">
            <v>MA</v>
          </cell>
          <cell r="I132" t="str">
            <v>Hat/Line</v>
          </cell>
          <cell r="J132" t="str">
            <v>A-Sürüşü engeller</v>
          </cell>
          <cell r="K132" t="str">
            <v>Müşteri</v>
          </cell>
          <cell r="L132" t="str">
            <v>ARAÇ FREN ARIZASI VERDİ RESETLENDİ DÜZELME OLMADI KABİNDEN BAYPASS EDİLDİ 20 KM İLE MÜSAİT BİR YERE ÇEKİLDİ.</v>
          </cell>
          <cell r="M132" t="str">
            <v>ARACIN MA MODÜLÜ FB09 ARIZASI VERMİŞ. HPU DEĞİŞİMİ YAPILDI.</v>
          </cell>
          <cell r="N132">
            <v>28258</v>
          </cell>
          <cell r="P132" t="str">
            <v>A(Hareket etmeyi engelleyen arıza)</v>
          </cell>
          <cell r="Q132" t="str">
            <v>N.A(Yaralanma yok)</v>
          </cell>
          <cell r="R132" t="str">
            <v>Tedarikçi</v>
          </cell>
          <cell r="S132" t="str">
            <v>HANNING  KAHL</v>
          </cell>
          <cell r="T132">
            <v>45527</v>
          </cell>
          <cell r="U132">
            <v>45527.333333333336</v>
          </cell>
          <cell r="V132" t="str">
            <v>HANNING &amp; KAHL GMBH &amp; CO.KG</v>
          </cell>
          <cell r="W132" t="str">
            <v>XHidrolik Ünite HZY-K100-DPR</v>
          </cell>
          <cell r="X132" t="str">
            <v>S306-7001</v>
          </cell>
          <cell r="Y132">
            <v>1</v>
          </cell>
          <cell r="AB132" t="str">
            <v>Ekipman değiştirilecek</v>
          </cell>
          <cell r="AE132" t="str">
            <v/>
          </cell>
          <cell r="AH132" t="str">
            <v/>
          </cell>
          <cell r="AN132">
            <v>2</v>
          </cell>
          <cell r="AP132" t="str">
            <v>(II) Birden fazla karşılaşılan arıza</v>
          </cell>
          <cell r="AQ132">
            <v>45527</v>
          </cell>
          <cell r="AR132">
            <v>45527.625</v>
          </cell>
          <cell r="AU132" t="str">
            <v>Fren</v>
          </cell>
        </row>
        <row r="133">
          <cell r="A133" t="str">
            <v>9f24c844</v>
          </cell>
          <cell r="B133" t="str">
            <v>BOZ-KAY5+6-FF-132</v>
          </cell>
          <cell r="E133">
            <v>45373</v>
          </cell>
          <cell r="F133">
            <v>45373.579861111109</v>
          </cell>
          <cell r="G133" t="str">
            <v>3881(10)</v>
          </cell>
          <cell r="H133" t="str">
            <v>RB</v>
          </cell>
          <cell r="I133" t="str">
            <v>Hat/Line</v>
          </cell>
          <cell r="J133" t="str">
            <v>B-Hız veya güç azalması</v>
          </cell>
          <cell r="K133" t="str">
            <v>Müşteri</v>
          </cell>
          <cell r="L133" t="str">
            <v>3881 NOLU ARAÇ YOLCU BÖLÜMÜ ISITMA YAPMIYOR.</v>
          </cell>
          <cell r="M133" t="str">
            <v>RB BÖLÜMÜ HVAC ÜNİTESİ FANI MAX ÇALIŞIYORDU. RB BÖLÜMÜNE BİLGİSAYAR BAĞLANTISI YAPILAMADI. DAHA SONRA MASTER CARD ÜZERİNDEN RESETLENDİ. KLİMA NORMAL ÇALIŞMAYA BAŞLADI. 1 ADET KOLTUK ALTI ISITICI TERMOSTAT ATMIŞ DEĞİŞİMİ YAPILDI.</v>
          </cell>
          <cell r="N133">
            <v>34745</v>
          </cell>
          <cell r="P133" t="str">
            <v>B(Servisten çekmeye etki eden arızalar)</v>
          </cell>
          <cell r="Q133" t="str">
            <v>N.A(Yaralanma yok)</v>
          </cell>
          <cell r="R133" t="str">
            <v>Tedarikçi</v>
          </cell>
          <cell r="S133" t="str">
            <v>Eltesan</v>
          </cell>
          <cell r="T133">
            <v>45544</v>
          </cell>
          <cell r="U133">
            <v>45544.3125</v>
          </cell>
          <cell r="V133" t="str">
            <v>ELTESAN ELEKTRO MEKANİK SOĞUTMA SAN</v>
          </cell>
          <cell r="W133" t="str">
            <v>KOLTUK ALTI ISITICI-ELTESAN 2KW HEATER</v>
          </cell>
          <cell r="X133" t="str">
            <v>H250-7034</v>
          </cell>
          <cell r="Y133">
            <v>1</v>
          </cell>
          <cell r="AB133" t="str">
            <v>Arıza çözülecek</v>
          </cell>
          <cell r="AE133" t="str">
            <v/>
          </cell>
          <cell r="AH133" t="str">
            <v/>
          </cell>
          <cell r="AN133">
            <v>1</v>
          </cell>
          <cell r="AP133" t="str">
            <v>(I) İlk defa karşılaşılan arıza</v>
          </cell>
          <cell r="AQ133">
            <v>45544</v>
          </cell>
          <cell r="AR133">
            <v>45544.5</v>
          </cell>
          <cell r="AU133" t="str">
            <v>HVAC Yolcu</v>
          </cell>
        </row>
        <row r="134">
          <cell r="A134" t="str">
            <v>c10a7a39</v>
          </cell>
          <cell r="B134" t="str">
            <v>BOZ-KAY5+6-FF-133</v>
          </cell>
          <cell r="E134">
            <v>45373</v>
          </cell>
          <cell r="F134">
            <v>45373.679305555554</v>
          </cell>
          <cell r="G134" t="str">
            <v>3875(4)</v>
          </cell>
          <cell r="H134" t="str">
            <v>MB</v>
          </cell>
          <cell r="I134" t="str">
            <v>Hat/Line</v>
          </cell>
          <cell r="J134" t="str">
            <v>C-Uyarı, sürüş devamlılığı</v>
          </cell>
          <cell r="K134" t="str">
            <v>Müşteri</v>
          </cell>
          <cell r="L134" t="str">
            <v>CB FREN BYPASS BUTONU(FREN RESET) DOĞRU ŞEKİLDE ÇALIŞMIYOR.</v>
          </cell>
          <cell r="M134" t="str">
            <v>ARAÇTA FREN RESET DENENDİ. DİĞER ARALARDA ÇALIŞMA MANTIĞI AYNI FARKLI BİR DURUM YOK. SORUN GÖRÜLMEDİ.</v>
          </cell>
          <cell r="N134">
            <v>41837</v>
          </cell>
          <cell r="P134" t="str">
            <v>B(Servisten çekmeye etki eden arızalar)</v>
          </cell>
          <cell r="Q134" t="str">
            <v>N.A(Yaralanma yok)</v>
          </cell>
          <cell r="R134" t="str">
            <v>Bozankaya</v>
          </cell>
          <cell r="S134" t="str">
            <v>Fabrika Test</v>
          </cell>
          <cell r="T134">
            <v>45537</v>
          </cell>
          <cell r="U134">
            <v>45537.316562499997</v>
          </cell>
          <cell r="V134" t="str">
            <v>GENERAL TEKNİK ELEKTRONİK TESİSAT</v>
          </cell>
          <cell r="W134" t="str">
            <v>BYPAS BUTON PANELİ KOMPLESİ</v>
          </cell>
          <cell r="X134" t="str">
            <v>E300-7362</v>
          </cell>
          <cell r="Y134">
            <v>1</v>
          </cell>
          <cell r="AB134" t="str">
            <v>Arıza çözülecek</v>
          </cell>
          <cell r="AE134" t="str">
            <v/>
          </cell>
          <cell r="AH134" t="str">
            <v/>
          </cell>
          <cell r="AN134">
            <v>1</v>
          </cell>
          <cell r="AP134" t="str">
            <v>(I) İlk defa karşılaşılan arıza</v>
          </cell>
          <cell r="AQ134">
            <v>45537</v>
          </cell>
          <cell r="AR134">
            <v>45537.5</v>
          </cell>
          <cell r="AU134" t="str">
            <v>Fren</v>
          </cell>
        </row>
        <row r="135">
          <cell r="A135" t="str">
            <v>36ae20f4</v>
          </cell>
          <cell r="B135" t="str">
            <v>BOZ-KAY5+6-FF-134</v>
          </cell>
          <cell r="E135">
            <v>45373</v>
          </cell>
          <cell r="F135">
            <v>45373.681944444441</v>
          </cell>
          <cell r="G135" t="str">
            <v>3881(10)</v>
          </cell>
          <cell r="H135" t="str">
            <v>MB</v>
          </cell>
          <cell r="I135" t="str">
            <v>Hat/Line</v>
          </cell>
          <cell r="J135" t="str">
            <v>A-Sürüşü engeller</v>
          </cell>
          <cell r="K135" t="str">
            <v>Müşteri</v>
          </cell>
          <cell r="L135" t="str">
            <v>3881 CB FREN BYPASS(FREN RESET) PANEL PC DE YAPTI GÖRÜNÜYOR ANCAK ARAÇ TEKERLEKLERİ SÜRÜKLÜYOR.</v>
          </cell>
          <cell r="M135" t="str">
            <v>RA-K01 RÖLESİNDE BULUNAN RA 1371.01 KABLOSU RÖLENİN 1 NOLU AYAĞINA BAĞLANMIŞ BAĞLANTI DÜZELTİLDİ. TEST EDİLDİ.</v>
          </cell>
          <cell r="N135">
            <v>32679</v>
          </cell>
          <cell r="P135" t="str">
            <v>A(Hareket etmeyi engelleyen arıza)</v>
          </cell>
          <cell r="Q135" t="str">
            <v>N.A(Yaralanma yok)</v>
          </cell>
          <cell r="R135" t="str">
            <v>Bozankaya</v>
          </cell>
          <cell r="S135" t="str">
            <v>Fabrika Test</v>
          </cell>
          <cell r="T135">
            <v>45537</v>
          </cell>
          <cell r="U135">
            <v>45537.333333333336</v>
          </cell>
          <cell r="V135" t="str">
            <v>GENERAL TEKNİK ELEKTRONİK TESİSAT</v>
          </cell>
          <cell r="W135" t="str">
            <v>BYPAS BUTON PANELİ KOMPLESİ</v>
          </cell>
          <cell r="X135" t="str">
            <v>E300-7362</v>
          </cell>
          <cell r="Y135">
            <v>1</v>
          </cell>
          <cell r="AB135" t="str">
            <v>Tamir edilecek</v>
          </cell>
          <cell r="AE135" t="str">
            <v/>
          </cell>
          <cell r="AH135" t="str">
            <v/>
          </cell>
          <cell r="AN135">
            <v>2</v>
          </cell>
          <cell r="AP135" t="str">
            <v>(II) Birden fazla karşılaşılan arıza</v>
          </cell>
          <cell r="AQ135">
            <v>45537</v>
          </cell>
          <cell r="AR135">
            <v>45537.5</v>
          </cell>
          <cell r="AU135" t="str">
            <v>Fren</v>
          </cell>
        </row>
        <row r="136">
          <cell r="A136" t="str">
            <v>deff6e7c</v>
          </cell>
          <cell r="B136" t="str">
            <v>BOZ-KAY5+6-FF-135</v>
          </cell>
          <cell r="E136">
            <v>45373</v>
          </cell>
          <cell r="F136">
            <v>45373.915972222225</v>
          </cell>
          <cell r="G136" t="str">
            <v>3877(6)</v>
          </cell>
          <cell r="H136" t="str">
            <v>MA</v>
          </cell>
          <cell r="I136" t="str">
            <v>Hat/Line</v>
          </cell>
          <cell r="J136" t="str">
            <v>A-Sürüşü engeller</v>
          </cell>
          <cell r="K136" t="str">
            <v>Müşteri</v>
          </cell>
          <cell r="L136" t="str">
            <v>KLİMA 30 SANİYE ÇALIŞIYOR ISINMA YAPMIYOR</v>
          </cell>
          <cell r="M136" t="str">
            <v>KABİN SICAKLIK SENSÖRÜ MODİFİKASYONU YAPILDI</v>
          </cell>
          <cell r="N136">
            <v>29050</v>
          </cell>
          <cell r="P136" t="str">
            <v>B(Servisten çekmeye etki eden arızalar)</v>
          </cell>
          <cell r="Q136" t="str">
            <v>N.A(Yaralanma yok)</v>
          </cell>
          <cell r="R136" t="str">
            <v>Tedarikçi</v>
          </cell>
          <cell r="S136" t="str">
            <v>Eltesan</v>
          </cell>
          <cell r="T136">
            <v>45374</v>
          </cell>
          <cell r="U136">
            <v>45374.333333333336</v>
          </cell>
          <cell r="V136" t="str">
            <v>ELTESAN ELEKTRO MEKANİK SOĞUTMA SAN</v>
          </cell>
          <cell r="W136" t="str">
            <v>KLIMA UNITESİ /Eltesan/Hispacold 41,5 kW</v>
          </cell>
          <cell r="X136" t="str">
            <v>H500-7240</v>
          </cell>
          <cell r="Y136">
            <v>1</v>
          </cell>
          <cell r="AB136" t="str">
            <v>Arıza çözülecek</v>
          </cell>
          <cell r="AE136" t="str">
            <v/>
          </cell>
          <cell r="AH136" t="str">
            <v/>
          </cell>
          <cell r="AN136">
            <v>1</v>
          </cell>
          <cell r="AP136" t="str">
            <v>(II) Birden fazla karşılaşılan arıza</v>
          </cell>
          <cell r="AQ136">
            <v>45374</v>
          </cell>
          <cell r="AR136">
            <v>45374.416666666664</v>
          </cell>
          <cell r="AU136" t="str">
            <v>HVAC Sürücü</v>
          </cell>
        </row>
        <row r="137">
          <cell r="A137" t="str">
            <v>52d1d157</v>
          </cell>
          <cell r="B137" t="str">
            <v>BOZ-KAY5+6-FF-136</v>
          </cell>
          <cell r="E137">
            <v>45374</v>
          </cell>
          <cell r="F137">
            <v>45374.520138888889</v>
          </cell>
          <cell r="G137" t="str">
            <v>3878(7)</v>
          </cell>
          <cell r="H137" t="str">
            <v>MB</v>
          </cell>
          <cell r="I137" t="str">
            <v>Hat/Line</v>
          </cell>
          <cell r="J137" t="str">
            <v>C-Uyarı, sürüş devamlılığı</v>
          </cell>
          <cell r="K137" t="str">
            <v>Müşteri</v>
          </cell>
          <cell r="L137" t="str">
            <v>ARAÇ KABİN CB AYNA KAMERA İÇİ DÖNMÜŞ GÖRÜNTÜ YAN GÖRÜNÜYOR.</v>
          </cell>
          <cell r="M137" t="str">
            <v>KAMERA YÖN AYARI YAPILDI.</v>
          </cell>
          <cell r="N137">
            <v>22368</v>
          </cell>
          <cell r="P137" t="str">
            <v>C(Sisteme etki etmeyen arıza)</v>
          </cell>
          <cell r="Q137" t="str">
            <v>N.A(Yaralanma yok)</v>
          </cell>
          <cell r="R137" t="str">
            <v>Tedarikçi</v>
          </cell>
          <cell r="S137" t="str">
            <v>NSC</v>
          </cell>
          <cell r="T137">
            <v>45526</v>
          </cell>
          <cell r="U137">
            <v>45526.424328703702</v>
          </cell>
          <cell r="V137" t="str">
            <v>NSC TEKNOLOJİ ve İNŞAAT LTD.ŞTİ.</v>
          </cell>
          <cell r="W137" t="str">
            <v>KAMERA</v>
          </cell>
          <cell r="X137" t="str">
            <v>E810-7136</v>
          </cell>
          <cell r="Y137">
            <v>1</v>
          </cell>
          <cell r="AB137" t="str">
            <v>Arıza çözülecek</v>
          </cell>
          <cell r="AE137" t="str">
            <v/>
          </cell>
          <cell r="AH137" t="str">
            <v/>
          </cell>
          <cell r="AN137">
            <v>2</v>
          </cell>
          <cell r="AP137" t="str">
            <v>(II) Birden fazla karşılaşılan arıza</v>
          </cell>
          <cell r="AQ137">
            <v>45526</v>
          </cell>
          <cell r="AR137">
            <v>45526.5</v>
          </cell>
          <cell r="AU137" t="str">
            <v>PA/PIS/CCTV</v>
          </cell>
        </row>
        <row r="138">
          <cell r="A138" t="str">
            <v>b7d7e2c8</v>
          </cell>
          <cell r="B138" t="str">
            <v>BOZ-KAY5+6-FF-137</v>
          </cell>
          <cell r="E138">
            <v>45374</v>
          </cell>
          <cell r="F138">
            <v>45374.556944444441</v>
          </cell>
          <cell r="G138" t="str">
            <v>3878(7)</v>
          </cell>
          <cell r="H138" t="str">
            <v>MA</v>
          </cell>
          <cell r="I138" t="str">
            <v>Hat/Line</v>
          </cell>
          <cell r="J138" t="str">
            <v>B-Hız veya güç azalması</v>
          </cell>
          <cell r="K138" t="str">
            <v>Müşteri</v>
          </cell>
          <cell r="L138" t="str">
            <v>ARAÇ KABİN CA KLİMASI 1 DAKİKA DEVREYE GİRİP TEKRAR ÇIKIYOR. KLİMA ÇALIŞMIYOR KABİN SOĞUK.</v>
          </cell>
          <cell r="M138" t="str">
            <v>ARAÇ KONTROL EDİLDİ. ISITMA YAPIYORDU.</v>
          </cell>
          <cell r="N138">
            <v>23068</v>
          </cell>
          <cell r="P138" t="str">
            <v>B(Servisten çekmeye etki eden arızalar)</v>
          </cell>
          <cell r="Q138" t="str">
            <v>N.A(Yaralanma yok)</v>
          </cell>
          <cell r="R138" t="str">
            <v>Tedarikçi</v>
          </cell>
          <cell r="S138" t="str">
            <v>Eltesan</v>
          </cell>
          <cell r="T138">
            <v>45374</v>
          </cell>
          <cell r="U138">
            <v>45374.583333333336</v>
          </cell>
          <cell r="V138" t="str">
            <v>ELTESAN ELEKTRO MEKANİK SOĞUTMA SAN</v>
          </cell>
          <cell r="W138" t="str">
            <v>KLIMA UNITESİ /Eltesan/Hispacold 41,5 kW</v>
          </cell>
          <cell r="X138" t="str">
            <v>H500-7240</v>
          </cell>
          <cell r="Y138">
            <v>1</v>
          </cell>
          <cell r="AB138" t="str">
            <v>Arıza çözülecek</v>
          </cell>
          <cell r="AE138" t="str">
            <v/>
          </cell>
          <cell r="AN138">
            <v>1</v>
          </cell>
          <cell r="AP138" t="str">
            <v>(III) Birden fazla aynı araçta karşılaşılan arıza</v>
          </cell>
          <cell r="AQ138">
            <v>45374</v>
          </cell>
          <cell r="AR138">
            <v>45374.666666666664</v>
          </cell>
          <cell r="AU138" t="str">
            <v>HVAC Sürücü</v>
          </cell>
        </row>
        <row r="139">
          <cell r="A139" t="str">
            <v>9df64a38</v>
          </cell>
          <cell r="B139" t="str">
            <v>BOZ-KAY5+6-FF-138</v>
          </cell>
          <cell r="E139">
            <v>45376</v>
          </cell>
          <cell r="F139">
            <v>45376.298611111109</v>
          </cell>
          <cell r="G139" t="str">
            <v>3873(2)</v>
          </cell>
          <cell r="H139" t="str">
            <v>RA</v>
          </cell>
          <cell r="I139" t="str">
            <v>Hat/Line</v>
          </cell>
          <cell r="J139" t="str">
            <v>C-Uyarı, sürüş devamlılığı</v>
          </cell>
          <cell r="K139" t="str">
            <v>Müşteri</v>
          </cell>
          <cell r="L139" t="str">
            <v>Yolcu klimaları çalışmıyor soğuk</v>
          </cell>
          <cell r="M139" t="str">
            <v>Aracın ra ca klimalar çalışmıyordu.APC devreden çıkmış araç resetlendi normale döndü</v>
          </cell>
          <cell r="N139">
            <v>52500</v>
          </cell>
          <cell r="P139" t="str">
            <v>C(Sisteme etki etmeyen arıza)</v>
          </cell>
          <cell r="Q139" t="str">
            <v>N.A(Yaralanma yok)</v>
          </cell>
          <cell r="R139" t="str">
            <v>Tedarikçi</v>
          </cell>
          <cell r="S139" t="str">
            <v>Medcom</v>
          </cell>
          <cell r="T139">
            <v>45528</v>
          </cell>
          <cell r="U139">
            <v>45528.428877314815</v>
          </cell>
          <cell r="V139" t="str">
            <v>MEDCOM SP. Z O.O.</v>
          </cell>
          <cell r="W139" t="str">
            <v>COMBO KUTUSU (+LHD) MEDCOM</v>
          </cell>
          <cell r="X139" t="str">
            <v>P620-7023</v>
          </cell>
          <cell r="Y139">
            <v>1</v>
          </cell>
          <cell r="AB139" t="str">
            <v>Ekipman değiştirilecek</v>
          </cell>
          <cell r="AE139" t="str">
            <v/>
          </cell>
          <cell r="AH139" t="str">
            <v/>
          </cell>
          <cell r="AN139">
            <v>2</v>
          </cell>
          <cell r="AP139" t="str">
            <v>(I) İlk defa karşılaşılan arıza</v>
          </cell>
          <cell r="AQ139">
            <v>45528</v>
          </cell>
          <cell r="AR139">
            <v>45528.5</v>
          </cell>
          <cell r="AU139" t="str">
            <v>ComboBox</v>
          </cell>
        </row>
        <row r="140">
          <cell r="A140" t="str">
            <v>d0683c07</v>
          </cell>
          <cell r="B140" t="str">
            <v>BOZ-KAY5+6-FF-139</v>
          </cell>
          <cell r="E140">
            <v>45376</v>
          </cell>
          <cell r="F140">
            <v>45376.901388888888</v>
          </cell>
          <cell r="G140" t="str">
            <v>3874(3)</v>
          </cell>
          <cell r="H140" t="str">
            <v>MB</v>
          </cell>
          <cell r="I140" t="str">
            <v>Depo/Depot</v>
          </cell>
          <cell r="J140" t="str">
            <v>A-Sürüşü engeller</v>
          </cell>
          <cell r="K140" t="str">
            <v>Müşteri</v>
          </cell>
          <cell r="L140" t="str">
            <v>CB KABİN KAPI AÇMAK İÇİN SERBEST VE KAPI AÇMA BUTONUNA AYNI ANDA BASMAK GEREKİYOR</v>
          </cell>
          <cell r="M140" t="str">
            <v>P BÖLÜMDEKİ KAPI SERBEST SİGORTASI ATMIŞ KALDIRILDI</v>
          </cell>
          <cell r="N140">
            <v>55300</v>
          </cell>
          <cell r="P140" t="str">
            <v>B(Servisten çekmeye etki eden arızalar)</v>
          </cell>
          <cell r="Q140" t="str">
            <v>N.A(Yaralanma yok)</v>
          </cell>
          <cell r="R140" t="str">
            <v>Bozankaya</v>
          </cell>
          <cell r="S140" t="str">
            <v>Tasarım</v>
          </cell>
          <cell r="T140">
            <v>45376</v>
          </cell>
          <cell r="U140">
            <v>45376.916666666664</v>
          </cell>
          <cell r="V140" t="str">
            <v>GÖKHAN ELEKTRİK MALZ. SAN TİC. LTD.</v>
          </cell>
          <cell r="W140" t="str">
            <v>6A Sigorta</v>
          </cell>
          <cell r="X140" t="str">
            <v>E110-7168</v>
          </cell>
          <cell r="Y140">
            <v>1</v>
          </cell>
          <cell r="AB140" t="str">
            <v>Tamir edilecek</v>
          </cell>
          <cell r="AE140" t="str">
            <v/>
          </cell>
          <cell r="AH140" t="str">
            <v/>
          </cell>
          <cell r="AN140">
            <v>2</v>
          </cell>
          <cell r="AP140" t="str">
            <v>(II) Birden fazla karşılaşılan arıza</v>
          </cell>
          <cell r="AQ140">
            <v>45377</v>
          </cell>
          <cell r="AR140">
            <v>45377.458333333336</v>
          </cell>
          <cell r="AU140" t="str">
            <v>E-Kabinet</v>
          </cell>
        </row>
        <row r="141">
          <cell r="A141" t="str">
            <v>bae0acff</v>
          </cell>
          <cell r="B141" t="str">
            <v>BOZ-KAY5+6-FF-140</v>
          </cell>
          <cell r="E141">
            <v>45377</v>
          </cell>
          <cell r="F141">
            <v>45377.829953703702</v>
          </cell>
          <cell r="G141" t="str">
            <v>3873(2)</v>
          </cell>
          <cell r="H141" t="str">
            <v>MA</v>
          </cell>
          <cell r="I141" t="str">
            <v>Hat/Line</v>
          </cell>
          <cell r="J141" t="str">
            <v>A-Sürüşü engeller</v>
          </cell>
          <cell r="K141" t="str">
            <v>Müşteri</v>
          </cell>
          <cell r="L141" t="str">
            <v>MA BOJİ İÇİN FB009 ARIZASI VERDİ. ARAÇ HAREKET ETMEDİ. ARIZA SEBEBİ İLE 2 SEFERDE 12 DAKİKA TEHİR OLUŞTU.</v>
          </cell>
          <cell r="M141" t="str">
            <v>ARIZA 3879 NOLU ARAÇTA, ARACIN HPU DEĞİŞİMİ YAPILDI.</v>
          </cell>
          <cell r="N141">
            <v>55435</v>
          </cell>
          <cell r="P141" t="str">
            <v>A(Hareket etmeyi engelleyen arıza)</v>
          </cell>
          <cell r="Q141" t="str">
            <v>N.A(Yaralanma yok)</v>
          </cell>
          <cell r="R141" t="str">
            <v>Tedarikçi</v>
          </cell>
          <cell r="S141" t="str">
            <v>HANNING  KAHL</v>
          </cell>
          <cell r="T141">
            <v>45553</v>
          </cell>
          <cell r="U141">
            <v>45553.419930555552</v>
          </cell>
          <cell r="V141" t="str">
            <v>HANNING &amp; KAHL GMBH &amp; CO.KG</v>
          </cell>
          <cell r="W141" t="str">
            <v>XHidrolik Ünite HZY-K100-DPR</v>
          </cell>
          <cell r="X141" t="str">
            <v>S306-7001</v>
          </cell>
          <cell r="Y141">
            <v>1</v>
          </cell>
          <cell r="AB141" t="str">
            <v>Ekipman değiştirilecek</v>
          </cell>
          <cell r="AE141" t="str">
            <v/>
          </cell>
          <cell r="AH141" t="str">
            <v/>
          </cell>
          <cell r="AN141">
            <v>2</v>
          </cell>
          <cell r="AP141" t="str">
            <v>(II) Birden fazla karşılaşılan arıza</v>
          </cell>
          <cell r="AQ141">
            <v>45553</v>
          </cell>
          <cell r="AR141">
            <v>45553.708333333336</v>
          </cell>
          <cell r="AU141" t="str">
            <v>Fren</v>
          </cell>
        </row>
        <row r="142">
          <cell r="A142">
            <v>28658554</v>
          </cell>
          <cell r="B142" t="str">
            <v>BOZ-KAY5+6-FF-141</v>
          </cell>
          <cell r="E142">
            <v>45378</v>
          </cell>
          <cell r="F142">
            <v>45378.536111111112</v>
          </cell>
          <cell r="G142" t="str">
            <v>3872(1)</v>
          </cell>
          <cell r="H142" t="str">
            <v>RB</v>
          </cell>
          <cell r="I142" t="str">
            <v>Hat/Line</v>
          </cell>
          <cell r="J142" t="str">
            <v>C-Uyarı, sürüş devamlılığı</v>
          </cell>
          <cell r="K142" t="str">
            <v>Müşteri</v>
          </cell>
          <cell r="L142" t="str">
            <v>DEMİR TUTAMAK YERİNDEN ÇIKMIŞ</v>
          </cell>
          <cell r="M142" t="str">
            <v>DEMİR TUTAMAK YERİNE TAKILDI(RB ENGELLİ KOLTUK TUTMAĞI)</v>
          </cell>
          <cell r="N142">
            <v>46099</v>
          </cell>
          <cell r="P142" t="str">
            <v>B(Servisten çekmeye etki eden arızalar)</v>
          </cell>
          <cell r="Q142" t="str">
            <v>N.A(Yaralanma yok)</v>
          </cell>
          <cell r="R142" t="str">
            <v>Tedarikçi</v>
          </cell>
          <cell r="S142" t="str">
            <v>Bozankaya</v>
          </cell>
          <cell r="T142">
            <v>45378</v>
          </cell>
          <cell r="U142">
            <v>45378.541666666664</v>
          </cell>
          <cell r="V142" t="str">
            <v>FKT KOLTUK SİS. ÜRETİM VE DAĞITIM</v>
          </cell>
          <cell r="W142" t="str">
            <v>BORU TUTUCU</v>
          </cell>
          <cell r="X142" t="str">
            <v>T505-7309</v>
          </cell>
          <cell r="Y142">
            <v>1</v>
          </cell>
          <cell r="AB142" t="str">
            <v>Ekipman değiştirilecek</v>
          </cell>
          <cell r="AE142" t="str">
            <v/>
          </cell>
          <cell r="AH142" t="str">
            <v/>
          </cell>
          <cell r="AN142">
            <v>1</v>
          </cell>
          <cell r="AP142" t="str">
            <v>(I) İlk defa karşılaşılan arıza</v>
          </cell>
          <cell r="AQ142">
            <v>45378</v>
          </cell>
          <cell r="AR142">
            <v>45378.666666666664</v>
          </cell>
          <cell r="AU142" t="str">
            <v>Giydirme İç</v>
          </cell>
        </row>
        <row r="143">
          <cell r="A143" t="str">
            <v>f2071eb4</v>
          </cell>
          <cell r="B143" t="str">
            <v>BOZ-KAY5+6-FF-142</v>
          </cell>
          <cell r="E143">
            <v>45379</v>
          </cell>
          <cell r="F143">
            <v>45379.905555555553</v>
          </cell>
          <cell r="G143" t="str">
            <v>3877(6)</v>
          </cell>
          <cell r="H143" t="str">
            <v>MB</v>
          </cell>
          <cell r="I143" t="str">
            <v>Hat/Line</v>
          </cell>
          <cell r="J143" t="str">
            <v>A-Sürüşü engeller</v>
          </cell>
          <cell r="K143" t="str">
            <v>Müşteri</v>
          </cell>
          <cell r="L143" t="str">
            <v>KABİN KLİMASI ÇALIŞMIYOR</v>
          </cell>
          <cell r="M143" t="str">
            <v>KABİN SENSÖR MODİFİKASYONU YAPILDI</v>
          </cell>
          <cell r="N143">
            <v>30000</v>
          </cell>
          <cell r="P143" t="str">
            <v>B(Servisten çekmeye etki eden arızalar)</v>
          </cell>
          <cell r="Q143" t="str">
            <v>N.A(Yaralanma yok)</v>
          </cell>
          <cell r="R143" t="str">
            <v>Tedarikçi</v>
          </cell>
          <cell r="S143" t="str">
            <v>Eltesan</v>
          </cell>
          <cell r="T143">
            <v>45381</v>
          </cell>
          <cell r="U143">
            <v>45381.333333333336</v>
          </cell>
          <cell r="V143" t="str">
            <v>ELTESAN ELEKTRO MEKANİK SOĞUTMA SAN</v>
          </cell>
          <cell r="W143" t="str">
            <v>KLIMA UNITESİ /Eltesan/Hispacold 41,5 kW</v>
          </cell>
          <cell r="X143" t="str">
            <v>H500-7240</v>
          </cell>
          <cell r="Y143">
            <v>1</v>
          </cell>
          <cell r="AB143" t="str">
            <v>Arıza çözülecek</v>
          </cell>
          <cell r="AE143" t="str">
            <v/>
          </cell>
          <cell r="AH143" t="str">
            <v/>
          </cell>
          <cell r="AN143">
            <v>2</v>
          </cell>
          <cell r="AP143" t="str">
            <v>(II) Birden fazla karşılaşılan arıza</v>
          </cell>
          <cell r="AQ143">
            <v>45381</v>
          </cell>
          <cell r="AR143">
            <v>45381.541666666664</v>
          </cell>
          <cell r="AU143" t="str">
            <v>HVAC Sürücü</v>
          </cell>
        </row>
        <row r="144">
          <cell r="A144" t="str">
            <v>8577b343</v>
          </cell>
          <cell r="B144" t="str">
            <v>BOZ-KAY5+6-FF-143</v>
          </cell>
          <cell r="E144">
            <v>45381</v>
          </cell>
          <cell r="F144">
            <v>45381.981944444444</v>
          </cell>
          <cell r="G144" t="str">
            <v>3881(10)</v>
          </cell>
          <cell r="H144" t="str">
            <v>MB</v>
          </cell>
          <cell r="I144" t="str">
            <v>Hat/Line</v>
          </cell>
          <cell r="J144" t="str">
            <v>C-Uyarı, sürüş devamlılığı</v>
          </cell>
          <cell r="K144" t="str">
            <v>Müşteri</v>
          </cell>
          <cell r="L144" t="str">
            <v>MB Bojiden sürtünme sesi geliyor</v>
          </cell>
          <cell r="M144" t="str">
            <v>MB sol teker önündeki taş kırıcı gevşeyerek aşağı düşmüş yeniden ayarlanarak sıkılandı</v>
          </cell>
          <cell r="N144">
            <v>30265</v>
          </cell>
          <cell r="P144" t="str">
            <v>C(Sisteme etki etmeyen arıza)</v>
          </cell>
          <cell r="Q144" t="str">
            <v>N.A(Yaralanma yok)</v>
          </cell>
          <cell r="R144" t="str">
            <v>Bozankaya</v>
          </cell>
          <cell r="S144" t="str">
            <v>Tasarım</v>
          </cell>
          <cell r="T144">
            <v>45528</v>
          </cell>
          <cell r="U144">
            <v>45528.432395833333</v>
          </cell>
          <cell r="V144" t="str">
            <v>GUTEHOFFNUNGSHÜTTERADSATZ GMBH</v>
          </cell>
          <cell r="W144" t="str">
            <v>MOTORLU TEKER SETI</v>
          </cell>
          <cell r="X144" t="str">
            <v>B110-7027</v>
          </cell>
          <cell r="Y144">
            <v>1</v>
          </cell>
          <cell r="AB144" t="str">
            <v>Arıza çözülecek</v>
          </cell>
          <cell r="AE144" t="str">
            <v/>
          </cell>
          <cell r="AH144" t="str">
            <v/>
          </cell>
          <cell r="AN144">
            <v>2</v>
          </cell>
          <cell r="AP144" t="str">
            <v>(I) İlk defa karşılaşılan arıza</v>
          </cell>
          <cell r="AQ144">
            <v>45528</v>
          </cell>
          <cell r="AR144">
            <v>45528.583333333336</v>
          </cell>
          <cell r="AU144" t="str">
            <v>Boji</v>
          </cell>
        </row>
        <row r="145">
          <cell r="A145" t="str">
            <v>16b9898a</v>
          </cell>
          <cell r="B145" t="str">
            <v>BOZ-KAY5+6-FF-144</v>
          </cell>
          <cell r="E145">
            <v>45384</v>
          </cell>
          <cell r="F145">
            <v>45384.831250000003</v>
          </cell>
          <cell r="G145" t="str">
            <v>3877(6)</v>
          </cell>
          <cell r="H145" t="str">
            <v>RA</v>
          </cell>
          <cell r="I145" t="str">
            <v>Hat/Line</v>
          </cell>
          <cell r="J145" t="str">
            <v>A-Sürüşü engeller</v>
          </cell>
          <cell r="K145" t="str">
            <v>Müşteri</v>
          </cell>
          <cell r="L145" t="str">
            <v>ARAÇ KAVŞAK VE MAKAS SİNYALLERİNE TALEP VERMEDİ 2 SEFERDE 20 DAKİKA TEHİR YAŞANDI</v>
          </cell>
          <cell r="M145" t="str">
            <v>AU300 DEĞİŞİMİ YAPILDI</v>
          </cell>
          <cell r="N145">
            <v>30000</v>
          </cell>
          <cell r="P145" t="str">
            <v>B(Servisten çekmeye etki eden arızalar)</v>
          </cell>
          <cell r="Q145" t="str">
            <v>N.A(Yaralanma yok)</v>
          </cell>
          <cell r="R145" t="str">
            <v>Tedarikçi</v>
          </cell>
          <cell r="S145" t="str">
            <v>Atak</v>
          </cell>
          <cell r="T145">
            <v>45385</v>
          </cell>
          <cell r="U145">
            <v>45385.333333333336</v>
          </cell>
          <cell r="V145" t="str">
            <v>ATAK ULAŞIM SAN.TİC.LTD.ŞTİ.</v>
          </cell>
          <cell r="W145" t="str">
            <v>Merkez Ünite AU300 (train bus, vehicle b</v>
          </cell>
          <cell r="X145" t="str">
            <v>E840-7002</v>
          </cell>
          <cell r="Y145">
            <v>1</v>
          </cell>
          <cell r="AB145" t="str">
            <v>Ekipman değiştirilecek</v>
          </cell>
          <cell r="AE145" t="str">
            <v/>
          </cell>
          <cell r="AH145" t="str">
            <v/>
          </cell>
          <cell r="AN145">
            <v>1</v>
          </cell>
          <cell r="AP145" t="str">
            <v>(II) Birden fazla karşılaşılan arıza</v>
          </cell>
          <cell r="AQ145">
            <v>45385</v>
          </cell>
          <cell r="AR145">
            <v>45385.5</v>
          </cell>
          <cell r="AU145" t="str">
            <v>Sinyalizasyon</v>
          </cell>
        </row>
        <row r="146">
          <cell r="A146" t="str">
            <v>b741c268</v>
          </cell>
          <cell r="B146" t="str">
            <v>BOZ-KAY5+6-FF-145</v>
          </cell>
          <cell r="E146">
            <v>45384</v>
          </cell>
          <cell r="F146">
            <v>45384.834976851853</v>
          </cell>
          <cell r="G146" t="str">
            <v>3872(1)</v>
          </cell>
          <cell r="H146" t="str">
            <v>MA</v>
          </cell>
          <cell r="I146" t="str">
            <v>Hat/Line</v>
          </cell>
          <cell r="J146" t="str">
            <v>A-Sürüşü engeller</v>
          </cell>
          <cell r="K146" t="str">
            <v>Müşteri</v>
          </cell>
          <cell r="L146" t="str">
            <v>ARAÇ KAVŞAK SİNYALLERİNE TALEP VERMEDİ RESETLENDİ DÜZELMEDİ</v>
          </cell>
          <cell r="M146" t="str">
            <v>değişim yapıldı.</v>
          </cell>
          <cell r="N146">
            <v>46500</v>
          </cell>
          <cell r="P146" t="str">
            <v>B(Servisten çekmeye etki eden arızalar)</v>
          </cell>
          <cell r="Q146" t="str">
            <v>N.A(Yaralanma yok)</v>
          </cell>
          <cell r="R146" t="str">
            <v>Tedarikçi</v>
          </cell>
          <cell r="S146" t="str">
            <v>Atak</v>
          </cell>
          <cell r="T146">
            <v>45385</v>
          </cell>
          <cell r="U146">
            <v>45385.333333333336</v>
          </cell>
          <cell r="V146" t="str">
            <v>ATAK ULAŞIM SAN.TİC.LTD.ŞTİ.</v>
          </cell>
          <cell r="W146" t="str">
            <v>Merkez Ünite AU300 (train bus, vehicle b</v>
          </cell>
          <cell r="X146" t="str">
            <v>E840-7002</v>
          </cell>
          <cell r="Y146">
            <v>1</v>
          </cell>
          <cell r="AB146" t="str">
            <v>Ekipman değiştirilecek</v>
          </cell>
          <cell r="AE146" t="str">
            <v/>
          </cell>
          <cell r="AH146" t="str">
            <v/>
          </cell>
          <cell r="AN146">
            <v>1</v>
          </cell>
          <cell r="AP146" t="str">
            <v>(I) İlk defa karşılaşılan arıza</v>
          </cell>
          <cell r="AQ146">
            <v>45385</v>
          </cell>
          <cell r="AR146">
            <v>45385.5</v>
          </cell>
          <cell r="AU146" t="str">
            <v>PA/PIS/CCTV</v>
          </cell>
        </row>
        <row r="147">
          <cell r="A147" t="str">
            <v>0d31bd4b</v>
          </cell>
          <cell r="B147" t="str">
            <v>BOZ-KAY5+6-FF-146</v>
          </cell>
          <cell r="E147">
            <v>45384</v>
          </cell>
          <cell r="F147">
            <v>45384.841666666667</v>
          </cell>
          <cell r="G147" t="str">
            <v>3881(10)</v>
          </cell>
          <cell r="H147" t="str">
            <v>MA</v>
          </cell>
          <cell r="I147" t="str">
            <v>Hat/Line</v>
          </cell>
          <cell r="J147" t="str">
            <v>C-Uyarı, sürüş devamlılığı</v>
          </cell>
          <cell r="K147" t="str">
            <v>Müşteri</v>
          </cell>
          <cell r="L147" t="str">
            <v>CA TELSİZDE ANONSLAR GİTMİYOR ÇAĞRI BAŞLATILAMIYOR</v>
          </cell>
          <cell r="M147" t="str">
            <v>CA TELSİZ ANTENİNDE KISA DEVRE VE KOPUKLUK VARDI ONARILDI</v>
          </cell>
          <cell r="N147">
            <v>3000</v>
          </cell>
          <cell r="P147" t="str">
            <v>B(Servisten çekmeye etki eden arızalar)</v>
          </cell>
          <cell r="Q147" t="str">
            <v>N.A(Yaralanma yok)</v>
          </cell>
          <cell r="R147" t="str">
            <v>İşletme</v>
          </cell>
          <cell r="S147" t="str">
            <v>Kayseri Ulaşım</v>
          </cell>
          <cell r="T147">
            <v>45385</v>
          </cell>
          <cell r="U147">
            <v>45385.333333333336</v>
          </cell>
          <cell r="V147" t="str">
            <v>KUTUP TEKNOLOJİ SAN.TİC.LTD.ŞTİ.</v>
          </cell>
          <cell r="W147" t="str">
            <v>Araç telsiz Konektör Kiti, MOT</v>
          </cell>
          <cell r="X147" t="str">
            <v>E860-7012</v>
          </cell>
          <cell r="Y147">
            <v>1</v>
          </cell>
          <cell r="AE147" t="str">
            <v/>
          </cell>
          <cell r="AH147" t="str">
            <v/>
          </cell>
          <cell r="AP147" t="str">
            <v>(II) Birden fazla karşılaşılan arıza</v>
          </cell>
          <cell r="AQ147">
            <v>45385</v>
          </cell>
          <cell r="AR147">
            <v>45385.5</v>
          </cell>
          <cell r="AU147" t="str">
            <v>PA/PIS/CCTV</v>
          </cell>
        </row>
        <row r="148">
          <cell r="A148" t="str">
            <v>4eacc912</v>
          </cell>
          <cell r="B148" t="str">
            <v>BOZ-KAY5+6-FF-147</v>
          </cell>
          <cell r="E148">
            <v>45384</v>
          </cell>
          <cell r="F148">
            <v>45384.841666666667</v>
          </cell>
          <cell r="G148" t="str">
            <v>3881(10)</v>
          </cell>
          <cell r="H148" t="str">
            <v>MA</v>
          </cell>
          <cell r="I148" t="str">
            <v>Hat/Line</v>
          </cell>
          <cell r="J148" t="str">
            <v>C-Uyarı, sürüş devamlılığı</v>
          </cell>
          <cell r="K148" t="str">
            <v>Müşteri</v>
          </cell>
          <cell r="L148" t="str">
            <v>CA TELSİZE ANONSLAR GİTMİYOR ÇAĞRI BAŞLATAMIYOR.</v>
          </cell>
          <cell r="M148" t="str">
            <v>3881 CA ANTENDE KISA DEVRE VE KOPUKLUK VARDI. TAMİRİ YAPILDI.</v>
          </cell>
          <cell r="N148">
            <v>3019</v>
          </cell>
          <cell r="P148" t="str">
            <v>B(Servisten çekmeye etki eden arızalar)</v>
          </cell>
          <cell r="Q148" t="str">
            <v>N.A(Yaralanma yok)</v>
          </cell>
          <cell r="R148" t="str">
            <v>Tedarikçi</v>
          </cell>
          <cell r="S148" t="str">
            <v>Bozankaya</v>
          </cell>
          <cell r="T148">
            <v>45526</v>
          </cell>
          <cell r="U148">
            <v>45526.620983796296</v>
          </cell>
          <cell r="V148" t="str">
            <v>KAYSERİ ULAŞIM TURİZM İNŞAAT TAAHHÜ</v>
          </cell>
          <cell r="W148" t="str">
            <v>SINYAL TALEP KARTI</v>
          </cell>
          <cell r="X148" t="str">
            <v>E300-7372</v>
          </cell>
          <cell r="Y148">
            <v>1</v>
          </cell>
          <cell r="AB148" t="str">
            <v>Tamir edilecek</v>
          </cell>
          <cell r="AE148" t="str">
            <v/>
          </cell>
          <cell r="AH148" t="str">
            <v/>
          </cell>
          <cell r="AN148">
            <v>1</v>
          </cell>
          <cell r="AP148" t="str">
            <v>(I) İlk defa karşılaşılan arıza</v>
          </cell>
          <cell r="AQ148">
            <v>45526</v>
          </cell>
          <cell r="AR148">
            <v>45526.708333333336</v>
          </cell>
          <cell r="AU148" t="str">
            <v>Telsiz</v>
          </cell>
        </row>
        <row r="149">
          <cell r="A149" t="str">
            <v>81a4603f</v>
          </cell>
          <cell r="B149" t="str">
            <v>BOZ-KAY5+6-FF-148</v>
          </cell>
          <cell r="E149">
            <v>45386</v>
          </cell>
          <cell r="F149">
            <v>45386.489583333336</v>
          </cell>
          <cell r="G149" t="str">
            <v>3879(8)</v>
          </cell>
          <cell r="H149" t="str">
            <v>RA</v>
          </cell>
          <cell r="I149" t="str">
            <v>Hat/Line</v>
          </cell>
          <cell r="J149" t="str">
            <v>C-Uyarı, sürüş devamlılığı</v>
          </cell>
          <cell r="K149" t="str">
            <v>Müşteri</v>
          </cell>
          <cell r="L149" t="str">
            <v>ANONS SİSTEMİ ÇALIŞMIYOR</v>
          </cell>
          <cell r="M149" t="str">
            <v>ANONS SİSTEMİ ÇALIŞIYOR SES SEVİYESİ YÜKSELTİLDİ</v>
          </cell>
          <cell r="N149">
            <v>8520</v>
          </cell>
          <cell r="P149" t="str">
            <v>B(Servisten çekmeye etki eden arızalar)</v>
          </cell>
          <cell r="Q149" t="str">
            <v>N.A(Yaralanma yok)</v>
          </cell>
          <cell r="R149" t="str">
            <v>Tedarikçi</v>
          </cell>
          <cell r="S149" t="str">
            <v>LUTZE</v>
          </cell>
          <cell r="T149">
            <v>45387</v>
          </cell>
          <cell r="U149">
            <v>45387.347222222219</v>
          </cell>
          <cell r="V149" t="str">
            <v>Lütze Transportation GmbH</v>
          </cell>
          <cell r="W149" t="str">
            <v>ACSys-19'' RACK</v>
          </cell>
          <cell r="X149" t="str">
            <v>E820-7020</v>
          </cell>
          <cell r="Y149">
            <v>1</v>
          </cell>
          <cell r="AB149" t="str">
            <v>Ekipman değiştirilecek</v>
          </cell>
          <cell r="AE149" t="str">
            <v/>
          </cell>
          <cell r="AH149" t="str">
            <v/>
          </cell>
          <cell r="AN149">
            <v>1</v>
          </cell>
          <cell r="AP149" t="str">
            <v>(I) İlk defa karşılaşılan arıza</v>
          </cell>
          <cell r="AQ149">
            <v>45387</v>
          </cell>
          <cell r="AR149">
            <v>45387.625</v>
          </cell>
          <cell r="AU149" t="str">
            <v>PA/PIS/CCTV</v>
          </cell>
        </row>
        <row r="150">
          <cell r="A150" t="str">
            <v>012ddccd</v>
          </cell>
          <cell r="B150" t="str">
            <v>BOZ-KAY5+6-FF-149</v>
          </cell>
          <cell r="E150">
            <v>45387</v>
          </cell>
          <cell r="F150">
            <v>45387.494444444441</v>
          </cell>
          <cell r="G150" t="str">
            <v>3874(3)</v>
          </cell>
          <cell r="H150" t="str">
            <v>RB</v>
          </cell>
          <cell r="I150" t="str">
            <v>Hat/Line</v>
          </cell>
          <cell r="J150" t="str">
            <v>C-Uyarı, sürüş devamlılığı</v>
          </cell>
          <cell r="K150" t="str">
            <v>Müşteri</v>
          </cell>
          <cell r="L150" t="str">
            <v>YOLCU ŞİKAYETİ : 3874 NUMARALI ARACIN KLİMA BÖLÜMÜ ÇALIŞMIYOR</v>
          </cell>
          <cell r="M150" t="str">
            <v>KONDANSER FAN IZGARASI KIRILMA YAPMIŞ KENARA SÜRTME YAPIYORDU DEĞİŞİMİ YAPILDI</v>
          </cell>
          <cell r="N150">
            <v>57547</v>
          </cell>
          <cell r="P150" t="str">
            <v>B(Servisten çekmeye etki eden arızalar)</v>
          </cell>
          <cell r="Q150" t="str">
            <v>N.A(Yaralanma yok)</v>
          </cell>
          <cell r="R150" t="str">
            <v>Tedarikçi</v>
          </cell>
          <cell r="S150" t="str">
            <v>Eltesan</v>
          </cell>
          <cell r="T150">
            <v>45387</v>
          </cell>
          <cell r="U150">
            <v>45387.5</v>
          </cell>
          <cell r="V150" t="str">
            <v>ELTESAN ELEKTRO MEKANİK SOĞUTMA SAN</v>
          </cell>
          <cell r="W150" t="str">
            <v>KLIMA UNITESİ /Eltesan/Hispacold 41,5 kW</v>
          </cell>
          <cell r="X150" t="str">
            <v>H500-7240</v>
          </cell>
          <cell r="AB150" t="str">
            <v>Ekipman değiştirilecek</v>
          </cell>
          <cell r="AE150" t="str">
            <v/>
          </cell>
          <cell r="AH150" t="str">
            <v/>
          </cell>
          <cell r="AN150">
            <v>2</v>
          </cell>
          <cell r="AP150" t="str">
            <v>(I) İlk defa karşılaşılan arıza</v>
          </cell>
          <cell r="AQ150">
            <v>45387</v>
          </cell>
          <cell r="AR150">
            <v>45387.666666666664</v>
          </cell>
          <cell r="AU150" t="str">
            <v>HVAC Yolcu</v>
          </cell>
        </row>
        <row r="151">
          <cell r="A151" t="str">
            <v>a38218c9</v>
          </cell>
          <cell r="B151" t="str">
            <v>BOZ-KAY5+6-FF-150</v>
          </cell>
          <cell r="E151">
            <v>45389</v>
          </cell>
          <cell r="F151">
            <v>45389.640972222223</v>
          </cell>
          <cell r="G151" t="str">
            <v>3877(6)</v>
          </cell>
          <cell r="H151" t="str">
            <v>MA</v>
          </cell>
          <cell r="I151" t="str">
            <v>Hat/Line</v>
          </cell>
          <cell r="J151" t="str">
            <v>A-Sürüşü engeller</v>
          </cell>
          <cell r="K151" t="str">
            <v>Müşteri</v>
          </cell>
          <cell r="L151" t="str">
            <v>SİLECEK ARIZALI</v>
          </cell>
          <cell r="M151" t="str">
            <v>CA SİLECEK SOMUNU GEVŞEMİŞ SIKILDI</v>
          </cell>
          <cell r="N151">
            <v>31100</v>
          </cell>
          <cell r="P151" t="str">
            <v>B(Servisten çekmeye etki eden arızalar)</v>
          </cell>
          <cell r="Q151" t="str">
            <v>N.A(Yaralanma yok)</v>
          </cell>
          <cell r="R151" t="str">
            <v>Tedarikçi</v>
          </cell>
          <cell r="S151" t="str">
            <v>Bozankaya</v>
          </cell>
          <cell r="T151">
            <v>45389</v>
          </cell>
          <cell r="U151">
            <v>45389.666666666664</v>
          </cell>
          <cell r="V151" t="str">
            <v>DENİZLER OTOMOTİV SAN. VE TİC.LTD.Ş</v>
          </cell>
          <cell r="W151" t="str">
            <v>SİLECEK MEKANİZMASI Denizler / M.11.2506</v>
          </cell>
          <cell r="X151" t="str">
            <v>M100-7066</v>
          </cell>
          <cell r="Y151">
            <v>1</v>
          </cell>
          <cell r="AB151" t="str">
            <v>Tamir edilecek</v>
          </cell>
          <cell r="AE151" t="str">
            <v/>
          </cell>
          <cell r="AH151" t="str">
            <v/>
          </cell>
          <cell r="AN151">
            <v>1</v>
          </cell>
          <cell r="AP151" t="str">
            <v>(II) Birden fazla karşılaşılan arıza</v>
          </cell>
          <cell r="AQ151">
            <v>45389</v>
          </cell>
          <cell r="AR151">
            <v>45389.75</v>
          </cell>
          <cell r="AU151" t="str">
            <v>Giydirme Dış</v>
          </cell>
        </row>
        <row r="152">
          <cell r="A152" t="str">
            <v>ef76fe54</v>
          </cell>
          <cell r="B152" t="str">
            <v>BOZ-KAY5+6-FF-151</v>
          </cell>
          <cell r="E152">
            <v>45390</v>
          </cell>
          <cell r="F152">
            <v>45390.897916666669</v>
          </cell>
          <cell r="G152" t="str">
            <v>3877(6)</v>
          </cell>
          <cell r="H152" t="str">
            <v>MB</v>
          </cell>
          <cell r="I152" t="str">
            <v>Hat/Line</v>
          </cell>
          <cell r="J152" t="str">
            <v>A-Sürüşü engeller</v>
          </cell>
          <cell r="K152" t="str">
            <v>Müşteri</v>
          </cell>
          <cell r="L152" t="str">
            <v>CB KABİNDEN İVME KOLU ARIZASI  VERİYOR. ARAÇ İVME KESTİKTEN SONRA HAREKET ETMİYOR</v>
          </cell>
          <cell r="M152" t="str">
            <v>YAPILAN KONTROLLERDE GC1132.02 KABLOSUNUN AIT MODÜLÜ 01 TERMİNALİNE TAKILMIŞ DÜZELTİLDİ. AIT MODÜL DEĞİŞİMİ YAPILDI TEST YAPILDI SORUN GÖRÜLMEDİ</v>
          </cell>
          <cell r="N152">
            <v>49000</v>
          </cell>
          <cell r="P152" t="str">
            <v>B(Servisten çekmeye etki eden arızalar)</v>
          </cell>
          <cell r="Q152" t="str">
            <v>N.A(Yaralanma yok)</v>
          </cell>
          <cell r="R152" t="str">
            <v>Bozankaya</v>
          </cell>
          <cell r="S152" t="str">
            <v>Üretim</v>
          </cell>
          <cell r="T152">
            <v>45391</v>
          </cell>
          <cell r="U152">
            <v>45391.333333333336</v>
          </cell>
          <cell r="V152" t="str">
            <v>MEDCOM SP. Z O.O.</v>
          </cell>
          <cell r="W152" t="str">
            <v>TCMS ELEMANI</v>
          </cell>
          <cell r="X152" t="str">
            <v>E110-7384</v>
          </cell>
          <cell r="Y152">
            <v>1</v>
          </cell>
          <cell r="AB152" t="str">
            <v>Ekipman değiştirilecek</v>
          </cell>
          <cell r="AE152" t="str">
            <v/>
          </cell>
          <cell r="AH152" t="str">
            <v/>
          </cell>
          <cell r="AN152">
            <v>1</v>
          </cell>
          <cell r="AP152" t="str">
            <v>(I) İlk defa karşılaşılan arıza</v>
          </cell>
          <cell r="AQ152">
            <v>45391</v>
          </cell>
          <cell r="AR152">
            <v>45391.5</v>
          </cell>
          <cell r="AU152" t="str">
            <v>E-Kabinet</v>
          </cell>
        </row>
        <row r="153">
          <cell r="A153" t="str">
            <v>7bf173a7</v>
          </cell>
          <cell r="B153" t="str">
            <v>BOZ-KAY5+6-FF-152</v>
          </cell>
          <cell r="E153">
            <v>45392</v>
          </cell>
          <cell r="F153">
            <v>45392.113194444442</v>
          </cell>
          <cell r="G153" t="str">
            <v>3876(5)</v>
          </cell>
          <cell r="H153" t="str">
            <v>MB</v>
          </cell>
          <cell r="I153" t="str">
            <v>Hat/Line</v>
          </cell>
          <cell r="J153" t="str">
            <v>A-Sürüşü engeller</v>
          </cell>
          <cell r="K153" t="str">
            <v>Müşteri</v>
          </cell>
          <cell r="L153" t="str">
            <v>3876 CB ALPARSLAN 2. PERONDA İVME KESMİŞ. ARAÇ HAREKET ETMEMİŞ RESETLENİNCE İVME KOLU ARIZASI DÜŞMÜŞTÜR. ARAÇ ANCAK TERS KABİNDEN HAREKET ETMİŞTİR. HATTA BULUNAN ARAÇLARDA TEHİR OLUŞMUŞ. 1 ADET KISMİ SEFER İPTALİ YAŞANMIŞTIR.</v>
          </cell>
          <cell r="M153" t="str">
            <v>RAK07 RÖLESİ DEĞİŞTİRİLDİ.</v>
          </cell>
          <cell r="N153">
            <v>49710</v>
          </cell>
          <cell r="P153" t="str">
            <v>A(Hareket etmeyi engelleyen arıza)</v>
          </cell>
          <cell r="Q153" t="str">
            <v>N.A(Yaralanma yok)</v>
          </cell>
          <cell r="R153" t="str">
            <v>Tedarikçi</v>
          </cell>
          <cell r="S153" t="str">
            <v>Bozankaya</v>
          </cell>
          <cell r="T153">
            <v>45526</v>
          </cell>
          <cell r="U153">
            <v>45526.432199074072</v>
          </cell>
          <cell r="V153" t="str">
            <v>ARDA MAKİNA ELEKTRİK TİC.VE</v>
          </cell>
          <cell r="W153" t="str">
            <v>10A-8CO RÖLE</v>
          </cell>
          <cell r="X153" t="str">
            <v>E110-7329</v>
          </cell>
          <cell r="Y153">
            <v>1</v>
          </cell>
          <cell r="AB153" t="str">
            <v>Ekipman değiştirilecek</v>
          </cell>
          <cell r="AE153" t="str">
            <v/>
          </cell>
          <cell r="AH153" t="str">
            <v/>
          </cell>
          <cell r="AN153">
            <v>2</v>
          </cell>
          <cell r="AP153" t="str">
            <v>(II) Birden fazla karşılaşılan arıza</v>
          </cell>
          <cell r="AQ153">
            <v>45526</v>
          </cell>
          <cell r="AR153">
            <v>45526.666666666664</v>
          </cell>
          <cell r="AU153" t="str">
            <v>TCMS</v>
          </cell>
        </row>
        <row r="154">
          <cell r="A154" t="str">
            <v>f02e1c95</v>
          </cell>
          <cell r="B154" t="str">
            <v>BOZ-KAY5+6-FF-153</v>
          </cell>
          <cell r="E154">
            <v>45392</v>
          </cell>
          <cell r="F154">
            <v>45392.228472222225</v>
          </cell>
          <cell r="G154" t="str">
            <v>3878(7)</v>
          </cell>
          <cell r="H154" t="str">
            <v>MB</v>
          </cell>
          <cell r="I154" t="str">
            <v>Depo/Depot</v>
          </cell>
          <cell r="J154" t="str">
            <v>A-Sürüşü engeller</v>
          </cell>
          <cell r="K154" t="str">
            <v>Müşteri</v>
          </cell>
          <cell r="L154" t="str">
            <v>B KABİN SİLECEK ÇALIŞMIYOR</v>
          </cell>
          <cell r="M154" t="str">
            <v>SİLECEK VİDALARI GEVŞEMİŞ SIKILDI ARIZA GİDERİLDİ</v>
          </cell>
          <cell r="N154">
            <v>26200</v>
          </cell>
          <cell r="P154" t="str">
            <v>B(Servisten çekmeye etki eden arızalar)</v>
          </cell>
          <cell r="Q154" t="str">
            <v>N.A(Yaralanma yok)</v>
          </cell>
          <cell r="R154" t="str">
            <v>Tedarikçi</v>
          </cell>
          <cell r="S154" t="str">
            <v>Bozankaya</v>
          </cell>
          <cell r="T154">
            <v>45392</v>
          </cell>
          <cell r="U154">
            <v>45392.333333333336</v>
          </cell>
          <cell r="V154" t="str">
            <v>DENİZLER OTOMOTİV SAN. VE TİC.LTD.Ş</v>
          </cell>
          <cell r="W154" t="str">
            <v>SİLECEK MEKANİZMASI Denizler / M.11.2506</v>
          </cell>
          <cell r="X154" t="str">
            <v>M100-7066</v>
          </cell>
          <cell r="AB154" t="str">
            <v>Tamir edilecek</v>
          </cell>
          <cell r="AE154" t="str">
            <v/>
          </cell>
          <cell r="AH154" t="str">
            <v/>
          </cell>
          <cell r="AN154">
            <v>1</v>
          </cell>
          <cell r="AP154" t="str">
            <v>(II) Birden fazla karşılaşılan arıza</v>
          </cell>
          <cell r="AQ154">
            <v>45392</v>
          </cell>
          <cell r="AR154">
            <v>45392.416666666664</v>
          </cell>
          <cell r="AU154" t="str">
            <v>Silecek</v>
          </cell>
        </row>
        <row r="155">
          <cell r="A155" t="str">
            <v>01df42f2</v>
          </cell>
          <cell r="B155" t="str">
            <v>BOZ-KAY5+6-FF-154</v>
          </cell>
          <cell r="E155">
            <v>45392</v>
          </cell>
          <cell r="F155">
            <v>45392.25</v>
          </cell>
          <cell r="G155" t="str">
            <v>3880(9)</v>
          </cell>
          <cell r="H155" t="str">
            <v>MA</v>
          </cell>
          <cell r="I155" t="str">
            <v>Depo/Depot</v>
          </cell>
          <cell r="J155" t="str">
            <v>A-Sürüşü engeller</v>
          </cell>
          <cell r="K155" t="str">
            <v>Müşteri</v>
          </cell>
          <cell r="L155" t="str">
            <v>80 B KABİN KAPI AÇMA MANDALI ARIZASI</v>
          </cell>
          <cell r="M155" t="str">
            <v>CA KABİN KAPISI ZOR AÇILIYORDU AYAR YAPILDI. CB AÇMA KAOAMA KİLİT MANDALI BOŞA DÖNÜYORDU AYAR YAPILDI</v>
          </cell>
          <cell r="N155">
            <v>6438</v>
          </cell>
          <cell r="P155" t="str">
            <v>A(Hareket etmeyi engelleyen arıza)</v>
          </cell>
          <cell r="Q155" t="str">
            <v>N.A(Yaralanma yok)</v>
          </cell>
          <cell r="R155" t="str">
            <v>Tedarikçi</v>
          </cell>
          <cell r="S155" t="str">
            <v>Bozankaya</v>
          </cell>
          <cell r="T155">
            <v>45392</v>
          </cell>
          <cell r="U155">
            <v>45392.333333333336</v>
          </cell>
          <cell r="V155" t="str">
            <v>MESAN KİLİT A.Ş.</v>
          </cell>
          <cell r="W155" t="str">
            <v>KİLİT</v>
          </cell>
          <cell r="X155" t="str">
            <v>T190-7010</v>
          </cell>
          <cell r="Y155">
            <v>1</v>
          </cell>
          <cell r="AB155" t="str">
            <v>Tamir edilecek</v>
          </cell>
          <cell r="AE155" t="str">
            <v/>
          </cell>
          <cell r="AH155" t="str">
            <v/>
          </cell>
          <cell r="AN155">
            <v>2</v>
          </cell>
          <cell r="AP155" t="str">
            <v>(II) Birden fazla karşılaşılan arıza</v>
          </cell>
          <cell r="AQ155">
            <v>45392</v>
          </cell>
          <cell r="AR155">
            <v>45392.5</v>
          </cell>
          <cell r="AU155" t="str">
            <v>Giydirme İç</v>
          </cell>
        </row>
        <row r="156">
          <cell r="A156" t="str">
            <v>3dba41b8</v>
          </cell>
          <cell r="B156" t="str">
            <v>BOZ-KAY5+6-FF-155</v>
          </cell>
          <cell r="E156">
            <v>45392</v>
          </cell>
          <cell r="F156">
            <v>45392.426388888889</v>
          </cell>
          <cell r="G156" t="str">
            <v>3880(9)</v>
          </cell>
          <cell r="H156" t="str">
            <v>MA</v>
          </cell>
          <cell r="I156" t="str">
            <v>Hat/Line</v>
          </cell>
          <cell r="J156" t="str">
            <v>C-Uyarı, sürüş devamlılığı</v>
          </cell>
          <cell r="K156" t="str">
            <v>Müşteri</v>
          </cell>
          <cell r="L156" t="str">
            <v>ca kabin silgeç çalışmıyor</v>
          </cell>
          <cell r="M156" t="str">
            <v>yapılan kontolde silecek kolu kavrama noktasından gevşemiş .Sıkılarak problem giderildi</v>
          </cell>
          <cell r="N156">
            <v>6000</v>
          </cell>
          <cell r="P156" t="str">
            <v>C(Sisteme etki etmeyen arıza)</v>
          </cell>
          <cell r="Q156" t="str">
            <v>N.A(Yaralanma yok)</v>
          </cell>
          <cell r="R156" t="str">
            <v>Tedarikçi</v>
          </cell>
          <cell r="S156" t="str">
            <v>Bozankaya</v>
          </cell>
          <cell r="T156">
            <v>45528</v>
          </cell>
          <cell r="U156">
            <v>45528.437326388892</v>
          </cell>
          <cell r="V156" t="str">
            <v>DENİZLER OTOMOTİV SAN. VE TİC.LTD.Ş</v>
          </cell>
          <cell r="W156" t="str">
            <v>SİLECEK MEKANİZMASI Denizler / M.11.2506</v>
          </cell>
          <cell r="X156" t="str">
            <v>M100-7066</v>
          </cell>
          <cell r="Y156">
            <v>1</v>
          </cell>
          <cell r="AB156" t="str">
            <v>Tamir edilecek</v>
          </cell>
          <cell r="AE156" t="str">
            <v/>
          </cell>
          <cell r="AH156" t="str">
            <v/>
          </cell>
          <cell r="AN156">
            <v>1</v>
          </cell>
          <cell r="AP156" t="str">
            <v>(II) Birden fazla karşılaşılan arıza</v>
          </cell>
          <cell r="AQ156">
            <v>45528</v>
          </cell>
          <cell r="AR156">
            <v>45528.5</v>
          </cell>
          <cell r="AU156" t="str">
            <v>Giydirme Dış</v>
          </cell>
        </row>
        <row r="157">
          <cell r="A157" t="str">
            <v>d43b9e0f</v>
          </cell>
          <cell r="B157" t="str">
            <v>BOZ-KAY5+6-FF-156</v>
          </cell>
          <cell r="E157">
            <v>45395</v>
          </cell>
          <cell r="F157">
            <v>45395.603472222225</v>
          </cell>
          <cell r="G157" t="str">
            <v>3879(8)</v>
          </cell>
          <cell r="H157" t="str">
            <v>MA</v>
          </cell>
          <cell r="I157" t="str">
            <v>Hat/Line</v>
          </cell>
          <cell r="J157" t="str">
            <v>A-Sürüşü engeller</v>
          </cell>
          <cell r="K157" t="str">
            <v>Müşteri</v>
          </cell>
          <cell r="L157" t="str">
            <v>GATEWAY ÇAKIŞMASI ARIZASI VERDİ ARAÇ HAREKET ETMEDİ RESETLEYİNCE DÜZELDİ ARIZA NEDENİ İLE 1 SEFERDE 3 DK TEHİR OLUŞTU</v>
          </cell>
          <cell r="M157" t="str">
            <v>ARACIN KAMERA KAYDI İNCELENDİ ARAÇTA OLUMSUZ BİR DURUM GÖRÜLMEDİ İLDEM YÖNÜNE HAREKET EDİYOR</v>
          </cell>
          <cell r="N157">
            <v>10205</v>
          </cell>
          <cell r="P157" t="str">
            <v>A(Hareket etmeyi engelleyen arıza)</v>
          </cell>
          <cell r="Q157" t="str">
            <v>N.A(Yaralanma yok)</v>
          </cell>
          <cell r="R157" t="str">
            <v>Tedarikçi</v>
          </cell>
          <cell r="S157" t="str">
            <v>Medcom</v>
          </cell>
          <cell r="T157">
            <v>45395</v>
          </cell>
          <cell r="U157">
            <v>45395.666666666664</v>
          </cell>
          <cell r="V157" t="str">
            <v>MEDCOM SP. Z O.O.</v>
          </cell>
          <cell r="W157" t="str">
            <v>GATEWAY</v>
          </cell>
          <cell r="X157" t="str">
            <v>E870-7052</v>
          </cell>
          <cell r="Y157">
            <v>1</v>
          </cell>
          <cell r="AB157" t="str">
            <v>Yazılım güncelleme</v>
          </cell>
          <cell r="AE157" t="str">
            <v/>
          </cell>
          <cell r="AH157" t="str">
            <v/>
          </cell>
          <cell r="AN157">
            <v>2</v>
          </cell>
          <cell r="AP157" t="str">
            <v>(I) İlk defa karşılaşılan arıza</v>
          </cell>
          <cell r="AQ157">
            <v>45395</v>
          </cell>
          <cell r="AR157">
            <v>45395.75</v>
          </cell>
          <cell r="AU157" t="str">
            <v>TCMS</v>
          </cell>
        </row>
        <row r="158">
          <cell r="A158" t="str">
            <v>30f42766</v>
          </cell>
          <cell r="B158" t="str">
            <v>BOZ-KAY5+6-FF-157</v>
          </cell>
          <cell r="E158">
            <v>45405</v>
          </cell>
          <cell r="F158">
            <v>45405.147916666669</v>
          </cell>
          <cell r="G158" t="str">
            <v>3879(8)</v>
          </cell>
          <cell r="H158" t="str">
            <v>MB</v>
          </cell>
          <cell r="I158" t="str">
            <v>Hat/Line</v>
          </cell>
          <cell r="J158" t="str">
            <v>A-Sürüşü engeller</v>
          </cell>
          <cell r="K158" t="str">
            <v>Müşteri</v>
          </cell>
          <cell r="L158" t="str">
            <v>MB FREN SİSTEMİ FB009 ARIZASI VERDİ. 2 SEFERDE 17 DAKİKA TEHİR MEYDANA GELDİ.</v>
          </cell>
          <cell r="M158" t="str">
            <v>MB BOJİ FEEDBACK KONTAK ARIZASI VERMİŞ. X3.19 HATTI KONTROL EDİLDİ. SORUN GÖRÜLMEDİ. ARAÇTA HPU DEĞİŞİMİ YAPILDI.</v>
          </cell>
          <cell r="N158">
            <v>10531</v>
          </cell>
          <cell r="P158" t="str">
            <v>A(Hareket etmeyi engelleyen arıza)</v>
          </cell>
          <cell r="Q158" t="str">
            <v>N.A(Yaralanma yok)</v>
          </cell>
          <cell r="R158" t="str">
            <v>Bozankaya</v>
          </cell>
          <cell r="S158" t="str">
            <v>Üretim</v>
          </cell>
          <cell r="T158">
            <v>45405</v>
          </cell>
          <cell r="U158">
            <v>45405.333333333336</v>
          </cell>
          <cell r="V158" t="str">
            <v>HANNING &amp; KAHL GMBH &amp; CO.KG</v>
          </cell>
          <cell r="W158" t="str">
            <v>XHidrolik Ünite HZY-K100-DPR</v>
          </cell>
          <cell r="X158" t="str">
            <v>S306-7001</v>
          </cell>
          <cell r="Y158">
            <v>1</v>
          </cell>
          <cell r="AB158" t="str">
            <v>Ekipman değiştirilecek</v>
          </cell>
          <cell r="AE158" t="str">
            <v/>
          </cell>
          <cell r="AH158" t="str">
            <v/>
          </cell>
          <cell r="AN158">
            <v>1</v>
          </cell>
          <cell r="AP158" t="str">
            <v>(II) Birden fazla karşılaşılan arıza</v>
          </cell>
          <cell r="AQ158">
            <v>45405</v>
          </cell>
          <cell r="AR158">
            <v>45405.625</v>
          </cell>
          <cell r="AU158" t="str">
            <v>Fren</v>
          </cell>
        </row>
        <row r="159">
          <cell r="A159" t="str">
            <v>0af56a69</v>
          </cell>
          <cell r="B159" t="str">
            <v>BOZ-KAY5+6-FF-158</v>
          </cell>
          <cell r="E159">
            <v>45406</v>
          </cell>
          <cell r="F159">
            <v>45406.744444444441</v>
          </cell>
          <cell r="G159" t="str">
            <v>3874(3)</v>
          </cell>
          <cell r="H159" t="str">
            <v>RA</v>
          </cell>
          <cell r="I159" t="str">
            <v>Hat/Line</v>
          </cell>
          <cell r="J159" t="str">
            <v>B-Hız veya güç azalması</v>
          </cell>
          <cell r="K159" t="str">
            <v>Müşteri</v>
          </cell>
          <cell r="L159" t="str">
            <v>6 NOLU KAPI İZOLE EDİLDİ</v>
          </cell>
          <cell r="M159" t="str">
            <v>KAPININ TÜM İŞLEVSEL TESTLERİ YAPILDI. OLUMSUZ BİR DURUM GÖRÜLMEDİ KAPI NORMAL ÇALIŞIYOR</v>
          </cell>
          <cell r="N159">
            <v>58547</v>
          </cell>
          <cell r="P159" t="str">
            <v>B(Servisten çekmeye etki eden arızalar)</v>
          </cell>
          <cell r="Q159" t="str">
            <v>N.A(Yaralanma yok)</v>
          </cell>
          <cell r="R159" t="str">
            <v>Tedarikçi</v>
          </cell>
          <cell r="S159" t="str">
            <v>IFE</v>
          </cell>
          <cell r="T159">
            <v>45407</v>
          </cell>
          <cell r="U159">
            <v>45407.333333333336</v>
          </cell>
          <cell r="V159" t="str">
            <v>KNORR-BREMSE GMBH DİVİSİON IFE AUTO</v>
          </cell>
          <cell r="W159" t="str">
            <v>PRM’LI ÇİFTLİ KAPI</v>
          </cell>
          <cell r="X159" t="str">
            <v>M110-7082</v>
          </cell>
          <cell r="Y159">
            <v>1</v>
          </cell>
          <cell r="AB159" t="str">
            <v>Tamir edilecek</v>
          </cell>
          <cell r="AE159" t="str">
            <v/>
          </cell>
          <cell r="AH159" t="str">
            <v/>
          </cell>
          <cell r="AN159">
            <v>2</v>
          </cell>
          <cell r="AP159" t="str">
            <v>(II) Birden fazla karşılaşılan arıza</v>
          </cell>
          <cell r="AQ159">
            <v>45407</v>
          </cell>
          <cell r="AR159">
            <v>45407.5</v>
          </cell>
          <cell r="AU159" t="str">
            <v>Kapı</v>
          </cell>
        </row>
        <row r="160">
          <cell r="A160" t="str">
            <v>139ac2b2</v>
          </cell>
          <cell r="B160" t="str">
            <v>BOZ-KAY5+6-FF-159</v>
          </cell>
          <cell r="E160">
            <v>45407</v>
          </cell>
          <cell r="F160">
            <v>45407.541666666664</v>
          </cell>
          <cell r="G160" t="str">
            <v>3874(3)</v>
          </cell>
          <cell r="H160" t="str">
            <v>MA</v>
          </cell>
          <cell r="I160" t="str">
            <v>Hat/Line</v>
          </cell>
          <cell r="J160" t="str">
            <v>B-Hız veya güç azalması</v>
          </cell>
          <cell r="K160" t="str">
            <v>Müşteri</v>
          </cell>
          <cell r="L160" t="str">
            <v>ARAÇ 35 KM HIZ SINIRI KOYDU ARAÇ RESETLENDİ FAKAT DÜZELMEDİ</v>
          </cell>
          <cell r="M160" t="str">
            <v>KAPI LOOP BUTONU ARKASINDAKİ KABLO ÇIKMIŞ YERİNE TAKILDI</v>
          </cell>
          <cell r="N160">
            <v>63000</v>
          </cell>
          <cell r="P160" t="str">
            <v>B(Servisten çekmeye etki eden arızalar)</v>
          </cell>
          <cell r="Q160" t="str">
            <v>N.A(Yaralanma yok)</v>
          </cell>
          <cell r="R160" t="str">
            <v>Bozankaya</v>
          </cell>
          <cell r="S160" t="str">
            <v>Üretim</v>
          </cell>
          <cell r="T160">
            <v>45407</v>
          </cell>
          <cell r="U160">
            <v>45407.583333333336</v>
          </cell>
          <cell r="V160" t="str">
            <v>GENERAL TEKNİK ELEKTRONİK TESİSAT</v>
          </cell>
          <cell r="W160" t="str">
            <v>BYPAS BUTON PANELİ KOMPLESİ</v>
          </cell>
          <cell r="X160" t="str">
            <v>E300-7362</v>
          </cell>
          <cell r="AB160" t="str">
            <v>Tamir edilecek</v>
          </cell>
          <cell r="AE160" t="str">
            <v/>
          </cell>
          <cell r="AH160" t="str">
            <v/>
          </cell>
          <cell r="AN160">
            <v>2</v>
          </cell>
          <cell r="AP160" t="str">
            <v>(I) İlk defa karşılaşılan arıza</v>
          </cell>
          <cell r="AQ160">
            <v>45407</v>
          </cell>
          <cell r="AR160">
            <v>45407.75</v>
          </cell>
          <cell r="AU160" t="str">
            <v>E-Kabinet</v>
          </cell>
        </row>
        <row r="161">
          <cell r="A161" t="str">
            <v>233370ff</v>
          </cell>
          <cell r="B161" t="str">
            <v>BOZ-KAY5+6-FF-160</v>
          </cell>
          <cell r="E161">
            <v>45408</v>
          </cell>
          <cell r="F161">
            <v>45408.045138888891</v>
          </cell>
          <cell r="G161" t="str">
            <v>3872(1)</v>
          </cell>
          <cell r="H161" t="str">
            <v>MA</v>
          </cell>
          <cell r="I161" t="str">
            <v>Hat/Line</v>
          </cell>
          <cell r="J161" t="str">
            <v>A-Sürüşü engeller</v>
          </cell>
          <cell r="K161" t="str">
            <v>Müşteri</v>
          </cell>
          <cell r="L161" t="str">
            <v>CA KOLÇAK TUŞ TAKIMI ARIZALI</v>
          </cell>
          <cell r="M161" t="str">
            <v>TUŞ TAKIMINDA ARIZA GÖRÜLMEDİ TAMİR EDİLDİ</v>
          </cell>
          <cell r="N161">
            <v>62000</v>
          </cell>
          <cell r="P161" t="str">
            <v>B(Servisten çekmeye etki eden arızalar)</v>
          </cell>
          <cell r="Q161" t="str">
            <v>N.A(Yaralanma yok)</v>
          </cell>
          <cell r="R161" t="str">
            <v>Tedarikçi</v>
          </cell>
          <cell r="S161" t="str">
            <v>Sazcılar</v>
          </cell>
          <cell r="T161">
            <v>45413</v>
          </cell>
          <cell r="U161">
            <v>45413.375</v>
          </cell>
          <cell r="V161" t="str">
            <v>SAZCILAR OTOMOTİV SAN.TİCARET A.Ş</v>
          </cell>
          <cell r="W161" t="str">
            <v>SÜRÜCÜ SAĞ ARKA KAPAMA</v>
          </cell>
          <cell r="X161" t="str">
            <v>T120-7018</v>
          </cell>
          <cell r="Y161">
            <v>1</v>
          </cell>
          <cell r="AB161" t="str">
            <v>Tamir edilecek</v>
          </cell>
          <cell r="AE161" t="str">
            <v/>
          </cell>
          <cell r="AH161" t="str">
            <v/>
          </cell>
          <cell r="AN161">
            <v>1</v>
          </cell>
          <cell r="AP161" t="str">
            <v>(I) İlk defa karşılaşılan arıza</v>
          </cell>
          <cell r="AQ161">
            <v>45413</v>
          </cell>
          <cell r="AR161">
            <v>45413.5</v>
          </cell>
          <cell r="AU161" t="str">
            <v>Giydirme İç</v>
          </cell>
        </row>
        <row r="162">
          <cell r="A162" t="str">
            <v>be21231a</v>
          </cell>
          <cell r="B162" t="str">
            <v>BOZ-KAY5+6-FF-161</v>
          </cell>
          <cell r="E162">
            <v>45412</v>
          </cell>
          <cell r="F162">
            <v>45412.327511574076</v>
          </cell>
          <cell r="G162" t="str">
            <v>3877(6)</v>
          </cell>
          <cell r="H162" t="str">
            <v>P</v>
          </cell>
          <cell r="I162" t="str">
            <v>Hat/Line</v>
          </cell>
          <cell r="J162" t="str">
            <v>C-Uyarı, sürüş devamlılığı</v>
          </cell>
          <cell r="K162" t="str">
            <v>Müşteri</v>
          </cell>
          <cell r="L162" t="str">
            <v>ANONSLAR KESİK KESİK GELİYOR.</v>
          </cell>
          <cell r="M162" t="str">
            <v>ANONSLAR GEÇ GELİYORDU. ARACIN TEKER ÇAPI 600MM OLARAK GİRİLDİ. ULAŞIM PERSONELİ İLE PARK SAHASINDA TAM TUR TEST YAPILDI. SORUN GİDERİLDİ.</v>
          </cell>
          <cell r="N162">
            <v>38592</v>
          </cell>
          <cell r="P162" t="str">
            <v>B(Servisten çekmeye etki eden arızalar)</v>
          </cell>
          <cell r="Q162" t="str">
            <v>N.A(Yaralanma yok)</v>
          </cell>
          <cell r="R162" t="str">
            <v>Tedarikçi</v>
          </cell>
          <cell r="S162" t="str">
            <v>Atak</v>
          </cell>
          <cell r="T162">
            <v>45526</v>
          </cell>
          <cell r="U162">
            <v>45526.441446759258</v>
          </cell>
          <cell r="V162" t="str">
            <v>ATAK ULAŞIM SAN.TİC.LTD.ŞTİ.</v>
          </cell>
          <cell r="W162" t="str">
            <v>Merkez Ünite AU300 (train bus, vehicle b</v>
          </cell>
          <cell r="X162" t="str">
            <v>E840-7002</v>
          </cell>
          <cell r="Y162">
            <v>1</v>
          </cell>
          <cell r="AB162" t="str">
            <v>Arıza çözülecek</v>
          </cell>
          <cell r="AE162" t="str">
            <v/>
          </cell>
          <cell r="AH162" t="str">
            <v/>
          </cell>
          <cell r="AN162">
            <v>2</v>
          </cell>
          <cell r="AP162" t="str">
            <v>(I) İlk defa karşılaşılan arıza</v>
          </cell>
          <cell r="AQ162">
            <v>45526</v>
          </cell>
          <cell r="AR162">
            <v>45526.583333333336</v>
          </cell>
          <cell r="AU162" t="str">
            <v>Giydirme İç</v>
          </cell>
        </row>
        <row r="163">
          <cell r="A163" t="str">
            <v>b191a3a7</v>
          </cell>
          <cell r="B163" t="str">
            <v>BOZ-KAY5+6-FF-162</v>
          </cell>
          <cell r="E163">
            <v>45413</v>
          </cell>
          <cell r="F163">
            <v>45413.84375</v>
          </cell>
          <cell r="G163" t="str">
            <v>3881(10)</v>
          </cell>
          <cell r="H163" t="str">
            <v>MB</v>
          </cell>
          <cell r="I163" t="str">
            <v>Hat/Line</v>
          </cell>
          <cell r="J163" t="str">
            <v>C-Uyarı, sürüş devamlılığı</v>
          </cell>
          <cell r="K163" t="str">
            <v>Müşteri</v>
          </cell>
          <cell r="L163" t="str">
            <v>KUPLÖR KAPAĞA ÇARPIYOR.</v>
          </cell>
          <cell r="M163" t="str">
            <v>KUPLÖR SERBEST KALMIŞ YENİDEN KİLİTLENDİ.</v>
          </cell>
          <cell r="N163">
            <v>6788</v>
          </cell>
          <cell r="P163" t="str">
            <v>C(Sisteme etki etmeyen arıza)</v>
          </cell>
          <cell r="Q163" t="str">
            <v>N.A(Yaralanma yok)</v>
          </cell>
          <cell r="R163" t="str">
            <v>Bozankaya</v>
          </cell>
          <cell r="S163" t="str">
            <v>Üretim</v>
          </cell>
          <cell r="T163">
            <v>45526</v>
          </cell>
          <cell r="U163">
            <v>45526.624606481484</v>
          </cell>
          <cell r="V163" t="str">
            <v>DELLNER COUPLERC AB</v>
          </cell>
          <cell r="W163" t="str">
            <v>KUPLOR KRIKOSU</v>
          </cell>
          <cell r="X163" t="str">
            <v>M350-7089</v>
          </cell>
          <cell r="Y163">
            <v>1</v>
          </cell>
          <cell r="AB163" t="str">
            <v>Arıza çözülecek</v>
          </cell>
          <cell r="AE163" t="str">
            <v/>
          </cell>
          <cell r="AH163" t="str">
            <v/>
          </cell>
          <cell r="AN163">
            <v>2</v>
          </cell>
          <cell r="AP163" t="str">
            <v>(I) İlk defa karşılaşılan arıza</v>
          </cell>
          <cell r="AQ163">
            <v>45526</v>
          </cell>
          <cell r="AR163">
            <v>45526.666666666664</v>
          </cell>
          <cell r="AU163" t="str">
            <v>Autocoupler</v>
          </cell>
        </row>
        <row r="164">
          <cell r="A164" t="str">
            <v>c599ea46</v>
          </cell>
          <cell r="B164" t="str">
            <v>BOZ-KAY5+6-FF-163</v>
          </cell>
          <cell r="E164">
            <v>45413</v>
          </cell>
          <cell r="F164">
            <v>45413.845138888886</v>
          </cell>
          <cell r="G164" t="str">
            <v>3874(3)</v>
          </cell>
          <cell r="H164" t="str">
            <v>MB</v>
          </cell>
          <cell r="I164" t="str">
            <v>Hat/Line</v>
          </cell>
          <cell r="J164" t="str">
            <v>A-Sürüşü engeller</v>
          </cell>
          <cell r="K164" t="str">
            <v>Müşteri</v>
          </cell>
          <cell r="L164" t="str">
            <v>MB KAMERA GÖRÜNTÜLERİ GELMİYOR.</v>
          </cell>
          <cell r="M164" t="str">
            <v>SİSTEM RESETLENDİ DÜZELDİ.</v>
          </cell>
          <cell r="N164">
            <v>62012</v>
          </cell>
          <cell r="P164" t="str">
            <v>A(Hareket etmeyi engelleyen arıza)</v>
          </cell>
          <cell r="Q164" t="str">
            <v>N.A(Yaralanma yok)</v>
          </cell>
          <cell r="R164" t="str">
            <v>Tedarikçi</v>
          </cell>
          <cell r="S164" t="str">
            <v>NSC</v>
          </cell>
          <cell r="T164">
            <v>45526</v>
          </cell>
          <cell r="U164">
            <v>45526.628900462965</v>
          </cell>
          <cell r="V164" t="str">
            <v>NSC TEKNOLOJİ ve İNŞAAT LTD.ŞTİ.</v>
          </cell>
          <cell r="W164" t="str">
            <v>CCTV EKRANI</v>
          </cell>
          <cell r="X164" t="str">
            <v>E810-7145</v>
          </cell>
          <cell r="Y164">
            <v>1</v>
          </cell>
          <cell r="AB164" t="str">
            <v>Arıza çözülecek</v>
          </cell>
          <cell r="AE164" t="str">
            <v/>
          </cell>
          <cell r="AH164" t="str">
            <v/>
          </cell>
          <cell r="AN164">
            <v>1</v>
          </cell>
          <cell r="AP164" t="str">
            <v>(II) Birden fazla karşılaşılan arıza</v>
          </cell>
          <cell r="AQ164">
            <v>45526</v>
          </cell>
          <cell r="AR164">
            <v>45526.75</v>
          </cell>
          <cell r="AU164" t="str">
            <v>PA/PIS/CCTV</v>
          </cell>
        </row>
        <row r="165">
          <cell r="A165" t="str">
            <v>830a57cb</v>
          </cell>
          <cell r="B165" t="str">
            <v>BOZ-KAY5+6-FF-164</v>
          </cell>
          <cell r="E165">
            <v>45414</v>
          </cell>
          <cell r="F165">
            <v>45414.713888888888</v>
          </cell>
          <cell r="G165" t="str">
            <v>3876(5)</v>
          </cell>
          <cell r="H165" t="str">
            <v>P</v>
          </cell>
          <cell r="I165" t="str">
            <v>Hat/Line</v>
          </cell>
          <cell r="J165" t="str">
            <v>C-Uyarı, sürüş devamlılığı</v>
          </cell>
          <cell r="K165" t="str">
            <v>Müşteri</v>
          </cell>
          <cell r="L165" t="str">
            <v>02.05.2024 TARİHİNDE GERÇEKLEŞTİRİLEN SAHA DENETİMİNDE 3876 NUMARALI ARAÇTA KAPI ÜSTÜ BİLGİLENDİRMELERİN ÇALIŞMADIĞI TESPİT EDİLMİŞTİR.</v>
          </cell>
          <cell r="M165" t="str">
            <v>GÖRSEL PC PANEL RESETLENDİ. SİSTEM NORMAL ÇALIŞIYOR.</v>
          </cell>
          <cell r="N165">
            <v>57896</v>
          </cell>
          <cell r="P165" t="str">
            <v>B(Servisten çekmeye etki eden arızalar)</v>
          </cell>
          <cell r="Q165" t="str">
            <v>N.A(Yaralanma yok)</v>
          </cell>
          <cell r="R165" t="str">
            <v>Tedarikçi</v>
          </cell>
          <cell r="S165" t="str">
            <v>Atak</v>
          </cell>
          <cell r="T165">
            <v>45415</v>
          </cell>
          <cell r="U165">
            <v>45415.333333333336</v>
          </cell>
          <cell r="V165" t="str">
            <v>ATAK ULAŞIM SAN.TİC.LTD.ŞTİ.</v>
          </cell>
          <cell r="W165" t="str">
            <v>STRETCH LCD EKRAN</v>
          </cell>
          <cell r="X165" t="str">
            <v>E410-7003</v>
          </cell>
          <cell r="AB165" t="str">
            <v>Tamir edilecek</v>
          </cell>
          <cell r="AE165" t="str">
            <v/>
          </cell>
          <cell r="AH165" t="str">
            <v/>
          </cell>
          <cell r="AP165" t="str">
            <v>(II) Birden fazla karşılaşılan arıza</v>
          </cell>
          <cell r="AQ165">
            <v>45415</v>
          </cell>
          <cell r="AR165">
            <v>45415.5</v>
          </cell>
          <cell r="AU165" t="str">
            <v>PA/PIS/CCTV</v>
          </cell>
        </row>
        <row r="166">
          <cell r="A166" t="str">
            <v>47d1a534</v>
          </cell>
          <cell r="B166" t="str">
            <v>BOZ-KAY5+6-FF-165</v>
          </cell>
          <cell r="E166">
            <v>45415</v>
          </cell>
          <cell r="F166">
            <v>45415.885416666664</v>
          </cell>
          <cell r="G166" t="str">
            <v>3872(1)</v>
          </cell>
          <cell r="H166" t="str">
            <v>MB</v>
          </cell>
          <cell r="I166" t="str">
            <v>Hat/Line</v>
          </cell>
          <cell r="J166" t="str">
            <v>C-Uyarı, sürüş devamlılığı</v>
          </cell>
          <cell r="K166" t="str">
            <v>Müşteri</v>
          </cell>
          <cell r="L166" t="str">
            <v>3872 nolu araç kabin cb silecek cam suyu hortumu kopmuş</v>
          </cell>
          <cell r="M166" t="str">
            <v>Silecek su hortumu yerine yapıştırıldı</v>
          </cell>
          <cell r="N166">
            <v>55865</v>
          </cell>
          <cell r="P166" t="str">
            <v>C(Sisteme etki etmeyen arıza)</v>
          </cell>
          <cell r="Q166" t="str">
            <v>N.A(Yaralanma yok)</v>
          </cell>
          <cell r="R166" t="str">
            <v>Tedarikçi</v>
          </cell>
          <cell r="S166" t="str">
            <v>Bozankaya</v>
          </cell>
          <cell r="T166">
            <v>45416</v>
          </cell>
          <cell r="U166">
            <v>45416.333333333336</v>
          </cell>
          <cell r="V166" t="str">
            <v>DENİZLER OTOMOTİV SAN. VE TİC.LTD.Ş</v>
          </cell>
          <cell r="W166" t="str">
            <v>SİLECEK MEKANİZMASI Denizler / M.11.2506</v>
          </cell>
          <cell r="X166" t="str">
            <v>M100-7066</v>
          </cell>
          <cell r="Y166">
            <v>1</v>
          </cell>
          <cell r="AB166" t="str">
            <v>Tamir edilecek</v>
          </cell>
          <cell r="AE166" t="str">
            <v/>
          </cell>
          <cell r="AH166" t="str">
            <v/>
          </cell>
          <cell r="AN166">
            <v>1</v>
          </cell>
          <cell r="AP166" t="str">
            <v>(I) İlk defa karşılaşılan arıza</v>
          </cell>
          <cell r="AQ166">
            <v>45416</v>
          </cell>
          <cell r="AR166">
            <v>45416.416666666664</v>
          </cell>
          <cell r="AU166" t="str">
            <v>Giydirme Dış</v>
          </cell>
        </row>
        <row r="167">
          <cell r="A167" t="str">
            <v>7d884786</v>
          </cell>
          <cell r="B167" t="str">
            <v>BOZ-KAY5+6-FF-166</v>
          </cell>
          <cell r="E167">
            <v>45417</v>
          </cell>
          <cell r="F167">
            <v>45417.452777777777</v>
          </cell>
          <cell r="G167" t="str">
            <v>3877(6)</v>
          </cell>
          <cell r="H167" t="str">
            <v>MB</v>
          </cell>
          <cell r="I167" t="str">
            <v>Hat/Line</v>
          </cell>
          <cell r="J167" t="str">
            <v>C-Uyarı, sürüş devamlılığı</v>
          </cell>
          <cell r="K167" t="str">
            <v>Müşteri</v>
          </cell>
          <cell r="L167" t="str">
            <v>3877 CB Silgeç 2.konumda çalışıyor diğer modlarda çalışmıyor (Fasıla ve 1.kademe)</v>
          </cell>
          <cell r="M167" t="str">
            <v>CB kabin silecek modülüne giren 2 adet kablo pinlerinden kopmuş elimizde modüle giren pin olmadığı için kablolar sıkıştırılarak takıldı</v>
          </cell>
          <cell r="N167">
            <v>39900</v>
          </cell>
          <cell r="P167" t="str">
            <v>C(Sisteme etki etmeyen arıza)</v>
          </cell>
          <cell r="Q167" t="str">
            <v>N.A(Yaralanma yok)</v>
          </cell>
          <cell r="R167" t="str">
            <v>Tedarikçi</v>
          </cell>
          <cell r="S167" t="str">
            <v>Bozankaya</v>
          </cell>
          <cell r="T167">
            <v>45417</v>
          </cell>
          <cell r="U167">
            <v>45417.559849537036</v>
          </cell>
          <cell r="V167" t="str">
            <v>YILKA OTOMOTİV VE RAYLI ARAÇ TEKNO.</v>
          </cell>
          <cell r="W167" t="str">
            <v>SİLECEK MODÜLÜ (24 VOLT)</v>
          </cell>
          <cell r="X167" t="str">
            <v>E865-7038</v>
          </cell>
          <cell r="Y167">
            <v>1</v>
          </cell>
          <cell r="AB167" t="str">
            <v>Tamir edilecek</v>
          </cell>
          <cell r="AE167" t="str">
            <v/>
          </cell>
          <cell r="AH167" t="str">
            <v/>
          </cell>
          <cell r="AN167">
            <v>1</v>
          </cell>
          <cell r="AP167" t="str">
            <v>(I) İlk defa karşılaşılan arıza</v>
          </cell>
          <cell r="AQ167">
            <v>45417</v>
          </cell>
          <cell r="AR167">
            <v>45417.625</v>
          </cell>
          <cell r="AU167" t="str">
            <v>Silecek</v>
          </cell>
        </row>
        <row r="168">
          <cell r="A168" t="str">
            <v>6769a84a</v>
          </cell>
          <cell r="B168" t="str">
            <v>BOZ-KAY5+6-FF-167</v>
          </cell>
          <cell r="E168">
            <v>45418</v>
          </cell>
          <cell r="F168">
            <v>45418.46597222222</v>
          </cell>
          <cell r="G168" t="str">
            <v>3879(8)</v>
          </cell>
          <cell r="H168" t="str">
            <v>RA</v>
          </cell>
          <cell r="I168" t="str">
            <v>Hat/Line</v>
          </cell>
          <cell r="J168" t="str">
            <v>C-Uyarı, sürüş devamlılığı</v>
          </cell>
          <cell r="K168" t="str">
            <v>Müşteri</v>
          </cell>
          <cell r="L168" t="str">
            <v>Araç yolu bölümüne su alıyor</v>
          </cell>
          <cell r="M168" t="str">
            <v>Su alan bölgeye sikaflex uygulaması yapıldı</v>
          </cell>
          <cell r="N168">
            <v>16200</v>
          </cell>
          <cell r="P168" t="str">
            <v>B(Servisten çekmeye etki eden arızalar)</v>
          </cell>
          <cell r="Q168" t="str">
            <v>N.A(Yaralanma yok)</v>
          </cell>
          <cell r="R168" t="str">
            <v>Bozankaya</v>
          </cell>
          <cell r="S168" t="str">
            <v>Üretim</v>
          </cell>
          <cell r="T168">
            <v>45419</v>
          </cell>
          <cell r="U168">
            <v>45419.333333333336</v>
          </cell>
          <cell r="V168" t="str">
            <v>GREBO OTOMOTİV SANAYİ A.Ş</v>
          </cell>
          <cell r="W168" t="str">
            <v>TURBO HAVALANDIRMA BRAKETI</v>
          </cell>
          <cell r="X168" t="str">
            <v>H200-7011</v>
          </cell>
          <cell r="Y168">
            <v>1</v>
          </cell>
          <cell r="AB168" t="str">
            <v>Arıza çözülecek</v>
          </cell>
          <cell r="AE168" t="str">
            <v/>
          </cell>
          <cell r="AH168" t="str">
            <v/>
          </cell>
          <cell r="AN168">
            <v>1</v>
          </cell>
          <cell r="AP168" t="str">
            <v>(I) İlk defa karşılaşılan arıza</v>
          </cell>
          <cell r="AQ168">
            <v>45420</v>
          </cell>
          <cell r="AR168">
            <v>45420.333333333336</v>
          </cell>
          <cell r="AU168" t="str">
            <v>Giydirme Dış</v>
          </cell>
        </row>
        <row r="169">
          <cell r="A169" t="str">
            <v>225eaa56</v>
          </cell>
          <cell r="B169" t="str">
            <v>BOZ-KAY5+6-FF-168</v>
          </cell>
          <cell r="E169">
            <v>45418</v>
          </cell>
          <cell r="F169">
            <v>45418.747916666667</v>
          </cell>
          <cell r="G169" t="str">
            <v>3880(9)</v>
          </cell>
          <cell r="H169" t="str">
            <v>RA</v>
          </cell>
          <cell r="I169" t="str">
            <v>Hat/Line</v>
          </cell>
          <cell r="J169" t="str">
            <v>B-Hız veya güç azalması</v>
          </cell>
          <cell r="K169" t="str">
            <v>Müşteri</v>
          </cell>
          <cell r="L169" t="str">
            <v>3880 TRAMVAYINA BİNDİK SAAT 15:20 CİVARINDA KULANNDIK KLİMALARIN ÇALIŞMADIĞINI MAKİNİSTE SÖYLEDİK ARADIK 153 E BİLDİRDİK YETKİLİLERE İLETİLECEK YARDIMCI OLUNACAK DENİLDİ. YİNE ÇÖZÜM ÜRETİLMEDİ DAYANAMAYIP HALEF HOCADA İNDİK.'' ŞEKLİNDE YOLCU ŞİKAYETİ GELMİŞTİR.</v>
          </cell>
          <cell r="M169" t="str">
            <v>ARACIN SORUNU İLE ALAKALI 08.05.2024 TARİHİNDE ALİ ŞAHİN İLE GÖRÜŞTÜM SICAKLIK DEĞERLERİNİN 0 DERECE OLDUĞUNU SÖYLEDİ. 09.05.2024 TARİHİNDE TEKRAR KONTROL SAĞLADIK. SORUN GÖREMEDİK. KLİMA MASTER CARDINI SİGORTADAN RESETLEDİK.</v>
          </cell>
          <cell r="N169">
            <v>13142</v>
          </cell>
          <cell r="P169" t="str">
            <v>B(Servisten çekmeye etki eden arızalar)</v>
          </cell>
          <cell r="Q169" t="str">
            <v>N.A(Yaralanma yok)</v>
          </cell>
          <cell r="R169" t="str">
            <v>Tedarikçi</v>
          </cell>
          <cell r="S169" t="str">
            <v>Eltesan</v>
          </cell>
          <cell r="T169">
            <v>45420</v>
          </cell>
          <cell r="U169">
            <v>45420.334016203706</v>
          </cell>
          <cell r="V169" t="str">
            <v>ELTESAN ELEKTRO MEKANİK SOĞUTMA SAN</v>
          </cell>
          <cell r="W169" t="str">
            <v>KLIMA UNITESİ /Eltesan/Hispacold 41,5 kW</v>
          </cell>
          <cell r="X169" t="str">
            <v>H500-7240</v>
          </cell>
          <cell r="Y169">
            <v>1</v>
          </cell>
          <cell r="AB169" t="str">
            <v>Tamir edilecek</v>
          </cell>
          <cell r="AE169" t="str">
            <v/>
          </cell>
          <cell r="AH169" t="str">
            <v/>
          </cell>
          <cell r="AN169">
            <v>2</v>
          </cell>
          <cell r="AP169" t="str">
            <v>(II) Birden fazla karşılaşılan arıza</v>
          </cell>
          <cell r="AQ169">
            <v>45420</v>
          </cell>
          <cell r="AR169">
            <v>45420.5</v>
          </cell>
          <cell r="AU169" t="str">
            <v>HVAC Yolcu</v>
          </cell>
        </row>
        <row r="170">
          <cell r="A170" t="str">
            <v>a0778126</v>
          </cell>
          <cell r="B170" t="str">
            <v>BOZ-KAY5+6-FF-169</v>
          </cell>
          <cell r="E170">
            <v>45419</v>
          </cell>
          <cell r="F170">
            <v>45419.467361111114</v>
          </cell>
          <cell r="G170" t="str">
            <v>3876(5)</v>
          </cell>
          <cell r="H170" t="str">
            <v>MB</v>
          </cell>
          <cell r="I170" t="str">
            <v>Hat/Line</v>
          </cell>
          <cell r="J170" t="str">
            <v>C-Uyarı, sürüş devamlılığı</v>
          </cell>
          <cell r="K170" t="str">
            <v>Müşteri</v>
          </cell>
          <cell r="L170" t="str">
            <v>07.05.2024 tarihinde yapılan saha denetiminde saar10:50 de 3876 -B  nolu aracın ikinci ve üçüncü kapı üstlerinde ekranların çalışmadığı tespit edilmiştir.Gerekli müdahaleyi gerçekleştirelim.</v>
          </cell>
          <cell r="M170" t="str">
            <v>kontrol edildi kapı üstündeki ekranlara görüntü geliyor</v>
          </cell>
          <cell r="N170">
            <v>53500</v>
          </cell>
          <cell r="P170" t="str">
            <v>C(Sisteme etki etmeyen arıza)</v>
          </cell>
          <cell r="Q170" t="str">
            <v>N.A(Yaralanma yok)</v>
          </cell>
          <cell r="R170" t="str">
            <v>Tedarikçi</v>
          </cell>
          <cell r="S170" t="str">
            <v>Atak</v>
          </cell>
          <cell r="T170">
            <v>45420</v>
          </cell>
          <cell r="U170">
            <v>45420.333333333336</v>
          </cell>
          <cell r="V170" t="str">
            <v>ATAK ULAŞIM SAN.TİC.LTD.ŞTİ.</v>
          </cell>
          <cell r="W170" t="str">
            <v>STRETCH LCD EKRAN</v>
          </cell>
          <cell r="X170" t="str">
            <v>E410-7003</v>
          </cell>
          <cell r="Y170">
            <v>1</v>
          </cell>
          <cell r="AB170" t="str">
            <v>Tamir edilecek</v>
          </cell>
          <cell r="AE170" t="str">
            <v/>
          </cell>
          <cell r="AH170" t="str">
            <v/>
          </cell>
          <cell r="AP170" t="str">
            <v>(III) Birden fazla aynı araçta karşılaşılan arıza</v>
          </cell>
          <cell r="AQ170">
            <v>45420</v>
          </cell>
          <cell r="AR170">
            <v>45420.458333333336</v>
          </cell>
          <cell r="AU170" t="str">
            <v>PA/PIS/CCTV</v>
          </cell>
        </row>
        <row r="171">
          <cell r="A171" t="str">
            <v>16bfeafb</v>
          </cell>
          <cell r="B171" t="str">
            <v>BOZ-KAY5+6-FF-170</v>
          </cell>
          <cell r="E171">
            <v>45420</v>
          </cell>
          <cell r="F171">
            <v>45420.791666666664</v>
          </cell>
          <cell r="G171" t="str">
            <v>3874(3)</v>
          </cell>
          <cell r="H171" t="str">
            <v>MB</v>
          </cell>
          <cell r="I171" t="str">
            <v>Hat/Line</v>
          </cell>
          <cell r="J171" t="str">
            <v>C-Uyarı, sürüş devamlılığı</v>
          </cell>
          <cell r="K171" t="str">
            <v>Müşteri</v>
          </cell>
          <cell r="L171" t="str">
            <v>CB Kabin ivme kolu yerinden çıkıyor</v>
          </cell>
          <cell r="M171" t="str">
            <v>ivme kolu vidası gevşemiş sıkılandı</v>
          </cell>
          <cell r="N171">
            <v>62800</v>
          </cell>
          <cell r="P171" t="str">
            <v>B(Servisten çekmeye etki eden arızalar)</v>
          </cell>
          <cell r="Q171" t="str">
            <v>N.A(Yaralanma yok)</v>
          </cell>
          <cell r="R171" t="str">
            <v>Tedarikçi</v>
          </cell>
          <cell r="S171" t="str">
            <v>Medcom</v>
          </cell>
          <cell r="T171">
            <v>45421</v>
          </cell>
          <cell r="U171">
            <v>45421.333333333336</v>
          </cell>
          <cell r="V171" t="str">
            <v>MEDCOM SP. Z O.O.</v>
          </cell>
          <cell r="W171" t="str">
            <v>MASTER CONTRROLER S334 C36B</v>
          </cell>
          <cell r="X171" t="str">
            <v>E300-7001</v>
          </cell>
          <cell r="Y171">
            <v>1</v>
          </cell>
          <cell r="AB171" t="str">
            <v>Tamir edilecek</v>
          </cell>
          <cell r="AE171" t="str">
            <v/>
          </cell>
          <cell r="AH171" t="str">
            <v/>
          </cell>
          <cell r="AN171">
            <v>2</v>
          </cell>
          <cell r="AP171" t="str">
            <v>(I) İlk defa karşılaşılan arıza</v>
          </cell>
          <cell r="AQ171">
            <v>45421</v>
          </cell>
          <cell r="AR171">
            <v>45421.583333333336</v>
          </cell>
          <cell r="AU171" t="str">
            <v>Kabin Masası</v>
          </cell>
        </row>
        <row r="172">
          <cell r="A172" t="str">
            <v>3e0fc70b</v>
          </cell>
          <cell r="B172" t="str">
            <v>BOZ-KAY5+6-FF-171</v>
          </cell>
          <cell r="E172">
            <v>45421</v>
          </cell>
          <cell r="F172">
            <v>45421.231944444444</v>
          </cell>
          <cell r="G172" t="str">
            <v>3877(6)</v>
          </cell>
          <cell r="H172" t="str">
            <v>RA</v>
          </cell>
          <cell r="I172" t="str">
            <v>Depo/Depot</v>
          </cell>
          <cell r="J172" t="str">
            <v>A-Sürüşü engeller</v>
          </cell>
          <cell r="K172" t="str">
            <v>Müşteri</v>
          </cell>
          <cell r="L172" t="str">
            <v>İÇ VE DIŞ ANONS KONTROLÜ : A BAŞ ÇALIŞMIYOR</v>
          </cell>
          <cell r="M172" t="str">
            <v>SİSTEM DONMUŞ RESETLENDİ NORMAL ÇALIŞIYOR</v>
          </cell>
          <cell r="N172">
            <v>15000</v>
          </cell>
          <cell r="P172" t="str">
            <v>B(Servisten çekmeye etki eden arızalar)</v>
          </cell>
          <cell r="Q172" t="str">
            <v>N.A(Yaralanma yok)</v>
          </cell>
          <cell r="R172" t="str">
            <v>Tedarikçi</v>
          </cell>
          <cell r="S172" t="str">
            <v>Atak</v>
          </cell>
          <cell r="T172">
            <v>45421</v>
          </cell>
          <cell r="U172">
            <v>45421.333333333336</v>
          </cell>
          <cell r="V172" t="str">
            <v>ATAK ULAŞIM SAN.TİC.LTD.ŞTİ.</v>
          </cell>
          <cell r="W172" t="str">
            <v>Merkez Ünite AU300 (train bus, vehicle b</v>
          </cell>
          <cell r="X172" t="str">
            <v>E840-7002</v>
          </cell>
          <cell r="AE172" t="str">
            <v/>
          </cell>
          <cell r="AH172" t="str">
            <v/>
          </cell>
          <cell r="AN172">
            <v>1</v>
          </cell>
          <cell r="AP172" t="str">
            <v>(I) İlk defa karşılaşılan arıza</v>
          </cell>
          <cell r="AQ172">
            <v>45421</v>
          </cell>
          <cell r="AR172">
            <v>45421.416666666664</v>
          </cell>
          <cell r="AU172" t="str">
            <v>PA/PIS/CCTV</v>
          </cell>
        </row>
        <row r="173">
          <cell r="A173" t="str">
            <v>b775e35f</v>
          </cell>
          <cell r="B173" t="str">
            <v>BOZ-KAY5+6-FF-172</v>
          </cell>
          <cell r="E173">
            <v>45421</v>
          </cell>
          <cell r="F173">
            <v>45421.738888888889</v>
          </cell>
          <cell r="G173" t="str">
            <v>3874(3)</v>
          </cell>
          <cell r="H173" t="str">
            <v>MA</v>
          </cell>
          <cell r="I173" t="str">
            <v>Hat/Line</v>
          </cell>
          <cell r="J173" t="str">
            <v>A-Sürüşü engeller</v>
          </cell>
          <cell r="K173" t="str">
            <v>Müşteri</v>
          </cell>
          <cell r="L173" t="str">
            <v>KAMERA EKRANI ARA ARA GİDİP GELİYO</v>
          </cell>
          <cell r="M173" t="str">
            <v>YAPILAN KONTROLLERDE OLUMSUZ DURUM GÖRÜLMEDİ SORUNSUZ ÇALIŞIYOR</v>
          </cell>
          <cell r="N173">
            <v>63200</v>
          </cell>
          <cell r="P173" t="str">
            <v>B(Servisten çekmeye etki eden arızalar)</v>
          </cell>
          <cell r="Q173" t="str">
            <v>N.A(Yaralanma yok)</v>
          </cell>
          <cell r="R173" t="str">
            <v>Tedarikçi</v>
          </cell>
          <cell r="S173" t="str">
            <v>NSC</v>
          </cell>
          <cell r="T173">
            <v>45421</v>
          </cell>
          <cell r="U173">
            <v>45421.75</v>
          </cell>
          <cell r="V173" t="str">
            <v>NSC TEKNOLOJİ ve İNŞAAT LTD.ŞTİ.</v>
          </cell>
          <cell r="W173" t="str">
            <v>CCTV EKRANI</v>
          </cell>
          <cell r="X173" t="str">
            <v>E810-7145</v>
          </cell>
          <cell r="Y173">
            <v>1</v>
          </cell>
          <cell r="AB173" t="str">
            <v>Tamir edilecek</v>
          </cell>
          <cell r="AE173" t="str">
            <v/>
          </cell>
          <cell r="AH173" t="str">
            <v/>
          </cell>
          <cell r="AN173">
            <v>1</v>
          </cell>
          <cell r="AP173" t="str">
            <v>(II) Birden fazla karşılaşılan arıza</v>
          </cell>
          <cell r="AQ173">
            <v>45421</v>
          </cell>
          <cell r="AR173">
            <v>45421.791666666664</v>
          </cell>
          <cell r="AU173" t="str">
            <v>PA/PIS/CCTV</v>
          </cell>
        </row>
        <row r="174">
          <cell r="A174" t="str">
            <v>8fc36cef</v>
          </cell>
          <cell r="B174" t="str">
            <v>BOZ-KAY5+6-FF-173</v>
          </cell>
          <cell r="E174">
            <v>45421</v>
          </cell>
          <cell r="F174">
            <v>45421.739583333336</v>
          </cell>
          <cell r="G174" t="str">
            <v>3874(3)</v>
          </cell>
          <cell r="H174" t="str">
            <v>RA</v>
          </cell>
          <cell r="I174" t="str">
            <v>Hat/Line</v>
          </cell>
          <cell r="J174" t="str">
            <v>C-Uyarı, sürüş devamlılığı</v>
          </cell>
          <cell r="K174" t="str">
            <v>Müşteri</v>
          </cell>
          <cell r="L174" t="str">
            <v>Engelii butonu kabine uyarı sesi veriyor.iptal olmuyor</v>
          </cell>
          <cell r="M174" t="str">
            <v>Engelli butonuna basıldığında kabine uyarı veriyor.diğer araçlar kontrol edildi.diğer araçlardada bu şekilde çalışıyor</v>
          </cell>
          <cell r="N174">
            <v>62800</v>
          </cell>
          <cell r="P174" t="str">
            <v>C(Sisteme etki etmeyen arıza)</v>
          </cell>
          <cell r="Q174" t="str">
            <v>N.A(Yaralanma yok)</v>
          </cell>
          <cell r="R174" t="str">
            <v>Tedarikçi</v>
          </cell>
          <cell r="S174" t="str">
            <v>Bozankaya</v>
          </cell>
          <cell r="T174">
            <v>45422</v>
          </cell>
          <cell r="U174">
            <v>45422.333333333336</v>
          </cell>
          <cell r="V174" t="str">
            <v>TURCK OTOMASYON TİC. LTD.ŞTİ.</v>
          </cell>
          <cell r="W174" t="str">
            <v>SESLI UYARI CIHAZI</v>
          </cell>
          <cell r="X174" t="str">
            <v>M110-7057</v>
          </cell>
          <cell r="Y174">
            <v>1</v>
          </cell>
          <cell r="AB174" t="str">
            <v>Tamir edilecek</v>
          </cell>
          <cell r="AE174" t="str">
            <v/>
          </cell>
          <cell r="AH174" t="str">
            <v/>
          </cell>
          <cell r="AN174">
            <v>1</v>
          </cell>
          <cell r="AP174" t="str">
            <v>(II) Birden fazla karşılaşılan arıza</v>
          </cell>
          <cell r="AQ174">
            <v>45422</v>
          </cell>
          <cell r="AR174">
            <v>45422.416666666664</v>
          </cell>
          <cell r="AU174" t="str">
            <v>E-Kabinet</v>
          </cell>
        </row>
        <row r="175">
          <cell r="A175" t="str">
            <v>0d217701</v>
          </cell>
          <cell r="B175" t="str">
            <v>BOZ-KAY5+6-FF-174</v>
          </cell>
          <cell r="E175">
            <v>45422</v>
          </cell>
          <cell r="F175">
            <v>45422.617361111108</v>
          </cell>
          <cell r="G175" t="str">
            <v>3874(3)</v>
          </cell>
          <cell r="H175" t="str">
            <v>RA</v>
          </cell>
          <cell r="I175" t="str">
            <v>Hat/Line</v>
          </cell>
          <cell r="J175" t="str">
            <v>C-Uyarı, sürüş devamlılığı</v>
          </cell>
          <cell r="K175" t="str">
            <v>Müşteri</v>
          </cell>
          <cell r="L175" t="str">
            <v>6 nolu kapı izole edildi</v>
          </cell>
          <cell r="M175" t="str">
            <v>5 ve 6 nolu kapıların DCU kendi aralarında DCU değişimi yapıldı</v>
          </cell>
          <cell r="N175">
            <v>62800</v>
          </cell>
          <cell r="P175" t="str">
            <v>B(Servisten çekmeye etki eden arızalar)</v>
          </cell>
          <cell r="Q175" t="str">
            <v>N.A(Yaralanma yok)</v>
          </cell>
          <cell r="R175" t="str">
            <v>Tedarikçi</v>
          </cell>
          <cell r="S175" t="str">
            <v>IFE</v>
          </cell>
          <cell r="T175">
            <v>45423</v>
          </cell>
          <cell r="U175">
            <v>45423.616261574076</v>
          </cell>
          <cell r="V175" t="str">
            <v>KNORR-BREMSE GMBH DİVİSİON IFE AUTO</v>
          </cell>
          <cell r="W175" t="str">
            <v>PRM’LI ÇİFTLİ KAPI</v>
          </cell>
          <cell r="X175" t="str">
            <v>M110-7082</v>
          </cell>
          <cell r="Y175">
            <v>1</v>
          </cell>
          <cell r="AB175" t="str">
            <v>Tamir edilecek</v>
          </cell>
          <cell r="AE175" t="str">
            <v/>
          </cell>
          <cell r="AH175" t="str">
            <v/>
          </cell>
          <cell r="AN175">
            <v>1</v>
          </cell>
          <cell r="AP175" t="str">
            <v>(I) İlk defa karşılaşılan arıza</v>
          </cell>
          <cell r="AQ175">
            <v>45423</v>
          </cell>
          <cell r="AR175">
            <v>45423.708333333336</v>
          </cell>
          <cell r="AU175" t="str">
            <v>Kapı</v>
          </cell>
        </row>
        <row r="176">
          <cell r="A176" t="str">
            <v>1518d757</v>
          </cell>
          <cell r="B176" t="str">
            <v>BOZ-KAY5+6-FF-175</v>
          </cell>
          <cell r="E176">
            <v>45424</v>
          </cell>
          <cell r="F176">
            <v>45424.179861111108</v>
          </cell>
          <cell r="G176" t="str">
            <v>3875(4)</v>
          </cell>
          <cell r="H176" t="str">
            <v>RB</v>
          </cell>
          <cell r="I176" t="str">
            <v>Depo/Depot</v>
          </cell>
          <cell r="J176" t="str">
            <v>A-Sürüşü engeller</v>
          </cell>
          <cell r="K176" t="str">
            <v>Müşteri</v>
          </cell>
          <cell r="L176" t="str">
            <v>3875 nolu araç pantoğraf indirilemiyor araç söndürelemiyor</v>
          </cell>
          <cell r="M176" t="str">
            <v>pantoğtaf indirilemiyor bu sebeple söndürülemiyor denilmişti.Yapılan kontrollerde GA-03sigortası atıktı kaldırınca geri atıyordu.Sigorta atma sebebi modülüne giren terminal soketi DOT_P_02 terminal soketi ile yerleri karıstırılmış.Soketlerin yerleri düzeltildi pantoğraf normale döndü fakat kısa devre kaynaklı terminalde deformasyon vardı.Terminal BZN SSH tarafından değiştildi.Sorun giderildi</v>
          </cell>
          <cell r="N176">
            <v>43800</v>
          </cell>
          <cell r="P176" t="str">
            <v>A(Hareket etmeyi engelleyen arıza)</v>
          </cell>
          <cell r="Q176" t="str">
            <v>N.A(Yaralanma yok)</v>
          </cell>
          <cell r="R176" t="str">
            <v>Bozankaya</v>
          </cell>
          <cell r="S176" t="str">
            <v>Üretim</v>
          </cell>
          <cell r="T176">
            <v>45424</v>
          </cell>
          <cell r="U176">
            <v>45424.333333333336</v>
          </cell>
          <cell r="V176" t="str">
            <v>STEMMANN-TECHNİK</v>
          </cell>
          <cell r="W176" t="str">
            <v>XTopraklama</v>
          </cell>
          <cell r="X176" t="str">
            <v>B100-7019</v>
          </cell>
          <cell r="Y176">
            <v>1</v>
          </cell>
          <cell r="AE176" t="str">
            <v/>
          </cell>
          <cell r="AH176" t="str">
            <v/>
          </cell>
          <cell r="AN176">
            <v>2</v>
          </cell>
          <cell r="AP176" t="str">
            <v>(I) İlk defa karşılaşılan arıza</v>
          </cell>
          <cell r="AQ176">
            <v>45424</v>
          </cell>
          <cell r="AR176">
            <v>45424.5</v>
          </cell>
          <cell r="AU176" t="str">
            <v>Pantograf</v>
          </cell>
        </row>
        <row r="177">
          <cell r="A177" t="str">
            <v>244f35d5</v>
          </cell>
          <cell r="B177" t="str">
            <v>BOZ-KAY5+6-FF-176</v>
          </cell>
          <cell r="E177">
            <v>45426</v>
          </cell>
          <cell r="F177">
            <v>45426.467916666668</v>
          </cell>
          <cell r="G177" t="str">
            <v>3881(10)</v>
          </cell>
          <cell r="H177" t="str">
            <v>MA</v>
          </cell>
          <cell r="I177" t="str">
            <v>Hat/Line</v>
          </cell>
          <cell r="J177" t="str">
            <v>C-Uyarı, sürüş devamlılığı</v>
          </cell>
          <cell r="K177" t="str">
            <v>Müşteri</v>
          </cell>
          <cell r="L177" t="str">
            <v>Yeni tramvaydan kabinden su geliyor olası elektrik arıza problemlerine yol açabilir bilginize video ektedir.10/05/2024 10:19 ilgili video bağlı dökümanlar kısmına eklenmiştir.arıza müdahalesini sağlayalım,araca ikinci kez su kaçak kontrolünü gerçekleştirelim.</v>
          </cell>
          <cell r="M177" t="str">
            <v>Araca açılan arıza tarihi sonrası müdahale edilmişti. Bölüm bölüm araca su basıldı aktif kaçak noktaları tespit edilip sika uygulandı.SSH ekibi ve ulaşım personeli ile araca müdahale edildi.</v>
          </cell>
          <cell r="N177">
            <v>14200</v>
          </cell>
          <cell r="P177" t="str">
            <v>B(Servisten çekmeye etki eden arızalar)</v>
          </cell>
          <cell r="Q177" t="str">
            <v>N.A(Yaralanma yok)</v>
          </cell>
          <cell r="R177" t="str">
            <v>Bozankaya</v>
          </cell>
          <cell r="S177" t="str">
            <v>Üretim</v>
          </cell>
          <cell r="T177">
            <v>45426</v>
          </cell>
          <cell r="U177">
            <v>45426.542233796295</v>
          </cell>
          <cell r="V177" t="str">
            <v>SİKA YAPI KİMYASALLARI A.Ş</v>
          </cell>
          <cell r="W177" t="str">
            <v>Sikaflex-521 UV</v>
          </cell>
          <cell r="X177" t="str">
            <v>T-SLR100011</v>
          </cell>
          <cell r="Y177">
            <v>1</v>
          </cell>
          <cell r="AB177" t="str">
            <v>Tamir edilecek</v>
          </cell>
          <cell r="AE177" t="str">
            <v/>
          </cell>
          <cell r="AH177" t="str">
            <v/>
          </cell>
          <cell r="AN177">
            <v>1</v>
          </cell>
          <cell r="AP177" t="str">
            <v>(I) İlk defa karşılaşılan arıza</v>
          </cell>
          <cell r="AQ177">
            <v>45426</v>
          </cell>
          <cell r="AR177">
            <v>45426.583333333336</v>
          </cell>
          <cell r="AU177" t="str">
            <v>Giydirme Dış</v>
          </cell>
        </row>
        <row r="178">
          <cell r="A178" t="str">
            <v>5baa75dc</v>
          </cell>
          <cell r="B178" t="str">
            <v>BOZ-KAY5+6-FF-177</v>
          </cell>
          <cell r="E178">
            <v>45426</v>
          </cell>
          <cell r="F178">
            <v>45426.813888888886</v>
          </cell>
          <cell r="G178" t="str">
            <v>3881(10)</v>
          </cell>
          <cell r="H178" t="str">
            <v>MB</v>
          </cell>
          <cell r="I178" t="str">
            <v>Hat/Line</v>
          </cell>
          <cell r="J178" t="str">
            <v>C-Uyarı, sürüş devamlılığı</v>
          </cell>
          <cell r="K178" t="str">
            <v>Müşteri</v>
          </cell>
          <cell r="L178" t="str">
            <v>CB KUPLAJ MOTORU SABİTLENMEMİŞ OYNUYOR</v>
          </cell>
          <cell r="M178" t="str">
            <v>KUPLAJ KAPAK KİLİT MEKANİZMASI ARIZALIYDI AYARI YAPILDI SORUN GİDERİLDİ</v>
          </cell>
          <cell r="N178">
            <v>9000</v>
          </cell>
          <cell r="P178" t="str">
            <v>B(Servisten çekmeye etki eden arızalar)</v>
          </cell>
          <cell r="Q178" t="str">
            <v>N.A(Yaralanma yok)</v>
          </cell>
          <cell r="R178" t="str">
            <v>Tedarikçi</v>
          </cell>
          <cell r="S178" t="str">
            <v>Sazcılar</v>
          </cell>
          <cell r="T178">
            <v>45426</v>
          </cell>
          <cell r="U178">
            <v>45426.833333333336</v>
          </cell>
          <cell r="V178" t="str">
            <v>SAZCILAR OTOMOTİV SAN.TİCARET A.Ş</v>
          </cell>
          <cell r="W178" t="str">
            <v>KUPLOR KAPAGI KOMPLESI</v>
          </cell>
          <cell r="X178" t="str">
            <v>D130-7250</v>
          </cell>
          <cell r="AB178" t="str">
            <v>Tamir edilecek</v>
          </cell>
          <cell r="AE178" t="str">
            <v/>
          </cell>
          <cell r="AH178" t="str">
            <v/>
          </cell>
          <cell r="AP178" t="str">
            <v>(I) İlk defa karşılaşılan arıza</v>
          </cell>
          <cell r="AQ178">
            <v>45426</v>
          </cell>
          <cell r="AR178">
            <v>45426.916666666664</v>
          </cell>
          <cell r="AU178" t="str">
            <v>Giydirme Dış</v>
          </cell>
        </row>
        <row r="179">
          <cell r="A179" t="str">
            <v>141c7bed</v>
          </cell>
          <cell r="B179" t="str">
            <v>BOZ-KAY5+6-FF-178</v>
          </cell>
          <cell r="E179">
            <v>45427</v>
          </cell>
          <cell r="F179">
            <v>45427.431250000001</v>
          </cell>
          <cell r="G179" t="str">
            <v>3881(10)</v>
          </cell>
          <cell r="H179" t="str">
            <v>MA</v>
          </cell>
          <cell r="I179" t="str">
            <v>Hat/Line</v>
          </cell>
          <cell r="J179" t="str">
            <v>C-Uyarı, sürüş devamlılığı</v>
          </cell>
          <cell r="K179" t="str">
            <v>Müşteri</v>
          </cell>
          <cell r="L179" t="str">
            <v>1 VE 2 NOLU KAPI ÜSTÜ EKRANLAR ÇALIŞMIYOR</v>
          </cell>
          <cell r="M179" t="str">
            <v>EKRANLAR SİGORTADAN RESETLENDİ DÜZELDİ</v>
          </cell>
          <cell r="N179">
            <v>9050</v>
          </cell>
          <cell r="P179" t="str">
            <v>B(Servisten çekmeye etki eden arızalar)</v>
          </cell>
          <cell r="Q179" t="str">
            <v>N.A(Yaralanma yok)</v>
          </cell>
          <cell r="R179" t="str">
            <v>Tedarikçi</v>
          </cell>
          <cell r="S179" t="str">
            <v>Atak</v>
          </cell>
          <cell r="T179">
            <v>45427</v>
          </cell>
          <cell r="U179">
            <v>45427.458333333336</v>
          </cell>
          <cell r="V179" t="str">
            <v>ATAK ULAŞIM SAN.TİC.LTD.ŞTİ.</v>
          </cell>
          <cell r="W179" t="str">
            <v>STRETCH LCD EKRAN</v>
          </cell>
          <cell r="X179" t="str">
            <v>E410-7003</v>
          </cell>
          <cell r="AB179" t="str">
            <v>Arıza çözülecek</v>
          </cell>
          <cell r="AE179" t="str">
            <v/>
          </cell>
          <cell r="AH179" t="str">
            <v/>
          </cell>
          <cell r="AN179">
            <v>2</v>
          </cell>
          <cell r="AP179" t="str">
            <v>(II) Birden fazla karşılaşılan arıza</v>
          </cell>
          <cell r="AQ179">
            <v>45427</v>
          </cell>
          <cell r="AR179">
            <v>45427.75</v>
          </cell>
          <cell r="AU179" t="str">
            <v>PA/PIS/CCTV</v>
          </cell>
        </row>
        <row r="180">
          <cell r="A180" t="str">
            <v>ae9cb05d</v>
          </cell>
          <cell r="B180" t="str">
            <v>BOZ-KAY5+6-FF-179</v>
          </cell>
          <cell r="E180">
            <v>45426</v>
          </cell>
          <cell r="F180">
            <v>45426.547222222223</v>
          </cell>
          <cell r="G180" t="str">
            <v>3879(8)</v>
          </cell>
          <cell r="H180" t="str">
            <v>MA</v>
          </cell>
          <cell r="I180" t="str">
            <v>Hat/Line</v>
          </cell>
          <cell r="J180" t="str">
            <v>C-Uyarı, sürüş devamlılığı</v>
          </cell>
          <cell r="K180" t="str">
            <v>Müşteri</v>
          </cell>
          <cell r="L180" t="str">
            <v>1-2-5 ve11 nolu kapıların üstündeki ekranlarda mevcut arıza var diğer ekranlardada arıza mevcut  değişmesi gerekiyor</v>
          </cell>
          <cell r="M180" t="str">
            <v>kontrol edildi 1 nolu kapı üstü ekran değişimi yapıldı</v>
          </cell>
          <cell r="N180">
            <v>18200</v>
          </cell>
          <cell r="P180" t="str">
            <v>C(Sisteme etki etmeyen arıza)</v>
          </cell>
          <cell r="Q180" t="str">
            <v>N.A(Yaralanma yok)</v>
          </cell>
          <cell r="R180" t="str">
            <v>Tedarikçi</v>
          </cell>
          <cell r="S180" t="str">
            <v>Atak</v>
          </cell>
          <cell r="T180">
            <v>45427</v>
          </cell>
          <cell r="U180">
            <v>45427.333333333336</v>
          </cell>
          <cell r="V180" t="str">
            <v>ATAK ULAŞIM SAN.TİC.LTD.ŞTİ.</v>
          </cell>
          <cell r="W180" t="str">
            <v>STRETCH LCD EKRAN</v>
          </cell>
          <cell r="X180" t="str">
            <v>E410-7003</v>
          </cell>
          <cell r="Y180">
            <v>1</v>
          </cell>
          <cell r="AB180" t="str">
            <v>Ekipman değiştirilecek</v>
          </cell>
          <cell r="AE180" t="str">
            <v/>
          </cell>
          <cell r="AH180" t="str">
            <v/>
          </cell>
          <cell r="AN180">
            <v>1</v>
          </cell>
          <cell r="AP180" t="str">
            <v>(III) Birden fazla aynı araçta karşılaşılan arıza</v>
          </cell>
          <cell r="AQ180">
            <v>45427</v>
          </cell>
          <cell r="AR180">
            <v>45427.416666666664</v>
          </cell>
          <cell r="AU180" t="str">
            <v>PA/PIS/CCTV</v>
          </cell>
        </row>
        <row r="181">
          <cell r="A181" t="str">
            <v>989eb679</v>
          </cell>
          <cell r="B181" t="str">
            <v>BOZ-KAY5+6-FF-180</v>
          </cell>
          <cell r="E181">
            <v>45428</v>
          </cell>
          <cell r="F181">
            <v>45428.995833333334</v>
          </cell>
          <cell r="G181" t="str">
            <v>3874(3)</v>
          </cell>
          <cell r="H181" t="str">
            <v>MB</v>
          </cell>
          <cell r="I181" t="str">
            <v>Hat/Line</v>
          </cell>
          <cell r="J181" t="str">
            <v>A-Sürüşü engeller</v>
          </cell>
          <cell r="K181" t="str">
            <v>Müşteri</v>
          </cell>
          <cell r="L181" t="str">
            <v>CB İVME KOLU ARIZASI VERDİ RESETLENDİ DÜZELDİ</v>
          </cell>
          <cell r="M181" t="str">
            <v>KONTROL EDİLDİ RA-K07 RÖLESİNDE RA1393.01 VE RA1441.01 KABLOLARI GEVŞEMİŞ SIKILDI PARK SAHASINDA TEST YAPILDI SORUN GÖRÜLMEDİ</v>
          </cell>
          <cell r="N181">
            <v>65000</v>
          </cell>
          <cell r="P181" t="str">
            <v>A(Hareket etmeyi engelleyen arıza)</v>
          </cell>
          <cell r="Q181" t="str">
            <v>N.A(Yaralanma yok)</v>
          </cell>
          <cell r="R181" t="str">
            <v>Bozankaya</v>
          </cell>
          <cell r="S181" t="str">
            <v>Üretim</v>
          </cell>
          <cell r="T181">
            <v>45429</v>
          </cell>
          <cell r="U181">
            <v>45429.541666666664</v>
          </cell>
          <cell r="V181" t="str">
            <v>MEDCOM SP. Z O.O.</v>
          </cell>
          <cell r="W181" t="str">
            <v>MASTER CONTRROLER S334 C36B</v>
          </cell>
          <cell r="X181" t="str">
            <v>E300-7001</v>
          </cell>
          <cell r="Y181">
            <v>1</v>
          </cell>
          <cell r="AB181" t="str">
            <v>Tamir edilecek</v>
          </cell>
          <cell r="AE181" t="str">
            <v/>
          </cell>
          <cell r="AH181" t="str">
            <v/>
          </cell>
          <cell r="AN181">
            <v>1</v>
          </cell>
          <cell r="AP181" t="str">
            <v>(I) İlk defa karşılaşılan arıza</v>
          </cell>
          <cell r="AQ181">
            <v>45429</v>
          </cell>
          <cell r="AR181">
            <v>45429.722222222219</v>
          </cell>
          <cell r="AU181" t="str">
            <v>E-Kabinet</v>
          </cell>
        </row>
        <row r="182">
          <cell r="A182">
            <v>82841772</v>
          </cell>
          <cell r="B182" t="str">
            <v>BOZ-KAY5+6-FF-181</v>
          </cell>
          <cell r="E182">
            <v>45430</v>
          </cell>
          <cell r="F182">
            <v>45430.317361111112</v>
          </cell>
          <cell r="G182" t="str">
            <v>3880(9)</v>
          </cell>
          <cell r="H182" t="str">
            <v>MA</v>
          </cell>
          <cell r="I182" t="str">
            <v>Hat/Line</v>
          </cell>
          <cell r="J182" t="str">
            <v>C-Uyarı, sürüş devamlılığı</v>
          </cell>
          <cell r="K182" t="str">
            <v>Müşteri</v>
          </cell>
          <cell r="L182" t="str">
            <v>ca kabin org 05:20 seferinde sağ kapılar açılmadı serbeste alınaraksefer yapıldı</v>
          </cell>
          <cell r="M182" t="str">
            <v>sağ kapılar serbeste alıyor açmıyordu.Yapılan kontrollerde ,buton ölçümü yapıldı sorun görülmedi.UDX-101KL94'TE bulunan NB1003.03 kablosu sökülüp takıldı ve araç düzeldi.Test yapıldı arıza devamlılığı görülmedi.</v>
          </cell>
          <cell r="N182">
            <v>15500</v>
          </cell>
          <cell r="P182" t="str">
            <v>C(Sisteme etki etmeyen arıza)</v>
          </cell>
          <cell r="Q182" t="str">
            <v>N.A(Yaralanma yok)</v>
          </cell>
          <cell r="R182" t="str">
            <v>Bozankaya</v>
          </cell>
          <cell r="S182" t="str">
            <v>Üretim</v>
          </cell>
          <cell r="T182">
            <v>45430</v>
          </cell>
          <cell r="U182">
            <v>45430.420590277776</v>
          </cell>
          <cell r="V182" t="str">
            <v>KNORR-BREMSE GMBH DİVİSİON IFE AUTO</v>
          </cell>
          <cell r="W182" t="str">
            <v>PRM’LI ÇİFTLİ KAPI</v>
          </cell>
          <cell r="X182" t="str">
            <v>M110-7082</v>
          </cell>
          <cell r="Y182">
            <v>1</v>
          </cell>
          <cell r="AB182" t="str">
            <v>Arıza çözülecek</v>
          </cell>
          <cell r="AE182" t="str">
            <v/>
          </cell>
          <cell r="AH182" t="str">
            <v/>
          </cell>
          <cell r="AN182">
            <v>2</v>
          </cell>
          <cell r="AP182" t="str">
            <v>(I) İlk defa karşılaşılan arıza</v>
          </cell>
          <cell r="AQ182">
            <v>45430</v>
          </cell>
          <cell r="AR182">
            <v>45430.666666666664</v>
          </cell>
          <cell r="AU182" t="str">
            <v>Kapı</v>
          </cell>
        </row>
        <row r="183">
          <cell r="A183" t="str">
            <v>1b9e95f1</v>
          </cell>
          <cell r="B183" t="str">
            <v>BOZ-KAY5+6-FF-182</v>
          </cell>
          <cell r="E183">
            <v>45431</v>
          </cell>
          <cell r="F183">
            <v>45431.231944444444</v>
          </cell>
          <cell r="G183" t="str">
            <v>3877(6)</v>
          </cell>
          <cell r="H183" t="str">
            <v>RA</v>
          </cell>
          <cell r="I183" t="str">
            <v>Depo/Depot</v>
          </cell>
          <cell r="J183" t="str">
            <v>C-Uyarı, sürüş devamlılığı</v>
          </cell>
          <cell r="K183" t="str">
            <v>Müşteri</v>
          </cell>
          <cell r="L183" t="str">
            <v>İÇ VE DIŞ ANONS KONTROLÜ A BAŞ HER İKİSİDE ÇALIŞMIYOR</v>
          </cell>
          <cell r="M183" t="str">
            <v>SİSTEM KONTROL EDİLDİ, ARAÇ RESETLENDİ DÜZELDİ</v>
          </cell>
          <cell r="N183">
            <v>44470</v>
          </cell>
          <cell r="P183" t="str">
            <v>B(Servisten çekmeye etki eden arızalar)</v>
          </cell>
          <cell r="Q183" t="str">
            <v>N.A(Yaralanma yok)</v>
          </cell>
          <cell r="R183" t="str">
            <v>Tedarikçi</v>
          </cell>
          <cell r="S183" t="str">
            <v>LUTZE</v>
          </cell>
          <cell r="T183">
            <v>45431</v>
          </cell>
          <cell r="U183">
            <v>45431.333333333336</v>
          </cell>
          <cell r="V183" t="str">
            <v>Lütze Transportation GmbH</v>
          </cell>
          <cell r="W183" t="str">
            <v>ACSys-19'' RACK</v>
          </cell>
          <cell r="X183" t="str">
            <v>E820-7020</v>
          </cell>
          <cell r="Y183">
            <v>1</v>
          </cell>
          <cell r="AB183" t="str">
            <v>Tamir edilecek</v>
          </cell>
          <cell r="AE183" t="str">
            <v/>
          </cell>
          <cell r="AH183" t="str">
            <v/>
          </cell>
          <cell r="AN183">
            <v>2</v>
          </cell>
          <cell r="AP183" t="str">
            <v>(I) İlk defa karşılaşılan arıza</v>
          </cell>
          <cell r="AQ183">
            <v>45431</v>
          </cell>
          <cell r="AR183">
            <v>45431.5</v>
          </cell>
          <cell r="AU183" t="str">
            <v>PA/PIS/CCTV</v>
          </cell>
        </row>
        <row r="184">
          <cell r="A184" t="str">
            <v>627dd32a</v>
          </cell>
          <cell r="B184" t="str">
            <v>BOZ-KAY5+6-FF-183</v>
          </cell>
          <cell r="E184">
            <v>45432</v>
          </cell>
          <cell r="F184">
            <v>45432.84652777778</v>
          </cell>
          <cell r="G184" t="str">
            <v>3877(6)</v>
          </cell>
          <cell r="H184" t="str">
            <v>MB</v>
          </cell>
          <cell r="I184" t="str">
            <v>Hat/Line</v>
          </cell>
          <cell r="J184" t="str">
            <v>A-Sürüşü engeller</v>
          </cell>
          <cell r="K184" t="str">
            <v>SSH</v>
          </cell>
          <cell r="L184" t="str">
            <v>SİLECEK ÇALIŞMIYOR</v>
          </cell>
          <cell r="M184" t="str">
            <v>SİLECEK MEKANİZMASI GEVŞEMİŞ SIKILDI</v>
          </cell>
          <cell r="N184">
            <v>44000</v>
          </cell>
          <cell r="P184" t="str">
            <v>B(Servisten çekmeye etki eden arızalar)</v>
          </cell>
          <cell r="Q184" t="str">
            <v>N.A(Yaralanma yok)</v>
          </cell>
          <cell r="R184" t="str">
            <v>Tedarikçi</v>
          </cell>
          <cell r="S184" t="str">
            <v>Bozankaya</v>
          </cell>
          <cell r="T184">
            <v>45432</v>
          </cell>
          <cell r="U184">
            <v>45432.916666666664</v>
          </cell>
          <cell r="V184" t="str">
            <v>DENİZLER OTOMOTİV SAN. VE TİC.LTD.Ş</v>
          </cell>
          <cell r="W184" t="str">
            <v>SİLECEK MEKANİZMASI Denizler / M.11.2506</v>
          </cell>
          <cell r="X184" t="str">
            <v>M100-7066</v>
          </cell>
          <cell r="Y184">
            <v>1</v>
          </cell>
          <cell r="AB184" t="str">
            <v>Tamir edilecek</v>
          </cell>
          <cell r="AE184" t="str">
            <v/>
          </cell>
          <cell r="AH184" t="str">
            <v/>
          </cell>
          <cell r="AN184">
            <v>1</v>
          </cell>
          <cell r="AP184" t="str">
            <v>(II) Birden fazla karşılaşılan arıza</v>
          </cell>
          <cell r="AQ184">
            <v>45432</v>
          </cell>
          <cell r="AR184">
            <v>45432.958333333336</v>
          </cell>
          <cell r="AU184" t="str">
            <v>Giydirme Dış</v>
          </cell>
        </row>
        <row r="185">
          <cell r="A185" t="str">
            <v>6cfaf76f</v>
          </cell>
          <cell r="B185" t="str">
            <v>BOZ-KAY5+6-FF-184</v>
          </cell>
          <cell r="E185">
            <v>45433</v>
          </cell>
          <cell r="F185">
            <v>45433.899305555555</v>
          </cell>
          <cell r="G185" t="str">
            <v>3879(8)</v>
          </cell>
          <cell r="H185" t="str">
            <v>MA</v>
          </cell>
          <cell r="I185" t="str">
            <v>Hat/Line</v>
          </cell>
          <cell r="J185" t="str">
            <v>A-Sürüşü engeller</v>
          </cell>
          <cell r="K185" t="str">
            <v>Müşteri</v>
          </cell>
          <cell r="L185" t="str">
            <v>A KABİN AYNA KAMERA EKRANI OYNUYOR</v>
          </cell>
          <cell r="M185" t="str">
            <v>SOL AYNA KAMERA EKRANI SABİTLEME SOMUNU GEVŞEMİŞ SIKILDI ARIZA GİDERİLDİ</v>
          </cell>
          <cell r="N185">
            <v>20500</v>
          </cell>
          <cell r="P185" t="str">
            <v>B(Servisten çekmeye etki eden arızalar)</v>
          </cell>
          <cell r="Q185" t="str">
            <v>N.A(Yaralanma yok)</v>
          </cell>
          <cell r="R185" t="str">
            <v>Bozankaya</v>
          </cell>
          <cell r="S185" t="str">
            <v>Üretim</v>
          </cell>
          <cell r="T185">
            <v>45434</v>
          </cell>
          <cell r="U185">
            <v>45434.333333333336</v>
          </cell>
          <cell r="V185" t="str">
            <v>NSC TEKNOLOJİ ve İNŞAAT LTD.ŞTİ.</v>
          </cell>
          <cell r="W185" t="str">
            <v>XAYNA KAMERA</v>
          </cell>
          <cell r="X185" t="str">
            <v>E810-7004</v>
          </cell>
          <cell r="Y185">
            <v>1</v>
          </cell>
          <cell r="AB185" t="str">
            <v>Arıza çözülecek</v>
          </cell>
          <cell r="AE185" t="str">
            <v/>
          </cell>
          <cell r="AH185" t="str">
            <v/>
          </cell>
          <cell r="AN185">
            <v>1</v>
          </cell>
          <cell r="AP185" t="str">
            <v>(II) Birden fazla karşılaşılan arıza</v>
          </cell>
          <cell r="AQ185">
            <v>45434</v>
          </cell>
          <cell r="AR185">
            <v>45434.458333333336</v>
          </cell>
          <cell r="AU185" t="str">
            <v>PA/PIS/CCTV</v>
          </cell>
        </row>
        <row r="186">
          <cell r="A186" t="str">
            <v>bc62c783</v>
          </cell>
          <cell r="B186" t="str">
            <v>BOZ-KAY5+6-FF-185</v>
          </cell>
          <cell r="E186">
            <v>45434</v>
          </cell>
          <cell r="F186">
            <v>45434.689583333333</v>
          </cell>
          <cell r="G186" t="str">
            <v>3880(9)</v>
          </cell>
          <cell r="H186" t="str">
            <v>RA</v>
          </cell>
          <cell r="I186" t="str">
            <v>Hat/Line</v>
          </cell>
          <cell r="J186" t="str">
            <v>B-Hız veya güç azalması</v>
          </cell>
          <cell r="K186" t="str">
            <v>Müşteri</v>
          </cell>
          <cell r="L186" t="str">
            <v>YOLCU BÖLÜMÜ KLİMALARI SICAK ÜFÜRÜYOR. YOLCULARDAN ŞİKAYET GELDİ.</v>
          </cell>
          <cell r="M186" t="str">
            <v>RA MASTERCARDINA PROGRAM ATILDI.</v>
          </cell>
          <cell r="N186">
            <v>16300</v>
          </cell>
          <cell r="P186" t="str">
            <v>B(Servisten çekmeye etki eden arızalar)</v>
          </cell>
          <cell r="Q186" t="str">
            <v>N.A(Yaralanma yok)</v>
          </cell>
          <cell r="R186" t="str">
            <v>Tedarikçi</v>
          </cell>
          <cell r="S186" t="str">
            <v>Eltesan</v>
          </cell>
          <cell r="T186">
            <v>45434</v>
          </cell>
          <cell r="U186">
            <v>45434.694444444445</v>
          </cell>
          <cell r="V186" t="str">
            <v>ELTESAN ELEKTRO MEKANİK SOĞUTMA SAN</v>
          </cell>
          <cell r="W186" t="str">
            <v>KLIMA UNITESİ /Eltesan/Hispacold 41,5 kW</v>
          </cell>
          <cell r="X186" t="str">
            <v>H500-7240</v>
          </cell>
          <cell r="AB186" t="str">
            <v>Yazılım güncelleme</v>
          </cell>
          <cell r="AE186" t="str">
            <v/>
          </cell>
          <cell r="AN186">
            <v>1</v>
          </cell>
          <cell r="AP186" t="str">
            <v>(III) Birden fazla aynı araçta karşılaşılan arıza</v>
          </cell>
          <cell r="AQ186">
            <v>45434</v>
          </cell>
          <cell r="AR186">
            <v>45434.75</v>
          </cell>
          <cell r="AU186" t="str">
            <v>HVAC Yolcu</v>
          </cell>
        </row>
        <row r="187">
          <cell r="A187" t="str">
            <v>57bbbc6f</v>
          </cell>
          <cell r="B187" t="str">
            <v>BOZ-KAY5+6-FF-186</v>
          </cell>
          <cell r="E187">
            <v>45434</v>
          </cell>
          <cell r="F187">
            <v>45434.7</v>
          </cell>
          <cell r="G187" t="str">
            <v>3873(2)</v>
          </cell>
          <cell r="H187" t="str">
            <v>MB</v>
          </cell>
          <cell r="I187" t="str">
            <v>Hat/Line</v>
          </cell>
          <cell r="J187" t="str">
            <v>B-Hız veya güç azalması</v>
          </cell>
          <cell r="K187" t="str">
            <v>Müşteri</v>
          </cell>
          <cell r="L187" t="str">
            <v>MB BOJİ C007 SERİ NUMARALI DİŞLİ KUTUSU ESNEK KAPLİN AKTARMA DİŞLİ HUB GEAR RENGİ DEĞİŞMİŞ(KARARMIŞ)</v>
          </cell>
          <cell r="N187">
            <v>67786</v>
          </cell>
          <cell r="P187" t="str">
            <v>C(Sisteme etki etmeyen arıza)</v>
          </cell>
          <cell r="Q187" t="str">
            <v>N.A(Yaralanma yok)</v>
          </cell>
          <cell r="R187" t="str">
            <v>Bozankaya</v>
          </cell>
          <cell r="S187" t="str">
            <v>Üretim</v>
          </cell>
          <cell r="T187">
            <v>45435</v>
          </cell>
          <cell r="U187">
            <v>45435.333333333336</v>
          </cell>
          <cell r="V187" t="str">
            <v>Voith Turbo Power Transmission CZ s</v>
          </cell>
          <cell r="W187" t="str">
            <v>DISLI KUTUSU KOMPLESI</v>
          </cell>
          <cell r="X187" t="str">
            <v>B110-7029</v>
          </cell>
          <cell r="Y187">
            <v>1</v>
          </cell>
          <cell r="Z187" t="str">
            <v>C007</v>
          </cell>
          <cell r="AB187" t="str">
            <v>Tamir edilecek</v>
          </cell>
          <cell r="AE187" t="str">
            <v/>
          </cell>
          <cell r="AH187" t="str">
            <v/>
          </cell>
          <cell r="AN187">
            <v>2</v>
          </cell>
          <cell r="AP187" t="str">
            <v>(II) Birden fazla karşılaşılan arıza</v>
          </cell>
          <cell r="AQ187">
            <v>45435</v>
          </cell>
          <cell r="AR187">
            <v>45435.458333333336</v>
          </cell>
          <cell r="AU187" t="str">
            <v>Boji</v>
          </cell>
        </row>
        <row r="188">
          <cell r="A188" t="str">
            <v>86995bfc</v>
          </cell>
          <cell r="B188" t="str">
            <v>BOZ-KAY5+6-FF-187</v>
          </cell>
          <cell r="E188">
            <v>45435</v>
          </cell>
          <cell r="F188">
            <v>45435.390972222223</v>
          </cell>
          <cell r="G188" t="str">
            <v>3872(1)</v>
          </cell>
          <cell r="H188" t="str">
            <v>MA</v>
          </cell>
          <cell r="I188" t="str">
            <v>Depo/Depot</v>
          </cell>
          <cell r="J188" t="str">
            <v>B-Hız veya güç azalması</v>
          </cell>
          <cell r="K188" t="str">
            <v>Müşteri</v>
          </cell>
          <cell r="L188" t="str">
            <v>Araç MA ve MB dişli kutusu aktarma dişlisi hub gear ayarları bozuk.</v>
          </cell>
          <cell r="N188">
            <v>60509</v>
          </cell>
          <cell r="P188" t="str">
            <v>C(Sisteme etki etmeyen arıza)</v>
          </cell>
          <cell r="Q188" t="str">
            <v>N.A(Yaralanma yok)</v>
          </cell>
          <cell r="R188" t="str">
            <v>Bozankaya</v>
          </cell>
          <cell r="S188" t="str">
            <v>Üretim</v>
          </cell>
          <cell r="T188">
            <v>45436</v>
          </cell>
          <cell r="U188">
            <v>45436.333333333336</v>
          </cell>
          <cell r="V188" t="str">
            <v>Voith Turbo Power Transmission CZ s</v>
          </cell>
          <cell r="W188" t="str">
            <v>DISLI KUTUSU KOMPLESI</v>
          </cell>
          <cell r="X188" t="str">
            <v>B110-7029</v>
          </cell>
          <cell r="Y188">
            <v>1</v>
          </cell>
          <cell r="AB188" t="str">
            <v>Tamir edilecek</v>
          </cell>
          <cell r="AE188" t="str">
            <v/>
          </cell>
          <cell r="AH188" t="str">
            <v/>
          </cell>
          <cell r="AN188">
            <v>2</v>
          </cell>
          <cell r="AP188" t="str">
            <v>(I) İlk defa karşılaşılan arıza</v>
          </cell>
          <cell r="AQ188">
            <v>45436</v>
          </cell>
          <cell r="AR188">
            <v>45436.416666666664</v>
          </cell>
          <cell r="AU188" t="str">
            <v>Boji</v>
          </cell>
        </row>
        <row r="189">
          <cell r="A189" t="str">
            <v>5d00ce6b</v>
          </cell>
          <cell r="B189" t="str">
            <v>BOZ-KAY5+6-FF-188</v>
          </cell>
          <cell r="E189">
            <v>45435</v>
          </cell>
          <cell r="F189">
            <v>45435.39166666667</v>
          </cell>
          <cell r="G189" t="str">
            <v>3874(3)</v>
          </cell>
          <cell r="H189" t="str">
            <v>MA</v>
          </cell>
          <cell r="I189" t="str">
            <v>Hat/Line</v>
          </cell>
          <cell r="J189" t="str">
            <v>B-Hız veya güç azalması</v>
          </cell>
          <cell r="K189" t="str">
            <v>Müşteri</v>
          </cell>
          <cell r="L189" t="str">
            <v>ARAÇ MA-MB BOJİ DİŞLİ KUTUSU ESNEK KAPLİNG AKTARMA DİŞLİSİ HUB GEAR AYARLARI BOZUK</v>
          </cell>
          <cell r="N189">
            <v>66637</v>
          </cell>
          <cell r="P189" t="str">
            <v>C(Sisteme etki etmeyen arıza)</v>
          </cell>
          <cell r="Q189" t="str">
            <v>N.A(Yaralanma yok)</v>
          </cell>
          <cell r="R189" t="str">
            <v>Bozankaya</v>
          </cell>
          <cell r="S189" t="str">
            <v>Üretim</v>
          </cell>
          <cell r="T189">
            <v>45436</v>
          </cell>
          <cell r="U189">
            <v>45436.541666666664</v>
          </cell>
          <cell r="V189" t="str">
            <v>Voith Turbo Power Transmission CZ s</v>
          </cell>
          <cell r="W189" t="str">
            <v>DISLI KUTUSU KOMPLESI</v>
          </cell>
          <cell r="X189" t="str">
            <v>B110-7029</v>
          </cell>
          <cell r="Y189">
            <v>1</v>
          </cell>
          <cell r="AB189" t="str">
            <v>Tamir edilecek</v>
          </cell>
          <cell r="AE189" t="str">
            <v/>
          </cell>
          <cell r="AH189" t="str">
            <v/>
          </cell>
          <cell r="AN189">
            <v>2</v>
          </cell>
          <cell r="AP189" t="str">
            <v>(II) Birden fazla karşılaşılan arıza</v>
          </cell>
          <cell r="AQ189">
            <v>45436</v>
          </cell>
          <cell r="AR189">
            <v>45436.625</v>
          </cell>
          <cell r="AU189" t="str">
            <v>Boji</v>
          </cell>
        </row>
        <row r="190">
          <cell r="A190" t="str">
            <v>fa435d1d</v>
          </cell>
          <cell r="B190" t="str">
            <v>BOZ-KAY5+6-FF-189</v>
          </cell>
          <cell r="E190">
            <v>45435</v>
          </cell>
          <cell r="F190">
            <v>45435.393055555556</v>
          </cell>
          <cell r="G190" t="str">
            <v>3875(4)</v>
          </cell>
          <cell r="H190" t="str">
            <v>MA</v>
          </cell>
          <cell r="I190" t="str">
            <v>Hat/Line</v>
          </cell>
          <cell r="J190" t="str">
            <v>B-Hız veya güç azalması</v>
          </cell>
          <cell r="K190" t="str">
            <v>Müşteri</v>
          </cell>
          <cell r="L190" t="str">
            <v>ARAÇ MA-MB BOJİ DİŞLİ KUTUSU ESNEK KAPLİNG AKTARMA DİŞLİSİ HUB GEAR AYARLARI BOZUK.</v>
          </cell>
          <cell r="N190">
            <v>46939</v>
          </cell>
          <cell r="P190" t="str">
            <v>C(Sisteme etki etmeyen arıza)</v>
          </cell>
          <cell r="Q190" t="str">
            <v>N.A(Yaralanma yok)</v>
          </cell>
          <cell r="R190" t="str">
            <v>Bozankaya</v>
          </cell>
          <cell r="S190" t="str">
            <v>Üretim</v>
          </cell>
          <cell r="T190">
            <v>45437</v>
          </cell>
          <cell r="U190">
            <v>45437.333333333336</v>
          </cell>
          <cell r="V190" t="str">
            <v>Voith Turbo Power Transmission CZ s</v>
          </cell>
          <cell r="W190" t="str">
            <v>DISLI KUTUSU KOMPLESI</v>
          </cell>
          <cell r="X190" t="str">
            <v>B110-7029</v>
          </cell>
          <cell r="Y190">
            <v>1</v>
          </cell>
          <cell r="AB190" t="str">
            <v>Tamir edilecek</v>
          </cell>
          <cell r="AE190" t="str">
            <v/>
          </cell>
          <cell r="AH190" t="str">
            <v/>
          </cell>
          <cell r="AN190">
            <v>2</v>
          </cell>
          <cell r="AP190" t="str">
            <v>(II) Birden fazla karşılaşılan arıza</v>
          </cell>
          <cell r="AQ190">
            <v>45437</v>
          </cell>
          <cell r="AR190">
            <v>45437.416666666664</v>
          </cell>
          <cell r="AU190" t="str">
            <v>Boji</v>
          </cell>
        </row>
        <row r="191">
          <cell r="A191" t="str">
            <v>02c70cd7</v>
          </cell>
          <cell r="B191" t="str">
            <v>BOZ-KAY5+6-FF-190</v>
          </cell>
          <cell r="E191">
            <v>45435</v>
          </cell>
          <cell r="F191">
            <v>45435.393750000003</v>
          </cell>
          <cell r="G191" t="str">
            <v>3876(5)</v>
          </cell>
          <cell r="H191" t="str">
            <v>MA</v>
          </cell>
          <cell r="I191" t="str">
            <v>Hat/Line</v>
          </cell>
          <cell r="J191" t="str">
            <v>B-Hız veya güç azalması</v>
          </cell>
          <cell r="K191" t="str">
            <v>Müşteri</v>
          </cell>
          <cell r="L191" t="str">
            <v>ARAÇ MA-MB BOJİ DİŞLİ KUTUSU ESNEK KAPLİNG AKTARMA DİŞLİSİ HUB GEAR AYARLARI BOZUK.</v>
          </cell>
          <cell r="N191">
            <v>58059</v>
          </cell>
          <cell r="P191" t="str">
            <v>C(Sisteme etki etmeyen arıza)</v>
          </cell>
          <cell r="Q191" t="str">
            <v>N.A(Yaralanma yok)</v>
          </cell>
          <cell r="R191" t="str">
            <v>Bozankaya</v>
          </cell>
          <cell r="S191" t="str">
            <v>Üretim</v>
          </cell>
          <cell r="T191">
            <v>45437</v>
          </cell>
          <cell r="U191">
            <v>45437.541666666664</v>
          </cell>
          <cell r="V191" t="str">
            <v>Voith Turbo Power Transmission CZ s</v>
          </cell>
          <cell r="W191" t="str">
            <v>DISLI KUTUSU KOMPLESI</v>
          </cell>
          <cell r="X191" t="str">
            <v>B110-7029</v>
          </cell>
          <cell r="Y191">
            <v>1</v>
          </cell>
          <cell r="AB191" t="str">
            <v>Tamir edilecek</v>
          </cell>
          <cell r="AE191" t="str">
            <v/>
          </cell>
          <cell r="AH191" t="str">
            <v/>
          </cell>
          <cell r="AN191">
            <v>2</v>
          </cell>
          <cell r="AP191" t="str">
            <v>(II) Birden fazla karşılaşılan arıza</v>
          </cell>
          <cell r="AQ191">
            <v>45437</v>
          </cell>
          <cell r="AR191">
            <v>45437.625</v>
          </cell>
          <cell r="AU191" t="str">
            <v>Boji</v>
          </cell>
        </row>
        <row r="192">
          <cell r="A192" t="str">
            <v>ebfbb280</v>
          </cell>
          <cell r="B192" t="str">
            <v>BOZ-KAY5+6-FF-191</v>
          </cell>
          <cell r="E192">
            <v>45435</v>
          </cell>
          <cell r="F192">
            <v>45435.393750000003</v>
          </cell>
          <cell r="G192" t="str">
            <v>3877(6)</v>
          </cell>
          <cell r="H192" t="str">
            <v>MA</v>
          </cell>
          <cell r="I192" t="str">
            <v>Hat/Line</v>
          </cell>
          <cell r="J192" t="str">
            <v>B-Hız veya güç azalması</v>
          </cell>
          <cell r="K192" t="str">
            <v>Müşteri</v>
          </cell>
          <cell r="L192" t="str">
            <v>ARAÇ MA-MB BOJİ DİŞLİ KUTUSU ESNEK KAPLİNG AKTARMA DİŞLİS HUB GEAR BOZUK.</v>
          </cell>
          <cell r="N192">
            <v>44470</v>
          </cell>
          <cell r="P192" t="str">
            <v>C(Sisteme etki etmeyen arıza)</v>
          </cell>
          <cell r="Q192" t="str">
            <v>N.A(Yaralanma yok)</v>
          </cell>
          <cell r="R192" t="str">
            <v>Bozankaya</v>
          </cell>
          <cell r="S192" t="str">
            <v>Üretim</v>
          </cell>
          <cell r="T192">
            <v>45437</v>
          </cell>
          <cell r="U192">
            <v>45437.666666666664</v>
          </cell>
          <cell r="V192" t="str">
            <v>Voith Turbo Power Transmission CZ s</v>
          </cell>
          <cell r="W192" t="str">
            <v>DISLI KUTUSU KOMPLESI</v>
          </cell>
          <cell r="X192" t="str">
            <v>B110-7029</v>
          </cell>
          <cell r="Y192">
            <v>1</v>
          </cell>
          <cell r="AB192" t="str">
            <v>Tamir edilecek</v>
          </cell>
          <cell r="AE192" t="str">
            <v/>
          </cell>
          <cell r="AH192" t="str">
            <v/>
          </cell>
          <cell r="AN192">
            <v>2</v>
          </cell>
          <cell r="AP192" t="str">
            <v>(II) Birden fazla karşılaşılan arıza</v>
          </cell>
          <cell r="AQ192">
            <v>45437</v>
          </cell>
          <cell r="AR192">
            <v>45437.75</v>
          </cell>
          <cell r="AU192" t="str">
            <v>Boji</v>
          </cell>
        </row>
        <row r="193">
          <cell r="A193" t="str">
            <v>9b83c185</v>
          </cell>
          <cell r="B193" t="str">
            <v>BOZ-KAY5+6-FF-192</v>
          </cell>
          <cell r="E193">
            <v>45435</v>
          </cell>
          <cell r="F193">
            <v>45435.394444444442</v>
          </cell>
          <cell r="G193" t="str">
            <v>3878(7)</v>
          </cell>
          <cell r="H193" t="str">
            <v>MA</v>
          </cell>
          <cell r="I193" t="str">
            <v>Hat/Line</v>
          </cell>
          <cell r="J193" t="str">
            <v>B-Hız veya güç azalması</v>
          </cell>
          <cell r="K193" t="str">
            <v>Müşteri</v>
          </cell>
          <cell r="L193" t="str">
            <v>ARAÇ MA-MB BOJİ DİŞLİ KUTUSU ESNEK KAPLİNG AKTARMA DİŞLİSİ HUB GEAR AYARLARI BOZUK.</v>
          </cell>
          <cell r="N193">
            <v>37433</v>
          </cell>
          <cell r="P193" t="str">
            <v>C(Sisteme etki etmeyen arıza)</v>
          </cell>
          <cell r="Q193" t="str">
            <v>N.A(Yaralanma yok)</v>
          </cell>
          <cell r="R193" t="str">
            <v>Bozankaya</v>
          </cell>
          <cell r="S193" t="str">
            <v>Üretim</v>
          </cell>
          <cell r="T193">
            <v>45438</v>
          </cell>
          <cell r="U193">
            <v>45438.333333333336</v>
          </cell>
          <cell r="V193" t="str">
            <v>Voith Turbo Power Transmission CZ s</v>
          </cell>
          <cell r="W193" t="str">
            <v>DISLI KUTUSU KOMPLESI</v>
          </cell>
          <cell r="X193" t="str">
            <v>B110-7029</v>
          </cell>
          <cell r="Y193">
            <v>1</v>
          </cell>
          <cell r="AB193" t="str">
            <v>Tamir edilecek</v>
          </cell>
          <cell r="AE193" t="str">
            <v/>
          </cell>
          <cell r="AH193" t="str">
            <v/>
          </cell>
          <cell r="AN193">
            <v>2</v>
          </cell>
          <cell r="AP193" t="str">
            <v>(II) Birden fazla karşılaşılan arıza</v>
          </cell>
          <cell r="AQ193">
            <v>45438</v>
          </cell>
          <cell r="AR193">
            <v>45438.416666666664</v>
          </cell>
          <cell r="AU193" t="str">
            <v>Boji</v>
          </cell>
        </row>
        <row r="194">
          <cell r="A194" t="str">
            <v>c6bd4c94</v>
          </cell>
          <cell r="B194" t="str">
            <v>BOZ-KAY5+6-FF-193</v>
          </cell>
          <cell r="E194">
            <v>45435</v>
          </cell>
          <cell r="F194">
            <v>45435.394444444442</v>
          </cell>
          <cell r="G194" t="str">
            <v>3879(8)</v>
          </cell>
          <cell r="H194" t="str">
            <v>MA</v>
          </cell>
          <cell r="I194" t="str">
            <v>Hat/Line</v>
          </cell>
          <cell r="J194" t="str">
            <v>B-Hız veya güç azalması</v>
          </cell>
          <cell r="K194" t="str">
            <v>Müşteri</v>
          </cell>
          <cell r="L194" t="str">
            <v>ARAÇ MA-MB BOJİ DİŞLİ KUTUSU ESNEK KAPLİNG AKTARMA DİŞLİSİ HUB GEAR AYARLARI BOZUK.</v>
          </cell>
          <cell r="N194">
            <v>20889</v>
          </cell>
          <cell r="P194" t="str">
            <v>C(Sisteme etki etmeyen arıza)</v>
          </cell>
          <cell r="Q194" t="str">
            <v>N.A(Yaralanma yok)</v>
          </cell>
          <cell r="R194" t="str">
            <v>Bozankaya</v>
          </cell>
          <cell r="S194" t="str">
            <v>Üretim</v>
          </cell>
          <cell r="T194">
            <v>45438</v>
          </cell>
          <cell r="U194">
            <v>45438.541666666664</v>
          </cell>
          <cell r="V194" t="str">
            <v>Voith Turbo Power Transmission CZ s</v>
          </cell>
          <cell r="W194" t="str">
            <v>DISLI KUTUSU KOMPLESI</v>
          </cell>
          <cell r="X194" t="str">
            <v>B110-7029</v>
          </cell>
          <cell r="Y194">
            <v>1</v>
          </cell>
          <cell r="AB194" t="str">
            <v>Tamir edilecek</v>
          </cell>
          <cell r="AE194" t="str">
            <v/>
          </cell>
          <cell r="AH194" t="str">
            <v/>
          </cell>
          <cell r="AN194">
            <v>2</v>
          </cell>
          <cell r="AP194" t="str">
            <v>(II) Birden fazla karşılaşılan arıza</v>
          </cell>
          <cell r="AQ194">
            <v>45438</v>
          </cell>
          <cell r="AR194">
            <v>45438.625</v>
          </cell>
          <cell r="AU194" t="str">
            <v>Boji</v>
          </cell>
        </row>
        <row r="195">
          <cell r="A195" t="str">
            <v>f8dd494c</v>
          </cell>
          <cell r="B195" t="str">
            <v>BOZ-KAY5+6-FF-194</v>
          </cell>
          <cell r="E195">
            <v>45435</v>
          </cell>
          <cell r="F195">
            <v>45435.395138888889</v>
          </cell>
          <cell r="G195" t="str">
            <v>3880(9)</v>
          </cell>
          <cell r="H195" t="str">
            <v>MA</v>
          </cell>
          <cell r="I195" t="str">
            <v>Hat/Line</v>
          </cell>
          <cell r="J195" t="str">
            <v>B-Hız veya güç azalması</v>
          </cell>
          <cell r="K195" t="str">
            <v>Müşteri</v>
          </cell>
          <cell r="L195" t="str">
            <v>ARAÇ MA-MB BOJİ DİŞLİ KUTUSU ESNEK KAPLİNG AKTARMA DİŞLİSİ HUB GEAR AYARLARI BOZUK.</v>
          </cell>
          <cell r="N195">
            <v>16300</v>
          </cell>
          <cell r="P195" t="str">
            <v>C(Sisteme etki etmeyen arıza)</v>
          </cell>
          <cell r="Q195" t="str">
            <v>N.A(Yaralanma yok)</v>
          </cell>
          <cell r="R195" t="str">
            <v>Bozankaya</v>
          </cell>
          <cell r="S195" t="str">
            <v>Üretim</v>
          </cell>
          <cell r="T195">
            <v>45438</v>
          </cell>
          <cell r="U195">
            <v>45438.666666666664</v>
          </cell>
          <cell r="V195" t="str">
            <v>Voith Turbo Power Transmission CZ s</v>
          </cell>
          <cell r="W195" t="str">
            <v>DISLI KUTUSU KOMPLESI</v>
          </cell>
          <cell r="X195" t="str">
            <v>B110-7029</v>
          </cell>
          <cell r="Y195">
            <v>1</v>
          </cell>
          <cell r="AB195" t="str">
            <v>Tamir edilecek</v>
          </cell>
          <cell r="AE195" t="str">
            <v/>
          </cell>
          <cell r="AH195" t="str">
            <v/>
          </cell>
          <cell r="AN195">
            <v>2</v>
          </cell>
          <cell r="AP195" t="str">
            <v>(II) Birden fazla karşılaşılan arıza</v>
          </cell>
          <cell r="AQ195">
            <v>45438</v>
          </cell>
          <cell r="AR195">
            <v>45438.75</v>
          </cell>
          <cell r="AU195" t="str">
            <v>Boji</v>
          </cell>
        </row>
        <row r="196">
          <cell r="A196" t="str">
            <v>9f7c7dbb</v>
          </cell>
          <cell r="B196" t="str">
            <v>BOZ-KAY5+6-FF-195</v>
          </cell>
          <cell r="E196">
            <v>45435</v>
          </cell>
          <cell r="F196">
            <v>45435.395833333336</v>
          </cell>
          <cell r="G196" t="str">
            <v>3881(10)</v>
          </cell>
          <cell r="H196" t="str">
            <v>MA</v>
          </cell>
          <cell r="I196" t="str">
            <v>Hat/Line</v>
          </cell>
          <cell r="J196" t="str">
            <v>B-Hız veya güç azalması</v>
          </cell>
          <cell r="K196" t="str">
            <v>Müşteri</v>
          </cell>
          <cell r="L196" t="str">
            <v>ARAÇ MA-MB BOJİ DİŞLİ KUTUSU ESNEK KAPLİNG AKTARMA DİŞLİSİ HUB GEAR AYARLARI BOZUK</v>
          </cell>
          <cell r="N196">
            <v>10462</v>
          </cell>
          <cell r="P196" t="str">
            <v>C(Sisteme etki etmeyen arıza)</v>
          </cell>
          <cell r="Q196" t="str">
            <v>N.A(Yaralanma yok)</v>
          </cell>
          <cell r="R196" t="str">
            <v>Bozankaya</v>
          </cell>
          <cell r="S196" t="str">
            <v>Üretim</v>
          </cell>
          <cell r="T196">
            <v>45439</v>
          </cell>
          <cell r="U196">
            <v>45439.333333333336</v>
          </cell>
          <cell r="V196" t="str">
            <v>Voith Turbo Power Transmission CZ s</v>
          </cell>
          <cell r="W196" t="str">
            <v>DISLI KUTUSU KOMPLESI</v>
          </cell>
          <cell r="X196" t="str">
            <v>B110-7029</v>
          </cell>
          <cell r="Y196">
            <v>1</v>
          </cell>
          <cell r="AB196" t="str">
            <v>Tamir edilecek</v>
          </cell>
          <cell r="AE196" t="str">
            <v/>
          </cell>
          <cell r="AH196" t="str">
            <v/>
          </cell>
          <cell r="AN196">
            <v>2</v>
          </cell>
          <cell r="AP196" t="str">
            <v>(II) Birden fazla karşılaşılan arıza</v>
          </cell>
          <cell r="AQ196">
            <v>45439</v>
          </cell>
          <cell r="AR196">
            <v>45439.416666666664</v>
          </cell>
          <cell r="AU196" t="str">
            <v>Boji</v>
          </cell>
        </row>
        <row r="197">
          <cell r="A197" t="str">
            <v>1229afa5</v>
          </cell>
          <cell r="B197" t="str">
            <v>BOZ-KAY5+6-FF-196</v>
          </cell>
          <cell r="E197">
            <v>45435</v>
          </cell>
          <cell r="F197">
            <v>45435.396527777775</v>
          </cell>
          <cell r="G197" t="str">
            <v>3882(11)</v>
          </cell>
          <cell r="H197" t="str">
            <v>MA</v>
          </cell>
          <cell r="I197" t="str">
            <v>Hat/Line</v>
          </cell>
          <cell r="J197" t="str">
            <v>B-Hız veya güç azalması</v>
          </cell>
          <cell r="K197" t="str">
            <v>Müşteri</v>
          </cell>
          <cell r="L197" t="str">
            <v>ARAÇ MA-MB BOJİ DİŞLİ KUTUSU ESNEK KAPLİNG AKTARMA DİŞLİSİ HUB GEAR AYARLARI BOZUK.</v>
          </cell>
          <cell r="N197">
            <v>255</v>
          </cell>
          <cell r="P197" t="str">
            <v>C(Sisteme etki etmeyen arıza)</v>
          </cell>
          <cell r="Q197" t="str">
            <v>N.A(Yaralanma yok)</v>
          </cell>
          <cell r="R197" t="str">
            <v>Bozankaya</v>
          </cell>
          <cell r="S197" t="str">
            <v>Üretim</v>
          </cell>
          <cell r="T197">
            <v>45439</v>
          </cell>
          <cell r="U197">
            <v>45439.541666666664</v>
          </cell>
          <cell r="V197" t="str">
            <v>Voith Turbo Power Transmission CZ s</v>
          </cell>
          <cell r="W197" t="str">
            <v>DISLI KUTUSU KOMPLESI</v>
          </cell>
          <cell r="X197" t="str">
            <v>B110-7029</v>
          </cell>
          <cell r="Y197">
            <v>1</v>
          </cell>
          <cell r="AB197" t="str">
            <v>Tamir edilecek</v>
          </cell>
          <cell r="AE197" t="str">
            <v/>
          </cell>
          <cell r="AH197" t="str">
            <v/>
          </cell>
          <cell r="AN197">
            <v>2</v>
          </cell>
          <cell r="AP197" t="str">
            <v>(II) Birden fazla karşılaşılan arıza</v>
          </cell>
          <cell r="AQ197">
            <v>45439</v>
          </cell>
          <cell r="AR197">
            <v>45439.625</v>
          </cell>
          <cell r="AU197" t="str">
            <v>Boji</v>
          </cell>
        </row>
        <row r="198">
          <cell r="A198" t="str">
            <v>e68d1637</v>
          </cell>
          <cell r="B198" t="str">
            <v>BOZ-KAY5+6-FF-197</v>
          </cell>
          <cell r="E198">
            <v>45435</v>
          </cell>
          <cell r="F198">
            <v>45435.760416666664</v>
          </cell>
          <cell r="G198" t="str">
            <v>3880(9)</v>
          </cell>
          <cell r="H198" t="str">
            <v>RA</v>
          </cell>
          <cell r="I198" t="str">
            <v>Hat/Line</v>
          </cell>
          <cell r="J198" t="str">
            <v>A-Sürüşü engeller</v>
          </cell>
          <cell r="K198" t="str">
            <v>Müşteri</v>
          </cell>
          <cell r="L198" t="str">
            <v>KLİMALAR ÇALIŞMIYOR YOLCULARDAN ŞİKAYET GELİYOR</v>
          </cell>
          <cell r="M198" t="str">
            <v>MASTERCARD RESETLENDİ ARIZA DEVAMLILIĞI GÖRÜLMEDİ</v>
          </cell>
          <cell r="N198">
            <v>16600</v>
          </cell>
          <cell r="P198" t="str">
            <v>B(Servisten çekmeye etki eden arızalar)</v>
          </cell>
          <cell r="Q198" t="str">
            <v>N.A(Yaralanma yok)</v>
          </cell>
          <cell r="R198" t="str">
            <v>Tedarikçi</v>
          </cell>
          <cell r="S198" t="str">
            <v>Eltesan</v>
          </cell>
          <cell r="T198">
            <v>45436</v>
          </cell>
          <cell r="U198">
            <v>45436.333333333336</v>
          </cell>
          <cell r="V198" t="str">
            <v>ELTESAN ELEKTRO MEKANİK SOĞUTMA SAN</v>
          </cell>
          <cell r="W198" t="str">
            <v>KLIMA UNITESİ /Eltesan/Hispacold 41,5 kW</v>
          </cell>
          <cell r="X198" t="str">
            <v>H500-7240</v>
          </cell>
          <cell r="Y198">
            <v>1</v>
          </cell>
          <cell r="AB198" t="str">
            <v>Tamir edilecek</v>
          </cell>
          <cell r="AE198" t="str">
            <v/>
          </cell>
          <cell r="AH198" t="str">
            <v/>
          </cell>
          <cell r="AN198">
            <v>1</v>
          </cell>
          <cell r="AP198" t="str">
            <v>(II) Birden fazla karşılaşılan arıza</v>
          </cell>
          <cell r="AQ198">
            <v>45436</v>
          </cell>
          <cell r="AR198">
            <v>45436.458333333336</v>
          </cell>
          <cell r="AU198" t="str">
            <v>HVAC Yolcu</v>
          </cell>
        </row>
        <row r="199">
          <cell r="A199" t="str">
            <v>c74f30ba</v>
          </cell>
          <cell r="B199" t="str">
            <v>BOZ-KAY5+6-FF-198</v>
          </cell>
          <cell r="E199">
            <v>45436</v>
          </cell>
          <cell r="F199">
            <v>45436.359027777777</v>
          </cell>
          <cell r="G199" t="str">
            <v>3877(6)</v>
          </cell>
          <cell r="H199" t="str">
            <v>MA</v>
          </cell>
          <cell r="I199" t="str">
            <v>Hat/Line</v>
          </cell>
          <cell r="J199" t="str">
            <v>A-Sürüşü engeller</v>
          </cell>
          <cell r="K199" t="str">
            <v>Müşteri</v>
          </cell>
          <cell r="L199" t="str">
            <v>CA KABİN SİLECEK ÇALIŞMIYOR</v>
          </cell>
          <cell r="M199" t="str">
            <v>SİLECEK SOMUNU GEVŞEKTİ SIKILDI SORUN GİDERİLDİ.</v>
          </cell>
          <cell r="N199">
            <v>45000</v>
          </cell>
          <cell r="P199" t="str">
            <v>B(Servisten çekmeye etki eden arızalar)</v>
          </cell>
          <cell r="Q199" t="str">
            <v>N.A(Yaralanma yok)</v>
          </cell>
          <cell r="R199" t="str">
            <v>Tedarikçi</v>
          </cell>
          <cell r="S199" t="str">
            <v>Bozankaya</v>
          </cell>
          <cell r="T199">
            <v>45436</v>
          </cell>
          <cell r="U199">
            <v>45436.416666666664</v>
          </cell>
          <cell r="V199" t="str">
            <v>DENİZLER OTOMOTİV SAN. VE TİC.LTD.Ş</v>
          </cell>
          <cell r="W199" t="str">
            <v>SILECEK KOL KOMPLESI ANA KOL+YARDIMCI KO</v>
          </cell>
          <cell r="X199" t="str">
            <v>M100-7069</v>
          </cell>
          <cell r="Y199">
            <v>1</v>
          </cell>
          <cell r="AB199" t="str">
            <v>Tamir edilecek</v>
          </cell>
          <cell r="AE199" t="str">
            <v/>
          </cell>
          <cell r="AH199" t="str">
            <v/>
          </cell>
          <cell r="AN199">
            <v>1</v>
          </cell>
          <cell r="AP199" t="str">
            <v>(II) Birden fazla karşılaşılan arıza</v>
          </cell>
          <cell r="AQ199">
            <v>45436</v>
          </cell>
          <cell r="AR199">
            <v>45436.458333333336</v>
          </cell>
          <cell r="AU199" t="str">
            <v>Giydirme Dış</v>
          </cell>
        </row>
        <row r="200">
          <cell r="A200" t="str">
            <v>533500cf</v>
          </cell>
          <cell r="B200" t="str">
            <v>BOZ-KAY5+6-FF-199</v>
          </cell>
          <cell r="E200">
            <v>45436</v>
          </cell>
          <cell r="F200">
            <v>45436.768055555556</v>
          </cell>
          <cell r="G200" t="str">
            <v>3880(9)</v>
          </cell>
          <cell r="H200" t="str">
            <v>MA</v>
          </cell>
          <cell r="I200" t="str">
            <v>Depo/Depot</v>
          </cell>
          <cell r="J200" t="str">
            <v>C-Uyarı, sürüş devamlılığı</v>
          </cell>
          <cell r="K200" t="str">
            <v>Müşteri</v>
          </cell>
          <cell r="L200" t="str">
            <v>0302024905 nolu yolcu şikayeti incelenmek istendiğinde kabin kamera kaydına ulaşılmış fakat kayıtta ses olmadığı tespit edilmiş ve durum tespiti yapılamamıştır</v>
          </cell>
          <cell r="M200" t="str">
            <v>kamera ses giriş seviyesi yükseltildi</v>
          </cell>
          <cell r="N200">
            <v>17000</v>
          </cell>
          <cell r="P200" t="str">
            <v>C(Sisteme etki etmeyen arıza)</v>
          </cell>
          <cell r="Q200" t="str">
            <v>N.A(Yaralanma yok)</v>
          </cell>
          <cell r="R200" t="str">
            <v>Tedarikçi</v>
          </cell>
          <cell r="S200" t="str">
            <v>NSC</v>
          </cell>
          <cell r="T200">
            <v>45528</v>
          </cell>
          <cell r="U200">
            <v>45528.413587962961</v>
          </cell>
          <cell r="V200" t="str">
            <v>NSC TEKNOLOJİ ve İNŞAAT LTD.ŞTİ.</v>
          </cell>
          <cell r="W200" t="str">
            <v>KAMERA</v>
          </cell>
          <cell r="X200" t="str">
            <v>E810-7136</v>
          </cell>
          <cell r="Y200">
            <v>1</v>
          </cell>
          <cell r="AB200" t="str">
            <v>Arıza çözülecek</v>
          </cell>
          <cell r="AE200" t="str">
            <v/>
          </cell>
          <cell r="AH200" t="str">
            <v/>
          </cell>
          <cell r="AN200">
            <v>1</v>
          </cell>
          <cell r="AP200" t="str">
            <v>(I) İlk defa karşılaşılan arıza</v>
          </cell>
          <cell r="AQ200">
            <v>45528</v>
          </cell>
          <cell r="AR200">
            <v>45528.458333333336</v>
          </cell>
          <cell r="AU200" t="str">
            <v>PA/PIS/CCTV</v>
          </cell>
        </row>
        <row r="201">
          <cell r="A201" t="str">
            <v>cd3591d8</v>
          </cell>
          <cell r="B201" t="str">
            <v>BOZ-KAY5+6-FF-200</v>
          </cell>
          <cell r="E201">
            <v>45438</v>
          </cell>
          <cell r="F201">
            <v>45438.043749999997</v>
          </cell>
          <cell r="G201" t="str">
            <v>3872(1)</v>
          </cell>
          <cell r="H201" t="str">
            <v>MA</v>
          </cell>
          <cell r="I201" t="str">
            <v>Hat/Line</v>
          </cell>
          <cell r="J201" t="str">
            <v>C-Uyarı, sürüş devamlılığı</v>
          </cell>
          <cell r="K201" t="str">
            <v>Müşteri</v>
          </cell>
          <cell r="L201" t="str">
            <v>KABİN KLİMASI ISITMA YAPMIYOR</v>
          </cell>
          <cell r="M201" t="str">
            <v>KLİMA RESETLENDİ SORUN GİDERİLDİ</v>
          </cell>
          <cell r="N201">
            <v>62000</v>
          </cell>
          <cell r="P201" t="str">
            <v>B(Servisten çekmeye etki eden arızalar)</v>
          </cell>
          <cell r="Q201" t="str">
            <v>N.A(Yaralanma yok)</v>
          </cell>
          <cell r="R201" t="str">
            <v>Tedarikçi</v>
          </cell>
          <cell r="S201" t="str">
            <v>Eltesan</v>
          </cell>
          <cell r="T201">
            <v>45438</v>
          </cell>
          <cell r="U201">
            <v>45438.043749999997</v>
          </cell>
          <cell r="V201" t="str">
            <v>ELTESAN ELEKTRO MEKANİK SOĞUTMA SAN</v>
          </cell>
          <cell r="W201" t="str">
            <v>KLIMA UNITESİ /Eltesan/Hispacold 41,5 kW</v>
          </cell>
          <cell r="X201" t="str">
            <v>H500-7240</v>
          </cell>
          <cell r="Y201">
            <v>1</v>
          </cell>
          <cell r="AB201" t="str">
            <v>Tamir edilecek</v>
          </cell>
          <cell r="AE201" t="str">
            <v/>
          </cell>
          <cell r="AH201" t="str">
            <v/>
          </cell>
          <cell r="AN201">
            <v>1</v>
          </cell>
          <cell r="AP201" t="str">
            <v>(III) Birden fazla aynı araçta karşılaşılan arıza</v>
          </cell>
          <cell r="AQ201">
            <v>45438</v>
          </cell>
          <cell r="AR201">
            <v>45438.416666666664</v>
          </cell>
          <cell r="AU201" t="str">
            <v>HVAC Sürücü</v>
          </cell>
        </row>
        <row r="202">
          <cell r="A202" t="str">
            <v>076e0eda</v>
          </cell>
          <cell r="B202" t="str">
            <v>BOZ-KAY5+6-FF-201</v>
          </cell>
          <cell r="E202">
            <v>45439</v>
          </cell>
          <cell r="F202">
            <v>45439.634027777778</v>
          </cell>
          <cell r="G202" t="str">
            <v>3880(9)</v>
          </cell>
          <cell r="H202" t="str">
            <v>MA</v>
          </cell>
          <cell r="I202" t="str">
            <v>Hat/Line</v>
          </cell>
          <cell r="J202" t="str">
            <v>A-Sürüşü engeller</v>
          </cell>
          <cell r="K202" t="str">
            <v>Müşteri</v>
          </cell>
          <cell r="L202" t="str">
            <v>BOJİ ENGELLEYİCİ KÜREK ÇIKMIŞ YERE SÜRTÜYOR</v>
          </cell>
          <cell r="M202" t="str">
            <v>CİVATALARI GEVŞEKTİ SIKILDI SORUN GİDERİLDİ</v>
          </cell>
          <cell r="N202">
            <v>18028</v>
          </cell>
          <cell r="P202" t="str">
            <v>A(Hareket etmeyi engelleyen arıza)</v>
          </cell>
          <cell r="Q202" t="str">
            <v>N.A(Yaralanma yok)</v>
          </cell>
          <cell r="R202" t="str">
            <v>Bozankaya</v>
          </cell>
          <cell r="S202" t="str">
            <v>Üretim</v>
          </cell>
          <cell r="T202">
            <v>45439</v>
          </cell>
          <cell r="U202">
            <v>45439.666666666664</v>
          </cell>
          <cell r="V202" t="str">
            <v>GK SAVUNMA MAKİNE SANAYİ TİC.LTD.ŞT</v>
          </cell>
          <cell r="W202" t="str">
            <v>BAGLANTI PLAKASI</v>
          </cell>
          <cell r="X202" t="str">
            <v>T130-7115</v>
          </cell>
          <cell r="Y202">
            <v>1</v>
          </cell>
          <cell r="AB202" t="str">
            <v>Tamir edilecek</v>
          </cell>
          <cell r="AE202" t="str">
            <v/>
          </cell>
          <cell r="AH202" t="str">
            <v/>
          </cell>
          <cell r="AN202">
            <v>1</v>
          </cell>
          <cell r="AP202" t="str">
            <v>(I) İlk defa karşılaşılan arıza</v>
          </cell>
          <cell r="AQ202">
            <v>45439</v>
          </cell>
          <cell r="AR202">
            <v>45439.729166666664</v>
          </cell>
          <cell r="AU202" t="str">
            <v>Boji</v>
          </cell>
        </row>
        <row r="203">
          <cell r="A203" t="str">
            <v>2ddf5322</v>
          </cell>
          <cell r="B203" t="str">
            <v>BOZ-KAY5+6-FF-202</v>
          </cell>
          <cell r="E203">
            <v>45440</v>
          </cell>
          <cell r="F203">
            <v>45440.065972222219</v>
          </cell>
          <cell r="G203" t="str">
            <v>3882(11)</v>
          </cell>
          <cell r="H203" t="str">
            <v>MB</v>
          </cell>
          <cell r="I203" t="str">
            <v>Hat/Line</v>
          </cell>
          <cell r="J203" t="str">
            <v>A-Sürüşü engeller</v>
          </cell>
          <cell r="K203" t="str">
            <v>Müşteri</v>
          </cell>
          <cell r="L203" t="str">
            <v>CB KABİN SİLGEÇ ARIZALI</v>
          </cell>
          <cell r="M203" t="str">
            <v>silecek somunu sıkıldı.</v>
          </cell>
          <cell r="N203">
            <v>417</v>
          </cell>
          <cell r="P203" t="str">
            <v>B(Servisten çekmeye etki eden arızalar)</v>
          </cell>
          <cell r="Q203" t="str">
            <v>N.A(Yaralanma yok)</v>
          </cell>
          <cell r="R203" t="str">
            <v>Tedarikçi</v>
          </cell>
          <cell r="S203" t="str">
            <v>Bozankaya</v>
          </cell>
          <cell r="T203">
            <v>45440</v>
          </cell>
          <cell r="U203">
            <v>45440.066666666666</v>
          </cell>
          <cell r="V203" t="str">
            <v>DENİZLER OTOMOTİV SAN. VE TİC.LTD.Ş</v>
          </cell>
          <cell r="W203" t="str">
            <v>SILECEK KOL KOMPLESI ANA KOL+YARDIMCI KO</v>
          </cell>
          <cell r="X203" t="str">
            <v>M100-7069</v>
          </cell>
          <cell r="Y203">
            <v>1</v>
          </cell>
          <cell r="AB203" t="str">
            <v>Tamir edilecek</v>
          </cell>
          <cell r="AE203" t="str">
            <v/>
          </cell>
          <cell r="AH203" t="str">
            <v/>
          </cell>
          <cell r="AN203">
            <v>1</v>
          </cell>
          <cell r="AP203" t="str">
            <v>(II) Birden fazla karşılaşılan arıza</v>
          </cell>
          <cell r="AQ203">
            <v>45440</v>
          </cell>
          <cell r="AR203">
            <v>45440.416666666664</v>
          </cell>
          <cell r="AU203" t="str">
            <v>Giydirme Dış</v>
          </cell>
        </row>
        <row r="204">
          <cell r="A204" t="str">
            <v>39a4c29a</v>
          </cell>
          <cell r="B204" t="str">
            <v>BOZ-KAY5+6-FF-203</v>
          </cell>
          <cell r="E204">
            <v>45453</v>
          </cell>
          <cell r="F204">
            <v>45453.436805555553</v>
          </cell>
          <cell r="G204" t="str">
            <v>3881(10)</v>
          </cell>
          <cell r="H204" t="str">
            <v>RB</v>
          </cell>
          <cell r="I204" t="str">
            <v>Hat/Line</v>
          </cell>
          <cell r="J204" t="str">
            <v>C-Uyarı, sürüş devamlılığı</v>
          </cell>
          <cell r="K204" t="str">
            <v>Müşteri</v>
          </cell>
          <cell r="L204" t="str">
            <v>06/06/2024 tarihinde gerçekleştirilen saha denetiminde 3881 nolu araçta kapı üstü bilgilendirmelerin ve reklam ekranın çalışmadığı tespit edilmiştir</v>
          </cell>
          <cell r="M204" t="str">
            <v>Kontrol edildi sorun görülmedi</v>
          </cell>
          <cell r="N204">
            <v>16149</v>
          </cell>
          <cell r="P204" t="str">
            <v>C(Sisteme etki etmeyen arıza)</v>
          </cell>
          <cell r="Q204" t="str">
            <v>N.A(Yaralanma yok)</v>
          </cell>
          <cell r="R204" t="str">
            <v>Tedarikçi</v>
          </cell>
          <cell r="S204" t="str">
            <v>Atak</v>
          </cell>
          <cell r="T204">
            <v>45521</v>
          </cell>
          <cell r="U204">
            <v>45521.339236111111</v>
          </cell>
          <cell r="V204" t="str">
            <v>ATAK ULAŞIM SAN.TİC.LTD.ŞTİ.</v>
          </cell>
          <cell r="W204" t="str">
            <v>STRETCH LCD EKRAN</v>
          </cell>
          <cell r="X204" t="str">
            <v>E410-7003</v>
          </cell>
          <cell r="Y204">
            <v>1</v>
          </cell>
          <cell r="AB204" t="str">
            <v>Tamir edilecek</v>
          </cell>
          <cell r="AE204" t="str">
            <v/>
          </cell>
          <cell r="AH204" t="str">
            <v/>
          </cell>
          <cell r="AN204">
            <v>1</v>
          </cell>
          <cell r="AP204" t="str">
            <v>(III) Birden fazla aynı araçta karşılaşılan arıza</v>
          </cell>
          <cell r="AQ204">
            <v>45521</v>
          </cell>
          <cell r="AR204">
            <v>45521.416666666664</v>
          </cell>
          <cell r="AU204" t="str">
            <v>PA/PIS/CCTV</v>
          </cell>
        </row>
        <row r="205">
          <cell r="A205" t="str">
            <v>877a05a4</v>
          </cell>
          <cell r="B205" t="str">
            <v>BOZ-KAY5+6-FF-204</v>
          </cell>
          <cell r="E205">
            <v>45457</v>
          </cell>
          <cell r="F205">
            <v>45457.101388888892</v>
          </cell>
          <cell r="G205" t="str">
            <v>3880(9)</v>
          </cell>
          <cell r="H205" t="str">
            <v>MA</v>
          </cell>
          <cell r="I205" t="str">
            <v>Depo/Depot</v>
          </cell>
          <cell r="J205" t="str">
            <v>C-Uyarı, sürüş devamlılığı</v>
          </cell>
          <cell r="K205" t="str">
            <v>Müşteri</v>
          </cell>
          <cell r="L205" t="str">
            <v>2 VE 11 NUMARALI KAPI ÜSTLERİNDE SU SIZINTI İZLERİNE RASTLANMIŞTIR.</v>
          </cell>
          <cell r="M205" t="str">
            <v>ELEKTRİK KABİNET ÜZERİNDE BULUNAN TURBO  FANLARIN ETRAFINA SİKA UYGULAMASI YAPILDI.</v>
          </cell>
          <cell r="N205">
            <v>23341</v>
          </cell>
          <cell r="P205" t="str">
            <v>B(Servisten çekmeye etki eden arızalar)</v>
          </cell>
          <cell r="Q205" t="str">
            <v>N.A(Yaralanma yok)</v>
          </cell>
          <cell r="R205" t="str">
            <v>Bozankaya</v>
          </cell>
          <cell r="S205" t="str">
            <v>Üretim</v>
          </cell>
          <cell r="T205">
            <v>45457</v>
          </cell>
          <cell r="U205">
            <v>45457.333333333336</v>
          </cell>
          <cell r="V205" t="str">
            <v>KORMAS ELEKTRİKLİ MOTOR SAN. VE TİC</v>
          </cell>
          <cell r="W205" t="str">
            <v>TURBO HAVALANDIRMA</v>
          </cell>
          <cell r="X205" t="str">
            <v>H200-7001</v>
          </cell>
          <cell r="Y205">
            <v>1</v>
          </cell>
          <cell r="AB205" t="str">
            <v>Ekipman değiştirilecek</v>
          </cell>
          <cell r="AE205" t="str">
            <v/>
          </cell>
          <cell r="AN205">
            <v>1</v>
          </cell>
          <cell r="AP205" t="str">
            <v>(II) Birden fazla karşılaşılan arıza</v>
          </cell>
          <cell r="AQ205">
            <v>45457</v>
          </cell>
          <cell r="AR205">
            <v>45457.416666666664</v>
          </cell>
          <cell r="AU205" t="str">
            <v>Giydirme Dış</v>
          </cell>
        </row>
        <row r="206">
          <cell r="A206" t="str">
            <v>c9414e42</v>
          </cell>
          <cell r="B206" t="str">
            <v>BOZ-KAY5+6-FF-205</v>
          </cell>
          <cell r="E206">
            <v>45457</v>
          </cell>
          <cell r="F206">
            <v>45457.427083333336</v>
          </cell>
          <cell r="G206" t="str">
            <v>3881(10)</v>
          </cell>
          <cell r="H206" t="str">
            <v>RA</v>
          </cell>
          <cell r="I206" t="str">
            <v>Hat/Line</v>
          </cell>
          <cell r="J206" t="str">
            <v>C-Uyarı, sürüş devamlılığı</v>
          </cell>
          <cell r="K206" t="str">
            <v>Müşteri</v>
          </cell>
          <cell r="L206" t="str">
            <v>10/06/2024 tarihinde yapılan saha denetiminde 3881 nolu aracın saat 11:36 da kapı üstü ekranların ve orta kısımda bulunan ekranların çalışmadığı tespit edilmiştir</v>
          </cell>
          <cell r="M206" t="str">
            <v>Kontrol edildi sorun</v>
          </cell>
          <cell r="N206">
            <v>16500</v>
          </cell>
          <cell r="P206" t="str">
            <v>C(Sisteme etki etmeyen arıza)</v>
          </cell>
          <cell r="Q206" t="str">
            <v>N.A(Yaralanma yok)</v>
          </cell>
          <cell r="R206" t="str">
            <v>Tedarikçi</v>
          </cell>
          <cell r="S206" t="str">
            <v>Atak</v>
          </cell>
          <cell r="T206">
            <v>45521</v>
          </cell>
          <cell r="U206">
            <v>45521.354166666664</v>
          </cell>
          <cell r="V206" t="str">
            <v>ATAK ULAŞIM SAN.TİC.LTD.ŞTİ.</v>
          </cell>
          <cell r="W206" t="str">
            <v>STRETCH LCD EKRAN</v>
          </cell>
          <cell r="X206" t="str">
            <v>E410-7003</v>
          </cell>
          <cell r="Y206">
            <v>1</v>
          </cell>
          <cell r="AB206" t="str">
            <v>Tamir edilecek</v>
          </cell>
          <cell r="AE206" t="str">
            <v/>
          </cell>
          <cell r="AH206" t="str">
            <v/>
          </cell>
          <cell r="AN206">
            <v>1</v>
          </cell>
          <cell r="AP206" t="str">
            <v>(III) Birden fazla aynı araçta karşılaşılan arıza</v>
          </cell>
          <cell r="AQ206">
            <v>45521</v>
          </cell>
          <cell r="AR206">
            <v>45521.416666666664</v>
          </cell>
          <cell r="AU206" t="str">
            <v>PA/PIS/CCTV</v>
          </cell>
        </row>
        <row r="207">
          <cell r="A207" t="str">
            <v>22b93d26</v>
          </cell>
          <cell r="B207" t="str">
            <v>BOZ-KAY5+6-FF-206</v>
          </cell>
          <cell r="E207">
            <v>45457</v>
          </cell>
          <cell r="F207">
            <v>45457.441666666666</v>
          </cell>
          <cell r="G207" t="str">
            <v>3875(4)</v>
          </cell>
          <cell r="H207" t="str">
            <v>MA</v>
          </cell>
          <cell r="I207" t="str">
            <v>Depo/Depot</v>
          </cell>
          <cell r="J207" t="str">
            <v>C-Uyarı, sürüş devamlılığı</v>
          </cell>
          <cell r="K207" t="str">
            <v>Müşteri</v>
          </cell>
          <cell r="L207" t="str">
            <v>A BAŞ KUPLAJ ASANSÖRÜ ARIZALI</v>
          </cell>
          <cell r="M207" t="str">
            <v>KUPLÖR ASANSÖR MODİFİKASYONU YAPILDI.</v>
          </cell>
          <cell r="N207">
            <v>48701</v>
          </cell>
          <cell r="P207" t="str">
            <v>C(Sisteme etki etmeyen arıza)</v>
          </cell>
          <cell r="Q207" t="str">
            <v>N.A(Yaralanma yok)</v>
          </cell>
          <cell r="R207" t="str">
            <v>Tedarikçi</v>
          </cell>
          <cell r="S207" t="str">
            <v>DELLNER</v>
          </cell>
          <cell r="T207">
            <v>45600</v>
          </cell>
          <cell r="U207">
            <v>45600.333333333336</v>
          </cell>
          <cell r="V207" t="str">
            <v>DELLNER COUPLERC AB</v>
          </cell>
          <cell r="W207" t="str">
            <v>OTOMATIK KUPLÖR DELLNER</v>
          </cell>
          <cell r="X207" t="str">
            <v>M350-7062</v>
          </cell>
          <cell r="AB207" t="str">
            <v>Ekipman değiştirilecek</v>
          </cell>
          <cell r="AE207" t="str">
            <v/>
          </cell>
          <cell r="AN207">
            <v>1</v>
          </cell>
          <cell r="AP207" t="str">
            <v>(II) Birden fazla karşılaşılan arıza</v>
          </cell>
          <cell r="AQ207">
            <v>45600</v>
          </cell>
          <cell r="AR207">
            <v>45600.625</v>
          </cell>
          <cell r="AU207" t="str">
            <v>Autocoupler</v>
          </cell>
        </row>
        <row r="208">
          <cell r="A208" t="str">
            <v>b7fd8e12</v>
          </cell>
          <cell r="B208" t="str">
            <v>BOZ-KAY5+6-FF-207</v>
          </cell>
          <cell r="E208">
            <v>45457</v>
          </cell>
          <cell r="F208">
            <v>45457.442361111112</v>
          </cell>
          <cell r="G208" t="str">
            <v>3875(4)</v>
          </cell>
          <cell r="H208" t="str">
            <v>MB</v>
          </cell>
          <cell r="I208" t="str">
            <v>Depo/Depot</v>
          </cell>
          <cell r="J208" t="str">
            <v>C-Uyarı, sürüş devamlılığı</v>
          </cell>
          <cell r="K208" t="str">
            <v>Müşteri</v>
          </cell>
          <cell r="L208" t="str">
            <v>B BAŞ KUPLAJ ASANSÖRÜ ARIZALI</v>
          </cell>
          <cell r="M208" t="str">
            <v>KUPLAJ ASANSÖRÜ MODİFİKASYONU YAPILDI.</v>
          </cell>
          <cell r="N208">
            <v>48701</v>
          </cell>
          <cell r="P208" t="str">
            <v>C(Sisteme etki etmeyen arıza)</v>
          </cell>
          <cell r="Q208" t="str">
            <v>N.A(Yaralanma yok)</v>
          </cell>
          <cell r="R208" t="str">
            <v>Tedarikçi</v>
          </cell>
          <cell r="S208" t="str">
            <v>DELLNER</v>
          </cell>
          <cell r="T208">
            <v>45600</v>
          </cell>
          <cell r="U208">
            <v>45600.333333333336</v>
          </cell>
          <cell r="V208" t="str">
            <v>DELLNER COUPLERC AB</v>
          </cell>
          <cell r="W208" t="str">
            <v>OTOMATIK KUPLÖR DELLNER</v>
          </cell>
          <cell r="X208" t="str">
            <v>M350-7062</v>
          </cell>
          <cell r="Y208">
            <v>1</v>
          </cell>
          <cell r="AB208" t="str">
            <v>Ekipman değiştirilecek</v>
          </cell>
          <cell r="AE208" t="str">
            <v/>
          </cell>
          <cell r="AN208">
            <v>1</v>
          </cell>
          <cell r="AP208" t="str">
            <v>(II) Birden fazla karşılaşılan arıza</v>
          </cell>
          <cell r="AQ208">
            <v>45600</v>
          </cell>
          <cell r="AR208">
            <v>45600.625</v>
          </cell>
          <cell r="AU208" t="str">
            <v>Autocoupler</v>
          </cell>
        </row>
        <row r="209">
          <cell r="A209" t="str">
            <v>1df40f00</v>
          </cell>
          <cell r="B209" t="str">
            <v>BOZ-KAY5+6-FF-208</v>
          </cell>
          <cell r="E209">
            <v>45457</v>
          </cell>
          <cell r="F209">
            <v>45457.445833333331</v>
          </cell>
          <cell r="G209" t="str">
            <v>3882(11)</v>
          </cell>
          <cell r="H209" t="str">
            <v>MA</v>
          </cell>
          <cell r="I209" t="str">
            <v>Depo/Depot</v>
          </cell>
          <cell r="J209" t="str">
            <v>C-Uyarı, sürüş devamlılığı</v>
          </cell>
          <cell r="K209" t="str">
            <v>Müşteri</v>
          </cell>
          <cell r="L209" t="str">
            <v>A baş kuplaj asansörü arızalı</v>
          </cell>
          <cell r="M209" t="str">
            <v>Kuplör asansörü modifikasyonu yapıldı.</v>
          </cell>
          <cell r="N209">
            <v>3694</v>
          </cell>
          <cell r="P209" t="str">
            <v>C(Sisteme etki etmeyen arıza)</v>
          </cell>
          <cell r="Q209" t="str">
            <v>N.A(Yaralanma yok)</v>
          </cell>
          <cell r="R209" t="str">
            <v>Bozankaya</v>
          </cell>
          <cell r="S209" t="str">
            <v>Üretim</v>
          </cell>
          <cell r="T209">
            <v>45600</v>
          </cell>
          <cell r="U209">
            <v>45600.333333333336</v>
          </cell>
          <cell r="V209" t="str">
            <v>DELLNER COUPLERC AB</v>
          </cell>
          <cell r="W209" t="str">
            <v>OTOMATIK KUPLÖR DELLNER</v>
          </cell>
          <cell r="X209" t="str">
            <v>M350-7062</v>
          </cell>
          <cell r="Y209">
            <v>1</v>
          </cell>
          <cell r="AB209" t="str">
            <v>Tamir edilecek</v>
          </cell>
          <cell r="AE209" t="str">
            <v/>
          </cell>
          <cell r="AN209">
            <v>1</v>
          </cell>
          <cell r="AP209" t="str">
            <v>(II) Birden fazla karşılaşılan arıza</v>
          </cell>
          <cell r="AQ209">
            <v>45600</v>
          </cell>
          <cell r="AR209">
            <v>45600.625</v>
          </cell>
          <cell r="AU209" t="str">
            <v>Autocoupler</v>
          </cell>
        </row>
        <row r="210">
          <cell r="A210" t="str">
            <v>e1c560cd</v>
          </cell>
          <cell r="B210" t="str">
            <v>BOZ-KAY5+6-FF-209</v>
          </cell>
          <cell r="E210">
            <v>45457</v>
          </cell>
          <cell r="F210">
            <v>45457.509722222225</v>
          </cell>
          <cell r="G210" t="str">
            <v>3875(4)</v>
          </cell>
          <cell r="H210" t="str">
            <v>MA</v>
          </cell>
          <cell r="I210" t="str">
            <v>Hat/Line</v>
          </cell>
          <cell r="J210" t="str">
            <v>A-Sürüşü engeller</v>
          </cell>
          <cell r="K210" t="str">
            <v>Müşteri</v>
          </cell>
          <cell r="L210" t="str">
            <v>ARAÇ FRENLERİ ZAYIF TUTMUYOR</v>
          </cell>
          <cell r="M210" t="str">
            <v>28084 NOLU FORM İLE KAPATILDI(FREN ARIZA SEBEBİ İNVERTER KABLOLAMA HATASI KAYNAKLI)</v>
          </cell>
          <cell r="N210">
            <v>48500</v>
          </cell>
          <cell r="P210" t="str">
            <v>A(Hareket etmeyi engelleyen arıza)</v>
          </cell>
          <cell r="Q210" t="str">
            <v>N.A(Yaralanma yok)</v>
          </cell>
          <cell r="R210" t="str">
            <v>Bozankaya</v>
          </cell>
          <cell r="S210" t="str">
            <v>Üretim</v>
          </cell>
          <cell r="T210">
            <v>45457</v>
          </cell>
          <cell r="U210">
            <v>45457.541666666664</v>
          </cell>
          <cell r="V210" t="str">
            <v>MEDCOM SP. Z O.O.</v>
          </cell>
          <cell r="W210" t="str">
            <v>COMBO KUTUSU (+LHD) MEDCOM</v>
          </cell>
          <cell r="X210" t="str">
            <v>P620-7023</v>
          </cell>
          <cell r="Y210">
            <v>1</v>
          </cell>
          <cell r="AB210" t="str">
            <v>Arıza çözülecek</v>
          </cell>
          <cell r="AE210" t="str">
            <v/>
          </cell>
          <cell r="AH210" t="str">
            <v/>
          </cell>
          <cell r="AN210">
            <v>1</v>
          </cell>
          <cell r="AP210" t="str">
            <v>(I) İlk defa karşılaşılan arıza</v>
          </cell>
          <cell r="AQ210">
            <v>45457</v>
          </cell>
          <cell r="AR210">
            <v>45457.75</v>
          </cell>
          <cell r="AU210" t="str">
            <v>E-Kabinet</v>
          </cell>
        </row>
        <row r="211">
          <cell r="A211" t="str">
            <v>a345a59b</v>
          </cell>
          <cell r="B211" t="str">
            <v>BOZ-KAY5+6-FF-210</v>
          </cell>
          <cell r="E211">
            <v>45461</v>
          </cell>
          <cell r="F211">
            <v>45461.625</v>
          </cell>
          <cell r="G211" t="str">
            <v>3875(4)</v>
          </cell>
          <cell r="H211" t="str">
            <v>MA</v>
          </cell>
          <cell r="I211" t="str">
            <v>Hat/Line</v>
          </cell>
          <cell r="J211" t="str">
            <v>B-Hız veya güç azalması</v>
          </cell>
          <cell r="K211" t="str">
            <v>Müşteri</v>
          </cell>
          <cell r="L211" t="str">
            <v>Araç 20 km ivmede zorlanıyor.20 km altında frende uzama yaşanıyor</v>
          </cell>
          <cell r="M211" t="str">
            <v>fren arızası inverterde bulunan kablolama hatasından dolayı veriyor.Hata düzeltildi,sorun giderildi.</v>
          </cell>
          <cell r="N211">
            <v>48000</v>
          </cell>
          <cell r="P211" t="str">
            <v>B(Servisten çekmeye etki eden arızalar)</v>
          </cell>
          <cell r="Q211" t="str">
            <v>N.A(Yaralanma yok)</v>
          </cell>
          <cell r="R211" t="str">
            <v>Tedarikçi</v>
          </cell>
          <cell r="S211" t="str">
            <v>Medcom</v>
          </cell>
          <cell r="T211">
            <v>45538</v>
          </cell>
          <cell r="U211">
            <v>45538.407256944447</v>
          </cell>
          <cell r="V211" t="str">
            <v>MEDCOM SP. Z O.O.</v>
          </cell>
          <cell r="W211" t="str">
            <v>COMBO KUTUSU (+LHD) MEDCOM</v>
          </cell>
          <cell r="X211" t="str">
            <v>P620-7023</v>
          </cell>
          <cell r="Y211">
            <v>1</v>
          </cell>
          <cell r="AB211" t="str">
            <v>Arıza çözülecek</v>
          </cell>
          <cell r="AE211" t="str">
            <v/>
          </cell>
          <cell r="AH211" t="str">
            <v/>
          </cell>
          <cell r="AN211">
            <v>1</v>
          </cell>
          <cell r="AP211" t="str">
            <v>(I) İlk defa karşılaşılan arıza</v>
          </cell>
          <cell r="AQ211">
            <v>45538</v>
          </cell>
          <cell r="AR211">
            <v>45538.625</v>
          </cell>
          <cell r="AU211" t="str">
            <v>Fren</v>
          </cell>
        </row>
        <row r="212">
          <cell r="A212" t="str">
            <v>a9a6e496</v>
          </cell>
          <cell r="B212" t="str">
            <v>BOZ-KAY5+6-FF-211</v>
          </cell>
          <cell r="E212">
            <v>45461</v>
          </cell>
          <cell r="F212">
            <v>45461.625</v>
          </cell>
          <cell r="G212" t="str">
            <v>3875(4)</v>
          </cell>
          <cell r="H212" t="str">
            <v>MA</v>
          </cell>
          <cell r="I212" t="str">
            <v>Hat/Line</v>
          </cell>
          <cell r="J212" t="str">
            <v>A-Sürüşü engeller</v>
          </cell>
          <cell r="K212" t="str">
            <v>Müşteri</v>
          </cell>
          <cell r="L212" t="str">
            <v>ARAÇ 20 KM İVMEDE ZORALNIYOR 20KM ALTINDA FRENDE UZAMA YAŞANIYOR</v>
          </cell>
          <cell r="M212" t="str">
            <v>FREN ARIZASI İNVERTERDE BULUNAN KABLOLAMA HATASINDAN DOLAYI VERİYOR KABLOLAMA DÜZELTİLDİ</v>
          </cell>
          <cell r="N212">
            <v>50000</v>
          </cell>
          <cell r="P212" t="str">
            <v>A(Hareket etmeyi engelleyen arıza)</v>
          </cell>
          <cell r="Q212" t="str">
            <v>N.A(Yaralanma yok)</v>
          </cell>
          <cell r="R212" t="str">
            <v>Bozankaya</v>
          </cell>
          <cell r="S212" t="str">
            <v>Üretim</v>
          </cell>
          <cell r="T212">
            <v>45461</v>
          </cell>
          <cell r="U212">
            <v>45461.625</v>
          </cell>
          <cell r="V212" t="str">
            <v>MEDCOM SP. Z O.O.</v>
          </cell>
          <cell r="W212" t="str">
            <v>COMBO KUTUSU (+LHD) MEDCOM</v>
          </cell>
          <cell r="X212" t="str">
            <v>P620-7023</v>
          </cell>
          <cell r="Y212">
            <v>1</v>
          </cell>
          <cell r="AE212" t="str">
            <v/>
          </cell>
          <cell r="AH212" t="str">
            <v/>
          </cell>
          <cell r="AN212">
            <v>1</v>
          </cell>
          <cell r="AP212" t="str">
            <v>(I) İlk defa karşılaşılan arıza</v>
          </cell>
          <cell r="AQ212">
            <v>45462</v>
          </cell>
          <cell r="AR212">
            <v>45462.416666666664</v>
          </cell>
          <cell r="AU212" t="str">
            <v>E-Kabinet</v>
          </cell>
        </row>
        <row r="213">
          <cell r="A213" t="str">
            <v>1b0468a0</v>
          </cell>
          <cell r="B213" t="str">
            <v>BOZ-KAY5+6-FF-212</v>
          </cell>
          <cell r="E213">
            <v>45465</v>
          </cell>
          <cell r="F213">
            <v>45465.706944444442</v>
          </cell>
          <cell r="G213" t="str">
            <v>3880(9)</v>
          </cell>
          <cell r="H213" t="str">
            <v>MA</v>
          </cell>
          <cell r="I213" t="str">
            <v>Hat/Line</v>
          </cell>
          <cell r="J213" t="str">
            <v>B-Hız veya güç azalması</v>
          </cell>
          <cell r="K213" t="str">
            <v>Müşteri</v>
          </cell>
          <cell r="L213" t="str">
            <v>30 km de frene geçtiğinde araç geç duruyor ve 0 dan km ye kadar geç ivmeleniyor</v>
          </cell>
          <cell r="M213" t="str">
            <v>medcom firması yazılım yükledi</v>
          </cell>
          <cell r="N213">
            <v>26500</v>
          </cell>
          <cell r="P213" t="str">
            <v>B(Servisten çekmeye etki eden arızalar)</v>
          </cell>
          <cell r="Q213" t="str">
            <v>N.A(Yaralanma yok)</v>
          </cell>
          <cell r="R213" t="str">
            <v>Tedarikçi</v>
          </cell>
          <cell r="S213" t="str">
            <v>Medcom</v>
          </cell>
          <cell r="T213">
            <v>45530</v>
          </cell>
          <cell r="U213">
            <v>45530.489085648151</v>
          </cell>
          <cell r="V213" t="str">
            <v>MEDCOM SP. Z O.O.</v>
          </cell>
          <cell r="W213" t="str">
            <v>MEDCOM SICAKLIK SENSÖRÜ</v>
          </cell>
          <cell r="X213" t="str">
            <v>E110-7659</v>
          </cell>
          <cell r="Y213">
            <v>1</v>
          </cell>
          <cell r="AB213" t="str">
            <v>Yazılım güncelleme</v>
          </cell>
          <cell r="AE213" t="str">
            <v/>
          </cell>
          <cell r="AH213" t="str">
            <v/>
          </cell>
          <cell r="AN213">
            <v>1</v>
          </cell>
          <cell r="AP213" t="str">
            <v>(II) Birden fazla karşılaşılan arıza</v>
          </cell>
          <cell r="AQ213">
            <v>45530</v>
          </cell>
          <cell r="AR213">
            <v>45530.666666666664</v>
          </cell>
          <cell r="AU213" t="str">
            <v>Fren</v>
          </cell>
        </row>
        <row r="214">
          <cell r="A214" t="str">
            <v>37bf0360</v>
          </cell>
          <cell r="B214" t="str">
            <v>BOZ-KAY5+6-FF-213</v>
          </cell>
          <cell r="E214">
            <v>45465</v>
          </cell>
          <cell r="F214">
            <v>45465.763888888891</v>
          </cell>
          <cell r="G214" t="str">
            <v>3874(3)</v>
          </cell>
          <cell r="H214" t="str">
            <v>MB</v>
          </cell>
          <cell r="I214" t="str">
            <v>Hat/Line</v>
          </cell>
          <cell r="J214" t="str">
            <v>C-Uyarı, sürüş devamlılığı</v>
          </cell>
          <cell r="K214" t="str">
            <v>Müşteri</v>
          </cell>
          <cell r="L214" t="str">
            <v>6 NUMARALI KAPI ARA ARA ARIZAYA DÜŞÜYOR, KAPILAR TEKRAR AÇILIP KAPANINCA NORMALE DÖNÜYOR. 2 NUMARALI KAPI SES SEVİYESİ YÜKSEK.</v>
          </cell>
          <cell r="M214" t="str">
            <v>ARACIN 12 VE 1 NUMARALI KAPILARININ BUZZERLARI ÇOK SES ÇIKARTIYORDU. DÜZELTİLDİ. 6 NUMARALI KAPI KONTOL EDİLDİ HERHANGİ BİR ARIZAYA RASTLANMADI.</v>
          </cell>
          <cell r="N214">
            <v>71969</v>
          </cell>
          <cell r="P214" t="str">
            <v>B(Servisten çekmeye etki eden arızalar)</v>
          </cell>
          <cell r="Q214" t="str">
            <v>N.A(Yaralanma yok)</v>
          </cell>
          <cell r="R214" t="str">
            <v>Tedarikçi</v>
          </cell>
          <cell r="S214" t="str">
            <v>IFE</v>
          </cell>
          <cell r="T214">
            <v>45465</v>
          </cell>
          <cell r="U214">
            <v>45465.791666666664</v>
          </cell>
          <cell r="V214" t="str">
            <v>TURCK OTOMASYON TİC. LTD.ŞTİ.</v>
          </cell>
          <cell r="W214" t="str">
            <v>SESLI UYARI CIHAZI</v>
          </cell>
          <cell r="X214" t="str">
            <v>M110-7057</v>
          </cell>
          <cell r="Y214">
            <v>2</v>
          </cell>
          <cell r="AB214" t="str">
            <v>Arıza çözülecek</v>
          </cell>
          <cell r="AE214" t="str">
            <v/>
          </cell>
          <cell r="AN214">
            <v>1</v>
          </cell>
          <cell r="AP214" t="str">
            <v>(III) Birden fazla aynı araçta karşılaşılan arıza</v>
          </cell>
          <cell r="AQ214">
            <v>45465</v>
          </cell>
          <cell r="AR214">
            <v>45465.854166666664</v>
          </cell>
          <cell r="AU214" t="str">
            <v>Kapı</v>
          </cell>
        </row>
        <row r="215">
          <cell r="A215" t="str">
            <v>1369672c</v>
          </cell>
          <cell r="B215" t="str">
            <v>BOZ-KAY5+6-FF-214</v>
          </cell>
          <cell r="E215">
            <v>45465</v>
          </cell>
          <cell r="F215">
            <v>45465.763888888891</v>
          </cell>
          <cell r="G215" t="str">
            <v>3874(3)</v>
          </cell>
          <cell r="H215" t="str">
            <v>MA</v>
          </cell>
          <cell r="I215" t="str">
            <v>Hat/Line</v>
          </cell>
          <cell r="J215" t="str">
            <v>C-Uyarı, sürüş devamlılığı</v>
          </cell>
          <cell r="K215" t="str">
            <v>Müşteri</v>
          </cell>
          <cell r="L215" t="str">
            <v>6 NUMARALI KAPI ARA ARA ARIZAYA DÜŞÜYOR. KAPILAR TEKRAR AÇILIP KAPANINCA NORMALE DÖNÜYOR. 2 NUMARALI KAPI SES SEVİYESİ YÜKSEK.</v>
          </cell>
          <cell r="M215" t="str">
            <v>ARACIN 12 VE 1 NUMARALI KAPILARININ BUZZERLARI ÇOK SES ÇIKARTIYORDU.DÜZELTİLDİ. 6 NUMARALI KAPI KONTROL EDİLDİ HERHANGİ BİR ARIZAYA RASTLANMADI.</v>
          </cell>
          <cell r="N215">
            <v>71969</v>
          </cell>
          <cell r="P215" t="str">
            <v>B(Servisten çekmeye etki eden arızalar)</v>
          </cell>
          <cell r="Q215" t="str">
            <v>N.A(Yaralanma yok)</v>
          </cell>
          <cell r="R215" t="str">
            <v>Tedarikçi</v>
          </cell>
          <cell r="S215" t="str">
            <v>Bozankaya</v>
          </cell>
          <cell r="T215">
            <v>45465</v>
          </cell>
          <cell r="U215">
            <v>45465.791666666664</v>
          </cell>
          <cell r="V215" t="str">
            <v>TURCK OTOMASYON TİC. LTD.ŞTİ.</v>
          </cell>
          <cell r="W215" t="str">
            <v>SESLI UYARI CIHAZI</v>
          </cell>
          <cell r="X215" t="str">
            <v>M110-7057</v>
          </cell>
          <cell r="Y215">
            <v>1</v>
          </cell>
          <cell r="AB215" t="str">
            <v>Tamir edilecek</v>
          </cell>
          <cell r="AE215" t="str">
            <v/>
          </cell>
          <cell r="AN215">
            <v>1</v>
          </cell>
          <cell r="AP215" t="str">
            <v>(III) Birden fazla aynı araçta karşılaşılan arıza</v>
          </cell>
          <cell r="AQ215">
            <v>45465</v>
          </cell>
          <cell r="AR215">
            <v>45465.854166666664</v>
          </cell>
          <cell r="AU215" t="str">
            <v>Kapı</v>
          </cell>
        </row>
        <row r="216">
          <cell r="A216" t="str">
            <v>d29fac79</v>
          </cell>
          <cell r="B216" t="str">
            <v>BOZ-KAY5+6-FF-215</v>
          </cell>
          <cell r="E216">
            <v>45465</v>
          </cell>
          <cell r="F216">
            <v>45465.773611111108</v>
          </cell>
          <cell r="G216" t="str">
            <v>3879(8)</v>
          </cell>
          <cell r="H216" t="str">
            <v>MA</v>
          </cell>
          <cell r="I216" t="str">
            <v>Hat/Line</v>
          </cell>
          <cell r="J216" t="str">
            <v>B-Hız veya güç azalması</v>
          </cell>
          <cell r="K216" t="str">
            <v>Müşteri</v>
          </cell>
          <cell r="L216" t="str">
            <v>30 kmden 0 km  hızda iken frenlemesi zayıfve 0-20 km ivmelenmesi yavaş.Tip 2 bozankayanın geneli için aynı sorun vardır</v>
          </cell>
          <cell r="M216" t="str">
            <v>medcom firması yazılım yükledi</v>
          </cell>
          <cell r="N216">
            <v>30000</v>
          </cell>
          <cell r="P216" t="str">
            <v>B(Servisten çekmeye etki eden arızalar)</v>
          </cell>
          <cell r="Q216" t="str">
            <v>N.A(Yaralanma yok)</v>
          </cell>
          <cell r="R216" t="str">
            <v>Tedarikçi</v>
          </cell>
          <cell r="S216" t="str">
            <v>Medcom</v>
          </cell>
          <cell r="T216">
            <v>45530</v>
          </cell>
          <cell r="U216">
            <v>45530.563969907409</v>
          </cell>
          <cell r="V216" t="str">
            <v>MEDCOM SP. Z O.O.</v>
          </cell>
          <cell r="W216" t="str">
            <v>MEDCOM SICAKLIK SENSÖRÜ</v>
          </cell>
          <cell r="X216" t="str">
            <v>E110-7659</v>
          </cell>
          <cell r="Y216">
            <v>1</v>
          </cell>
          <cell r="AB216" t="str">
            <v>Tamir edilecek</v>
          </cell>
          <cell r="AE216" t="str">
            <v/>
          </cell>
          <cell r="AH216" t="str">
            <v/>
          </cell>
          <cell r="AN216">
            <v>1</v>
          </cell>
          <cell r="AP216" t="str">
            <v>(II) Birden fazla karşılaşılan arıza</v>
          </cell>
          <cell r="AQ216">
            <v>45530</v>
          </cell>
          <cell r="AR216">
            <v>45530.708333333336</v>
          </cell>
          <cell r="AU216" t="str">
            <v>Fren</v>
          </cell>
        </row>
        <row r="217">
          <cell r="A217" t="str">
            <v>6f1279cb</v>
          </cell>
          <cell r="B217" t="str">
            <v>BOZ-KAY5+6-FF-216</v>
          </cell>
          <cell r="E217">
            <v>45468</v>
          </cell>
          <cell r="F217">
            <v>45468.748611111114</v>
          </cell>
          <cell r="G217" t="str">
            <v>3879(8)</v>
          </cell>
          <cell r="H217" t="str">
            <v>MA</v>
          </cell>
          <cell r="I217" t="str">
            <v>Hat/Line</v>
          </cell>
          <cell r="J217" t="str">
            <v>B-Hız veya güç azalması</v>
          </cell>
          <cell r="K217" t="str">
            <v>Müşteri</v>
          </cell>
          <cell r="L217" t="str">
            <v>Aracın fren mesafesi uzun %50 fren uyguluyor</v>
          </cell>
          <cell r="M217" t="str">
            <v>medcom firması yazılım yükledi</v>
          </cell>
          <cell r="N217">
            <v>31500</v>
          </cell>
          <cell r="P217" t="str">
            <v>B(Servisten çekmeye etki eden arızalar)</v>
          </cell>
          <cell r="Q217" t="str">
            <v>N.A(Yaralanma yok)</v>
          </cell>
          <cell r="R217" t="str">
            <v>Tedarikçi</v>
          </cell>
          <cell r="S217" t="str">
            <v>Medcom</v>
          </cell>
          <cell r="T217">
            <v>45530</v>
          </cell>
          <cell r="U217">
            <v>45530.567557870374</v>
          </cell>
          <cell r="V217" t="str">
            <v>MEDCOM SP. Z O.O.</v>
          </cell>
          <cell r="W217" t="str">
            <v>MEDCOM SICAKLIK SENSÖRÜ</v>
          </cell>
          <cell r="X217" t="str">
            <v>E110-7659</v>
          </cell>
          <cell r="Y217">
            <v>1</v>
          </cell>
          <cell r="AB217" t="str">
            <v>Yazılım güncelleme</v>
          </cell>
          <cell r="AE217" t="str">
            <v/>
          </cell>
          <cell r="AH217" t="str">
            <v/>
          </cell>
          <cell r="AN217">
            <v>1</v>
          </cell>
          <cell r="AP217" t="str">
            <v>(III) Birden fazla aynı araçta karşılaşılan arıza</v>
          </cell>
          <cell r="AQ217">
            <v>45530</v>
          </cell>
          <cell r="AR217">
            <v>45530.75</v>
          </cell>
          <cell r="AU217" t="str">
            <v>Fren</v>
          </cell>
        </row>
        <row r="218">
          <cell r="A218" t="str">
            <v>7abfdfeb</v>
          </cell>
          <cell r="B218" t="str">
            <v>BOZ-KAY5+6-FF-217</v>
          </cell>
          <cell r="E218">
            <v>45469</v>
          </cell>
          <cell r="F218">
            <v>45469.38958333333</v>
          </cell>
          <cell r="G218" t="str">
            <v>3882(11)</v>
          </cell>
          <cell r="H218" t="str">
            <v>MB</v>
          </cell>
          <cell r="I218" t="str">
            <v>Hat/Line</v>
          </cell>
          <cell r="J218" t="str">
            <v>B-Hız veya güç azalması</v>
          </cell>
          <cell r="K218" t="str">
            <v>Müşteri</v>
          </cell>
          <cell r="L218" t="str">
            <v>Araç haraket halinde iken cb kuplör kırmızı oluyor araç ivme kesiyor</v>
          </cell>
          <cell r="M218" t="str">
            <v>17/08/2024 tarihi ile kontrol edildi sorun görülmedi</v>
          </cell>
          <cell r="N218">
            <v>5700</v>
          </cell>
          <cell r="P218" t="str">
            <v>B(Servisten çekmeye etki eden arızalar)</v>
          </cell>
          <cell r="Q218" t="str">
            <v>N.A(Yaralanma yok)</v>
          </cell>
          <cell r="R218" t="str">
            <v>Tedarikçi</v>
          </cell>
          <cell r="S218" t="str">
            <v>Bozankaya</v>
          </cell>
          <cell r="T218">
            <v>45530</v>
          </cell>
          <cell r="U218">
            <v>45530.41134259259</v>
          </cell>
          <cell r="V218" t="str">
            <v>DELLNER COUPLERC AB</v>
          </cell>
          <cell r="W218" t="str">
            <v>OTOMATIK KUPLÖR DELLNER</v>
          </cell>
          <cell r="X218" t="str">
            <v>M350-7062</v>
          </cell>
          <cell r="Y218">
            <v>1</v>
          </cell>
          <cell r="AB218" t="str">
            <v>Tamir edilecek</v>
          </cell>
          <cell r="AE218" t="str">
            <v/>
          </cell>
          <cell r="AH218" t="str">
            <v/>
          </cell>
          <cell r="AN218">
            <v>2</v>
          </cell>
          <cell r="AP218" t="str">
            <v>(I) İlk defa karşılaşılan arıza</v>
          </cell>
          <cell r="AQ218">
            <v>45530</v>
          </cell>
          <cell r="AR218">
            <v>45530.625</v>
          </cell>
          <cell r="AU218" t="str">
            <v>Autocoupler</v>
          </cell>
        </row>
        <row r="219">
          <cell r="A219" t="str">
            <v>74bd2df3</v>
          </cell>
          <cell r="B219" t="str">
            <v>BOZ-KAY5+6-FF-218</v>
          </cell>
          <cell r="E219">
            <v>45469</v>
          </cell>
          <cell r="F219">
            <v>45469.609722222223</v>
          </cell>
          <cell r="G219" t="str">
            <v>3881(10)</v>
          </cell>
          <cell r="H219" t="str">
            <v>MB</v>
          </cell>
          <cell r="I219" t="str">
            <v>Hat/Line</v>
          </cell>
          <cell r="J219" t="str">
            <v>C-Uyarı, sürüş devamlılığı</v>
          </cell>
          <cell r="K219" t="str">
            <v>Müşteri</v>
          </cell>
          <cell r="L219" t="str">
            <v>CB CCTV ekranı görüntü gelmiyor</v>
          </cell>
          <cell r="M219" t="str">
            <v>Kontrol edildi sorun görülmedi</v>
          </cell>
          <cell r="N219">
            <v>19000</v>
          </cell>
          <cell r="P219" t="str">
            <v>C(Sisteme etki etmeyen arıza)</v>
          </cell>
          <cell r="Q219" t="str">
            <v>N.A(Yaralanma yok)</v>
          </cell>
          <cell r="R219" t="str">
            <v>Tedarikçi</v>
          </cell>
          <cell r="S219" t="str">
            <v>NSC</v>
          </cell>
          <cell r="T219">
            <v>45521</v>
          </cell>
          <cell r="U219">
            <v>45521.443553240744</v>
          </cell>
          <cell r="V219" t="str">
            <v>NSC TEKNOLOJİ ve İNŞAAT LTD.ŞTİ.</v>
          </cell>
          <cell r="W219" t="str">
            <v>CCTV EKRANI</v>
          </cell>
          <cell r="X219" t="str">
            <v>E810-7145</v>
          </cell>
          <cell r="Y219">
            <v>1</v>
          </cell>
          <cell r="AB219" t="str">
            <v>Tamir edilecek</v>
          </cell>
          <cell r="AE219" t="str">
            <v/>
          </cell>
          <cell r="AH219" t="str">
            <v/>
          </cell>
          <cell r="AN219">
            <v>1</v>
          </cell>
          <cell r="AP219" t="str">
            <v>(I) İlk defa karşılaşılan arıza</v>
          </cell>
          <cell r="AQ219">
            <v>45521</v>
          </cell>
          <cell r="AR219">
            <v>45521.5625</v>
          </cell>
          <cell r="AU219" t="str">
            <v>PA/PIS/CCTV</v>
          </cell>
        </row>
        <row r="220">
          <cell r="A220" t="str">
            <v>b45b31b9</v>
          </cell>
          <cell r="B220" t="str">
            <v>BOZ-KAY5+6-FF-219</v>
          </cell>
          <cell r="E220">
            <v>45471</v>
          </cell>
          <cell r="F220">
            <v>45471.458333333336</v>
          </cell>
          <cell r="G220" t="str">
            <v>3874(3)</v>
          </cell>
          <cell r="H220" t="str">
            <v>MA</v>
          </cell>
          <cell r="I220" t="str">
            <v>Hat/Line</v>
          </cell>
          <cell r="J220" t="str">
            <v>C-Uyarı, sürüş devamlılığı</v>
          </cell>
          <cell r="K220" t="str">
            <v>Müşteri</v>
          </cell>
          <cell r="L220" t="str">
            <v>2 VE 7 NUMARALI KAPILARIN BUZZER ÇALIŞMIYOR</v>
          </cell>
          <cell r="M220" t="str">
            <v>BUZZER DEĞİŞİMİ YAPILDI</v>
          </cell>
          <cell r="N220">
            <v>72100</v>
          </cell>
          <cell r="P220" t="str">
            <v>C(Sisteme etki etmeyen arıza)</v>
          </cell>
          <cell r="Q220" t="str">
            <v>N.A(Yaralanma yok)</v>
          </cell>
          <cell r="R220" t="str">
            <v>Tedarikçi</v>
          </cell>
          <cell r="S220" t="str">
            <v>TSL</v>
          </cell>
          <cell r="T220">
            <v>45471</v>
          </cell>
          <cell r="U220">
            <v>45471.5</v>
          </cell>
          <cell r="V220" t="str">
            <v>TURCK OTOMASYON TİC. LTD.ŞTİ.</v>
          </cell>
          <cell r="W220" t="str">
            <v>SESLI UYARI CIHAZI</v>
          </cell>
          <cell r="X220" t="str">
            <v>M110-7057</v>
          </cell>
          <cell r="Y220">
            <v>2</v>
          </cell>
          <cell r="AB220" t="str">
            <v>Tamir edilecek</v>
          </cell>
          <cell r="AE220" t="str">
            <v/>
          </cell>
          <cell r="AH220" t="str">
            <v/>
          </cell>
          <cell r="AN220">
            <v>1</v>
          </cell>
          <cell r="AP220" t="str">
            <v>(II) Birden fazla karşılaşılan arıza</v>
          </cell>
          <cell r="AQ220">
            <v>45471</v>
          </cell>
          <cell r="AR220">
            <v>45471.625</v>
          </cell>
          <cell r="AU220" t="str">
            <v>Kapı</v>
          </cell>
        </row>
        <row r="221">
          <cell r="A221" t="str">
            <v>d0b1d403</v>
          </cell>
          <cell r="B221" t="str">
            <v>BOZ-KAY5+6-FF-220</v>
          </cell>
          <cell r="E221">
            <v>45473</v>
          </cell>
          <cell r="F221">
            <v>45473.259027777778</v>
          </cell>
          <cell r="G221" t="str">
            <v>3882(11)</v>
          </cell>
          <cell r="H221" t="str">
            <v>MA</v>
          </cell>
          <cell r="I221" t="str">
            <v>Hat/Line</v>
          </cell>
          <cell r="J221" t="str">
            <v>C-Uyarı, sürüş devamlılığı</v>
          </cell>
          <cell r="K221" t="str">
            <v>Müşteri</v>
          </cell>
          <cell r="L221" t="str">
            <v>Kameralar çalışmıyor</v>
          </cell>
          <cell r="M221" t="str">
            <v>Kontrol edildi sorun görülmedi</v>
          </cell>
          <cell r="N221">
            <v>6300</v>
          </cell>
          <cell r="P221" t="str">
            <v>C(Sisteme etki etmeyen arıza)</v>
          </cell>
          <cell r="Q221" t="str">
            <v>N.A(Yaralanma yok)</v>
          </cell>
          <cell r="R221" t="str">
            <v>Tedarikçi</v>
          </cell>
          <cell r="S221" t="str">
            <v>NSC</v>
          </cell>
          <cell r="T221">
            <v>45473</v>
          </cell>
          <cell r="U221">
            <v>45473.354166666664</v>
          </cell>
          <cell r="V221" t="str">
            <v>NSC TEKNOLOJİ ve İNŞAAT LTD.ŞTİ.</v>
          </cell>
          <cell r="W221" t="str">
            <v>CCTV EKRANI</v>
          </cell>
          <cell r="X221" t="str">
            <v>E810-7145</v>
          </cell>
          <cell r="Y221">
            <v>1</v>
          </cell>
          <cell r="AB221" t="str">
            <v>Tamir edilecek</v>
          </cell>
          <cell r="AE221" t="str">
            <v/>
          </cell>
          <cell r="AH221" t="str">
            <v/>
          </cell>
          <cell r="AN221">
            <v>1</v>
          </cell>
          <cell r="AP221" t="str">
            <v>(I) İlk defa karşılaşılan arıza</v>
          </cell>
          <cell r="AQ221">
            <v>45473</v>
          </cell>
          <cell r="AR221">
            <v>45473.5</v>
          </cell>
          <cell r="AU221" t="str">
            <v>PA/PIS/CCTV</v>
          </cell>
        </row>
        <row r="222">
          <cell r="A222" t="str">
            <v>7277866c</v>
          </cell>
          <cell r="B222" t="str">
            <v>BOZ-KAY5+6-FF-221</v>
          </cell>
          <cell r="E222">
            <v>45473</v>
          </cell>
          <cell r="F222">
            <v>45473.627083333333</v>
          </cell>
          <cell r="G222" t="str">
            <v>3879(8)</v>
          </cell>
          <cell r="H222" t="str">
            <v>MA</v>
          </cell>
          <cell r="I222" t="str">
            <v>Hat/Line</v>
          </cell>
          <cell r="J222" t="str">
            <v>A-Sürüşü engeller</v>
          </cell>
          <cell r="K222" t="str">
            <v>Müşteri</v>
          </cell>
          <cell r="L222" t="str">
            <v>Araç ilk arızasını esentepe bölgesinde vermiştir.HSCB ışığı komple gittiği bilgisi geldi.Araç iki kez resetlendikten sonra düzeldi.Sakarya kavşakta tekrar arıza verdi.Sakarya peronda yolcu tahliyesi yapıldı.Araç cebe alındı.İldem 15:50 seferi organize arası sefer iptali</v>
          </cell>
          <cell r="M222" t="str">
            <v>Arıza 3877 nolu aracın arızasıdır.3879 nolu araçta arıza yoktur.</v>
          </cell>
          <cell r="N222">
            <v>32000</v>
          </cell>
          <cell r="P222" t="str">
            <v>A(Hareket etmeyi engelleyen arıza)</v>
          </cell>
          <cell r="Q222" t="str">
            <v>N.A(Yaralanma yok)</v>
          </cell>
          <cell r="R222" t="str">
            <v>Tedarikçi</v>
          </cell>
          <cell r="S222" t="str">
            <v>Bozankaya</v>
          </cell>
          <cell r="T222">
            <v>45473</v>
          </cell>
          <cell r="U222">
            <v>45473.645833333336</v>
          </cell>
          <cell r="V222" t="str">
            <v>MEDCOM SP. Z O.O.</v>
          </cell>
          <cell r="W222" t="str">
            <v>COMBO KUTUSU (+LHD) MEDCOM</v>
          </cell>
          <cell r="X222" t="str">
            <v>P620-7023</v>
          </cell>
          <cell r="AB222" t="str">
            <v>Arıza çözülecek</v>
          </cell>
          <cell r="AE222" t="str">
            <v/>
          </cell>
          <cell r="AH222" t="str">
            <v/>
          </cell>
          <cell r="AN222">
            <v>1</v>
          </cell>
          <cell r="AP222" t="str">
            <v>(I) İlk defa karşılaşılan arıza</v>
          </cell>
          <cell r="AQ222">
            <v>45473</v>
          </cell>
          <cell r="AR222">
            <v>45473.708333333336</v>
          </cell>
          <cell r="AU222" t="str">
            <v>ComboBox</v>
          </cell>
        </row>
        <row r="223">
          <cell r="A223">
            <v>77365067</v>
          </cell>
          <cell r="B223" t="str">
            <v>BOZ-KAY5+6-FF-222</v>
          </cell>
          <cell r="E223">
            <v>45475</v>
          </cell>
          <cell r="F223">
            <v>45475.129861111112</v>
          </cell>
          <cell r="G223" t="str">
            <v>3882(11)</v>
          </cell>
          <cell r="H223" t="str">
            <v>MB</v>
          </cell>
          <cell r="I223" t="str">
            <v>Hat/Line</v>
          </cell>
          <cell r="J223" t="str">
            <v>C-Uyarı, sürüş devamlılığı</v>
          </cell>
          <cell r="K223" t="str">
            <v>Müşteri</v>
          </cell>
          <cell r="L223" t="str">
            <v>SİLECEK CAM ORTASINDA TAKILI KALDI.</v>
          </cell>
          <cell r="M223" t="str">
            <v>SİLECEK AYARSIZDI RONDELA YENİLENDİ. GEVŞEK SABİTLEME CİVATALARI SIKILDI. SORUN GİDERİLDİ.</v>
          </cell>
          <cell r="N223">
            <v>6751</v>
          </cell>
          <cell r="P223" t="str">
            <v>B(Servisten çekmeye etki eden arızalar)</v>
          </cell>
          <cell r="Q223" t="str">
            <v>N.A(Yaralanma yok)</v>
          </cell>
          <cell r="R223" t="str">
            <v>Tedarikçi</v>
          </cell>
          <cell r="S223" t="str">
            <v>Bozankaya</v>
          </cell>
          <cell r="T223">
            <v>45475</v>
          </cell>
          <cell r="U223">
            <v>45475.333333333336</v>
          </cell>
          <cell r="V223" t="str">
            <v>DENİZLER OTOMOTİV SAN. VE TİC.LTD.Ş</v>
          </cell>
          <cell r="W223" t="str">
            <v>SİLECEK MEKANİZMASI Denizler / M.11.2506</v>
          </cell>
          <cell r="X223" t="str">
            <v>M100-7066</v>
          </cell>
          <cell r="Y223">
            <v>1</v>
          </cell>
          <cell r="AB223" t="str">
            <v>Tamir edilecek</v>
          </cell>
          <cell r="AE223" t="str">
            <v/>
          </cell>
          <cell r="AN223">
            <v>1</v>
          </cell>
          <cell r="AP223" t="str">
            <v>(II) Birden fazla karşılaşılan arıza</v>
          </cell>
          <cell r="AQ223">
            <v>45475</v>
          </cell>
          <cell r="AR223">
            <v>45475.416666666664</v>
          </cell>
          <cell r="AU223" t="str">
            <v>Silecek</v>
          </cell>
        </row>
        <row r="224">
          <cell r="A224" t="str">
            <v>979a9b98</v>
          </cell>
          <cell r="B224" t="str">
            <v>BOZ-KAY5+6-FF-223</v>
          </cell>
          <cell r="E224">
            <v>45476</v>
          </cell>
          <cell r="F224">
            <v>45476.652083333334</v>
          </cell>
          <cell r="G224" t="str">
            <v>3879(8)</v>
          </cell>
          <cell r="H224" t="str">
            <v>P</v>
          </cell>
          <cell r="I224" t="str">
            <v>Hat/Line</v>
          </cell>
          <cell r="J224" t="str">
            <v>B-Hız veya güç azalması</v>
          </cell>
          <cell r="K224" t="str">
            <v>Müşteri</v>
          </cell>
          <cell r="L224" t="str">
            <v>YOLCU BÖLÜMÜ SICAK</v>
          </cell>
          <cell r="M224" t="str">
            <v>ARAÇ KONTROL EDİLDİ. SORUN GÖRÜLMEDİ.</v>
          </cell>
          <cell r="N224">
            <v>32920</v>
          </cell>
          <cell r="P224" t="str">
            <v>B(Servisten çekmeye etki eden arızalar)</v>
          </cell>
          <cell r="Q224" t="str">
            <v>N.A(Yaralanma yok)</v>
          </cell>
          <cell r="R224" t="str">
            <v>Tedarikçi</v>
          </cell>
          <cell r="S224" t="str">
            <v>Eltesan</v>
          </cell>
          <cell r="T224">
            <v>45476</v>
          </cell>
          <cell r="U224">
            <v>45476.666666666664</v>
          </cell>
          <cell r="V224" t="str">
            <v>ELTESAN ELEKTRO MEKANİK SOĞUTMA SAN</v>
          </cell>
          <cell r="W224" t="str">
            <v>KLIMA UNITESİ /Eltesan/Hispacold 41,5 kW</v>
          </cell>
          <cell r="X224" t="str">
            <v>H500-7240</v>
          </cell>
          <cell r="Y224">
            <v>1</v>
          </cell>
          <cell r="AB224" t="str">
            <v>Arıza çözülecek</v>
          </cell>
          <cell r="AE224" t="str">
            <v/>
          </cell>
          <cell r="AN224">
            <v>1</v>
          </cell>
          <cell r="AP224" t="str">
            <v>(III) Birden fazla aynı araçta karşılaşılan arıza</v>
          </cell>
          <cell r="AQ224">
            <v>45476</v>
          </cell>
          <cell r="AR224">
            <v>45476.75</v>
          </cell>
          <cell r="AU224" t="str">
            <v>HVAC Yolcu</v>
          </cell>
        </row>
        <row r="225">
          <cell r="A225" t="str">
            <v>5ee07d94</v>
          </cell>
          <cell r="B225" t="str">
            <v>BOZ-KAY5+6-FF-224</v>
          </cell>
          <cell r="E225">
            <v>45479</v>
          </cell>
          <cell r="F225">
            <v>45479.324305555558</v>
          </cell>
          <cell r="G225" t="str">
            <v>3872(1)</v>
          </cell>
          <cell r="H225" t="str">
            <v>MA</v>
          </cell>
          <cell r="I225" t="str">
            <v>Depo/Depot</v>
          </cell>
          <cell r="J225" t="str">
            <v>A-Sürüşü engeller</v>
          </cell>
          <cell r="K225" t="str">
            <v>Müşteri</v>
          </cell>
          <cell r="L225" t="str">
            <v>CA kabin araç canlanmadı akü devre dışı kaldı.3 seferde 12 dk tehir oluştu</v>
          </cell>
          <cell r="M225" t="str">
            <v>Kontrol edildi .Araç CA kabinden  canlandırıldı.Sorun görülmedi</v>
          </cell>
          <cell r="N225">
            <v>70100</v>
          </cell>
          <cell r="P225" t="str">
            <v>A(Hareket etmeyi engelleyen arıza)</v>
          </cell>
          <cell r="Q225" t="str">
            <v>N.A(Yaralanma yok)</v>
          </cell>
          <cell r="R225" t="str">
            <v>Bozankaya</v>
          </cell>
          <cell r="S225" t="str">
            <v>Üretim</v>
          </cell>
          <cell r="T225">
            <v>45530</v>
          </cell>
          <cell r="U225">
            <v>45530.57303240741</v>
          </cell>
          <cell r="V225" t="str">
            <v>DELLNER COUPLERC AB</v>
          </cell>
          <cell r="W225" t="str">
            <v>OTOMATIK KUPLÖR DELLNER</v>
          </cell>
          <cell r="X225" t="str">
            <v>M350-7062</v>
          </cell>
          <cell r="Y225">
            <v>1</v>
          </cell>
          <cell r="AB225" t="str">
            <v>Tamir edilecek</v>
          </cell>
          <cell r="AE225" t="str">
            <v/>
          </cell>
          <cell r="AH225" t="str">
            <v/>
          </cell>
          <cell r="AN225">
            <v>2</v>
          </cell>
          <cell r="AP225" t="str">
            <v>(I) İlk defa karşılaşılan arıza</v>
          </cell>
          <cell r="AQ225">
            <v>45530</v>
          </cell>
          <cell r="AR225">
            <v>45530.666666666664</v>
          </cell>
          <cell r="AU225" t="str">
            <v>Batarya</v>
          </cell>
        </row>
        <row r="226">
          <cell r="A226" t="str">
            <v>1a939f4e</v>
          </cell>
          <cell r="B226" t="str">
            <v>BOZ-KAY5+6-FF-225</v>
          </cell>
          <cell r="E226">
            <v>45479</v>
          </cell>
          <cell r="F226">
            <v>45479.625694444447</v>
          </cell>
          <cell r="G226" t="str">
            <v>3872(1)</v>
          </cell>
          <cell r="H226" t="str">
            <v>MA</v>
          </cell>
          <cell r="I226" t="str">
            <v>Hat/Line</v>
          </cell>
          <cell r="J226" t="str">
            <v>C-Uyarı, sürüş devamlılığı</v>
          </cell>
          <cell r="K226" t="str">
            <v>Müşteri</v>
          </cell>
          <cell r="L226" t="str">
            <v>Araç servis dışı olarak depoya çekilirkenidu ya em genişletmiş sinyali yok şeklinde uyarı düştü.5 km hız sınırı koyarak kendisini durdurdu.Araç söndürüldü.Kontak aktif edilmek istenildiğinde enerji gelmedi.Araç canlandırılamadı.1 adet sefer iptali ,14 seferde 62 dakika tehir meydana geldi.</v>
          </cell>
          <cell r="M226" t="str">
            <v>Kuplör klemensindeki kablonun tam oturmadığı tespit edildi.Kablo yerine takıldı</v>
          </cell>
          <cell r="N226">
            <v>70000</v>
          </cell>
          <cell r="P226" t="str">
            <v>B(Servisten çekmeye etki eden arızalar)</v>
          </cell>
          <cell r="Q226" t="str">
            <v>N.A(Yaralanma yok)</v>
          </cell>
          <cell r="R226" t="str">
            <v>Tedarikçi</v>
          </cell>
          <cell r="S226" t="str">
            <v>Bozankaya</v>
          </cell>
          <cell r="T226">
            <v>45538</v>
          </cell>
          <cell r="U226">
            <v>45538.403773148151</v>
          </cell>
          <cell r="V226" t="str">
            <v>DELLNER COUPLERC AB</v>
          </cell>
          <cell r="W226" t="str">
            <v>OTOMATIK KUPLÖR DELLNER</v>
          </cell>
          <cell r="X226" t="str">
            <v>M350-7062</v>
          </cell>
          <cell r="Y226">
            <v>1</v>
          </cell>
          <cell r="AB226" t="str">
            <v>Arıza çözülecek</v>
          </cell>
          <cell r="AE226" t="str">
            <v/>
          </cell>
          <cell r="AH226" t="str">
            <v/>
          </cell>
          <cell r="AN226">
            <v>1</v>
          </cell>
          <cell r="AP226" t="str">
            <v>(I) İlk defa karşılaşılan arıza</v>
          </cell>
          <cell r="AQ226">
            <v>45538</v>
          </cell>
          <cell r="AR226">
            <v>45538.583333333336</v>
          </cell>
          <cell r="AU226" t="str">
            <v>Autocoupler</v>
          </cell>
        </row>
        <row r="227">
          <cell r="A227" t="str">
            <v>cacf0a71</v>
          </cell>
          <cell r="B227" t="str">
            <v>BOZ-KAY5+6-FF-226</v>
          </cell>
          <cell r="E227">
            <v>45489</v>
          </cell>
          <cell r="F227">
            <v>45489.680555555555</v>
          </cell>
          <cell r="G227" t="str">
            <v>3882(11)</v>
          </cell>
          <cell r="H227" t="str">
            <v>MA</v>
          </cell>
          <cell r="I227" t="str">
            <v>Hat/Line</v>
          </cell>
          <cell r="J227" t="str">
            <v>B-Hız veya güç azalması</v>
          </cell>
          <cell r="K227" t="str">
            <v>Müşteri</v>
          </cell>
          <cell r="L227" t="str">
            <v>Fren mesafesi uzuyor.Frenlerde boşlama var</v>
          </cell>
          <cell r="M227" t="str">
            <v>medcom firması yazılım yükledi,sorun giderildi</v>
          </cell>
          <cell r="N227">
            <v>10150</v>
          </cell>
          <cell r="P227" t="str">
            <v>B(Servisten çekmeye etki eden arızalar)</v>
          </cell>
          <cell r="Q227" t="str">
            <v>N.A(Yaralanma yok)</v>
          </cell>
          <cell r="R227" t="str">
            <v>Tedarikçi</v>
          </cell>
          <cell r="S227" t="str">
            <v>Medcom</v>
          </cell>
          <cell r="T227">
            <v>45530</v>
          </cell>
          <cell r="U227">
            <v>45530.478726851848</v>
          </cell>
          <cell r="V227" t="str">
            <v>MEDCOM SP. Z O.O.</v>
          </cell>
          <cell r="W227" t="str">
            <v>MEDCOM SICAKLIK SENSÖRÜ</v>
          </cell>
          <cell r="X227" t="str">
            <v>E110-7659</v>
          </cell>
          <cell r="Y227">
            <v>1</v>
          </cell>
          <cell r="AB227" t="str">
            <v>Tamir edilecek</v>
          </cell>
          <cell r="AE227" t="str">
            <v/>
          </cell>
          <cell r="AH227" t="str">
            <v/>
          </cell>
          <cell r="AN227">
            <v>2</v>
          </cell>
          <cell r="AP227" t="str">
            <v>(II) Birden fazla karşılaşılan arıza</v>
          </cell>
          <cell r="AQ227">
            <v>45530</v>
          </cell>
          <cell r="AR227">
            <v>45530.666666666664</v>
          </cell>
          <cell r="AU227" t="str">
            <v>Fren</v>
          </cell>
        </row>
        <row r="228">
          <cell r="A228" t="str">
            <v>0671bc1a</v>
          </cell>
          <cell r="B228" t="str">
            <v>BOZ-KAY5+6-FF-227</v>
          </cell>
          <cell r="E228">
            <v>45491</v>
          </cell>
          <cell r="F228">
            <v>45491.363888888889</v>
          </cell>
          <cell r="G228" t="str">
            <v>3873(2)</v>
          </cell>
          <cell r="H228" t="str">
            <v>MA</v>
          </cell>
          <cell r="I228" t="str">
            <v>Hat/Line</v>
          </cell>
          <cell r="J228" t="str">
            <v>A-Sürüşü engeller</v>
          </cell>
          <cell r="K228" t="str">
            <v>Müşteri</v>
          </cell>
          <cell r="L228" t="str">
            <v>CA KABİN SİLECEK KIRIK</v>
          </cell>
          <cell r="M228" t="str">
            <v>SİLECEK DEĞİŞİMİ YAPILDI</v>
          </cell>
          <cell r="N228">
            <v>83000</v>
          </cell>
          <cell r="P228" t="str">
            <v>B(Servisten çekmeye etki eden arızalar)</v>
          </cell>
          <cell r="Q228" t="str">
            <v>N.A(Yaralanma yok)</v>
          </cell>
          <cell r="R228" t="str">
            <v>Tedarikçi</v>
          </cell>
          <cell r="S228" t="str">
            <v>Bozankaya</v>
          </cell>
          <cell r="T228">
            <v>45491</v>
          </cell>
          <cell r="U228">
            <v>45491.5</v>
          </cell>
          <cell r="V228" t="str">
            <v>DENİZLER OTOMOTİV SAN. VE TİC.LTD.Ş</v>
          </cell>
          <cell r="W228" t="str">
            <v>SİLECEK MEKANİZMASI Denizler / M.11.2506</v>
          </cell>
          <cell r="X228" t="str">
            <v>M100-7066</v>
          </cell>
          <cell r="Y228">
            <v>1</v>
          </cell>
          <cell r="AB228" t="str">
            <v>Ekipman değiştirilecek</v>
          </cell>
          <cell r="AE228" t="str">
            <v/>
          </cell>
          <cell r="AH228" t="str">
            <v/>
          </cell>
          <cell r="AN228">
            <v>1</v>
          </cell>
          <cell r="AP228" t="str">
            <v>(II) Birden fazla karşılaşılan arıza</v>
          </cell>
          <cell r="AQ228">
            <v>45491</v>
          </cell>
          <cell r="AR228">
            <v>45491.520833333336</v>
          </cell>
          <cell r="AU228" t="str">
            <v>Silecek</v>
          </cell>
        </row>
        <row r="229">
          <cell r="A229" t="str">
            <v>529775db</v>
          </cell>
          <cell r="B229" t="str">
            <v>BOZ-KAY5+6-FF-228</v>
          </cell>
          <cell r="E229">
            <v>45491</v>
          </cell>
          <cell r="F229">
            <v>45491.663194444445</v>
          </cell>
          <cell r="G229" t="str">
            <v>3881(10)</v>
          </cell>
          <cell r="H229" t="str">
            <v>MA</v>
          </cell>
          <cell r="I229" t="str">
            <v>Hat/Line</v>
          </cell>
          <cell r="J229" t="str">
            <v>B-Hız veya güç azalması</v>
          </cell>
          <cell r="K229" t="str">
            <v>Müşteri</v>
          </cell>
          <cell r="L229" t="str">
            <v>CA Kabinden kullanırken sürekli ivme ve frende boşlama yapıyor.Fren mesafesi uzuyor</v>
          </cell>
          <cell r="M229" t="str">
            <v>Medcom firması yazılım yükledi</v>
          </cell>
          <cell r="N229">
            <v>23550</v>
          </cell>
          <cell r="P229" t="str">
            <v>B(Servisten çekmeye etki eden arızalar)</v>
          </cell>
          <cell r="Q229" t="str">
            <v>N.A(Yaralanma yok)</v>
          </cell>
          <cell r="R229" t="str">
            <v>Tedarikçi</v>
          </cell>
          <cell r="S229" t="str">
            <v>Medcom</v>
          </cell>
          <cell r="T229">
            <v>45530</v>
          </cell>
          <cell r="U229">
            <v>45530.483888888892</v>
          </cell>
          <cell r="V229" t="str">
            <v>MEDCOM SP. Z O.O.</v>
          </cell>
          <cell r="W229" t="str">
            <v>MEDCOM SICAKLIK SENSÖRÜ</v>
          </cell>
          <cell r="X229" t="str">
            <v>E110-7659</v>
          </cell>
          <cell r="Y229">
            <v>1</v>
          </cell>
          <cell r="AB229" t="str">
            <v>Yazılım güncelleme</v>
          </cell>
          <cell r="AE229" t="str">
            <v/>
          </cell>
          <cell r="AH229" t="str">
            <v/>
          </cell>
          <cell r="AN229">
            <v>2</v>
          </cell>
          <cell r="AP229" t="str">
            <v>(II) Birden fazla karşılaşılan arıza</v>
          </cell>
          <cell r="AQ229">
            <v>45530</v>
          </cell>
          <cell r="AR229">
            <v>45530.75</v>
          </cell>
          <cell r="AU229" t="str">
            <v>Fren</v>
          </cell>
        </row>
        <row r="230">
          <cell r="A230" t="str">
            <v>61150bb6</v>
          </cell>
          <cell r="B230" t="str">
            <v>BOZ-KAY5+6-FF-229</v>
          </cell>
          <cell r="E230">
            <v>45492</v>
          </cell>
          <cell r="F230">
            <v>45492.317361111112</v>
          </cell>
          <cell r="G230" t="str">
            <v>3872(1)</v>
          </cell>
          <cell r="H230" t="str">
            <v>MA</v>
          </cell>
          <cell r="I230" t="str">
            <v>Depo/Depot</v>
          </cell>
          <cell r="J230" t="str">
            <v>A-Sürüşü engeller</v>
          </cell>
          <cell r="K230" t="str">
            <v>Müşteri</v>
          </cell>
          <cell r="L230" t="str">
            <v>CA kabin kuplör elektrik kafaları açmıyor</v>
          </cell>
          <cell r="M230" t="str">
            <v>Araç dekuplaj edilip tekrar kuplajlandı sorun görülmedi</v>
          </cell>
          <cell r="N230">
            <v>73000</v>
          </cell>
          <cell r="P230" t="str">
            <v>A(Hareket etmeyi engelleyen arıza)</v>
          </cell>
          <cell r="Q230" t="str">
            <v>N.A(Yaralanma yok)</v>
          </cell>
          <cell r="R230" t="str">
            <v>Tedarikçi</v>
          </cell>
          <cell r="S230" t="str">
            <v>Bozankaya</v>
          </cell>
          <cell r="T230">
            <v>45492</v>
          </cell>
          <cell r="U230">
            <v>45492.57644675926</v>
          </cell>
          <cell r="V230" t="str">
            <v>DELLNER COUPLERC AB</v>
          </cell>
          <cell r="W230" t="str">
            <v>OTOMATIK KUPLÖR DELLNER</v>
          </cell>
          <cell r="X230" t="str">
            <v>M350-7062</v>
          </cell>
          <cell r="Y230">
            <v>1</v>
          </cell>
          <cell r="AB230" t="str">
            <v>Tamir edilecek</v>
          </cell>
          <cell r="AE230" t="str">
            <v/>
          </cell>
          <cell r="AH230" t="str">
            <v/>
          </cell>
          <cell r="AN230">
            <v>2</v>
          </cell>
          <cell r="AP230" t="str">
            <v>(I) İlk defa karşılaşılan arıza</v>
          </cell>
          <cell r="AQ230">
            <v>45492</v>
          </cell>
          <cell r="AR230">
            <v>45492.6875</v>
          </cell>
          <cell r="AU230" t="str">
            <v>Autocoupler</v>
          </cell>
        </row>
        <row r="231">
          <cell r="A231" t="str">
            <v>6e8ac733</v>
          </cell>
          <cell r="B231" t="str">
            <v>BOZ-KAY5+6-FF-230</v>
          </cell>
          <cell r="E231">
            <v>45493</v>
          </cell>
          <cell r="F231">
            <v>45493.554166666669</v>
          </cell>
          <cell r="G231" t="str">
            <v>3882(11)</v>
          </cell>
          <cell r="H231" t="str">
            <v>MA</v>
          </cell>
          <cell r="I231" t="str">
            <v>Hat/Line</v>
          </cell>
          <cell r="J231" t="str">
            <v>B-Hız veya güç azalması</v>
          </cell>
          <cell r="K231" t="str">
            <v>Müşteri</v>
          </cell>
          <cell r="L231" t="str">
            <v>Araçda frenleme ve ivme kaybı olduğu makinist tarafından bildiriliyor</v>
          </cell>
          <cell r="M231" t="str">
            <v>Medcom firması tarafından yazılım yüklendi</v>
          </cell>
          <cell r="N231">
            <v>11200</v>
          </cell>
          <cell r="P231" t="str">
            <v>B(Servisten çekmeye etki eden arızalar)</v>
          </cell>
          <cell r="Q231" t="str">
            <v>N.A(Yaralanma yok)</v>
          </cell>
          <cell r="R231" t="str">
            <v>Tedarikçi</v>
          </cell>
          <cell r="S231" t="str">
            <v>Medcom</v>
          </cell>
          <cell r="T231">
            <v>45530</v>
          </cell>
          <cell r="U231">
            <v>45530.481921296298</v>
          </cell>
          <cell r="V231" t="str">
            <v>MEDCOM SP. Z O.O.</v>
          </cell>
          <cell r="W231" t="str">
            <v>MEDCOM SICAKLIK SENSÖRÜ</v>
          </cell>
          <cell r="X231" t="str">
            <v>E110-7659</v>
          </cell>
          <cell r="Y231">
            <v>1</v>
          </cell>
          <cell r="AB231" t="str">
            <v>Yazılım güncelleme</v>
          </cell>
          <cell r="AE231" t="str">
            <v/>
          </cell>
          <cell r="AH231" t="str">
            <v/>
          </cell>
          <cell r="AN231">
            <v>2</v>
          </cell>
          <cell r="AP231" t="str">
            <v>(II) Birden fazla karşılaşılan arıza</v>
          </cell>
          <cell r="AQ231">
            <v>45530</v>
          </cell>
          <cell r="AR231">
            <v>45530.75</v>
          </cell>
          <cell r="AU231" t="str">
            <v>Fren</v>
          </cell>
        </row>
        <row r="232">
          <cell r="A232" t="str">
            <v>f2f8d644</v>
          </cell>
          <cell r="B232" t="str">
            <v>BOZ-KAY5+6-FF-231</v>
          </cell>
          <cell r="E232">
            <v>45495</v>
          </cell>
          <cell r="F232">
            <v>45495.512499999997</v>
          </cell>
          <cell r="G232" t="str">
            <v>3874(3)</v>
          </cell>
          <cell r="H232" t="str">
            <v>MB</v>
          </cell>
          <cell r="I232" t="str">
            <v>Hat/Line</v>
          </cell>
          <cell r="J232" t="str">
            <v>C-Uyarı, sürüş devamlılığı</v>
          </cell>
          <cell r="K232" t="str">
            <v>Müşteri</v>
          </cell>
          <cell r="L232" t="str">
            <v>IMU Ekranın parlaklık ayarı yetersiz</v>
          </cell>
          <cell r="M232" t="str">
            <v>Kontrol edildi .Sorun görülmedi</v>
          </cell>
          <cell r="N232">
            <v>80036</v>
          </cell>
          <cell r="P232" t="str">
            <v>C(Sisteme etki etmeyen arıza)</v>
          </cell>
          <cell r="Q232" t="str">
            <v>N.A(Yaralanma yok)</v>
          </cell>
          <cell r="R232" t="str">
            <v>Tedarikçi</v>
          </cell>
          <cell r="S232" t="str">
            <v>Atak</v>
          </cell>
          <cell r="T232">
            <v>45530</v>
          </cell>
          <cell r="U232">
            <v>45530.4612037037</v>
          </cell>
          <cell r="V232" t="str">
            <v>ATAK ULAŞIM SAN.TİC.LTD.ŞTİ.</v>
          </cell>
          <cell r="W232" t="str">
            <v>st300</v>
          </cell>
          <cell r="X232" t="str">
            <v>E810-7145</v>
          </cell>
          <cell r="AE232" t="str">
            <v/>
          </cell>
          <cell r="AH232" t="str">
            <v/>
          </cell>
          <cell r="AP232" t="str">
            <v>(I) İlk defa karşılaşılan arıza</v>
          </cell>
          <cell r="AQ232" t="str">
            <v/>
          </cell>
          <cell r="AU232" t="str">
            <v>PA/PIS/CCTV</v>
          </cell>
        </row>
        <row r="233">
          <cell r="A233" t="str">
            <v>432fc9a3</v>
          </cell>
          <cell r="B233" t="str">
            <v>BOZ-KAY5+6-FF-232</v>
          </cell>
          <cell r="E233">
            <v>45495</v>
          </cell>
          <cell r="F233">
            <v>45495.515277777777</v>
          </cell>
          <cell r="G233" t="str">
            <v>3880(9)</v>
          </cell>
          <cell r="H233" t="str">
            <v>MA</v>
          </cell>
          <cell r="I233" t="str">
            <v>Hat/Line</v>
          </cell>
          <cell r="J233" t="str">
            <v>B-Hız veya güç azalması</v>
          </cell>
          <cell r="K233" t="str">
            <v>Müşteri</v>
          </cell>
          <cell r="L233" t="str">
            <v>aracın frenlemesi ve ivmelenmesi yetersiz</v>
          </cell>
          <cell r="M233" t="str">
            <v>medcom firması yazılım yükledi</v>
          </cell>
          <cell r="N233">
            <v>32198</v>
          </cell>
          <cell r="P233" t="str">
            <v>B(Servisten çekmeye etki eden arızalar)</v>
          </cell>
          <cell r="Q233" t="str">
            <v>N.A(Yaralanma yok)</v>
          </cell>
          <cell r="R233" t="str">
            <v>Tedarikçi</v>
          </cell>
          <cell r="S233" t="str">
            <v>Medcom</v>
          </cell>
          <cell r="T233">
            <v>45530</v>
          </cell>
          <cell r="U233">
            <v>45530.565717592595</v>
          </cell>
          <cell r="V233" t="str">
            <v>MEDCOM SP. Z O.O.</v>
          </cell>
          <cell r="W233" t="str">
            <v>MEDCOM SICAKLIK SENSÖRÜ</v>
          </cell>
          <cell r="X233" t="str">
            <v>E110-7659</v>
          </cell>
          <cell r="Y233">
            <v>1</v>
          </cell>
          <cell r="AB233" t="str">
            <v>Yazılım güncelleme</v>
          </cell>
          <cell r="AE233" t="str">
            <v/>
          </cell>
          <cell r="AH233" t="str">
            <v/>
          </cell>
          <cell r="AN233">
            <v>2</v>
          </cell>
          <cell r="AP233" t="str">
            <v>(III) Birden fazla aynı araçta karşılaşılan arıza</v>
          </cell>
          <cell r="AQ233">
            <v>45530</v>
          </cell>
          <cell r="AR233">
            <v>45530.75</v>
          </cell>
          <cell r="AU233" t="str">
            <v>Fren</v>
          </cell>
        </row>
        <row r="234">
          <cell r="A234" t="str">
            <v>cb481425</v>
          </cell>
          <cell r="B234" t="str">
            <v>BOZ-KAY5+6-FF-233</v>
          </cell>
          <cell r="E234">
            <v>45495</v>
          </cell>
          <cell r="F234">
            <v>45495.570833333331</v>
          </cell>
          <cell r="G234" t="str">
            <v>3879(8)</v>
          </cell>
          <cell r="H234" t="str">
            <v>MA</v>
          </cell>
          <cell r="I234" t="str">
            <v>Hat/Line</v>
          </cell>
          <cell r="J234" t="str">
            <v>B-Hız veya güç azalması</v>
          </cell>
          <cell r="K234" t="str">
            <v>Müşteri</v>
          </cell>
          <cell r="L234" t="str">
            <v>Aracın frenlemesi ve ivmelenmesi yetersiz</v>
          </cell>
          <cell r="M234" t="str">
            <v>Medcom yazılım yükledi</v>
          </cell>
          <cell r="N234">
            <v>37361</v>
          </cell>
          <cell r="P234" t="str">
            <v>B(Servisten çekmeye etki eden arızalar)</v>
          </cell>
          <cell r="Q234" t="str">
            <v>N.A(Yaralanma yok)</v>
          </cell>
          <cell r="R234" t="str">
            <v>Tedarikçi</v>
          </cell>
          <cell r="S234" t="str">
            <v>Medcom</v>
          </cell>
          <cell r="T234">
            <v>45530</v>
          </cell>
          <cell r="U234">
            <v>45530.471261574072</v>
          </cell>
          <cell r="V234" t="str">
            <v>MEDCOM SP. Z O.O.</v>
          </cell>
          <cell r="W234" t="str">
            <v>MEDCOM SICAKLIK SENSÖRÜ</v>
          </cell>
          <cell r="X234" t="str">
            <v>E110-7659</v>
          </cell>
          <cell r="Y234">
            <v>1</v>
          </cell>
          <cell r="AB234" t="str">
            <v>Yazılım güncelleme</v>
          </cell>
          <cell r="AE234" t="str">
            <v/>
          </cell>
          <cell r="AH234" t="str">
            <v/>
          </cell>
          <cell r="AN234">
            <v>2</v>
          </cell>
          <cell r="AP234" t="str">
            <v>(II) Birden fazla karşılaşılan arıza</v>
          </cell>
          <cell r="AQ234">
            <v>45530</v>
          </cell>
          <cell r="AR234">
            <v>45530.75</v>
          </cell>
          <cell r="AU234" t="str">
            <v>Fren</v>
          </cell>
        </row>
        <row r="235">
          <cell r="A235" t="str">
            <v>448d5714</v>
          </cell>
          <cell r="B235" t="str">
            <v>BOZ-KAY5+6-FF-234</v>
          </cell>
          <cell r="E235">
            <v>45496</v>
          </cell>
          <cell r="F235">
            <v>45496.436805555553</v>
          </cell>
          <cell r="G235" t="str">
            <v>3874(3)</v>
          </cell>
          <cell r="H235" t="str">
            <v>MA</v>
          </cell>
          <cell r="I235" t="str">
            <v>Hat/Line</v>
          </cell>
          <cell r="J235" t="str">
            <v>C-Uyarı, sürüş devamlılığı</v>
          </cell>
          <cell r="K235" t="str">
            <v>Müşteri</v>
          </cell>
          <cell r="L235" t="str">
            <v>2 nolu kapı üstü yolcu bilgilendirme çalışmıyor</v>
          </cell>
          <cell r="M235" t="str">
            <v>Kontrol edildi sorun görülmedi</v>
          </cell>
          <cell r="N235">
            <v>80100</v>
          </cell>
          <cell r="P235" t="str">
            <v>C(Sisteme etki etmeyen arıza)</v>
          </cell>
          <cell r="Q235" t="str">
            <v>N.A(Yaralanma yok)</v>
          </cell>
          <cell r="R235" t="str">
            <v>Tedarikçi</v>
          </cell>
          <cell r="S235" t="str">
            <v>Atak</v>
          </cell>
          <cell r="T235">
            <v>45530</v>
          </cell>
          <cell r="U235">
            <v>45530.466064814813</v>
          </cell>
          <cell r="V235" t="str">
            <v>ATAK ULAŞIM SAN.TİC.LTD.ŞTİ.</v>
          </cell>
          <cell r="W235" t="str">
            <v>STRETCH LCD EKRAN</v>
          </cell>
          <cell r="X235" t="str">
            <v>E410-7003</v>
          </cell>
          <cell r="Y235">
            <v>1</v>
          </cell>
          <cell r="AB235" t="str">
            <v>Ekipman değiştirilecek</v>
          </cell>
          <cell r="AE235" t="str">
            <v/>
          </cell>
          <cell r="AH235" t="str">
            <v/>
          </cell>
          <cell r="AN235">
            <v>2</v>
          </cell>
          <cell r="AP235" t="str">
            <v>(III) Birden fazla aynı araçta karşılaşılan arıza</v>
          </cell>
          <cell r="AQ235">
            <v>45530</v>
          </cell>
          <cell r="AR235">
            <v>45530.5625</v>
          </cell>
          <cell r="AU235" t="str">
            <v>PA/PIS/CCTV</v>
          </cell>
        </row>
        <row r="236">
          <cell r="A236" t="str">
            <v>3d68d5a3</v>
          </cell>
          <cell r="B236" t="str">
            <v>BOZ-KAY5+6-FF-235</v>
          </cell>
          <cell r="E236">
            <v>45496</v>
          </cell>
          <cell r="F236">
            <v>45496.439583333333</v>
          </cell>
          <cell r="G236" t="str">
            <v>3874(3)</v>
          </cell>
          <cell r="H236" t="str">
            <v>MA</v>
          </cell>
          <cell r="I236" t="str">
            <v>Hat/Line</v>
          </cell>
          <cell r="J236" t="str">
            <v>C-Uyarı, sürüş devamlılığı</v>
          </cell>
          <cell r="K236" t="str">
            <v>Müşteri</v>
          </cell>
          <cell r="L236" t="str">
            <v>5 nolu kapı üstü yolcu bilgilendirme sistemi çalışmıyor</v>
          </cell>
          <cell r="M236" t="str">
            <v>Kontrol edildi sorun görülmedi</v>
          </cell>
          <cell r="N236">
            <v>80100</v>
          </cell>
          <cell r="P236" t="str">
            <v>C(Sisteme etki etmeyen arıza)</v>
          </cell>
          <cell r="Q236" t="str">
            <v>N.A(Yaralanma yok)</v>
          </cell>
          <cell r="R236" t="str">
            <v>Tedarikçi</v>
          </cell>
          <cell r="S236" t="str">
            <v>Atak</v>
          </cell>
          <cell r="T236">
            <v>45530</v>
          </cell>
          <cell r="U236">
            <v>45530.468831018516</v>
          </cell>
          <cell r="V236" t="str">
            <v>ATAK ULAŞIM SAN.TİC.LTD.ŞTİ.</v>
          </cell>
          <cell r="W236" t="str">
            <v>STRETCH LCD EKRAN</v>
          </cell>
          <cell r="X236" t="str">
            <v>E410-7003</v>
          </cell>
          <cell r="Y236">
            <v>1</v>
          </cell>
          <cell r="AB236" t="str">
            <v>Arıza çözülecek</v>
          </cell>
          <cell r="AE236" t="str">
            <v/>
          </cell>
          <cell r="AH236" t="str">
            <v/>
          </cell>
          <cell r="AN236">
            <v>1</v>
          </cell>
          <cell r="AP236" t="str">
            <v>(III) Birden fazla aynı araçta karşılaşılan arıza</v>
          </cell>
          <cell r="AQ236">
            <v>45530</v>
          </cell>
          <cell r="AR236">
            <v>45530.5625</v>
          </cell>
          <cell r="AU236" t="str">
            <v>PA/PIS/CCTV</v>
          </cell>
        </row>
        <row r="237">
          <cell r="A237" t="str">
            <v>cbe41e05</v>
          </cell>
          <cell r="B237" t="str">
            <v>BOZ-KAY5+6-FF-236</v>
          </cell>
          <cell r="E237">
            <v>45496</v>
          </cell>
          <cell r="F237">
            <v>45496.442361111112</v>
          </cell>
          <cell r="G237" t="str">
            <v>3878(7)</v>
          </cell>
          <cell r="H237" t="str">
            <v>RA</v>
          </cell>
          <cell r="I237" t="str">
            <v>Hat/Line</v>
          </cell>
          <cell r="J237" t="str">
            <v>C-Uyarı, sürüş devamlılığı</v>
          </cell>
          <cell r="K237" t="str">
            <v>Müşteri</v>
          </cell>
          <cell r="L237" t="str">
            <v>Araç içi yolcu bilgilendirme kapı üstü ekranlar çalışmıyor</v>
          </cell>
          <cell r="M237" t="str">
            <v>Kontrol edildi sorun görülmedi</v>
          </cell>
          <cell r="N237">
            <v>53600</v>
          </cell>
          <cell r="P237" t="str">
            <v>C(Sisteme etki etmeyen arıza)</v>
          </cell>
          <cell r="Q237" t="str">
            <v>N.A(Yaralanma yok)</v>
          </cell>
          <cell r="R237" t="str">
            <v>Tedarikçi</v>
          </cell>
          <cell r="S237" t="str">
            <v>Atak</v>
          </cell>
          <cell r="T237">
            <v>45530</v>
          </cell>
          <cell r="U237">
            <v>45530.449606481481</v>
          </cell>
          <cell r="V237" t="str">
            <v>ATAK ULAŞIM SAN.TİC.LTD.ŞTİ.</v>
          </cell>
          <cell r="W237" t="str">
            <v>STRETCH LCD EKRAN</v>
          </cell>
          <cell r="X237" t="str">
            <v>E410-7003</v>
          </cell>
          <cell r="Y237">
            <v>1</v>
          </cell>
          <cell r="AB237" t="str">
            <v>Arıza çözülecek</v>
          </cell>
          <cell r="AE237" t="str">
            <v/>
          </cell>
          <cell r="AH237" t="str">
            <v/>
          </cell>
          <cell r="AN237">
            <v>1</v>
          </cell>
          <cell r="AP237" t="str">
            <v>(III) Birden fazla aynı araçta karşılaşılan arıza</v>
          </cell>
          <cell r="AQ237">
            <v>45530</v>
          </cell>
          <cell r="AR237">
            <v>45530.5625</v>
          </cell>
          <cell r="AU237" t="str">
            <v>PA/PIS/CCTV</v>
          </cell>
        </row>
        <row r="238">
          <cell r="A238" t="str">
            <v>2d212823</v>
          </cell>
          <cell r="B238" t="str">
            <v>BOZ-KAY5+6-FF-237</v>
          </cell>
          <cell r="E238">
            <v>45496</v>
          </cell>
          <cell r="F238">
            <v>45496.443749999999</v>
          </cell>
          <cell r="G238" t="str">
            <v>3880(9)</v>
          </cell>
          <cell r="H238" t="str">
            <v>RA</v>
          </cell>
          <cell r="I238" t="str">
            <v>Hat/Line</v>
          </cell>
          <cell r="J238" t="str">
            <v>C-Uyarı, sürüş devamlılığı</v>
          </cell>
          <cell r="K238" t="str">
            <v>Müşteri</v>
          </cell>
          <cell r="L238" t="str">
            <v>6 nolu kapı üstü yolcu bilgilendirme sistemi çalışmıyor</v>
          </cell>
          <cell r="M238" t="str">
            <v>kontrol edildi.sorun görülmedi</v>
          </cell>
          <cell r="N238">
            <v>32250</v>
          </cell>
          <cell r="P238" t="str">
            <v>B(Servisten çekmeye etki eden arızalar)</v>
          </cell>
          <cell r="Q238" t="str">
            <v>N.A(Yaralanma yok)</v>
          </cell>
          <cell r="R238" t="str">
            <v>Tedarikçi</v>
          </cell>
          <cell r="S238" t="str">
            <v>Atak</v>
          </cell>
          <cell r="T238">
            <v>45496</v>
          </cell>
          <cell r="U238">
            <v>45496.458333333336</v>
          </cell>
          <cell r="V238" t="str">
            <v>ATAK ULAŞIM SAN.TİC.LTD.ŞTİ.</v>
          </cell>
          <cell r="W238" t="str">
            <v>STRETCH LCD EKRAN</v>
          </cell>
          <cell r="X238" t="str">
            <v>E410-7003</v>
          </cell>
          <cell r="Y238">
            <v>1</v>
          </cell>
          <cell r="AB238" t="str">
            <v>Arıza çözülecek</v>
          </cell>
          <cell r="AE238" t="str">
            <v/>
          </cell>
          <cell r="AH238" t="str">
            <v/>
          </cell>
          <cell r="AN238">
            <v>1</v>
          </cell>
          <cell r="AP238" t="str">
            <v>(III) Birden fazla aynı araçta karşılaşılan arıza</v>
          </cell>
          <cell r="AQ238">
            <v>45496</v>
          </cell>
          <cell r="AR238">
            <v>45496.479166666664</v>
          </cell>
          <cell r="AU238" t="str">
            <v>PA/PIS/CCTV</v>
          </cell>
        </row>
        <row r="239">
          <cell r="A239" t="str">
            <v>b958c561</v>
          </cell>
          <cell r="B239" t="str">
            <v>BOZ-KAY5+6-FF-238</v>
          </cell>
          <cell r="E239">
            <v>45496</v>
          </cell>
          <cell r="F239">
            <v>45496.445138888892</v>
          </cell>
          <cell r="G239" t="str">
            <v>3880(9)</v>
          </cell>
          <cell r="H239" t="str">
            <v>MA</v>
          </cell>
          <cell r="I239" t="str">
            <v>Hat/Line</v>
          </cell>
          <cell r="J239" t="str">
            <v>C-Uyarı, sürüş devamlılığı</v>
          </cell>
          <cell r="K239" t="str">
            <v>Müşteri</v>
          </cell>
          <cell r="L239" t="str">
            <v>2 nolu kapı üstü yolcu bilgilendirme sistemi çalışmıyor</v>
          </cell>
          <cell r="M239" t="str">
            <v>Kontrol edildi.Sorun görülmedi</v>
          </cell>
          <cell r="N239">
            <v>32250</v>
          </cell>
          <cell r="P239" t="str">
            <v>B(Servisten çekmeye etki eden arızalar)</v>
          </cell>
          <cell r="Q239" t="str">
            <v>N.A(Yaralanma yok)</v>
          </cell>
          <cell r="R239" t="str">
            <v>Tedarikçi</v>
          </cell>
          <cell r="S239" t="str">
            <v>Atak</v>
          </cell>
          <cell r="T239">
            <v>45496</v>
          </cell>
          <cell r="U239">
            <v>45496.458333333336</v>
          </cell>
          <cell r="V239" t="str">
            <v>ATAK ULAŞIM SAN.TİC.LTD.ŞTİ.</v>
          </cell>
          <cell r="W239" t="str">
            <v>STRETCH LCD EKRAN</v>
          </cell>
          <cell r="X239" t="str">
            <v>E410-7003</v>
          </cell>
          <cell r="Y239">
            <v>1</v>
          </cell>
          <cell r="AB239" t="str">
            <v>Arıza çözülecek</v>
          </cell>
          <cell r="AE239" t="str">
            <v/>
          </cell>
          <cell r="AH239" t="str">
            <v/>
          </cell>
          <cell r="AN239">
            <v>1</v>
          </cell>
          <cell r="AP239" t="str">
            <v>(III) Birden fazla aynı araçta karşılaşılan arıza</v>
          </cell>
          <cell r="AQ239">
            <v>45496</v>
          </cell>
          <cell r="AR239">
            <v>45496.479166666664</v>
          </cell>
          <cell r="AU239" t="str">
            <v>PA/PIS/CCTV</v>
          </cell>
        </row>
        <row r="240">
          <cell r="A240" t="str">
            <v>386f5610</v>
          </cell>
          <cell r="B240" t="str">
            <v>BOZ-KAY5+6-FF-239</v>
          </cell>
          <cell r="E240">
            <v>45496</v>
          </cell>
          <cell r="F240">
            <v>45496.446527777778</v>
          </cell>
          <cell r="G240" t="str">
            <v>3882(11)</v>
          </cell>
          <cell r="H240" t="str">
            <v>RA</v>
          </cell>
          <cell r="I240" t="str">
            <v>Hat/Line</v>
          </cell>
          <cell r="J240" t="str">
            <v>C-Uyarı, sürüş devamlılığı</v>
          </cell>
          <cell r="K240" t="str">
            <v>Müşteri</v>
          </cell>
          <cell r="L240" t="str">
            <v>Araç içi orta ekranlar ve kapı üstü ekranlar çalışmıyor</v>
          </cell>
          <cell r="M240" t="str">
            <v>Kontrol edildi.Sorun görülmedi</v>
          </cell>
          <cell r="N240">
            <v>11700</v>
          </cell>
          <cell r="P240" t="str">
            <v>C(Sisteme etki etmeyen arıza)</v>
          </cell>
          <cell r="Q240" t="str">
            <v>N.A(Yaralanma yok)</v>
          </cell>
          <cell r="R240" t="str">
            <v>Tedarikçi</v>
          </cell>
          <cell r="S240" t="str">
            <v>Atak</v>
          </cell>
          <cell r="T240">
            <v>45496</v>
          </cell>
          <cell r="U240">
            <v>45496.541666666664</v>
          </cell>
          <cell r="V240" t="str">
            <v>ATAK ULAŞIM SAN.TİC.LTD.ŞTİ.</v>
          </cell>
          <cell r="W240" t="str">
            <v>STRETCH LCD EKRAN</v>
          </cell>
          <cell r="X240" t="str">
            <v>E410-7003</v>
          </cell>
          <cell r="Y240">
            <v>1</v>
          </cell>
          <cell r="AB240" t="str">
            <v>Arıza çözülecek</v>
          </cell>
          <cell r="AE240" t="str">
            <v/>
          </cell>
          <cell r="AH240" t="str">
            <v/>
          </cell>
          <cell r="AN240">
            <v>1</v>
          </cell>
          <cell r="AP240" t="str">
            <v>(III) Birden fazla aynı araçta karşılaşılan arıza</v>
          </cell>
          <cell r="AQ240">
            <v>45496</v>
          </cell>
          <cell r="AR240">
            <v>45496.583333333336</v>
          </cell>
          <cell r="AU240" t="str">
            <v>PA/PIS/CCTV</v>
          </cell>
        </row>
        <row r="241">
          <cell r="A241" t="str">
            <v>e9a97fa1</v>
          </cell>
          <cell r="B241" t="str">
            <v>BOZ-KAY5+6-FF-240</v>
          </cell>
          <cell r="E241">
            <v>45496</v>
          </cell>
          <cell r="F241">
            <v>45496.539583333331</v>
          </cell>
          <cell r="G241" t="str">
            <v>3872(1)</v>
          </cell>
          <cell r="H241" t="str">
            <v>MA</v>
          </cell>
          <cell r="I241" t="str">
            <v>Hat/Line</v>
          </cell>
          <cell r="J241" t="str">
            <v>B-Hız veya güç azalması</v>
          </cell>
          <cell r="K241" t="str">
            <v>Müşteri</v>
          </cell>
          <cell r="L241" t="str">
            <v>fren boşluyor</v>
          </cell>
          <cell r="M241" t="str">
            <v>medcom firması inverter yazılımı yükledi.Test yapıldı .Sorun görülmedi</v>
          </cell>
          <cell r="N241">
            <v>74500</v>
          </cell>
          <cell r="P241" t="str">
            <v>B(Servisten çekmeye etki eden arızalar)</v>
          </cell>
          <cell r="Q241" t="str">
            <v>N.A(Yaralanma yok)</v>
          </cell>
          <cell r="R241" t="str">
            <v>Tedarikçi</v>
          </cell>
          <cell r="S241" t="str">
            <v>Medcom</v>
          </cell>
          <cell r="T241">
            <v>45530</v>
          </cell>
          <cell r="U241">
            <v>45530.574120370373</v>
          </cell>
          <cell r="V241" t="str">
            <v>MEDCOM SP. Z O.O.</v>
          </cell>
          <cell r="W241" t="str">
            <v>MEDCOM SICAKLIK SENSÖRÜ</v>
          </cell>
          <cell r="X241" t="str">
            <v>E110-7659</v>
          </cell>
          <cell r="AB241" t="str">
            <v>Yazılım güncelleme</v>
          </cell>
          <cell r="AE241" t="str">
            <v/>
          </cell>
          <cell r="AH241" t="str">
            <v/>
          </cell>
          <cell r="AN241">
            <v>1</v>
          </cell>
          <cell r="AP241" t="str">
            <v>(II) Birden fazla karşılaşılan arıza</v>
          </cell>
          <cell r="AQ241">
            <v>45530</v>
          </cell>
          <cell r="AR241">
            <v>45530.75</v>
          </cell>
          <cell r="AU241" t="str">
            <v>Fren</v>
          </cell>
        </row>
        <row r="242">
          <cell r="A242" t="str">
            <v>ee8a025e</v>
          </cell>
          <cell r="B242" t="str">
            <v>BOZ-KAY5+6-FF-241</v>
          </cell>
          <cell r="E242">
            <v>45496</v>
          </cell>
          <cell r="F242">
            <v>45496.543055555558</v>
          </cell>
          <cell r="G242" t="str">
            <v>3879(8)</v>
          </cell>
          <cell r="H242" t="str">
            <v>MA</v>
          </cell>
          <cell r="I242" t="str">
            <v>Hat/Line</v>
          </cell>
          <cell r="J242" t="str">
            <v>A-Sürüşü engeller</v>
          </cell>
          <cell r="K242" t="str">
            <v>Müşteri</v>
          </cell>
          <cell r="L242" t="str">
            <v>AYNA KAMERA YAN DÖNMÜŞ</v>
          </cell>
          <cell r="M242" t="str">
            <v>KAMERA EKRANI ARKA KISIMLARI GEVŞEMİŞ SIKILANDI</v>
          </cell>
          <cell r="N242">
            <v>37800</v>
          </cell>
          <cell r="P242" t="str">
            <v>B(Servisten çekmeye etki eden arızalar)</v>
          </cell>
          <cell r="Q242" t="str">
            <v>N.A(Yaralanma yok)</v>
          </cell>
          <cell r="R242" t="str">
            <v>Bozankaya</v>
          </cell>
          <cell r="S242" t="str">
            <v>Üretim</v>
          </cell>
          <cell r="T242">
            <v>45496</v>
          </cell>
          <cell r="U242">
            <v>45496.548611111109</v>
          </cell>
          <cell r="V242" t="str">
            <v>STONKAM CO ., LTD</v>
          </cell>
          <cell r="W242" t="str">
            <v>AYNA EKRAN</v>
          </cell>
          <cell r="X242" t="str">
            <v>E810-7151</v>
          </cell>
          <cell r="Y242">
            <v>1</v>
          </cell>
          <cell r="AE242" t="str">
            <v/>
          </cell>
          <cell r="AH242" t="str">
            <v/>
          </cell>
          <cell r="AN242">
            <v>1</v>
          </cell>
          <cell r="AP242" t="str">
            <v>(II) Birden fazla karşılaşılan arıza</v>
          </cell>
          <cell r="AQ242">
            <v>45496</v>
          </cell>
          <cell r="AR242">
            <v>45496.583333333336</v>
          </cell>
          <cell r="AU242" t="str">
            <v>PA/PIS/CCTV</v>
          </cell>
        </row>
        <row r="243">
          <cell r="A243" t="str">
            <v>e4317486</v>
          </cell>
          <cell r="B243" t="str">
            <v>BOZ-KAY5+6-FF-242</v>
          </cell>
          <cell r="E243">
            <v>45496</v>
          </cell>
          <cell r="F243">
            <v>45496.701388888891</v>
          </cell>
          <cell r="G243" t="str">
            <v>3874(3)</v>
          </cell>
          <cell r="H243" t="str">
            <v>MA</v>
          </cell>
          <cell r="I243" t="str">
            <v>Hat/Line</v>
          </cell>
          <cell r="J243" t="str">
            <v>C-Uyarı, sürüş devamlılığı</v>
          </cell>
          <cell r="K243" t="str">
            <v>Müşteri</v>
          </cell>
          <cell r="L243" t="str">
            <v>3874 nolu araç fren mesafesi uzuyor ivme kaybı var</v>
          </cell>
          <cell r="M243" t="str">
            <v>Medcom firması yazılım ve test yaptı.Arıza giderildi</v>
          </cell>
          <cell r="N243">
            <v>80100</v>
          </cell>
          <cell r="P243" t="str">
            <v>B(Servisten çekmeye etki eden arızalar)</v>
          </cell>
          <cell r="Q243" t="str">
            <v>N.A(Yaralanma yok)</v>
          </cell>
          <cell r="R243" t="str">
            <v>Tedarikçi</v>
          </cell>
          <cell r="S243" t="str">
            <v>Medcom</v>
          </cell>
          <cell r="T243">
            <v>45530</v>
          </cell>
          <cell r="U243">
            <v>45530.452164351853</v>
          </cell>
          <cell r="V243" t="str">
            <v>MEDCOM SP. Z O.O.</v>
          </cell>
          <cell r="AE243" t="str">
            <v/>
          </cell>
          <cell r="AH243" t="str">
            <v/>
          </cell>
          <cell r="AP243" t="str">
            <v>(I) İlk defa karşılaşılan arıza</v>
          </cell>
          <cell r="AQ243" t="str">
            <v/>
          </cell>
          <cell r="AU243" t="str">
            <v>Fren</v>
          </cell>
        </row>
        <row r="244">
          <cell r="A244" t="str">
            <v>f048c5a1</v>
          </cell>
          <cell r="B244" t="str">
            <v>BOZ-KAY5+6-FF-243</v>
          </cell>
          <cell r="E244">
            <v>45497</v>
          </cell>
          <cell r="F244">
            <v>45497.4</v>
          </cell>
          <cell r="G244" t="str">
            <v>3874(3)</v>
          </cell>
          <cell r="H244" t="str">
            <v>MA</v>
          </cell>
          <cell r="I244" t="str">
            <v>Hat/Line</v>
          </cell>
          <cell r="J244" t="str">
            <v>C-Uyarı, sürüş devamlılığı</v>
          </cell>
          <cell r="K244" t="str">
            <v>Müşteri</v>
          </cell>
          <cell r="L244" t="str">
            <v>Kapı üzeri ekran aktif değil</v>
          </cell>
          <cell r="M244" t="str">
            <v>Kontrol edildi sorun görülmedi</v>
          </cell>
          <cell r="N244">
            <v>80200</v>
          </cell>
          <cell r="P244" t="str">
            <v>C(Sisteme etki etmeyen arıza)</v>
          </cell>
          <cell r="Q244" t="str">
            <v>N.A(Yaralanma yok)</v>
          </cell>
          <cell r="R244" t="str">
            <v>Tedarikçi</v>
          </cell>
          <cell r="S244" t="str">
            <v>Atak</v>
          </cell>
          <cell r="T244">
            <v>45530</v>
          </cell>
          <cell r="U244">
            <v>45530.457106481481</v>
          </cell>
          <cell r="V244" t="str">
            <v>ATAK ULAŞIM SAN.TİC.LTD.ŞTİ.</v>
          </cell>
          <cell r="W244" t="str">
            <v>STRETCH LCD EKRAN</v>
          </cell>
          <cell r="X244" t="str">
            <v>E410-7003</v>
          </cell>
          <cell r="AE244" t="str">
            <v/>
          </cell>
          <cell r="AH244" t="str">
            <v/>
          </cell>
          <cell r="AP244" t="str">
            <v>(III) Birden fazla aynı araçta karşılaşılan arıza</v>
          </cell>
          <cell r="AQ244" t="str">
            <v/>
          </cell>
          <cell r="AU244" t="str">
            <v>PA/PIS/CCTV</v>
          </cell>
        </row>
        <row r="245">
          <cell r="A245" t="str">
            <v>cd819855</v>
          </cell>
          <cell r="B245" t="str">
            <v>BOZ-KAY5+6-FF-244</v>
          </cell>
          <cell r="E245">
            <v>45497</v>
          </cell>
          <cell r="F245">
            <v>45497.556250000001</v>
          </cell>
          <cell r="G245" t="str">
            <v>3880(9)</v>
          </cell>
          <cell r="H245" t="str">
            <v>RA</v>
          </cell>
          <cell r="I245" t="str">
            <v>Hat/Line</v>
          </cell>
          <cell r="J245" t="str">
            <v>C-Uyarı, sürüş devamlılığı</v>
          </cell>
          <cell r="K245" t="str">
            <v>Müşteri</v>
          </cell>
          <cell r="L245" t="str">
            <v>yolcu bölümü sıcak yolcu şikayeti</v>
          </cell>
          <cell r="M245" t="str">
            <v>kontrol edildi.sorun görülmedi</v>
          </cell>
          <cell r="N245">
            <v>32300</v>
          </cell>
          <cell r="P245" t="str">
            <v>B(Servisten çekmeye etki eden arızalar)</v>
          </cell>
          <cell r="Q245" t="str">
            <v>N.A(Yaralanma yok)</v>
          </cell>
          <cell r="R245" t="str">
            <v>Tedarikçi</v>
          </cell>
          <cell r="S245" t="str">
            <v>Eltesan</v>
          </cell>
          <cell r="T245">
            <v>45497</v>
          </cell>
          <cell r="U245">
            <v>45497.583333333336</v>
          </cell>
          <cell r="V245" t="str">
            <v>ELTESAN ELEKTRO MEKANİK SOĞUTMA SAN</v>
          </cell>
          <cell r="W245" t="str">
            <v>KLIMA UNITESİ /Eltesan/Hispacold 41,5 kW</v>
          </cell>
          <cell r="X245" t="str">
            <v>H500-7240</v>
          </cell>
          <cell r="AB245" t="str">
            <v>Arıza çözülecek</v>
          </cell>
          <cell r="AE245" t="str">
            <v/>
          </cell>
          <cell r="AH245" t="str">
            <v/>
          </cell>
          <cell r="AN245">
            <v>1</v>
          </cell>
          <cell r="AP245" t="str">
            <v>(III) Birden fazla aynı araçta karşılaşılan arıza</v>
          </cell>
          <cell r="AQ245">
            <v>45497</v>
          </cell>
          <cell r="AR245">
            <v>45497.666666666664</v>
          </cell>
          <cell r="AU245" t="str">
            <v>HVAC Yolcu</v>
          </cell>
        </row>
        <row r="246">
          <cell r="A246" t="str">
            <v>6e7e8448</v>
          </cell>
          <cell r="B246" t="str">
            <v>BOZ-KAY5+6-FF-245</v>
          </cell>
          <cell r="E246">
            <v>45498</v>
          </cell>
          <cell r="F246">
            <v>45498.808333333334</v>
          </cell>
          <cell r="G246" t="str">
            <v>3880(9)</v>
          </cell>
          <cell r="H246" t="str">
            <v>MA</v>
          </cell>
          <cell r="I246" t="str">
            <v>Hat/Line</v>
          </cell>
          <cell r="J246" t="str">
            <v>B-Hız veya güç azalması</v>
          </cell>
          <cell r="K246" t="str">
            <v>Müşteri</v>
          </cell>
          <cell r="L246" t="str">
            <v>3880-79 nolu araçlarda fren ve ivme kaybı mevcut</v>
          </cell>
          <cell r="M246" t="str">
            <v>medcom firması yazılım yükledi</v>
          </cell>
          <cell r="N246">
            <v>32500</v>
          </cell>
          <cell r="P246" t="str">
            <v>B(Servisten çekmeye etki eden arızalar)</v>
          </cell>
          <cell r="Q246" t="str">
            <v>N.A(Yaralanma yok)</v>
          </cell>
          <cell r="R246" t="str">
            <v>Tedarikçi</v>
          </cell>
          <cell r="S246" t="str">
            <v>Medcom</v>
          </cell>
          <cell r="T246">
            <v>45530</v>
          </cell>
          <cell r="U246">
            <v>45530.560578703706</v>
          </cell>
          <cell r="V246" t="str">
            <v>MEDCOM SP. Z O.O.</v>
          </cell>
          <cell r="W246" t="str">
            <v>MEDCOM SICAKLIK SENSÖRÜ</v>
          </cell>
          <cell r="X246" t="str">
            <v>E110-7659</v>
          </cell>
          <cell r="Y246">
            <v>1</v>
          </cell>
          <cell r="AB246" t="str">
            <v>Yazılım güncelleme</v>
          </cell>
          <cell r="AE246" t="str">
            <v/>
          </cell>
          <cell r="AH246" t="str">
            <v/>
          </cell>
          <cell r="AN246">
            <v>2</v>
          </cell>
          <cell r="AP246" t="str">
            <v>(II) Birden fazla karşılaşılan arıza</v>
          </cell>
          <cell r="AQ246">
            <v>45530</v>
          </cell>
          <cell r="AR246">
            <v>45530.75</v>
          </cell>
          <cell r="AU246" t="str">
            <v>Fren</v>
          </cell>
        </row>
        <row r="247">
          <cell r="A247" t="str">
            <v>c3e3e0fd</v>
          </cell>
          <cell r="B247" t="str">
            <v>BOZ-KAY5+6-FF-246</v>
          </cell>
          <cell r="E247">
            <v>45498</v>
          </cell>
          <cell r="F247">
            <v>45498.836805555555</v>
          </cell>
          <cell r="G247" t="str">
            <v>3876(5)</v>
          </cell>
          <cell r="H247" t="str">
            <v>MA</v>
          </cell>
          <cell r="I247" t="str">
            <v>Hat/Line</v>
          </cell>
          <cell r="J247" t="str">
            <v>B-Hız veya güç azalması</v>
          </cell>
          <cell r="K247" t="str">
            <v>Müşteri</v>
          </cell>
          <cell r="L247" t="str">
            <v>Araçta ivme ve fren kaybı var</v>
          </cell>
          <cell r="M247" t="str">
            <v>Medcom yazılım yükledi  sorun giderildi</v>
          </cell>
          <cell r="N247">
            <v>75100</v>
          </cell>
          <cell r="P247" t="str">
            <v>B(Servisten çekmeye etki eden arızalar)</v>
          </cell>
          <cell r="Q247" t="str">
            <v>N.A(Yaralanma yok)</v>
          </cell>
          <cell r="R247" t="str">
            <v>Tedarikçi</v>
          </cell>
          <cell r="S247" t="str">
            <v>Medcom</v>
          </cell>
          <cell r="T247">
            <v>45530</v>
          </cell>
          <cell r="U247">
            <v>45530.475451388891</v>
          </cell>
          <cell r="V247" t="str">
            <v>MEDCOM SP. Z O.O.</v>
          </cell>
          <cell r="AE247" t="str">
            <v/>
          </cell>
          <cell r="AH247" t="str">
            <v/>
          </cell>
          <cell r="AP247" t="str">
            <v>(II) Birden fazla karşılaşılan arıza</v>
          </cell>
          <cell r="AQ247" t="str">
            <v/>
          </cell>
          <cell r="AU247" t="str">
            <v>Fren</v>
          </cell>
        </row>
        <row r="248">
          <cell r="A248" t="str">
            <v>3cfc5fc4</v>
          </cell>
          <cell r="B248" t="str">
            <v>BOZ-KAY5+6-FF-247</v>
          </cell>
          <cell r="E248">
            <v>45498</v>
          </cell>
          <cell r="F248">
            <v>45498.837500000001</v>
          </cell>
          <cell r="G248" t="str">
            <v>3879(8)</v>
          </cell>
          <cell r="H248" t="str">
            <v>MA</v>
          </cell>
          <cell r="I248" t="str">
            <v>Hat/Line</v>
          </cell>
          <cell r="J248" t="str">
            <v>B-Hız veya güç azalması</v>
          </cell>
          <cell r="K248" t="str">
            <v>Müşteri</v>
          </cell>
          <cell r="L248" t="str">
            <v>Araçta ivme ve fren kaybı var</v>
          </cell>
          <cell r="M248" t="str">
            <v>Medcom yazılım yükledi</v>
          </cell>
          <cell r="N248">
            <v>38000</v>
          </cell>
          <cell r="P248" t="str">
            <v>B(Servisten çekmeye etki eden arızalar)</v>
          </cell>
          <cell r="Q248" t="str">
            <v>N.A(Yaralanma yok)</v>
          </cell>
          <cell r="R248" t="str">
            <v>Tedarikçi</v>
          </cell>
          <cell r="S248" t="str">
            <v>Medcom</v>
          </cell>
          <cell r="T248">
            <v>45530</v>
          </cell>
          <cell r="U248">
            <v>45530.473854166667</v>
          </cell>
          <cell r="V248" t="str">
            <v>MEDCOM SP. Z O.O.</v>
          </cell>
          <cell r="W248" t="str">
            <v>MEDCOM SICAKLIK SENSÖRÜ</v>
          </cell>
          <cell r="X248" t="str">
            <v>E110-7659</v>
          </cell>
          <cell r="Y248">
            <v>1</v>
          </cell>
          <cell r="AB248" t="str">
            <v>Yazılım güncelleme</v>
          </cell>
          <cell r="AE248" t="str">
            <v/>
          </cell>
          <cell r="AH248" t="str">
            <v/>
          </cell>
          <cell r="AN248">
            <v>2</v>
          </cell>
          <cell r="AP248" t="str">
            <v>(II) Birden fazla karşılaşılan arıza</v>
          </cell>
          <cell r="AQ248">
            <v>45530</v>
          </cell>
          <cell r="AR248">
            <v>45530.75</v>
          </cell>
          <cell r="AU248" t="str">
            <v>Fren</v>
          </cell>
        </row>
        <row r="249">
          <cell r="A249" t="str">
            <v>b8810483</v>
          </cell>
          <cell r="B249" t="str">
            <v>BOZ-KAY5+6-FF-248</v>
          </cell>
          <cell r="E249">
            <v>45499</v>
          </cell>
          <cell r="F249">
            <v>45499.726388888892</v>
          </cell>
          <cell r="G249" t="str">
            <v>3872(1)</v>
          </cell>
          <cell r="H249" t="str">
            <v>RA</v>
          </cell>
          <cell r="I249" t="str">
            <v>Hat/Line</v>
          </cell>
          <cell r="J249" t="str">
            <v>C-Uyarı, sürüş devamlılığı</v>
          </cell>
          <cell r="K249" t="str">
            <v>Müşteri</v>
          </cell>
          <cell r="L249" t="str">
            <v>Saha denetimi kapı üstü ekranlar göstermiyor</v>
          </cell>
          <cell r="M249" t="str">
            <v>Kontrol edildi sorun görülmedi</v>
          </cell>
          <cell r="N249">
            <v>75100</v>
          </cell>
          <cell r="P249" t="str">
            <v>C(Sisteme etki etmeyen arıza)</v>
          </cell>
          <cell r="Q249" t="str">
            <v>N.A(Yaralanma yok)</v>
          </cell>
          <cell r="R249" t="str">
            <v>Tedarikçi</v>
          </cell>
          <cell r="S249" t="str">
            <v>Atak</v>
          </cell>
          <cell r="T249">
            <v>45530</v>
          </cell>
          <cell r="U249">
            <v>45530.569374999999</v>
          </cell>
          <cell r="V249" t="str">
            <v>ATAK ULAŞIM SAN.TİC.LTD.ŞTİ.</v>
          </cell>
          <cell r="W249" t="str">
            <v>STRETCH LCD EKRAN</v>
          </cell>
          <cell r="X249" t="str">
            <v>E410-7003</v>
          </cell>
          <cell r="Y249">
            <v>1</v>
          </cell>
          <cell r="AB249" t="str">
            <v>Arıza çözülecek</v>
          </cell>
          <cell r="AE249" t="str">
            <v/>
          </cell>
          <cell r="AH249" t="str">
            <v/>
          </cell>
          <cell r="AN249">
            <v>1</v>
          </cell>
          <cell r="AP249" t="str">
            <v>(III) Birden fazla aynı araçta karşılaşılan arıza</v>
          </cell>
          <cell r="AQ249">
            <v>45530</v>
          </cell>
          <cell r="AR249">
            <v>45530.75</v>
          </cell>
          <cell r="AU249" t="str">
            <v>PA/PIS/CCTV</v>
          </cell>
        </row>
        <row r="250">
          <cell r="A250" t="str">
            <v>2b7ab4fe</v>
          </cell>
          <cell r="B250" t="str">
            <v>BOZ-KAY5+6-FF-249</v>
          </cell>
          <cell r="E250">
            <v>45513</v>
          </cell>
          <cell r="F250">
            <v>45513.090914351851</v>
          </cell>
          <cell r="G250" t="str">
            <v>3874(3)</v>
          </cell>
          <cell r="H250" t="str">
            <v>MB</v>
          </cell>
          <cell r="I250" t="str">
            <v>Hat/Line</v>
          </cell>
          <cell r="J250" t="str">
            <v>A-Sürüşü engeller</v>
          </cell>
          <cell r="K250" t="str">
            <v>Müşteri</v>
          </cell>
          <cell r="L250" t="str">
            <v>SİLECEK TAKILMA YAPIYOR</v>
          </cell>
          <cell r="M250" t="str">
            <v>AYARI YAPILDI.</v>
          </cell>
          <cell r="N250">
            <v>83222</v>
          </cell>
          <cell r="P250" t="str">
            <v>B(Servisten çekmeye etki eden arızalar)</v>
          </cell>
          <cell r="Q250" t="str">
            <v>N.A(Yaralanma yok)</v>
          </cell>
          <cell r="R250" t="str">
            <v>Bozankaya</v>
          </cell>
          <cell r="S250" t="str">
            <v>Tasarım</v>
          </cell>
          <cell r="T250">
            <v>45513</v>
          </cell>
          <cell r="U250">
            <v>45513.333333333336</v>
          </cell>
          <cell r="V250" t="str">
            <v>DENİZLER OTOMOTİV SAN. VE TİC.LTD.Ş</v>
          </cell>
          <cell r="W250" t="str">
            <v>SILECEK KOL KOMPLESI ANA KOL+YARDIMCI KO</v>
          </cell>
          <cell r="X250" t="str">
            <v>M100-7069</v>
          </cell>
          <cell r="AB250" t="str">
            <v>Tamir edilecek</v>
          </cell>
          <cell r="AE250" t="str">
            <v/>
          </cell>
          <cell r="AN250">
            <v>1</v>
          </cell>
          <cell r="AP250" t="str">
            <v>(III) Birden fazla aynı araçta karşılaşılan arıza</v>
          </cell>
          <cell r="AQ250">
            <v>45513</v>
          </cell>
          <cell r="AR250">
            <v>45513.416666666664</v>
          </cell>
          <cell r="AU250" t="str">
            <v>Silecek</v>
          </cell>
        </row>
        <row r="251">
          <cell r="A251" t="str">
            <v>1334f718</v>
          </cell>
          <cell r="B251" t="str">
            <v>BOZ-KAY5+6-FF-250</v>
          </cell>
          <cell r="E251">
            <v>45513</v>
          </cell>
          <cell r="F251">
            <v>45513.333333333336</v>
          </cell>
          <cell r="G251" t="str">
            <v>3873(2)</v>
          </cell>
          <cell r="H251" t="str">
            <v>RB</v>
          </cell>
          <cell r="I251" t="str">
            <v>Hat/Line</v>
          </cell>
          <cell r="J251" t="str">
            <v>C-Uyarı, sürüş devamlılığı</v>
          </cell>
          <cell r="K251" t="str">
            <v>Müşteri</v>
          </cell>
          <cell r="L251" t="str">
            <v>Orta Karkas Ekran çalışmıyor, ekrana görüntü gelmiyor</v>
          </cell>
          <cell r="M251" t="str">
            <v>Ekran değişimi yapıldı</v>
          </cell>
          <cell r="N251">
            <v>85417</v>
          </cell>
          <cell r="P251" t="str">
            <v>B(Servisten çekmeye etki eden arızalar)</v>
          </cell>
          <cell r="Q251" t="str">
            <v>N.A(Yaralanma yok)</v>
          </cell>
          <cell r="R251" t="str">
            <v>Tedarikçi</v>
          </cell>
          <cell r="S251" t="str">
            <v>Atak</v>
          </cell>
          <cell r="T251">
            <v>45513</v>
          </cell>
          <cell r="U251">
            <v>45513.333333333336</v>
          </cell>
          <cell r="V251" t="str">
            <v>ATAK ULAŞIM SAN.TİC.LTD.ŞTİ.</v>
          </cell>
          <cell r="W251" t="str">
            <v>28.6" EKRAN</v>
          </cell>
          <cell r="X251" t="str">
            <v>E840-7120</v>
          </cell>
          <cell r="Y251"/>
          <cell r="Z251">
            <v>202201110001</v>
          </cell>
          <cell r="AB251" t="str">
            <v>Ekipman değiştirilecek</v>
          </cell>
          <cell r="AD251"/>
          <cell r="AE251" t="str">
            <v/>
          </cell>
          <cell r="AH251" t="str">
            <v/>
          </cell>
          <cell r="AN251">
            <v>2</v>
          </cell>
          <cell r="AP251" t="str">
            <v>(III) Birden fazla aynı araçta karşılaşılan arıza</v>
          </cell>
          <cell r="AQ251" t="str">
            <v/>
          </cell>
          <cell r="AR251"/>
          <cell r="AU251" t="str">
            <v>PA/PIS/CCTV</v>
          </cell>
        </row>
        <row r="252">
          <cell r="A252" t="str">
            <v>c6819b04</v>
          </cell>
          <cell r="B252" t="str">
            <v>BOZ-KAY5+6-FF-251</v>
          </cell>
          <cell r="E252">
            <v>45513</v>
          </cell>
          <cell r="F252">
            <v>45513.458333333336</v>
          </cell>
          <cell r="G252" t="str">
            <v>3873(2)</v>
          </cell>
          <cell r="H252" t="str">
            <v>RA</v>
          </cell>
          <cell r="I252" t="str">
            <v>Hat/Line</v>
          </cell>
          <cell r="J252" t="str">
            <v>C-Uyarı, sürüş devamlılığı</v>
          </cell>
          <cell r="K252" t="str">
            <v>Müşteri</v>
          </cell>
          <cell r="L252" t="str">
            <v>Orta karkas ekrana görüntü gelmiyor ekranda çizgi şeklinde pixel pixel oluyor</v>
          </cell>
          <cell r="M252" t="str">
            <v>Ekran değişimi yapıldı</v>
          </cell>
          <cell r="N252">
            <v>85417</v>
          </cell>
          <cell r="P252" t="str">
            <v>C(Sisteme etki etmeyen arıza)</v>
          </cell>
          <cell r="Q252" t="str">
            <v>N.A(Yaralanma yok)</v>
          </cell>
          <cell r="R252" t="str">
            <v>Tedarikçi</v>
          </cell>
          <cell r="S252" t="str">
            <v>Atak</v>
          </cell>
          <cell r="T252">
            <v>45513</v>
          </cell>
          <cell r="U252">
            <v>45513.458333333336</v>
          </cell>
          <cell r="V252" t="str">
            <v>ATAK ULAŞIM SAN.TİC.LTD.ŞTİ.</v>
          </cell>
          <cell r="W252" t="str">
            <v>28.6" EKRAN</v>
          </cell>
          <cell r="X252" t="str">
            <v>E840-7120</v>
          </cell>
          <cell r="Y252">
            <v>1</v>
          </cell>
          <cell r="Z252">
            <v>202201110003</v>
          </cell>
          <cell r="AB252" t="str">
            <v>Ekipman değiştirilecek</v>
          </cell>
          <cell r="AD252"/>
          <cell r="AE252" t="str">
            <v/>
          </cell>
          <cell r="AH252" t="str">
            <v/>
          </cell>
          <cell r="AN252">
            <v>2</v>
          </cell>
          <cell r="AP252" t="str">
            <v>(III) Birden fazla aynı araçta karşılaşılan arıza</v>
          </cell>
          <cell r="AQ252" t="str">
            <v/>
          </cell>
          <cell r="AR252"/>
          <cell r="AU252" t="str">
            <v>PA/PIS/CCTV</v>
          </cell>
        </row>
        <row r="253">
          <cell r="A253" t="str">
            <v>c395b060</v>
          </cell>
          <cell r="B253" t="str">
            <v>BOZ-KAY5+6-FF-252</v>
          </cell>
          <cell r="E253">
            <v>45513</v>
          </cell>
          <cell r="F253">
            <v>45513.611805555556</v>
          </cell>
          <cell r="G253" t="str">
            <v>3873(2)</v>
          </cell>
          <cell r="H253" t="str">
            <v>MA</v>
          </cell>
          <cell r="I253" t="str">
            <v>Hat/Line</v>
          </cell>
          <cell r="J253" t="str">
            <v>A-Sürüşü engeller</v>
          </cell>
          <cell r="K253" t="str">
            <v>Müşteri</v>
          </cell>
          <cell r="L253" t="str">
            <v>Silecek kolu kırılmış</v>
          </cell>
          <cell r="M253" t="str">
            <v>Silecek değişimi yapıldı</v>
          </cell>
          <cell r="N253">
            <v>85417</v>
          </cell>
          <cell r="P253" t="str">
            <v>B(Servisten çekmeye etki eden arızalar)</v>
          </cell>
          <cell r="Q253" t="str">
            <v>N.A(Yaralanma yok)</v>
          </cell>
          <cell r="R253" t="str">
            <v>Tedarikçi</v>
          </cell>
          <cell r="S253" t="str">
            <v>Bozankaya</v>
          </cell>
          <cell r="T253">
            <v>45513</v>
          </cell>
          <cell r="U253">
            <v>45513.612500000003</v>
          </cell>
          <cell r="V253" t="str">
            <v>Bozankaya</v>
          </cell>
          <cell r="W253" t="str">
            <v>SİLECEK</v>
          </cell>
          <cell r="X253" t="str">
            <v>M100-7069</v>
          </cell>
          <cell r="Y253">
            <v>1</v>
          </cell>
          <cell r="Z253" t="str">
            <v>-</v>
          </cell>
          <cell r="AB253" t="str">
            <v>Ekipman değiştirilecek</v>
          </cell>
          <cell r="AD253"/>
          <cell r="AE253" t="str">
            <v/>
          </cell>
          <cell r="AH253" t="str">
            <v/>
          </cell>
          <cell r="AP253" t="str">
            <v>(I) İlk defa karşılaşılan arıza</v>
          </cell>
          <cell r="AQ253" t="str">
            <v/>
          </cell>
          <cell r="AR253"/>
          <cell r="AU253" t="str">
            <v>Giydirme Dış</v>
          </cell>
        </row>
        <row r="254">
          <cell r="A254" t="str">
            <v>97b2537c</v>
          </cell>
          <cell r="B254" t="str">
            <v>BOZ-KAY5+6-FF-253</v>
          </cell>
          <cell r="E254">
            <v>45513</v>
          </cell>
          <cell r="F254">
            <v>45513.625694444447</v>
          </cell>
          <cell r="G254" t="str">
            <v>3873(2)</v>
          </cell>
          <cell r="H254" t="str">
            <v>RB</v>
          </cell>
          <cell r="I254" t="str">
            <v>Hat/Line</v>
          </cell>
          <cell r="J254" t="str">
            <v>C-Uyarı, sürüş devamlılığı</v>
          </cell>
          <cell r="K254" t="str">
            <v>Müşteri</v>
          </cell>
          <cell r="L254" t="str">
            <v>Orta karkas ekranda pembeleşme var görüntü gelmiyor</v>
          </cell>
          <cell r="M254" t="str">
            <v>Ekran değişimi yapıldı</v>
          </cell>
          <cell r="N254">
            <v>85417</v>
          </cell>
          <cell r="P254" t="str">
            <v>C(Sisteme etki etmeyen arıza)</v>
          </cell>
          <cell r="Q254" t="str">
            <v>N.A(Yaralanma yok)</v>
          </cell>
          <cell r="R254" t="str">
            <v>Tedarikçi</v>
          </cell>
          <cell r="S254" t="str">
            <v>Atak</v>
          </cell>
          <cell r="T254">
            <v>45513</v>
          </cell>
          <cell r="U254">
            <v>45513.626388888886</v>
          </cell>
          <cell r="V254" t="str">
            <v>ATAK ULAŞIM SAN.TİC.LTD.ŞTİ.</v>
          </cell>
          <cell r="W254" t="str">
            <v>28.6" EKRAN</v>
          </cell>
          <cell r="X254" t="str">
            <v>E840-7120</v>
          </cell>
          <cell r="Y254">
            <v>1</v>
          </cell>
          <cell r="Z254" t="str">
            <v>-</v>
          </cell>
          <cell r="AB254" t="str">
            <v>Ekipman değiştirilecek</v>
          </cell>
          <cell r="AD254"/>
          <cell r="AE254" t="str">
            <v/>
          </cell>
          <cell r="AH254" t="str">
            <v/>
          </cell>
          <cell r="AN254">
            <v>2</v>
          </cell>
          <cell r="AP254" t="str">
            <v>(III) Birden fazla aynı araçta karşılaşılan arıza</v>
          </cell>
          <cell r="AQ254" t="str">
            <v/>
          </cell>
          <cell r="AR254"/>
          <cell r="AU254" t="str">
            <v>PA/PIS/CCTV</v>
          </cell>
        </row>
        <row r="255">
          <cell r="A255" t="str">
            <v>738f0cd9</v>
          </cell>
          <cell r="B255" t="str">
            <v>BOZ-KAY5+6-FF-254</v>
          </cell>
          <cell r="E255">
            <v>45513</v>
          </cell>
          <cell r="F255">
            <v>45513.838194444441</v>
          </cell>
          <cell r="G255" t="str">
            <v>3877(6)</v>
          </cell>
          <cell r="H255" t="str">
            <v>P</v>
          </cell>
          <cell r="I255" t="str">
            <v>Hat/Line</v>
          </cell>
          <cell r="J255" t="str">
            <v>A-Sürüşü engeller</v>
          </cell>
          <cell r="K255" t="str">
            <v>Müşteri</v>
          </cell>
          <cell r="L255" t="str">
            <v>TREYLER BOJİ HPU ÇALIŞMIYOR(FB09 Error Motor)</v>
          </cell>
          <cell r="M255" t="str">
            <v>HPU değişimi yapıldı</v>
          </cell>
          <cell r="N255">
            <v>54200</v>
          </cell>
          <cell r="P255" t="str">
            <v>A(Hareket etmeyi engelleyen arıza)</v>
          </cell>
          <cell r="Q255" t="str">
            <v>N.A(Yaralanma yok)</v>
          </cell>
          <cell r="R255" t="str">
            <v>Tedarikçi</v>
          </cell>
          <cell r="S255" t="str">
            <v>Knorr</v>
          </cell>
          <cell r="T255">
            <v>45514</v>
          </cell>
          <cell r="U255">
            <v>45514.333333333336</v>
          </cell>
          <cell r="V255" t="str">
            <v>HANNING &amp; KAHL GMBH &amp; CO.KG</v>
          </cell>
          <cell r="W255" t="str">
            <v>XHidrolik Ünite HZY-K140-PR</v>
          </cell>
          <cell r="X255" t="str">
            <v>S306-7002</v>
          </cell>
          <cell r="Y255">
            <v>1</v>
          </cell>
          <cell r="Z255">
            <v>10075474</v>
          </cell>
          <cell r="AB255" t="str">
            <v>Ekipman değiştirilecek</v>
          </cell>
          <cell r="AD255"/>
          <cell r="AE255" t="str">
            <v/>
          </cell>
          <cell r="AH255" t="str">
            <v/>
          </cell>
          <cell r="AN255">
            <v>2</v>
          </cell>
          <cell r="AP255" t="str">
            <v>(III) Birden fazla aynı araçta karşılaşılan arıza</v>
          </cell>
          <cell r="AQ255">
            <v>45514</v>
          </cell>
          <cell r="AR255">
            <v>45514.625</v>
          </cell>
          <cell r="AU255" t="str">
            <v>Fren</v>
          </cell>
        </row>
        <row r="256">
          <cell r="A256" t="str">
            <v>e353fcef</v>
          </cell>
          <cell r="B256" t="str">
            <v>BOZ-KAY5+6-FF-255</v>
          </cell>
          <cell r="E256">
            <v>45516</v>
          </cell>
          <cell r="F256">
            <v>45516.298611111109</v>
          </cell>
          <cell r="G256" t="str">
            <v>3872(1)</v>
          </cell>
          <cell r="H256" t="str">
            <v>MA</v>
          </cell>
          <cell r="I256" t="str">
            <v>Hat/Line</v>
          </cell>
          <cell r="J256" t="str">
            <v>C-Uyarı, sürüş devamlılığı</v>
          </cell>
          <cell r="K256" t="str">
            <v>Müşteri</v>
          </cell>
          <cell r="L256" t="str">
            <v>02 nolu kapı arızalı açılıp kapanmıyor</v>
          </cell>
          <cell r="M256" t="str">
            <v>Kapı izolesi kaldırıldı.Testi yapıldı.Sorun görülmedi</v>
          </cell>
          <cell r="N256">
            <v>76998</v>
          </cell>
          <cell r="P256" t="str">
            <v>B(Servisten çekmeye etki eden arızalar)</v>
          </cell>
          <cell r="Q256" t="str">
            <v>N.A(Yaralanma yok)</v>
          </cell>
          <cell r="R256" t="str">
            <v>Tedarikçi</v>
          </cell>
          <cell r="S256" t="str">
            <v>IFE</v>
          </cell>
          <cell r="T256">
            <v>45538</v>
          </cell>
          <cell r="U256">
            <v>45538.39335648148</v>
          </cell>
          <cell r="V256" t="str">
            <v>KNORR-BREMSE GMBH DİVİSİON IFE AUTO</v>
          </cell>
          <cell r="W256" t="str">
            <v>TEKLİ KAPI</v>
          </cell>
          <cell r="X256" t="str">
            <v>M110-7085</v>
          </cell>
          <cell r="AB256" t="str">
            <v>Arıza çözülecek</v>
          </cell>
          <cell r="AE256" t="str">
            <v/>
          </cell>
          <cell r="AH256" t="str">
            <v/>
          </cell>
          <cell r="AP256" t="str">
            <v>(III) Birden fazla aynı araçta karşılaşılan arıza</v>
          </cell>
          <cell r="AQ256" t="str">
            <v/>
          </cell>
          <cell r="AU256" t="str">
            <v>Kapı</v>
          </cell>
        </row>
        <row r="257">
          <cell r="A257" t="str">
            <v>74858ee1</v>
          </cell>
          <cell r="B257" t="str">
            <v>BOZ-KAY5+6-FF-256</v>
          </cell>
          <cell r="E257">
            <v>45517</v>
          </cell>
          <cell r="F257">
            <v>45517.387499999997</v>
          </cell>
          <cell r="G257" t="str">
            <v>3875(4)</v>
          </cell>
          <cell r="H257" t="str">
            <v>MA</v>
          </cell>
          <cell r="I257" t="str">
            <v>Depo/Depot</v>
          </cell>
          <cell r="J257" t="str">
            <v>C-Uyarı, sürüş devamlılığı</v>
          </cell>
          <cell r="K257" t="str">
            <v>Müşteri</v>
          </cell>
          <cell r="L257" t="str">
            <v>Makinist koltuğu fonksiyon butonu düşmüş</v>
          </cell>
          <cell r="M257"/>
          <cell r="N257">
            <v>54912</v>
          </cell>
          <cell r="P257" t="str">
            <v>C(Sisteme etki etmeyen arıza)</v>
          </cell>
          <cell r="Q257" t="str">
            <v>N.A(Yaralanma yok)</v>
          </cell>
          <cell r="R257" t="str">
            <v>Bozankaya</v>
          </cell>
          <cell r="S257" t="str">
            <v>Tasarım</v>
          </cell>
          <cell r="T257">
            <v>45517</v>
          </cell>
          <cell r="U257">
            <v>45517.402083333334</v>
          </cell>
          <cell r="V257" t="str">
            <v>Bozankaya</v>
          </cell>
          <cell r="W257" t="str">
            <v>Makinist koltuğu fonksiyon butonu</v>
          </cell>
          <cell r="X257" t="str">
            <v>T155-7113</v>
          </cell>
          <cell r="Y257">
            <v>1</v>
          </cell>
          <cell r="Z257"/>
          <cell r="AB257" t="str">
            <v>Ekipman değiştirilecek</v>
          </cell>
          <cell r="AD257"/>
          <cell r="AE257" t="str">
            <v/>
          </cell>
          <cell r="AH257" t="str">
            <v/>
          </cell>
          <cell r="AP257" t="str">
            <v>(I) İlk defa karşılaşılan arıza</v>
          </cell>
          <cell r="AQ257" t="str">
            <v/>
          </cell>
          <cell r="AR257"/>
          <cell r="AU257" t="str">
            <v>Giydirme İç</v>
          </cell>
        </row>
        <row r="258">
          <cell r="A258" t="str">
            <v>64dfb836</v>
          </cell>
          <cell r="B258" t="str">
            <v>BOZ-KAY5+6-FF-257</v>
          </cell>
          <cell r="E258">
            <v>45517</v>
          </cell>
          <cell r="F258">
            <v>45517.599999999999</v>
          </cell>
          <cell r="G258" t="str">
            <v>3882(11)</v>
          </cell>
          <cell r="H258" t="str">
            <v>RA</v>
          </cell>
          <cell r="I258" t="str">
            <v>Hat/Line</v>
          </cell>
          <cell r="J258" t="str">
            <v>C-Uyarı, sürüş devamlılığı</v>
          </cell>
          <cell r="K258" t="str">
            <v>Müşteri</v>
          </cell>
          <cell r="L258" t="str">
            <v>13/08/2024 Tarihinde gerçekleştirilen saha denetiminde 3882 nolu araçta kapı üstü bilgilendirmenin aktif olmadığı tespit edilmiştir</v>
          </cell>
          <cell r="M258" t="str">
            <v>kontrol edildi sorun görülmedi</v>
          </cell>
          <cell r="N258">
            <v>13900</v>
          </cell>
          <cell r="P258" t="str">
            <v>C(Sisteme etki etmeyen arıza)</v>
          </cell>
          <cell r="Q258" t="str">
            <v>N.A(Yaralanma yok)</v>
          </cell>
          <cell r="R258" t="str">
            <v>Tedarikçi</v>
          </cell>
          <cell r="S258" t="str">
            <v>Atak</v>
          </cell>
          <cell r="T258">
            <v>45517</v>
          </cell>
          <cell r="U258">
            <v>45517.666666666664</v>
          </cell>
          <cell r="V258" t="str">
            <v>ATAK ULAŞIM SAN.TİC.LTD.ŞTİ.</v>
          </cell>
          <cell r="W258" t="str">
            <v>STRETCH LCD EKRAN</v>
          </cell>
          <cell r="AE258" t="str">
            <v/>
          </cell>
          <cell r="AH258" t="str">
            <v/>
          </cell>
          <cell r="AP258" t="str">
            <v>(III) Birden fazla aynı araçta karşılaşılan arıza</v>
          </cell>
          <cell r="AQ258" t="str">
            <v/>
          </cell>
          <cell r="AU258" t="str">
            <v>PA/PIS/CCTV</v>
          </cell>
        </row>
        <row r="259">
          <cell r="A259" t="str">
            <v>d4a5f505</v>
          </cell>
          <cell r="B259" t="str">
            <v>BOZ-KAY5+6-FF-258</v>
          </cell>
          <cell r="E259">
            <v>45517</v>
          </cell>
          <cell r="F259">
            <v>45517.807638888888</v>
          </cell>
          <cell r="G259" t="str">
            <v>3872(1)</v>
          </cell>
          <cell r="H259" t="str">
            <v>MA</v>
          </cell>
          <cell r="I259" t="str">
            <v>Hat/Line</v>
          </cell>
          <cell r="J259" t="str">
            <v>C-Uyarı, sürüş devamlılığı</v>
          </cell>
          <cell r="K259" t="str">
            <v>Müşteri</v>
          </cell>
          <cell r="L259" t="str">
            <v>ayna kameralar çalışmıyor</v>
          </cell>
          <cell r="M259" t="str">
            <v>Araç numaraları yanlış girilmiş düzeltildi</v>
          </cell>
          <cell r="N259">
            <v>77200</v>
          </cell>
          <cell r="P259" t="str">
            <v>C(Sisteme etki etmeyen arıza)</v>
          </cell>
          <cell r="Q259" t="str">
            <v>N.A(Yaralanma yok)</v>
          </cell>
          <cell r="R259" t="str">
            <v>Tedarikçi</v>
          </cell>
          <cell r="S259" t="str">
            <v>NSC</v>
          </cell>
          <cell r="T259">
            <v>45518</v>
          </cell>
          <cell r="U259">
            <v>45518.587210648147</v>
          </cell>
          <cell r="V259" t="str">
            <v>Bozankaya</v>
          </cell>
          <cell r="W259" t="str">
            <v>CCTV EKRANI</v>
          </cell>
          <cell r="X259" t="str">
            <v>E810-7145</v>
          </cell>
          <cell r="AE259" t="str">
            <v/>
          </cell>
          <cell r="AH259" t="str">
            <v/>
          </cell>
          <cell r="AP259" t="str">
            <v>(II) Birden fazla karşılaşılan arıza</v>
          </cell>
          <cell r="AQ259" t="str">
            <v/>
          </cell>
          <cell r="AU259" t="str">
            <v>PA/PIS/CCTV</v>
          </cell>
        </row>
        <row r="260">
          <cell r="A260" t="str">
            <v>9a13166f</v>
          </cell>
          <cell r="B260" t="str">
            <v>BOZ-KAY5+6-FF-259</v>
          </cell>
          <cell r="E260">
            <v>45517</v>
          </cell>
          <cell r="F260">
            <v>45517.808333333334</v>
          </cell>
          <cell r="G260" t="str">
            <v>3873(2)</v>
          </cell>
          <cell r="H260" t="str">
            <v>MA</v>
          </cell>
          <cell r="I260" t="str">
            <v>Hat/Line</v>
          </cell>
          <cell r="J260" t="str">
            <v>C-Uyarı, sürüş devamlılığı</v>
          </cell>
          <cell r="K260" t="str">
            <v>Müşteri</v>
          </cell>
          <cell r="L260" t="str">
            <v>Ayna kameralar çalışmıyor</v>
          </cell>
          <cell r="M260" t="str">
            <v>Araç numaraları yanlış girilmiş düzeltildi</v>
          </cell>
          <cell r="N260">
            <v>86500</v>
          </cell>
          <cell r="P260" t="str">
            <v>C(Sisteme etki etmeyen arıza)</v>
          </cell>
          <cell r="Q260" t="str">
            <v>N.A(Yaralanma yok)</v>
          </cell>
          <cell r="R260" t="str">
            <v>Tedarikçi</v>
          </cell>
          <cell r="S260" t="str">
            <v>NSC</v>
          </cell>
          <cell r="T260">
            <v>45518</v>
          </cell>
          <cell r="U260">
            <v>45518.590671296297</v>
          </cell>
          <cell r="V260" t="str">
            <v>Bozankaya</v>
          </cell>
          <cell r="W260" t="str">
            <v>CCTV EKRANI</v>
          </cell>
          <cell r="X260" t="str">
            <v>E810-7145</v>
          </cell>
          <cell r="AE260" t="str">
            <v/>
          </cell>
          <cell r="AH260" t="str">
            <v/>
          </cell>
          <cell r="AP260" t="str">
            <v>(I) İlk defa karşılaşılan arıza</v>
          </cell>
          <cell r="AQ260" t="str">
            <v/>
          </cell>
          <cell r="AU260" t="str">
            <v>PA/PIS/CCTV</v>
          </cell>
        </row>
        <row r="261">
          <cell r="A261" t="str">
            <v>9822226f</v>
          </cell>
          <cell r="B261" t="str">
            <v>BOZ-KAY5+6-FF-260</v>
          </cell>
          <cell r="E261">
            <v>45517</v>
          </cell>
          <cell r="F261">
            <v>45517.80972222222</v>
          </cell>
          <cell r="G261" t="str">
            <v>3873(2)</v>
          </cell>
          <cell r="H261" t="str">
            <v>RA</v>
          </cell>
          <cell r="I261" t="str">
            <v>Hat/Line</v>
          </cell>
          <cell r="J261" t="str">
            <v>C-Uyarı, sürüş devamlılığı</v>
          </cell>
          <cell r="K261" t="str">
            <v>Müşteri</v>
          </cell>
          <cell r="L261" t="str">
            <v>Araç içerisindeki engelli butonlarına basıldığında kabin içerisine yüksek sesli uyarı veriyor</v>
          </cell>
          <cell r="M261" t="str">
            <v>Engelli buzzer kablosu tcms modulünden söküldü</v>
          </cell>
          <cell r="N261">
            <v>86500</v>
          </cell>
          <cell r="P261" t="str">
            <v>C(Sisteme etki etmeyen arıza)</v>
          </cell>
          <cell r="Q261" t="str">
            <v>N.A(Yaralanma yok)</v>
          </cell>
          <cell r="R261" t="str">
            <v>Tedarikçi</v>
          </cell>
          <cell r="S261" t="str">
            <v>Bozankaya</v>
          </cell>
          <cell r="T261">
            <v>45530</v>
          </cell>
          <cell r="U261">
            <v>45530.578680555554</v>
          </cell>
          <cell r="V261" t="str">
            <v>Bozankaya</v>
          </cell>
          <cell r="AE261" t="str">
            <v/>
          </cell>
          <cell r="AH261" t="str">
            <v/>
          </cell>
          <cell r="AP261" t="str">
            <v>(I) İlk defa karşılaşılan arıza</v>
          </cell>
          <cell r="AQ261" t="str">
            <v/>
          </cell>
          <cell r="AU261" t="str">
            <v>E-Kabinet</v>
          </cell>
        </row>
        <row r="262">
          <cell r="A262" t="str">
            <v>8dbec0fc</v>
          </cell>
          <cell r="B262" t="str">
            <v>BOZ-KAY5+6-FF-261</v>
          </cell>
          <cell r="E262">
            <v>45519</v>
          </cell>
          <cell r="F262">
            <v>45519.566666666666</v>
          </cell>
          <cell r="G262" t="str">
            <v>3874(3)</v>
          </cell>
          <cell r="H262" t="str">
            <v>RB</v>
          </cell>
          <cell r="I262" t="str">
            <v>Depo/Depot</v>
          </cell>
          <cell r="J262" t="str">
            <v>C-Uyarı, sürüş devamlılığı</v>
          </cell>
          <cell r="K262" t="str">
            <v>SSH</v>
          </cell>
          <cell r="L262" t="str">
            <v>Kapı üstü ekran görüntüsü yeşil mavi kırmızı oluyor sürekli</v>
          </cell>
          <cell r="M262" t="str">
            <v>Ekran değişimi yapıldı</v>
          </cell>
          <cell r="N262">
            <v>82744</v>
          </cell>
          <cell r="P262" t="str">
            <v>C(Sisteme etki etmeyen arıza)</v>
          </cell>
          <cell r="Q262" t="str">
            <v>N.A(Yaralanma yok)</v>
          </cell>
          <cell r="R262" t="str">
            <v>Tedarikçi</v>
          </cell>
          <cell r="S262" t="str">
            <v>Atak</v>
          </cell>
          <cell r="T262">
            <v>45519</v>
          </cell>
          <cell r="U262">
            <v>45519.569444444445</v>
          </cell>
          <cell r="V262" t="str">
            <v>ATAK ULAŞIM SAN.TİC.LTD.ŞTİ.</v>
          </cell>
          <cell r="W262" t="str">
            <v>Kapı üstü ekran</v>
          </cell>
          <cell r="X262"/>
          <cell r="Y262">
            <v>1</v>
          </cell>
          <cell r="Z262">
            <v>202313020046</v>
          </cell>
          <cell r="AB262" t="str">
            <v>Ekipman değiştirilecek</v>
          </cell>
          <cell r="AD262"/>
          <cell r="AE262" t="str">
            <v/>
          </cell>
          <cell r="AH262" t="str">
            <v/>
          </cell>
          <cell r="AP262" t="str">
            <v>(III) Birden fazla aynı araçta karşılaşılan arıza</v>
          </cell>
          <cell r="AQ262" t="str">
            <v/>
          </cell>
          <cell r="AR262"/>
          <cell r="AU262" t="str">
            <v>Giydirme İç</v>
          </cell>
        </row>
        <row r="263">
          <cell r="A263" t="str">
            <v>5cfa2df1</v>
          </cell>
          <cell r="B263" t="str">
            <v>BOZ-KAY5+6-FF-262</v>
          </cell>
          <cell r="E263">
            <v>45519</v>
          </cell>
          <cell r="F263">
            <v>45519.718055555553</v>
          </cell>
          <cell r="G263" t="str">
            <v>3874(3)</v>
          </cell>
          <cell r="H263" t="str">
            <v>MA</v>
          </cell>
          <cell r="I263" t="str">
            <v>Depo/Depot</v>
          </cell>
          <cell r="J263" t="str">
            <v>C-Uyarı, sürüş devamlılığı</v>
          </cell>
          <cell r="K263" t="str">
            <v>Müşteri</v>
          </cell>
          <cell r="L263" t="str">
            <v>2 numaralı kapı buzzeri sesi kesik kesik geliyor</v>
          </cell>
          <cell r="M263" t="str">
            <v>Kapı buzzer değişimi yapıldı</v>
          </cell>
          <cell r="N263">
            <v>82744</v>
          </cell>
          <cell r="P263" t="str">
            <v>C(Sisteme etki etmeyen arıza)</v>
          </cell>
          <cell r="Q263" t="str">
            <v>N.A(Yaralanma yok)</v>
          </cell>
          <cell r="R263" t="str">
            <v>Bozankaya</v>
          </cell>
          <cell r="S263" t="str">
            <v>Tasarım</v>
          </cell>
          <cell r="T263">
            <v>45519</v>
          </cell>
          <cell r="U263">
            <v>45519.719444444447</v>
          </cell>
          <cell r="V263" t="str">
            <v>TURCK OTOMASYON TİC. LTD.ŞTİ.</v>
          </cell>
          <cell r="W263" t="str">
            <v>SESLI UYARI CIHAZI</v>
          </cell>
          <cell r="X263" t="str">
            <v>M110-7057</v>
          </cell>
          <cell r="Y263">
            <v>1</v>
          </cell>
          <cell r="Z263" t="str">
            <v>20505/263999</v>
          </cell>
          <cell r="AB263" t="str">
            <v>Ekipman değiştirilecek</v>
          </cell>
          <cell r="AD263"/>
          <cell r="AE263" t="str">
            <v/>
          </cell>
          <cell r="AH263" t="str">
            <v/>
          </cell>
          <cell r="AN263">
            <v>1</v>
          </cell>
          <cell r="AP263" t="str">
            <v>(I) İlk defa karşılaşılan arıza</v>
          </cell>
          <cell r="AQ263">
            <v>45519</v>
          </cell>
          <cell r="AR263">
            <v>45519.770833333336</v>
          </cell>
          <cell r="AU263" t="str">
            <v>Kapı</v>
          </cell>
        </row>
        <row r="264">
          <cell r="A264" t="str">
            <v>782d61ca</v>
          </cell>
          <cell r="B264" t="str">
            <v>BOZ-KAY5+6-FF-263</v>
          </cell>
          <cell r="E264">
            <v>45519</v>
          </cell>
          <cell r="F264">
            <v>45519.722916666666</v>
          </cell>
          <cell r="G264" t="str">
            <v>3874(3)</v>
          </cell>
          <cell r="H264" t="str">
            <v>RB</v>
          </cell>
          <cell r="I264" t="str">
            <v>Depo/Depot</v>
          </cell>
          <cell r="J264" t="str">
            <v>C-Uyarı, sürüş devamlılığı</v>
          </cell>
          <cell r="K264" t="str">
            <v>Müşteri</v>
          </cell>
          <cell r="L264" t="str">
            <v>7 numaralı kapı buzzer sesi az geliyor</v>
          </cell>
          <cell r="M264" t="str">
            <v>Kapı buzzer değişimi yapıldı</v>
          </cell>
          <cell r="N264">
            <v>82744</v>
          </cell>
          <cell r="P264" t="str">
            <v>C(Sisteme etki etmeyen arıza)</v>
          </cell>
          <cell r="Q264" t="str">
            <v>N.A(Yaralanma yok)</v>
          </cell>
          <cell r="R264" t="str">
            <v>Tedarikçi</v>
          </cell>
          <cell r="S264" t="str">
            <v>TSL</v>
          </cell>
          <cell r="T264">
            <v>45519</v>
          </cell>
          <cell r="U264">
            <v>45519.724305555559</v>
          </cell>
          <cell r="V264" t="str">
            <v>TURCK OTOMASYON TİC. LTD.ŞTİ.</v>
          </cell>
          <cell r="W264" t="str">
            <v>SESLI UYARI CIHAZI</v>
          </cell>
          <cell r="X264" t="str">
            <v>M110-7057</v>
          </cell>
          <cell r="Y264">
            <v>1</v>
          </cell>
          <cell r="Z264" t="str">
            <v>22343/305445</v>
          </cell>
          <cell r="AB264" t="str">
            <v>Ekipman değiştirilecek</v>
          </cell>
          <cell r="AD264"/>
          <cell r="AE264" t="str">
            <v/>
          </cell>
          <cell r="AH264" t="str">
            <v/>
          </cell>
          <cell r="AN264">
            <v>1</v>
          </cell>
          <cell r="AP264" t="str">
            <v>(III) Birden fazla aynı araçta karşılaşılan arıza</v>
          </cell>
          <cell r="AQ264">
            <v>45519</v>
          </cell>
          <cell r="AR264">
            <v>45519.770833333336</v>
          </cell>
          <cell r="AU264" t="str">
            <v>Kapı</v>
          </cell>
        </row>
        <row r="265">
          <cell r="A265" t="str">
            <v>c30fb9ee</v>
          </cell>
          <cell r="B265" t="str">
            <v>BOZ-KAY5+6-FF-264</v>
          </cell>
          <cell r="E265">
            <v>45520</v>
          </cell>
          <cell r="F265">
            <v>45520.344444444447</v>
          </cell>
          <cell r="G265" t="str">
            <v>3874(3)</v>
          </cell>
          <cell r="H265" t="str">
            <v>RA</v>
          </cell>
          <cell r="I265" t="str">
            <v>Hat/Line</v>
          </cell>
          <cell r="J265" t="str">
            <v>A-Sürüşü engeller</v>
          </cell>
          <cell r="K265" t="str">
            <v>Müşteri</v>
          </cell>
          <cell r="L265" t="str">
            <v>6 numaralı kapı flash code 3 hatası veriyor</v>
          </cell>
          <cell r="M265" t="str">
            <v>Aracın DCU ve S2 switch değişimi yapıldı arıza devam etmektedir</v>
          </cell>
          <cell r="N265">
            <v>82744</v>
          </cell>
          <cell r="P265" t="str">
            <v>B(Servisten çekmeye etki eden arızalar)</v>
          </cell>
          <cell r="Q265" t="str">
            <v>N.A(Yaralanma yok)</v>
          </cell>
          <cell r="R265" t="str">
            <v>Tedarikçi</v>
          </cell>
          <cell r="S265" t="str">
            <v>IFE</v>
          </cell>
          <cell r="T265">
            <v>45520</v>
          </cell>
          <cell r="U265">
            <v>45520.345833333333</v>
          </cell>
          <cell r="V265" t="str">
            <v>KNORR-BREMSE GMBH DİVİSİON IFE AUTO</v>
          </cell>
          <cell r="W265" t="str">
            <v>PRM'LI ÇİFTLİ KAPI</v>
          </cell>
          <cell r="X265" t="str">
            <v>M110-7082</v>
          </cell>
          <cell r="Y265">
            <v>1</v>
          </cell>
          <cell r="Z265">
            <v>463353040002</v>
          </cell>
          <cell r="AB265" t="str">
            <v>Arıza çözülecek</v>
          </cell>
          <cell r="AD265"/>
          <cell r="AE265" t="str">
            <v/>
          </cell>
          <cell r="AH265" t="str">
            <v/>
          </cell>
          <cell r="AN265">
            <v>1</v>
          </cell>
          <cell r="AP265" t="str">
            <v>(I) İlk defa karşılaşılan arıza</v>
          </cell>
          <cell r="AQ265">
            <v>45520</v>
          </cell>
          <cell r="AR265">
            <v>45520.75</v>
          </cell>
          <cell r="AU265" t="str">
            <v>Kapı</v>
          </cell>
        </row>
        <row r="266">
          <cell r="A266" t="str">
            <v>a096bdf4</v>
          </cell>
          <cell r="B266" t="str">
            <v>BOZ-KAY5+6-FF-265</v>
          </cell>
          <cell r="E266">
            <v>45524</v>
          </cell>
          <cell r="F266">
            <v>45524.465277777781</v>
          </cell>
          <cell r="G266" t="str">
            <v>3877(6)</v>
          </cell>
          <cell r="H266" t="str">
            <v>MA</v>
          </cell>
          <cell r="I266" t="str">
            <v>Depo/Depot</v>
          </cell>
          <cell r="J266" t="str">
            <v>C-Uyarı, sürüş devamlılığı</v>
          </cell>
          <cell r="K266" t="str">
            <v>Müşteri</v>
          </cell>
          <cell r="L266" t="str">
            <v>Kuplör dil motoru sürekli çalışıyor</v>
          </cell>
          <cell r="M266"/>
          <cell r="N266">
            <v>54202</v>
          </cell>
          <cell r="P266" t="str">
            <v>B(Servisten çekmeye etki eden arızalar)</v>
          </cell>
          <cell r="Q266" t="str">
            <v>N.A(Yaralanma yok)</v>
          </cell>
          <cell r="R266" t="str">
            <v>Tedarikçi</v>
          </cell>
          <cell r="S266" t="str">
            <v>Bozankaya</v>
          </cell>
          <cell r="T266">
            <v>45524</v>
          </cell>
          <cell r="U266">
            <v>45524.470833333333</v>
          </cell>
          <cell r="V266" t="str">
            <v>DELLNER COUPLERC AB</v>
          </cell>
          <cell r="W266" t="str">
            <v>OTOMATIK KUPLÖR DELLNER</v>
          </cell>
          <cell r="X266" t="str">
            <v>M350-7062</v>
          </cell>
          <cell r="Y266">
            <v>1</v>
          </cell>
          <cell r="Z266"/>
          <cell r="AB266" t="str">
            <v>Arıza çözülecek</v>
          </cell>
          <cell r="AD266"/>
          <cell r="AE266" t="str">
            <v/>
          </cell>
          <cell r="AH266" t="str">
            <v/>
          </cell>
          <cell r="AP266" t="str">
            <v>(I) İlk defa karşılaşılan arıza</v>
          </cell>
          <cell r="AQ266" t="str">
            <v/>
          </cell>
          <cell r="AR266"/>
          <cell r="AU266" t="str">
            <v>Autocoupler</v>
          </cell>
        </row>
        <row r="267">
          <cell r="A267" t="str">
            <v>b79d6c7a</v>
          </cell>
          <cell r="B267" t="str">
            <v>BOZ-KAY5+6-FF-266</v>
          </cell>
          <cell r="E267">
            <v>45526</v>
          </cell>
          <cell r="F267">
            <v>45526.335416666669</v>
          </cell>
          <cell r="G267" t="str">
            <v>3877(6)</v>
          </cell>
          <cell r="H267" t="str">
            <v>P</v>
          </cell>
          <cell r="I267" t="str">
            <v>Hat/Line</v>
          </cell>
          <cell r="J267" t="str">
            <v>A-Sürüşü engeller</v>
          </cell>
          <cell r="K267" t="str">
            <v>Müşteri</v>
          </cell>
          <cell r="L267" t="str">
            <v>ARAÇ İSTASYONDA RESETLENDİ ARAÇ HSCB KAPATMADI 1 SEFER İPTALİ OLDU.</v>
          </cell>
          <cell r="M267" t="str">
            <v>PANTOGRAF BASKI AYARI YAPILDI. TEST EDİLDİ.</v>
          </cell>
          <cell r="N267">
            <v>54400</v>
          </cell>
          <cell r="P267" t="str">
            <v>B(Servisten çekmeye etki eden arızalar)</v>
          </cell>
          <cell r="Q267" t="str">
            <v>N.A(Yaralanma yok)</v>
          </cell>
          <cell r="R267" t="str">
            <v>Bozankaya</v>
          </cell>
          <cell r="S267" t="str">
            <v>Üretim</v>
          </cell>
          <cell r="T267">
            <v>45526</v>
          </cell>
          <cell r="U267">
            <v>45526.596516203703</v>
          </cell>
          <cell r="V267" t="str">
            <v>STEMMANN-POLSKA SP. Z O.O.</v>
          </cell>
          <cell r="W267" t="str">
            <v>PANTOGRAF KOMPLESI</v>
          </cell>
          <cell r="X267" t="str">
            <v>P710-7019</v>
          </cell>
          <cell r="AB267" t="str">
            <v>Tamir edilecek</v>
          </cell>
          <cell r="AE267" t="str">
            <v/>
          </cell>
          <cell r="AH267" t="str">
            <v/>
          </cell>
          <cell r="AN267">
            <v>1</v>
          </cell>
          <cell r="AP267" t="str">
            <v>(I) İlk defa karşılaşılan arıza</v>
          </cell>
          <cell r="AQ267">
            <v>45526</v>
          </cell>
          <cell r="AR267">
            <v>45526.6875</v>
          </cell>
          <cell r="AU267" t="str">
            <v>Pantograf</v>
          </cell>
        </row>
        <row r="268">
          <cell r="A268" t="str">
            <v>aea13d2a</v>
          </cell>
          <cell r="B268" t="str">
            <v>BOZ-KAY5+6-FF-267</v>
          </cell>
          <cell r="E268">
            <v>45530</v>
          </cell>
          <cell r="F268">
            <v>45530.350694444445</v>
          </cell>
          <cell r="G268" t="str">
            <v>3875(4)</v>
          </cell>
          <cell r="H268" t="str">
            <v>MA</v>
          </cell>
          <cell r="I268" t="str">
            <v>Depo/Depot</v>
          </cell>
          <cell r="J268" t="str">
            <v>C-Uyarı, sürüş devamlılığı</v>
          </cell>
          <cell r="K268" t="str">
            <v>Müşteri</v>
          </cell>
          <cell r="L268" t="str">
            <v>Aracın NVR arızalı</v>
          </cell>
          <cell r="M268" t="str">
            <v>Araç NVR resetlendi.Arıza devamlılığı görülmedi</v>
          </cell>
          <cell r="N268">
            <v>34800</v>
          </cell>
          <cell r="P268" t="str">
            <v>C(Sisteme etki etmeyen arıza)</v>
          </cell>
          <cell r="Q268" t="str">
            <v>N.A(Yaralanma yok)</v>
          </cell>
          <cell r="R268" t="str">
            <v>Tedarikçi</v>
          </cell>
          <cell r="S268" t="str">
            <v>NSC</v>
          </cell>
          <cell r="T268">
            <v>45531</v>
          </cell>
          <cell r="U268">
            <v>45531.628865740742</v>
          </cell>
          <cell r="V268" t="str">
            <v>NSC TEKNOLOJİ ve İNŞAAT LTD.ŞTİ.</v>
          </cell>
          <cell r="W268" t="str">
            <v>XKAYIT CİHAZI(NVR)</v>
          </cell>
          <cell r="X268" t="str">
            <v>E810-7002</v>
          </cell>
          <cell r="AB268" t="str">
            <v>Arıza çözülecek</v>
          </cell>
          <cell r="AE268" t="str">
            <v/>
          </cell>
          <cell r="AH268" t="str">
            <v/>
          </cell>
          <cell r="AN268">
            <v>1</v>
          </cell>
          <cell r="AP268" t="str">
            <v>(I) İlk defa karşılaşılan arıza</v>
          </cell>
          <cell r="AQ268">
            <v>45531</v>
          </cell>
          <cell r="AR268">
            <v>45531.666666666664</v>
          </cell>
          <cell r="AU268" t="str">
            <v>PA/PIS/CCTV</v>
          </cell>
        </row>
        <row r="269">
          <cell r="A269" t="str">
            <v>89b96f90</v>
          </cell>
          <cell r="B269" t="str">
            <v>BOZ-KAY5+6-FF-268</v>
          </cell>
          <cell r="E269">
            <v>45530</v>
          </cell>
          <cell r="F269">
            <v>45530.770833333336</v>
          </cell>
          <cell r="G269" t="str">
            <v>3875(4)</v>
          </cell>
          <cell r="H269" t="str">
            <v>MA</v>
          </cell>
          <cell r="I269" t="str">
            <v>Hat/Line</v>
          </cell>
          <cell r="J269" t="str">
            <v>A-Sürüşü engeller</v>
          </cell>
          <cell r="K269" t="str">
            <v>Müşteri</v>
          </cell>
          <cell r="L269" t="str">
            <v>KABİN CA KAMERA GÖRÜNTÜLERİ GELMİYOR.</v>
          </cell>
          <cell r="M269" t="str">
            <v>PANEL PC DE PROGRAM 5 DEFA ARKA ARKAYA AÇILMIŞ BU NEDENLE DONMA YAPMIŞ DÜZELTİLDİ.</v>
          </cell>
          <cell r="N269">
            <v>57800</v>
          </cell>
          <cell r="P269" t="str">
            <v>B(Servisten çekmeye etki eden arızalar)</v>
          </cell>
          <cell r="Q269" t="str">
            <v>N.A(Yaralanma yok)</v>
          </cell>
          <cell r="R269" t="str">
            <v>Tedarikçi</v>
          </cell>
          <cell r="S269" t="str">
            <v>NSC</v>
          </cell>
          <cell r="T269">
            <v>45530</v>
          </cell>
          <cell r="U269">
            <v>45530.791666666664</v>
          </cell>
          <cell r="V269" t="str">
            <v>NSC TEKNOLOJİ ve İNŞAAT LTD.ŞTİ.</v>
          </cell>
          <cell r="W269" t="str">
            <v>CCTV EKRANI</v>
          </cell>
          <cell r="X269" t="str">
            <v>E810-7145</v>
          </cell>
          <cell r="AB269" t="str">
            <v>Tamir edilecek</v>
          </cell>
          <cell r="AE269" t="str">
            <v/>
          </cell>
          <cell r="AN269">
            <v>1</v>
          </cell>
          <cell r="AP269" t="str">
            <v>(III) Birden fazla aynı araçta karşılaşılan arıza</v>
          </cell>
          <cell r="AQ269">
            <v>45530</v>
          </cell>
          <cell r="AR269">
            <v>45530.833333333336</v>
          </cell>
          <cell r="AU269" t="str">
            <v>PA/PIS/CCTV</v>
          </cell>
        </row>
        <row r="270">
          <cell r="A270" t="str">
            <v>f3eb3c3f</v>
          </cell>
          <cell r="B270" t="str">
            <v>BOZ-KAY5+6-FF-269</v>
          </cell>
          <cell r="E270">
            <v>45531</v>
          </cell>
          <cell r="F270">
            <v>45531.437974537039</v>
          </cell>
          <cell r="G270" t="str">
            <v>3878(7)</v>
          </cell>
          <cell r="H270" t="str">
            <v>MA</v>
          </cell>
          <cell r="I270" t="str">
            <v>Depo/Depot</v>
          </cell>
          <cell r="J270" t="str">
            <v>C-Uyarı, sürüş devamlılığı</v>
          </cell>
          <cell r="K270" t="str">
            <v>Müşteri</v>
          </cell>
          <cell r="L270" t="str">
            <v>Panel pc ekranları yok</v>
          </cell>
          <cell r="M270" t="str">
            <v>CA CB Kabinlere panel pc montajı yapılıp ıp ve kabin ayarları yapıldı</v>
          </cell>
          <cell r="N270">
            <v>15000</v>
          </cell>
          <cell r="P270" t="str">
            <v>C(Sisteme etki etmeyen arıza)</v>
          </cell>
          <cell r="Q270" t="str">
            <v>N.A(Yaralanma yok)</v>
          </cell>
          <cell r="R270" t="str">
            <v>Tedarikçi</v>
          </cell>
          <cell r="S270" t="str">
            <v>NSC</v>
          </cell>
          <cell r="T270">
            <v>45531</v>
          </cell>
          <cell r="U270">
            <v>45531.646307870367</v>
          </cell>
          <cell r="V270" t="str">
            <v>NSC TEKNOLOJİ ve İNŞAAT LTD.ŞTİ.</v>
          </cell>
          <cell r="W270" t="str">
            <v>CCTV EKRANI</v>
          </cell>
          <cell r="X270" t="str">
            <v>E810-7145</v>
          </cell>
          <cell r="AB270" t="str">
            <v>Ekipman Değiştirilecek</v>
          </cell>
          <cell r="AE270" t="str">
            <v/>
          </cell>
          <cell r="AN270">
            <v>1</v>
          </cell>
          <cell r="AP270" t="str">
            <v>(I) İlk defa karşılaşılan arıza</v>
          </cell>
          <cell r="AQ270">
            <v>45531</v>
          </cell>
          <cell r="AR270">
            <v>45531.708333333336</v>
          </cell>
          <cell r="AU270" t="str">
            <v>PA/PIS/CCTV</v>
          </cell>
        </row>
        <row r="271">
          <cell r="A271" t="str">
            <v>bc2056fe</v>
          </cell>
          <cell r="B271" t="str">
            <v>BOZ-KAY5+6-FF-270</v>
          </cell>
          <cell r="E271">
            <v>45532</v>
          </cell>
          <cell r="F271">
            <v>45532.672222222223</v>
          </cell>
          <cell r="G271" t="str">
            <v>3878(7)</v>
          </cell>
          <cell r="H271" t="str">
            <v>MA</v>
          </cell>
          <cell r="I271" t="str">
            <v>Depo/Depot</v>
          </cell>
          <cell r="J271" t="str">
            <v>C-Uyarı, sürüş devamlılığı</v>
          </cell>
          <cell r="K271" t="str">
            <v>SSH</v>
          </cell>
          <cell r="L271" t="str">
            <v>HMI EKRANI PEMBELEŞMEYE BAŞLAMIŞ</v>
          </cell>
          <cell r="N271">
            <v>59333</v>
          </cell>
          <cell r="P271" t="str">
            <v>C(Sisteme etki etmeyen arıza)</v>
          </cell>
          <cell r="Q271" t="str">
            <v>N.A(Yaralanma yok)</v>
          </cell>
          <cell r="R271" t="str">
            <v>Tedarikçi</v>
          </cell>
          <cell r="S271" t="str">
            <v>Medcom</v>
          </cell>
          <cell r="T271">
            <v>45532</v>
          </cell>
          <cell r="U271">
            <v>45532.677083333336</v>
          </cell>
          <cell r="V271" t="str">
            <v>MEDCOM SP. Z O.O.</v>
          </cell>
          <cell r="W271" t="str">
            <v>INC 90 SMALL TOUCH ONLY</v>
          </cell>
          <cell r="X271" t="str">
            <v>E300-7058</v>
          </cell>
          <cell r="Z271" t="str">
            <v>605303/1121</v>
          </cell>
          <cell r="AB271" t="str">
            <v>Ekipman değiştirilecek</v>
          </cell>
          <cell r="AE271" t="str">
            <v/>
          </cell>
          <cell r="AH271" t="str">
            <v/>
          </cell>
          <cell r="AP271" t="str">
            <v>(I) İlk defa karşılaşılan arıza</v>
          </cell>
          <cell r="AQ271" t="str">
            <v/>
          </cell>
          <cell r="AU271" t="str">
            <v>Kabin Masası</v>
          </cell>
        </row>
        <row r="272">
          <cell r="A272" t="str">
            <v>ac577bb9</v>
          </cell>
          <cell r="B272" t="str">
            <v>BOZ-KAY5+6-FF-271</v>
          </cell>
          <cell r="E272">
            <v>45539</v>
          </cell>
          <cell r="F272">
            <v>45539.612500000003</v>
          </cell>
          <cell r="G272" t="str">
            <v>3880(9)</v>
          </cell>
          <cell r="H272" t="str">
            <v>RA</v>
          </cell>
          <cell r="I272" t="str">
            <v>Hat/Line</v>
          </cell>
          <cell r="J272" t="str">
            <v>B-Hız veya güç azalması</v>
          </cell>
          <cell r="K272" t="str">
            <v>Müşteri</v>
          </cell>
          <cell r="L272" t="str">
            <v>YOLCU BÖLÜMÜ SICAK</v>
          </cell>
          <cell r="M272" t="str">
            <v>MASTERCARD RESETLENDİ. PROGRAM ATILDI.KLİMALAR AKTİF.(CA VE RA) ÇALIŞIYOR.</v>
          </cell>
          <cell r="N272">
            <v>40028</v>
          </cell>
          <cell r="P272" t="str">
            <v>B(Servisten çekmeye etki eden arızalar)</v>
          </cell>
          <cell r="Q272" t="str">
            <v>N.A(Yaralanma yok)</v>
          </cell>
          <cell r="R272" t="str">
            <v>Tedarikçi</v>
          </cell>
          <cell r="S272" t="str">
            <v>Eltesan</v>
          </cell>
          <cell r="T272">
            <v>45539</v>
          </cell>
          <cell r="U272">
            <v>45539.625</v>
          </cell>
          <cell r="V272" t="str">
            <v>ELTESAN ELEKTRO MEKANİK SOĞUTMA SAN</v>
          </cell>
          <cell r="W272" t="str">
            <v>KLIMA UNITESİ /Eltesan/Hispacold 41,5 kW</v>
          </cell>
          <cell r="X272" t="str">
            <v>H500-7240</v>
          </cell>
          <cell r="AB272" t="str">
            <v>Yazılım güncelleme</v>
          </cell>
          <cell r="AE272" t="str">
            <v/>
          </cell>
          <cell r="AN272">
            <v>1</v>
          </cell>
          <cell r="AP272" t="str">
            <v>(III) Birden fazla aynı araçta karşılaşılan arıza</v>
          </cell>
          <cell r="AQ272">
            <v>45539</v>
          </cell>
          <cell r="AR272">
            <v>45539.708333333336</v>
          </cell>
          <cell r="AU272" t="str">
            <v>HVAC Yolcu</v>
          </cell>
        </row>
        <row r="273">
          <cell r="A273" t="str">
            <v>f90d1c4f</v>
          </cell>
          <cell r="B273" t="str">
            <v>BOZ-KAY5+6-FF-272</v>
          </cell>
          <cell r="E273">
            <v>45540</v>
          </cell>
          <cell r="F273">
            <v>45540.726388888892</v>
          </cell>
          <cell r="G273" t="str">
            <v>3876(5)</v>
          </cell>
          <cell r="H273" t="str">
            <v>MB</v>
          </cell>
          <cell r="I273" t="str">
            <v>Hat/Line</v>
          </cell>
          <cell r="J273" t="str">
            <v>C-Uyarı, sürüş devamlılığı</v>
          </cell>
          <cell r="K273" t="str">
            <v>Müşteri</v>
          </cell>
          <cell r="L273" t="str">
            <v>Analog ayna kamera çalışmıyor ekranda beyaz gözüküyor</v>
          </cell>
          <cell r="M273" t="str">
            <v>Kamera değişimi yapıldı</v>
          </cell>
          <cell r="N273">
            <v>81850</v>
          </cell>
          <cell r="P273" t="str">
            <v>B(Servisten çekmeye etki eden arızalar)</v>
          </cell>
          <cell r="Q273" t="str">
            <v>N.A(Yaralanma yok)</v>
          </cell>
          <cell r="R273" t="str">
            <v>Tedarikçi</v>
          </cell>
          <cell r="S273" t="str">
            <v>Bozankaya</v>
          </cell>
          <cell r="T273">
            <v>45540</v>
          </cell>
          <cell r="U273">
            <v>45540.727777777778</v>
          </cell>
          <cell r="V273" t="str">
            <v>STONKAM CO ., LTD</v>
          </cell>
          <cell r="W273" t="str">
            <v>AYNA KAMERA</v>
          </cell>
          <cell r="X273" t="str">
            <v>E810-7150</v>
          </cell>
          <cell r="Y273">
            <v>1</v>
          </cell>
          <cell r="AB273" t="str">
            <v>Ekipman değiştirilecek</v>
          </cell>
          <cell r="AE273" t="str">
            <v/>
          </cell>
          <cell r="AH273" t="str">
            <v/>
          </cell>
          <cell r="AN273">
            <v>1</v>
          </cell>
          <cell r="AP273" t="str">
            <v>(I) İlk defa karşılaşılan arıza</v>
          </cell>
          <cell r="AQ273">
            <v>45540</v>
          </cell>
          <cell r="AR273">
            <v>45540.770833333336</v>
          </cell>
          <cell r="AU273" t="str">
            <v>PA/PIS/CCTV</v>
          </cell>
        </row>
        <row r="274">
          <cell r="A274" t="str">
            <v>fd838d9d</v>
          </cell>
          <cell r="B274" t="str">
            <v>BOZ-KAY5+6-FF-273</v>
          </cell>
          <cell r="E274">
            <v>45541</v>
          </cell>
          <cell r="F274">
            <v>45541.40902777778</v>
          </cell>
          <cell r="G274" t="str">
            <v>3874(3)</v>
          </cell>
          <cell r="H274" t="str">
            <v>MA</v>
          </cell>
          <cell r="I274" t="str">
            <v>Hat/Line</v>
          </cell>
          <cell r="J274" t="str">
            <v>C-Uyarı, sürüş devamlılığı</v>
          </cell>
          <cell r="K274" t="str">
            <v>Müşteri</v>
          </cell>
          <cell r="L274" t="str">
            <v>A KABİN SİLECEK ÇALIŞMIYOR.</v>
          </cell>
          <cell r="M274" t="str">
            <v>SİLECEK KOLU GEVŞEDİĞİ İÇİN SİLECEK ÇALIŞMIYORDU. KOL SIKILANDI. SİLECEK ÇALIŞIYOR.</v>
          </cell>
          <cell r="N274">
            <v>88196</v>
          </cell>
          <cell r="P274" t="str">
            <v>A(Hareket etmeyi engelleyen arıza)</v>
          </cell>
          <cell r="Q274" t="str">
            <v>N.A(Yaralanma yok)</v>
          </cell>
          <cell r="R274" t="str">
            <v>Tedarikçi</v>
          </cell>
          <cell r="S274" t="str">
            <v>Bozankaya</v>
          </cell>
          <cell r="T274">
            <v>45541</v>
          </cell>
          <cell r="U274">
            <v>45541.4375</v>
          </cell>
          <cell r="V274" t="str">
            <v>DENİZLER OTOMOTİV SAN. VE TİC.LTD.Ş</v>
          </cell>
          <cell r="W274" t="str">
            <v>SİLECEK MEKANİZMASI Denizler / M.11.2506</v>
          </cell>
          <cell r="X274" t="str">
            <v>M100-7066</v>
          </cell>
          <cell r="Y274">
            <v>1</v>
          </cell>
          <cell r="AB274" t="str">
            <v>Tamir edilecek</v>
          </cell>
          <cell r="AE274" t="str">
            <v/>
          </cell>
          <cell r="AN274">
            <v>1</v>
          </cell>
          <cell r="AP274" t="str">
            <v>(III) Birden fazla aynı araçta karşılaşılan arıza</v>
          </cell>
          <cell r="AR274">
            <v>45541.5</v>
          </cell>
          <cell r="AU274" t="str">
            <v>Silecek</v>
          </cell>
        </row>
        <row r="275">
          <cell r="A275" t="str">
            <v>7faf3b56</v>
          </cell>
          <cell r="B275" t="str">
            <v>BOZ-KAY5+6-FF-274</v>
          </cell>
          <cell r="E275">
            <v>45544</v>
          </cell>
          <cell r="F275">
            <v>45544.613194444442</v>
          </cell>
          <cell r="G275" t="str">
            <v>3875(4)</v>
          </cell>
          <cell r="H275" t="str">
            <v>RA</v>
          </cell>
          <cell r="I275" t="str">
            <v>Hat/Line</v>
          </cell>
          <cell r="J275" t="str">
            <v>C-Uyarı, sürüş devamlılığı</v>
          </cell>
          <cell r="K275" t="str">
            <v>Müşteri</v>
          </cell>
          <cell r="L275" t="str">
            <v>beyaz ekran arızası var</v>
          </cell>
          <cell r="M275" t="str">
            <v>ekran değişimi yapıldı</v>
          </cell>
          <cell r="N275">
            <v>60703</v>
          </cell>
          <cell r="P275" t="str">
            <v>C(Sisteme etki etmeyen arıza)</v>
          </cell>
          <cell r="Q275" t="str">
            <v>N.A(Yaralanma yok)</v>
          </cell>
          <cell r="R275" t="str">
            <v>Tedarikçi</v>
          </cell>
          <cell r="S275" t="str">
            <v>Atak</v>
          </cell>
          <cell r="T275">
            <v>45544</v>
          </cell>
          <cell r="U275">
            <v>45544.615706018521</v>
          </cell>
          <cell r="V275" t="str">
            <v>ATAK ULAŞIM SAN.TİC.LTD.ŞTİ.</v>
          </cell>
          <cell r="W275" t="str">
            <v>28.6"  EKRAN</v>
          </cell>
          <cell r="X275" t="str">
            <v>E840-7120</v>
          </cell>
          <cell r="Y275">
            <v>1</v>
          </cell>
          <cell r="Z275">
            <v>2022281200036</v>
          </cell>
          <cell r="AB275" t="str">
            <v>Ekipman değiştirilecek</v>
          </cell>
          <cell r="AE275" t="str">
            <v/>
          </cell>
          <cell r="AH275" t="str">
            <v/>
          </cell>
          <cell r="AN275">
            <v>1</v>
          </cell>
          <cell r="AP275" t="str">
            <v>(II) Birden fazla karşılaşılan arıza</v>
          </cell>
          <cell r="AQ275">
            <v>45544</v>
          </cell>
          <cell r="AR275">
            <v>45544.6875</v>
          </cell>
          <cell r="AU275" t="str">
            <v>PA/PIS/CCTV</v>
          </cell>
        </row>
        <row r="276">
          <cell r="A276" t="str">
            <v>4f999409</v>
          </cell>
          <cell r="B276" t="str">
            <v>BOZ-KAY5+6-FF-275</v>
          </cell>
          <cell r="E276">
            <v>45544</v>
          </cell>
          <cell r="F276">
            <v>45544.618055555555</v>
          </cell>
          <cell r="G276" t="str">
            <v>3875(4)</v>
          </cell>
          <cell r="H276" t="str">
            <v>RA</v>
          </cell>
          <cell r="I276" t="str">
            <v>Hat/Line</v>
          </cell>
          <cell r="J276" t="str">
            <v>C-Uyarı, sürüş devamlılığı</v>
          </cell>
          <cell r="K276" t="str">
            <v>Müşteri</v>
          </cell>
          <cell r="L276" t="str">
            <v>ekrana görüntü gelmiyor</v>
          </cell>
          <cell r="M276" t="str">
            <v>Ekran değişimi yapıldı</v>
          </cell>
          <cell r="N276">
            <v>60703</v>
          </cell>
          <cell r="P276" t="str">
            <v>B(Servisten çekmeye etki eden arızalar)</v>
          </cell>
          <cell r="Q276" t="str">
            <v>N.A(Yaralanma yok)</v>
          </cell>
          <cell r="R276" t="str">
            <v>Tedarikçi</v>
          </cell>
          <cell r="S276" t="str">
            <v>Atak</v>
          </cell>
          <cell r="T276">
            <v>45544</v>
          </cell>
          <cell r="U276">
            <v>45544.619768518518</v>
          </cell>
          <cell r="V276" t="str">
            <v>ATAK ULAŞIM SAN.TİC.LTD.ŞTİ.</v>
          </cell>
          <cell r="W276" t="str">
            <v>28.6"  EKRAN</v>
          </cell>
          <cell r="X276" t="str">
            <v>E840-7120</v>
          </cell>
          <cell r="Y276">
            <v>1</v>
          </cell>
          <cell r="Z276">
            <v>2022281300032</v>
          </cell>
          <cell r="AB276" t="str">
            <v>Ekipman değiştirilecek</v>
          </cell>
          <cell r="AE276" t="str">
            <v/>
          </cell>
          <cell r="AH276" t="str">
            <v/>
          </cell>
          <cell r="AN276">
            <v>1</v>
          </cell>
          <cell r="AP276" t="str">
            <v>(II) Birden fazla karşılaşılan arıza</v>
          </cell>
          <cell r="AQ276">
            <v>45544</v>
          </cell>
          <cell r="AR276">
            <v>45544.666666666664</v>
          </cell>
          <cell r="AU276" t="str">
            <v>PA/PIS/CCTV</v>
          </cell>
        </row>
        <row r="277">
          <cell r="A277" t="str">
            <v>9ea93b5d</v>
          </cell>
          <cell r="B277" t="str">
            <v>BOZ-KAY5+6-FF-276</v>
          </cell>
          <cell r="E277">
            <v>45544</v>
          </cell>
          <cell r="F277">
            <v>45544.773611111108</v>
          </cell>
          <cell r="G277" t="str">
            <v>3873(2)</v>
          </cell>
          <cell r="H277" t="str">
            <v>MB</v>
          </cell>
          <cell r="I277" t="str">
            <v>Depo/Depot</v>
          </cell>
          <cell r="J277" t="str">
            <v>C-Uyarı, sürüş devamlılığı</v>
          </cell>
          <cell r="K277" t="str">
            <v>SSH</v>
          </cell>
          <cell r="L277" t="str">
            <v>ekrana enerji gelip  gidiyor</v>
          </cell>
          <cell r="M277" t="str">
            <v>ekran değişimi yapıldı</v>
          </cell>
          <cell r="N277">
            <v>92961</v>
          </cell>
          <cell r="P277" t="str">
            <v>B(Servisten çekmeye etki eden arızalar)</v>
          </cell>
          <cell r="Q277" t="str">
            <v>N.A(Yaralanma yok)</v>
          </cell>
          <cell r="R277" t="str">
            <v>Tedarikçi</v>
          </cell>
          <cell r="S277" t="str">
            <v>NSC</v>
          </cell>
          <cell r="T277">
            <v>45544</v>
          </cell>
          <cell r="U277">
            <v>45544.775381944448</v>
          </cell>
          <cell r="V277" t="str">
            <v>NSC TEKNOLOJİ ve İNŞAAT LTD.ŞTİ.</v>
          </cell>
          <cell r="W277" t="str">
            <v>CCTV EKRANI</v>
          </cell>
          <cell r="X277" t="str">
            <v>E810-7145</v>
          </cell>
          <cell r="Y277">
            <v>1</v>
          </cell>
          <cell r="Z277">
            <v>20231001014</v>
          </cell>
          <cell r="AB277" t="str">
            <v>Ekipman değiştirilecek</v>
          </cell>
          <cell r="AE277" t="str">
            <v/>
          </cell>
          <cell r="AH277" t="str">
            <v/>
          </cell>
          <cell r="AN277">
            <v>1</v>
          </cell>
          <cell r="AP277" t="str">
            <v>(II) Birden fazla karşılaşılan arıza</v>
          </cell>
          <cell r="AQ277">
            <v>45544</v>
          </cell>
          <cell r="AR277">
            <v>45544.8125</v>
          </cell>
          <cell r="AU277" t="str">
            <v>PA/PIS/CCTV</v>
          </cell>
        </row>
        <row r="278">
          <cell r="A278" t="str">
            <v>f02474c1</v>
          </cell>
          <cell r="B278" t="str">
            <v>BOZ-KAY5+6-FF-277</v>
          </cell>
          <cell r="E278">
            <v>45545</v>
          </cell>
          <cell r="F278">
            <v>45545.606944444444</v>
          </cell>
          <cell r="G278" t="str">
            <v>3881(10)</v>
          </cell>
          <cell r="H278" t="str">
            <v>MA</v>
          </cell>
          <cell r="I278" t="str">
            <v>Depo/Depot</v>
          </cell>
          <cell r="J278" t="str">
            <v>C-Uyarı, sürüş devamlılığı</v>
          </cell>
          <cell r="K278" t="str">
            <v>SSH</v>
          </cell>
          <cell r="L278" t="str">
            <v>indikatör panelinde patlak ledler var</v>
          </cell>
          <cell r="M278" t="str">
            <v>değişimi yapıldı</v>
          </cell>
          <cell r="N278">
            <v>34850</v>
          </cell>
          <cell r="P278" t="str">
            <v>C(Sisteme etki etmeyen arıza)</v>
          </cell>
          <cell r="Q278" t="str">
            <v>N.A(Yaralanma yok)</v>
          </cell>
          <cell r="R278" t="str">
            <v>Tedarikçi</v>
          </cell>
          <cell r="S278" t="str">
            <v>Atak</v>
          </cell>
          <cell r="T278">
            <v>45545</v>
          </cell>
          <cell r="U278">
            <v>45545.625</v>
          </cell>
          <cell r="V278" t="str">
            <v>ATAK ULAŞIM SAN.TİC.LTD.ŞTİ.</v>
          </cell>
          <cell r="W278" t="str">
            <v>İNDİKATÖR PANELİ</v>
          </cell>
          <cell r="X278" t="str">
            <v>E300-7007</v>
          </cell>
          <cell r="Y278">
            <v>1</v>
          </cell>
          <cell r="AB278" t="str">
            <v>Ekipman değiştirilecek</v>
          </cell>
          <cell r="AE278" t="str">
            <v/>
          </cell>
          <cell r="AH278" t="str">
            <v/>
          </cell>
          <cell r="AN278">
            <v>1</v>
          </cell>
          <cell r="AP278" t="str">
            <v>(II) Birden fazla karşılaşılan arıza</v>
          </cell>
          <cell r="AQ278">
            <v>45545</v>
          </cell>
          <cell r="AR278">
            <v>45545.666666666664</v>
          </cell>
          <cell r="AU278" t="str">
            <v>Kabin Masası</v>
          </cell>
        </row>
        <row r="280">
          <cell r="A280" t="str">
            <v>6838b596</v>
          </cell>
          <cell r="B280" t="str">
            <v>BOZ-KAY5+6-FF-279</v>
          </cell>
          <cell r="E280">
            <v>45546</v>
          </cell>
          <cell r="F280">
            <v>45546.45</v>
          </cell>
          <cell r="G280" t="str">
            <v>3882(11)</v>
          </cell>
          <cell r="H280" t="str">
            <v>MA</v>
          </cell>
          <cell r="I280" t="str">
            <v>Hat/Line</v>
          </cell>
          <cell r="J280" t="str">
            <v>A-Sürüşü engeller</v>
          </cell>
          <cell r="K280" t="str">
            <v>Müşteri</v>
          </cell>
          <cell r="L280" t="str">
            <v>ARAÇ TÜM BOJİLER İÇİN FREN ARIZASI VERDİ HSCB KAPATMADI 4 SEFERDE 14 DK TEHİR YAŞANDI</v>
          </cell>
          <cell r="M280" t="str">
            <v>PUSH BUTTON KABLOSU ISINMIŞ YANMIŞ DEĞİŞİMİ YAPILDI</v>
          </cell>
          <cell r="N280">
            <v>22056</v>
          </cell>
          <cell r="P280" t="str">
            <v>A(Hareket etmeyi engelleyen arıza)</v>
          </cell>
          <cell r="Q280" t="str">
            <v>N.A(Yaralanma yok)</v>
          </cell>
          <cell r="R280" t="str">
            <v>Bozankaya</v>
          </cell>
          <cell r="S280" t="str">
            <v>Tasarım</v>
          </cell>
          <cell r="T280">
            <v>45546</v>
          </cell>
          <cell r="U280">
            <v>45546.458333333336</v>
          </cell>
          <cell r="V280" t="str">
            <v>GENERAL TEKNİK ELEKTRONİK TESİSAT</v>
          </cell>
          <cell r="W280" t="str">
            <v>IP67 PUSHBUTTON</v>
          </cell>
          <cell r="X280" t="str">
            <v>D145-7001</v>
          </cell>
          <cell r="Y280">
            <v>1</v>
          </cell>
          <cell r="AE280" t="str">
            <v/>
          </cell>
          <cell r="AH280" t="str">
            <v/>
          </cell>
          <cell r="AN280">
            <v>1</v>
          </cell>
          <cell r="AP280" t="str">
            <v>(I) İlk defa karşılaşılan arıza</v>
          </cell>
          <cell r="AQ280">
            <v>45546</v>
          </cell>
          <cell r="AR280">
            <v>45546.75</v>
          </cell>
          <cell r="AU280" t="str">
            <v>E-Kabinet</v>
          </cell>
        </row>
        <row r="281">
          <cell r="A281" t="str">
            <v>aff66234</v>
          </cell>
          <cell r="B281" t="str">
            <v>BOZ-KAY5+6-FF-280</v>
          </cell>
          <cell r="E281">
            <v>45552</v>
          </cell>
          <cell r="F281">
            <v>45552.597418981481</v>
          </cell>
          <cell r="G281" t="str">
            <v>3880(9)</v>
          </cell>
          <cell r="H281" t="str">
            <v>MA</v>
          </cell>
          <cell r="I281" t="str">
            <v>Hat/Line</v>
          </cell>
          <cell r="J281" t="str">
            <v>C-Uyarı, sürüş devamlılığı</v>
          </cell>
          <cell r="K281" t="str">
            <v>Müşteri</v>
          </cell>
          <cell r="L281" t="str">
            <v>Kapı üstü ekranda görüntü gözükmüyor.</v>
          </cell>
          <cell r="M281" t="str">
            <v>Değişimi yapıldı.</v>
          </cell>
          <cell r="N281">
            <v>44912</v>
          </cell>
          <cell r="P281" t="str">
            <v>B(Servisten çekmeye etki eden arızalar)</v>
          </cell>
          <cell r="Q281" t="str">
            <v>N.A(Yaralanma yok)</v>
          </cell>
          <cell r="R281" t="str">
            <v>Tedarikçi</v>
          </cell>
          <cell r="S281" t="str">
            <v>Atak</v>
          </cell>
          <cell r="T281">
            <v>45552</v>
          </cell>
          <cell r="U281">
            <v>45552.604270833333</v>
          </cell>
          <cell r="V281" t="str">
            <v>ATAK ULAŞIM SAN.TİC.LTD.ŞTİ.</v>
          </cell>
          <cell r="W281" t="str">
            <v>STRETCH LCD EKRAN</v>
          </cell>
          <cell r="X281" t="str">
            <v>E410-7003</v>
          </cell>
          <cell r="Y281">
            <v>1</v>
          </cell>
          <cell r="Z281">
            <v>202313020042</v>
          </cell>
          <cell r="AB281" t="str">
            <v>Ekipman değiştirilecek</v>
          </cell>
          <cell r="AE281" t="str">
            <v/>
          </cell>
          <cell r="AH281" t="str">
            <v/>
          </cell>
          <cell r="AN281">
            <v>1</v>
          </cell>
          <cell r="AP281" t="str">
            <v>(II) Birden fazla karşılaşılan arıza</v>
          </cell>
          <cell r="AQ281">
            <v>45552</v>
          </cell>
          <cell r="AR281">
            <v>45552.708506944444</v>
          </cell>
          <cell r="AU281" t="str">
            <v>PA/PIS/CCTV</v>
          </cell>
        </row>
        <row r="282">
          <cell r="A282" t="str">
            <v>6d8965d9</v>
          </cell>
          <cell r="B282" t="str">
            <v>BOZ-KAY5+6-FF-281</v>
          </cell>
          <cell r="E282">
            <v>45553</v>
          </cell>
          <cell r="F282">
            <v>45553.947222222225</v>
          </cell>
          <cell r="G282" t="str">
            <v>3875(4)</v>
          </cell>
          <cell r="H282" t="str">
            <v>MB</v>
          </cell>
          <cell r="I282" t="str">
            <v>Hat/Line</v>
          </cell>
          <cell r="J282" t="str">
            <v>C-Uyarı, sürüş devamlılığı</v>
          </cell>
          <cell r="K282" t="str">
            <v>Müşteri</v>
          </cell>
          <cell r="L282" t="str">
            <v>SİLECEK ARIZALI MAKİNİST TERS DÖNDÜĞÜNÜ BİLDİRDİ.</v>
          </cell>
          <cell r="M282" t="str">
            <v>SİLECEK DÜZELTİLDİ. AYARLANDI.</v>
          </cell>
          <cell r="N282">
            <v>63103</v>
          </cell>
          <cell r="P282" t="str">
            <v>A(Hareket etmeyi engelleyen arıza)</v>
          </cell>
          <cell r="Q282" t="str">
            <v>N.A(Yaralanma yok)</v>
          </cell>
          <cell r="R282" t="str">
            <v>Tedarikçi</v>
          </cell>
          <cell r="S282" t="str">
            <v>Bozankaya</v>
          </cell>
          <cell r="T282">
            <v>45554</v>
          </cell>
          <cell r="U282">
            <v>45554.333333333336</v>
          </cell>
          <cell r="V282" t="str">
            <v>DENİZLER OTOMOTİV SAN. VE TİC.LTD.Ş</v>
          </cell>
          <cell r="W282" t="str">
            <v>SİLECEK MEKANİZMASI Denizler / M.11.2506</v>
          </cell>
          <cell r="X282" t="str">
            <v>M100-7066</v>
          </cell>
          <cell r="Y282">
            <v>1</v>
          </cell>
          <cell r="AB282" t="str">
            <v>Tamir edilecek</v>
          </cell>
          <cell r="AE282" t="str">
            <v/>
          </cell>
          <cell r="AN282">
            <v>1</v>
          </cell>
          <cell r="AP282" t="str">
            <v>(III) Birden fazla aynı araçta karşılaşılan arıza</v>
          </cell>
          <cell r="AR282">
            <v>45554.416666666664</v>
          </cell>
          <cell r="AU282" t="str">
            <v>Silecek</v>
          </cell>
        </row>
        <row r="283">
          <cell r="A283" t="str">
            <v>7b951847</v>
          </cell>
          <cell r="B283" t="str">
            <v>BOZ-KAY5+6-FF-282</v>
          </cell>
          <cell r="E283">
            <v>45555</v>
          </cell>
          <cell r="F283">
            <v>45555.510416666664</v>
          </cell>
          <cell r="G283" t="str">
            <v>3875(4)</v>
          </cell>
          <cell r="H283" t="str">
            <v>MB</v>
          </cell>
          <cell r="I283" t="str">
            <v>Hat/Line</v>
          </cell>
          <cell r="J283" t="str">
            <v>C-Uyarı, sürüş devamlılığı</v>
          </cell>
          <cell r="K283" t="str">
            <v>Müşteri</v>
          </cell>
          <cell r="L283" t="str">
            <v>SİLECEK ARIZALI</v>
          </cell>
          <cell r="M283" t="str">
            <v>SİLECEK CİVATASI GEVŞEDİĞİ İÇİN MEKANİZMA BOŞA DÖNÜYORDU CİVATA SIKILANDI.</v>
          </cell>
          <cell r="N283">
            <v>63723</v>
          </cell>
          <cell r="P283" t="str">
            <v>A(Hareket etmeyi engelleyen arıza)</v>
          </cell>
          <cell r="Q283" t="str">
            <v>N.A(Yaralanma yok)</v>
          </cell>
          <cell r="R283" t="str">
            <v>Tedarikçi</v>
          </cell>
          <cell r="S283" t="str">
            <v>Bozankaya</v>
          </cell>
          <cell r="T283">
            <v>45555</v>
          </cell>
          <cell r="U283">
            <v>45555.541666666664</v>
          </cell>
          <cell r="V283" t="str">
            <v>DENİZLER OTOMOTİV SAN. VE TİC.LTD.Ş</v>
          </cell>
          <cell r="W283" t="str">
            <v>SİLECEK MEKANİZMASI Denizler / M.11.2506</v>
          </cell>
          <cell r="X283" t="str">
            <v>M100-7066</v>
          </cell>
          <cell r="Y283">
            <v>1</v>
          </cell>
          <cell r="AB283" t="str">
            <v>Tamir edilecek</v>
          </cell>
          <cell r="AE283" t="str">
            <v/>
          </cell>
          <cell r="AN283">
            <v>1</v>
          </cell>
          <cell r="AP283" t="str">
            <v>(III) Birden fazla aynı araçta karşılaşılan arıza</v>
          </cell>
          <cell r="AR283">
            <v>45555.583333333336</v>
          </cell>
          <cell r="AU283" t="str">
            <v>Silecek</v>
          </cell>
        </row>
        <row r="284">
          <cell r="A284" t="str">
            <v>bb8c0dd1</v>
          </cell>
          <cell r="B284" t="str">
            <v>BOZ-KAY5+6-FF-283</v>
          </cell>
          <cell r="E284">
            <v>45555</v>
          </cell>
          <cell r="F284">
            <v>45555.686805555553</v>
          </cell>
          <cell r="G284" t="str">
            <v>3878(7)</v>
          </cell>
          <cell r="H284" t="str">
            <v>MA</v>
          </cell>
          <cell r="I284" t="str">
            <v>Hat/Line</v>
          </cell>
          <cell r="J284" t="str">
            <v>C-Uyarı, sürüş devamlılığı</v>
          </cell>
          <cell r="K284" t="str">
            <v>Müşteri</v>
          </cell>
          <cell r="L284" t="str">
            <v>İÇ ANONS SİSTEMİ KURULMASINA RAĞMEN ÇALIŞMADI. TEKRAR KURULDU TERS YÖNDE ANONS YAPTIĞI BİLDİRİLDİ.</v>
          </cell>
          <cell r="N284">
            <v>64236</v>
          </cell>
          <cell r="P284" t="str">
            <v>B(Servisten çekmeye etki eden arızalar)</v>
          </cell>
          <cell r="Q284" t="str">
            <v>N.A(Yaralanma yok)</v>
          </cell>
          <cell r="R284" t="str">
            <v>Tedarikçi</v>
          </cell>
          <cell r="S284" t="str">
            <v>Atak</v>
          </cell>
          <cell r="T284">
            <v>45555</v>
          </cell>
          <cell r="U284">
            <v>45555.694444444445</v>
          </cell>
          <cell r="V284" t="str">
            <v>ATAK ULAŞIM SAN.TİC.LTD.ŞTİ.</v>
          </cell>
          <cell r="W284" t="str">
            <v>Merkez Ünite AU300 (train bus, vehicle b</v>
          </cell>
          <cell r="X284" t="str">
            <v>E840-7002</v>
          </cell>
          <cell r="Y284">
            <v>1</v>
          </cell>
          <cell r="AB284" t="str">
            <v>Arıza çözülecek</v>
          </cell>
          <cell r="AE284" t="str">
            <v/>
          </cell>
          <cell r="AN284">
            <v>1</v>
          </cell>
          <cell r="AP284" t="str">
            <v>(II) Birden fazla karşılaşılan arıza</v>
          </cell>
          <cell r="AR284">
            <v>45555.75</v>
          </cell>
          <cell r="AU284" t="str">
            <v>PA/PIS/CCTV</v>
          </cell>
        </row>
        <row r="285">
          <cell r="A285" t="str">
            <v>1f695cb3</v>
          </cell>
          <cell r="B285" t="str">
            <v>BOZ-KAY5+6-FF-284</v>
          </cell>
          <cell r="E285">
            <v>45559</v>
          </cell>
          <cell r="F285">
            <v>45559.481944444444</v>
          </cell>
          <cell r="G285" t="str">
            <v>3880(9)</v>
          </cell>
          <cell r="H285" t="str">
            <v>MA</v>
          </cell>
          <cell r="I285" t="str">
            <v>Depo/Depot</v>
          </cell>
          <cell r="J285" t="str">
            <v>C-Uyarı, sürüş devamlılığı</v>
          </cell>
          <cell r="K285" t="str">
            <v>SSH</v>
          </cell>
          <cell r="L285" t="str">
            <v>Ekran Mavi renk gösteriyordu</v>
          </cell>
          <cell r="M285" t="str">
            <v>Ekran değişimi yapıldı</v>
          </cell>
          <cell r="N285">
            <v>46806</v>
          </cell>
          <cell r="P285" t="str">
            <v>C(Sisteme etki etmeyen arıza)</v>
          </cell>
          <cell r="Q285" t="str">
            <v>N.A(Yaralanma yok)</v>
          </cell>
          <cell r="R285" t="str">
            <v>Tedarikçi</v>
          </cell>
          <cell r="S285" t="str">
            <v>Atak</v>
          </cell>
          <cell r="T285">
            <v>45559</v>
          </cell>
          <cell r="U285">
            <v>45559.48333333333</v>
          </cell>
          <cell r="V285" t="str">
            <v>ATAK ULAŞIM SAN.TİC.LTD.ŞTİ.</v>
          </cell>
          <cell r="W285" t="str">
            <v>STRETCH LCD EKRAN</v>
          </cell>
          <cell r="X285" t="str">
            <v>E410-7003</v>
          </cell>
          <cell r="Y285">
            <v>1</v>
          </cell>
          <cell r="Z285">
            <v>202313020084</v>
          </cell>
          <cell r="AB285" t="str">
            <v>Ekipman değiştirilecek</v>
          </cell>
          <cell r="AE285" t="str">
            <v/>
          </cell>
          <cell r="AH285">
            <v>45559</v>
          </cell>
          <cell r="AN285">
            <v>1</v>
          </cell>
          <cell r="AP285" t="str">
            <v>(III) Birden fazla aynı araçta karşılaşılan arıza</v>
          </cell>
          <cell r="AQ285">
            <v>45559</v>
          </cell>
          <cell r="AR285">
            <v>45559.484722222223</v>
          </cell>
          <cell r="AU285" t="str">
            <v>PA/PIS/CCTV</v>
          </cell>
        </row>
        <row r="286">
          <cell r="A286" t="str">
            <v>cd015dc3</v>
          </cell>
          <cell r="B286" t="str">
            <v>BOZ-KAY5+6-FF-285</v>
          </cell>
          <cell r="E286">
            <v>45559</v>
          </cell>
          <cell r="F286">
            <v>45559.669444444444</v>
          </cell>
          <cell r="G286" t="str">
            <v>3874(3)</v>
          </cell>
          <cell r="H286" t="str">
            <v>P</v>
          </cell>
          <cell r="I286" t="str">
            <v>Depo/Depot</v>
          </cell>
          <cell r="J286" t="str">
            <v>C-Uyarı, sürüş devamlılığı</v>
          </cell>
          <cell r="K286" t="str">
            <v>Müşteri</v>
          </cell>
          <cell r="L286" t="str">
            <v>Pantoğraf manuel kaldırma teli kırılmış</v>
          </cell>
          <cell r="M286" t="str">
            <v>Değişimi yapıldı</v>
          </cell>
          <cell r="N286">
            <v>4896</v>
          </cell>
          <cell r="P286" t="str">
            <v>B(Servisten çekmeye etki eden arızalar)</v>
          </cell>
          <cell r="Q286" t="str">
            <v>N.A(Yaralanma yok)</v>
          </cell>
          <cell r="R286" t="str">
            <v>Bozankaya</v>
          </cell>
          <cell r="S286" t="str">
            <v>Üretim</v>
          </cell>
          <cell r="T286">
            <v>45559</v>
          </cell>
          <cell r="U286">
            <v>45559.671527777777</v>
          </cell>
          <cell r="V286" t="str">
            <v>STEMMANN-POLSKA SP. Z O.O.</v>
          </cell>
          <cell r="W286" t="str">
            <v>PANTOGRAF KOMPLESI</v>
          </cell>
          <cell r="X286" t="str">
            <v>P710-7019</v>
          </cell>
          <cell r="Y286">
            <v>1</v>
          </cell>
          <cell r="AB286" t="str">
            <v>Ekipman değiştirilecek</v>
          </cell>
          <cell r="AE286" t="str">
            <v/>
          </cell>
          <cell r="AH286">
            <v>45559</v>
          </cell>
          <cell r="AN286">
            <v>1</v>
          </cell>
          <cell r="AP286" t="str">
            <v>(I) İlk defa karşılaşılan arıza</v>
          </cell>
          <cell r="AQ286">
            <v>45559</v>
          </cell>
          <cell r="AR286">
            <v>45559.67224537037</v>
          </cell>
          <cell r="AU286" t="str">
            <v>Pantograf</v>
          </cell>
        </row>
        <row r="287">
          <cell r="A287" t="str">
            <v>c02e43b8</v>
          </cell>
          <cell r="B287" t="str">
            <v>BOZ-KAY5+6-FF-286</v>
          </cell>
          <cell r="E287">
            <v>45566</v>
          </cell>
          <cell r="F287">
            <v>45566.645833333336</v>
          </cell>
          <cell r="G287" t="str">
            <v>3872(1)</v>
          </cell>
          <cell r="H287" t="str">
            <v>P</v>
          </cell>
          <cell r="I287" t="str">
            <v>Hat/Line</v>
          </cell>
          <cell r="J287" t="str">
            <v>C-Uyarı, sürüş devamlılığı</v>
          </cell>
          <cell r="K287" t="str">
            <v>Müşteri</v>
          </cell>
          <cell r="L287" t="str">
            <v>KAPI ÜSTÜ EKRANLAR ÇALIŞMIYOR.</v>
          </cell>
          <cell r="M287" t="str">
            <v>KONTROL EDİLDİ KAPI ÜSTÜ EKRANLAR ÇALIŞIYOR.</v>
          </cell>
          <cell r="N287">
            <v>88320</v>
          </cell>
          <cell r="P287" t="str">
            <v>B(Servisten çekmeye etki eden arızalar)</v>
          </cell>
          <cell r="Q287" t="str">
            <v>N.A(Yaralanma yok)</v>
          </cell>
          <cell r="R287" t="str">
            <v>Tedarikçi</v>
          </cell>
          <cell r="S287" t="str">
            <v>Atak</v>
          </cell>
          <cell r="T287">
            <v>45566</v>
          </cell>
          <cell r="U287">
            <v>45566.729166666664</v>
          </cell>
          <cell r="V287" t="str">
            <v>ATAK ULAŞIM SAN.TİC.LTD.ŞTİ.</v>
          </cell>
          <cell r="W287" t="str">
            <v>STRETCH LCD EKRAN</v>
          </cell>
          <cell r="X287" t="str">
            <v>E410-7003</v>
          </cell>
          <cell r="Y287">
            <v>3</v>
          </cell>
          <cell r="AB287" t="str">
            <v>Tamir edilecek</v>
          </cell>
          <cell r="AE287" t="str">
            <v/>
          </cell>
          <cell r="AN287">
            <v>1</v>
          </cell>
          <cell r="AP287" t="str">
            <v>(III) Birden fazla aynı araçta karşılaşılan arıza</v>
          </cell>
          <cell r="AR287">
            <v>45566.75</v>
          </cell>
          <cell r="AU287" t="str">
            <v>PA/PIS/CCTV</v>
          </cell>
        </row>
        <row r="288">
          <cell r="A288" t="str">
            <v>d5cdf218</v>
          </cell>
          <cell r="B288" t="str">
            <v>BOZ-KAY5+6-FF-287</v>
          </cell>
          <cell r="E288">
            <v>45568</v>
          </cell>
          <cell r="F288">
            <v>45568.827777777777</v>
          </cell>
          <cell r="G288" t="str">
            <v>3872(1)</v>
          </cell>
          <cell r="H288" t="str">
            <v>MB</v>
          </cell>
          <cell r="I288" t="str">
            <v>Hat/Line</v>
          </cell>
          <cell r="J288" t="str">
            <v>C-Uyarı, sürüş devamlılığı</v>
          </cell>
          <cell r="K288" t="str">
            <v>Müşteri</v>
          </cell>
          <cell r="L288" t="str">
            <v>MB yolcu bölümü aydınlatmaları yanmıyor.</v>
          </cell>
          <cell r="M288" t="str">
            <v>UDX-504 konnektörü kısa devre olmuş. Pinler yanmıştı. Pinler ve konnektör kasası değiştirildi. Sorun giderildi.</v>
          </cell>
          <cell r="N288">
            <v>89542</v>
          </cell>
          <cell r="P288" t="str">
            <v>C(Sisteme etki etmeyen arıza)</v>
          </cell>
          <cell r="Q288" t="str">
            <v>N.A(Yaralanma yok)</v>
          </cell>
          <cell r="R288" t="str">
            <v>Bozankaya</v>
          </cell>
          <cell r="S288" t="str">
            <v>Üretim</v>
          </cell>
          <cell r="T288">
            <v>45569</v>
          </cell>
          <cell r="U288">
            <v>45569.333333333336</v>
          </cell>
          <cell r="V288" t="str">
            <v>ERA ELEKTRONIK SANAYİ VE TİCARET A.</v>
          </cell>
          <cell r="W288" t="str">
            <v>TAVAN AYDINLATMA ARMATÜRÜ SETİ</v>
          </cell>
          <cell r="X288" t="str">
            <v>E455-7055</v>
          </cell>
          <cell r="AB288" t="str">
            <v>Tamir edilecek</v>
          </cell>
          <cell r="AE288" t="str">
            <v/>
          </cell>
          <cell r="AN288">
            <v>1</v>
          </cell>
          <cell r="AP288" t="str">
            <v>(II) Birden fazla karşılaşılan arıza</v>
          </cell>
          <cell r="AQ288">
            <v>45569</v>
          </cell>
          <cell r="AR288">
            <v>45569.458333333336</v>
          </cell>
          <cell r="AU288" t="str">
            <v>Aydınlatma İç</v>
          </cell>
        </row>
        <row r="289">
          <cell r="A289" t="str">
            <v>dc077c41</v>
          </cell>
          <cell r="B289" t="str">
            <v>BOZ-KAY5+6-FF-288</v>
          </cell>
          <cell r="E289">
            <v>45569</v>
          </cell>
          <cell r="F289">
            <v>45569.438194444447</v>
          </cell>
          <cell r="G289" t="str">
            <v>3875(4)</v>
          </cell>
          <cell r="H289" t="str">
            <v>MB</v>
          </cell>
          <cell r="I289" t="str">
            <v>Hat/Line</v>
          </cell>
          <cell r="J289" t="str">
            <v>A-Sürüşü engeller</v>
          </cell>
          <cell r="K289" t="str">
            <v>Müşteri</v>
          </cell>
          <cell r="L289" t="str">
            <v>MB SOL ASKI TAKOZU ÜRETİM HATASI MEVCUT</v>
          </cell>
          <cell r="M289" t="str">
            <v>ASKI TAKOZU DEĞİŞİMİ YAPILDI</v>
          </cell>
          <cell r="N289">
            <v>67228</v>
          </cell>
          <cell r="P289" t="str">
            <v>B(Servisten çekmeye etki eden arızalar)</v>
          </cell>
          <cell r="Q289" t="str">
            <v>N.A(Yaralanma yok)</v>
          </cell>
          <cell r="R289" t="str">
            <v>Tedarikçi</v>
          </cell>
          <cell r="S289" t="str">
            <v>Bozankaya</v>
          </cell>
          <cell r="T289">
            <v>45569</v>
          </cell>
          <cell r="U289">
            <v>45569.439583333333</v>
          </cell>
          <cell r="V289" t="str">
            <v>TMS MARS KAUÇUK ANONİM ŞİRKETİ</v>
          </cell>
          <cell r="W289" t="str">
            <v>ASKI TAKOZU</v>
          </cell>
          <cell r="X289" t="str">
            <v>B120-7050</v>
          </cell>
          <cell r="Y289">
            <v>1</v>
          </cell>
          <cell r="Z289">
            <v>440011103</v>
          </cell>
          <cell r="AB289" t="str">
            <v>Ekipman değiştirilecek</v>
          </cell>
          <cell r="AE289" t="str">
            <v/>
          </cell>
          <cell r="AH289" t="str">
            <v/>
          </cell>
          <cell r="AN289">
            <v>4</v>
          </cell>
          <cell r="AP289" t="str">
            <v>(I) İlk defa karşılaşılan arıza</v>
          </cell>
          <cell r="AQ289">
            <v>45569</v>
          </cell>
          <cell r="AR289">
            <v>45569.75</v>
          </cell>
          <cell r="AU289" t="str">
            <v>Boji</v>
          </cell>
        </row>
        <row r="290">
          <cell r="A290" t="str">
            <v>4fd8f06b</v>
          </cell>
          <cell r="B290" t="str">
            <v>BOZ-KAY5+6-FF-289</v>
          </cell>
          <cell r="E290">
            <v>45569</v>
          </cell>
          <cell r="F290">
            <v>45569.569444444445</v>
          </cell>
          <cell r="G290" t="str">
            <v>3879(8)</v>
          </cell>
          <cell r="H290" t="str">
            <v>MA</v>
          </cell>
          <cell r="I290" t="str">
            <v>Hat/Line</v>
          </cell>
          <cell r="J290" t="str">
            <v>C-Uyarı, sürüş devamlılığı</v>
          </cell>
          <cell r="K290" t="str">
            <v>Müşteri</v>
          </cell>
          <cell r="L290" t="str">
            <v>CA kabin el zili çalışmıyor bazen kendiliğinden çalışıyor.</v>
          </cell>
          <cell r="M290" t="str">
            <v>Zil çanı değiştirilerek arıza giderildi.</v>
          </cell>
          <cell r="N290">
            <v>55092</v>
          </cell>
          <cell r="P290" t="str">
            <v>B(Servisten çekmeye etki eden arızalar)</v>
          </cell>
          <cell r="Q290" t="str">
            <v>N.A(Yaralanma yok)</v>
          </cell>
          <cell r="R290" t="str">
            <v>Tedarikçi</v>
          </cell>
          <cell r="S290" t="str">
            <v>Bozankaya</v>
          </cell>
          <cell r="T290">
            <v>45569</v>
          </cell>
          <cell r="U290">
            <v>45569.583333333336</v>
          </cell>
          <cell r="V290" t="str">
            <v>ALFA UNİON, A.S.</v>
          </cell>
          <cell r="W290" t="str">
            <v>ALFA UNION ZIL</v>
          </cell>
          <cell r="X290" t="str">
            <v>E385-7001</v>
          </cell>
          <cell r="Y290">
            <v>1</v>
          </cell>
          <cell r="AB290" t="str">
            <v>Ekipman değiştirilecek</v>
          </cell>
          <cell r="AE290" t="str">
            <v/>
          </cell>
          <cell r="AH290" t="str">
            <v/>
          </cell>
          <cell r="AN290">
            <v>1</v>
          </cell>
          <cell r="AP290" t="str">
            <v>(I) İlk defa karşılaşılan arıza</v>
          </cell>
          <cell r="AQ290">
            <v>45569</v>
          </cell>
          <cell r="AR290">
            <v>45569.666666666664</v>
          </cell>
          <cell r="AU290" t="str">
            <v>Giydirme Dış</v>
          </cell>
        </row>
        <row r="291">
          <cell r="A291" t="str">
            <v>24f99c45</v>
          </cell>
          <cell r="B291" t="str">
            <v>BOZ-KAY5+6-FF-290</v>
          </cell>
          <cell r="E291">
            <v>45569</v>
          </cell>
          <cell r="F291">
            <v>45569.697222222225</v>
          </cell>
          <cell r="G291" t="str">
            <v>3879(8)</v>
          </cell>
          <cell r="H291" t="str">
            <v>MA</v>
          </cell>
          <cell r="I291" t="str">
            <v>Hat/Line</v>
          </cell>
          <cell r="J291" t="str">
            <v>C-Uyarı, sürüş devamlılığı</v>
          </cell>
          <cell r="K291" t="str">
            <v>Müşteri</v>
          </cell>
          <cell r="L291" t="str">
            <v>Zil kesik kesik çalışıyordu</v>
          </cell>
          <cell r="M291" t="str">
            <v>Zil değişimi yapıldı</v>
          </cell>
          <cell r="N291">
            <v>54890</v>
          </cell>
          <cell r="P291" t="str">
            <v>B(Servisten çekmeye etki eden arızalar)</v>
          </cell>
          <cell r="Q291" t="str">
            <v>N.A(Yaralanma yok)</v>
          </cell>
          <cell r="R291" t="str">
            <v>Tedarikçi</v>
          </cell>
          <cell r="S291" t="str">
            <v>Bozankaya</v>
          </cell>
          <cell r="T291">
            <v>45569</v>
          </cell>
          <cell r="U291">
            <v>45569.698611111111</v>
          </cell>
          <cell r="V291" t="str">
            <v>ALFA UNİON, A.S.</v>
          </cell>
          <cell r="W291" t="str">
            <v>ALFA UNION ZIL</v>
          </cell>
          <cell r="X291" t="str">
            <v>E385-7001</v>
          </cell>
          <cell r="Y291">
            <v>1</v>
          </cell>
          <cell r="Z291" t="str">
            <v>21D0473(CSN362255)</v>
          </cell>
          <cell r="AB291" t="str">
            <v>Ekipman değiştirilecek</v>
          </cell>
          <cell r="AE291" t="str">
            <v/>
          </cell>
          <cell r="AH291">
            <v>45569</v>
          </cell>
          <cell r="AN291">
            <v>1</v>
          </cell>
          <cell r="AP291" t="str">
            <v>(I) İlk defa karşılaşılan arıza</v>
          </cell>
          <cell r="AQ291">
            <v>45569</v>
          </cell>
          <cell r="AR291">
            <v>45569.705555555556</v>
          </cell>
          <cell r="AU291" t="str">
            <v>İvme Kolu</v>
          </cell>
        </row>
        <row r="292">
          <cell r="A292" t="str">
            <v>e8d5b523</v>
          </cell>
          <cell r="B292" t="str">
            <v>BOZ-KAY5+6-FF-291</v>
          </cell>
          <cell r="E292">
            <v>45569</v>
          </cell>
          <cell r="F292">
            <v>45569.734027777777</v>
          </cell>
          <cell r="G292" t="str">
            <v>3880(9)</v>
          </cell>
          <cell r="H292" t="str">
            <v>P</v>
          </cell>
          <cell r="I292" t="str">
            <v>Hat/Line</v>
          </cell>
          <cell r="J292" t="str">
            <v>A-Sürüşü engeller</v>
          </cell>
          <cell r="K292" t="str">
            <v>Müşteri</v>
          </cell>
          <cell r="L292" t="str">
            <v>PANTOGRAF KÖMÜRÜ BİR NOKTADA AŞIRI AŞINMA MEVCUT</v>
          </cell>
          <cell r="M292" t="str">
            <v>PANTOGRAF KÖMÜRÜ DEĞİŞİMİ YAPILDI</v>
          </cell>
          <cell r="N292">
            <v>49709</v>
          </cell>
          <cell r="P292" t="str">
            <v>B(Servisten çekmeye etki eden arızalar)</v>
          </cell>
          <cell r="Q292" t="str">
            <v>N.A(Yaralanma yok)</v>
          </cell>
          <cell r="R292" t="str">
            <v>İşletme</v>
          </cell>
          <cell r="S292" t="str">
            <v>Kayseri Ulaşım</v>
          </cell>
          <cell r="T292">
            <v>45570</v>
          </cell>
          <cell r="U292">
            <v>45570.625</v>
          </cell>
          <cell r="V292" t="str">
            <v>STEMMANN-POLSKA SP. Z O.O.</v>
          </cell>
          <cell r="W292" t="str">
            <v>PANTOGRAF KOMPLESI</v>
          </cell>
          <cell r="X292" t="str">
            <v>P710-7019</v>
          </cell>
          <cell r="Z292">
            <v>27911</v>
          </cell>
          <cell r="AB292" t="str">
            <v>Ekipman değiştirilecek</v>
          </cell>
          <cell r="AE292" t="str">
            <v/>
          </cell>
          <cell r="AH292" t="str">
            <v/>
          </cell>
          <cell r="AN292">
            <v>2</v>
          </cell>
          <cell r="AP292" t="str">
            <v>(I) İlk defa karşılaşılan arıza</v>
          </cell>
          <cell r="AQ292">
            <v>45570</v>
          </cell>
          <cell r="AR292">
            <v>45570.625</v>
          </cell>
          <cell r="AU292" t="str">
            <v>Pantograf</v>
          </cell>
        </row>
        <row r="293">
          <cell r="A293" t="str">
            <v>6023f8ff</v>
          </cell>
          <cell r="B293" t="str">
            <v>BOZ-KAY5+6-FF-292</v>
          </cell>
          <cell r="E293">
            <v>45570</v>
          </cell>
          <cell r="F293">
            <v>45570.640972222223</v>
          </cell>
          <cell r="G293" t="str">
            <v>3882(11)</v>
          </cell>
          <cell r="H293" t="str">
            <v>MB</v>
          </cell>
          <cell r="I293" t="str">
            <v>Hat/Line</v>
          </cell>
          <cell r="J293" t="str">
            <v>B-Hız veya güç azalması</v>
          </cell>
          <cell r="K293" t="str">
            <v>Müşteri</v>
          </cell>
          <cell r="L293" t="str">
            <v>3881'DEN KULLANILIRKEN ÇEKİLEN 3882 NUMARALI ARACIN TÜM KAPILARI KIRMIZI RENK ARIZALI GÖRÜNÜYOR.</v>
          </cell>
          <cell r="M293" t="str">
            <v>MASTERCARD'A YENİDEN YAZILIM YÜKLENDİ. SORUN GİDERİLDİ.</v>
          </cell>
          <cell r="N293">
            <v>27510</v>
          </cell>
          <cell r="P293" t="str">
            <v>B(Servisten çekmeye etki eden arızalar)</v>
          </cell>
          <cell r="Q293" t="str">
            <v>N.A(Yaralanma yok)</v>
          </cell>
          <cell r="R293" t="str">
            <v>Tedarikçi</v>
          </cell>
          <cell r="S293" t="str">
            <v>Eltesan</v>
          </cell>
          <cell r="T293">
            <v>45570</v>
          </cell>
          <cell r="U293">
            <v>45570.645833333336</v>
          </cell>
          <cell r="V293" t="str">
            <v>ELTESAN ELEKTRO MEKANİK SOĞUTMA SAN</v>
          </cell>
          <cell r="W293" t="str">
            <v>MASTER KONTROL ÜNİTESİ</v>
          </cell>
          <cell r="X293" t="str">
            <v>H500-9751</v>
          </cell>
          <cell r="Z293" t="str">
            <v>A2208023</v>
          </cell>
          <cell r="AB293" t="str">
            <v>Yazılım güncelleme</v>
          </cell>
          <cell r="AE293" t="str">
            <v/>
          </cell>
          <cell r="AH293" t="str">
            <v/>
          </cell>
          <cell r="AN293">
            <v>1</v>
          </cell>
          <cell r="AP293" t="str">
            <v>(II) Birden fazla karşılaşılan arıza</v>
          </cell>
          <cell r="AQ293">
            <v>45570</v>
          </cell>
          <cell r="AR293">
            <v>45570.75</v>
          </cell>
          <cell r="AU293" t="str">
            <v>Kapı</v>
          </cell>
        </row>
        <row r="294">
          <cell r="A294">
            <v>49882066</v>
          </cell>
          <cell r="B294" t="str">
            <v>BOZ-KAY5+6-FF-293</v>
          </cell>
          <cell r="E294">
            <v>45570</v>
          </cell>
          <cell r="F294">
            <v>45570.742361111108</v>
          </cell>
          <cell r="G294" t="str">
            <v>3882(11)</v>
          </cell>
          <cell r="H294" t="str">
            <v>MA</v>
          </cell>
          <cell r="I294" t="str">
            <v>Hat/Line</v>
          </cell>
          <cell r="J294" t="str">
            <v>A-Sürüşü engeller</v>
          </cell>
          <cell r="K294" t="str">
            <v>Müşteri</v>
          </cell>
          <cell r="L294" t="str">
            <v>3882 CA kabinden kullanılırken kuplaj arızası verdi. Araç 5km hız limiti verdi. Resetlendi düzelme olmadı. Araç cari hatta yolcu değişimi yapılarak organize depoya çekilmesi sağlandı.</v>
          </cell>
          <cell r="M294" t="str">
            <v>MER kaydı incelendi, MM-extended sinyalinin sürekli kesildiği tespit edildi. UDX-505 AB'3 numaralı pinlerde ezilme ve geri kaçma görüldü. Yeniden pin basıldı. Arıza giderildi.</v>
          </cell>
          <cell r="N294">
            <v>27653</v>
          </cell>
          <cell r="P294" t="str">
            <v>A(Hareket etmeyi engelleyen arıza)</v>
          </cell>
          <cell r="Q294" t="str">
            <v>N.A(Yaralanma yok)</v>
          </cell>
          <cell r="R294" t="str">
            <v>Bozankaya</v>
          </cell>
          <cell r="S294" t="str">
            <v>Üretim</v>
          </cell>
          <cell r="T294">
            <v>45571</v>
          </cell>
          <cell r="U294">
            <v>45571.333333333336</v>
          </cell>
          <cell r="V294" t="str">
            <v>LIGHTNING POWER MÜHENDİSLİK ELEKTRİ</v>
          </cell>
          <cell r="W294" t="str">
            <v>Han hinged frame plus, for 4 modules a-c</v>
          </cell>
          <cell r="X294" t="str">
            <v>E110-7362</v>
          </cell>
          <cell r="AB294" t="str">
            <v>Tamir edilecek</v>
          </cell>
          <cell r="AE294" t="str">
            <v/>
          </cell>
          <cell r="AH294" t="str">
            <v/>
          </cell>
          <cell r="AN294">
            <v>1</v>
          </cell>
          <cell r="AP294" t="str">
            <v>(II) Birden fazla karşılaşılan arıza</v>
          </cell>
          <cell r="AQ294">
            <v>45571</v>
          </cell>
          <cell r="AR294">
            <v>45571.583333333336</v>
          </cell>
          <cell r="AU294" t="str">
            <v>E-Kabinet</v>
          </cell>
        </row>
        <row r="295">
          <cell r="A295" t="str">
            <v>a352ab60</v>
          </cell>
          <cell r="B295" t="str">
            <v>BOZ-KAY5+6-FF-294</v>
          </cell>
          <cell r="E295">
            <v>45570</v>
          </cell>
          <cell r="F295">
            <v>45570.770833333336</v>
          </cell>
          <cell r="G295" t="str">
            <v>3872(1)</v>
          </cell>
          <cell r="H295" t="str">
            <v>MB</v>
          </cell>
          <cell r="I295" t="str">
            <v>Hat/Line</v>
          </cell>
          <cell r="J295" t="str">
            <v>C-Uyarı, sürüş devamlılığı</v>
          </cell>
          <cell r="K295" t="str">
            <v>Müşteri</v>
          </cell>
          <cell r="L295" t="str">
            <v>CB PERDESİ YUKARI KALKMADI. YUKARI BAĞLANARAK GÖRÜŞ SAĞLANABİLDİ. İLDEM 5 KUMSMALL YÖNÜ 18:24 SEFERİ 5 DAKİKA TEHİRLİ ÇIKIŞ YAPTI.</v>
          </cell>
          <cell r="M295" t="str">
            <v>AYAR YAPILDI KABİN PERDESİ AŞAĞI YUKARI HAREKET EDİYOR.</v>
          </cell>
          <cell r="N295">
            <v>89655</v>
          </cell>
          <cell r="P295" t="str">
            <v>B(Servisten çekmeye etki eden arızalar)</v>
          </cell>
          <cell r="Q295" t="str">
            <v>N.A(Yaralanma yok)</v>
          </cell>
          <cell r="R295" t="str">
            <v>Bozankaya</v>
          </cell>
          <cell r="S295" t="str">
            <v>Üretim</v>
          </cell>
          <cell r="T295">
            <v>45571</v>
          </cell>
          <cell r="U295">
            <v>45571.333333333336</v>
          </cell>
          <cell r="V295" t="str">
            <v>HÜRSANPER OTOMOTİV YAN SANAYİ TİCAR</v>
          </cell>
          <cell r="W295" t="str">
            <v>MOTORLU ÖN PERDE</v>
          </cell>
          <cell r="X295" t="str">
            <v>T910-7001</v>
          </cell>
          <cell r="Y295">
            <v>1</v>
          </cell>
          <cell r="AB295" t="str">
            <v>Tamir edilecek</v>
          </cell>
          <cell r="AE295" t="str">
            <v/>
          </cell>
          <cell r="AH295" t="str">
            <v/>
          </cell>
          <cell r="AN295">
            <v>1</v>
          </cell>
          <cell r="AP295" t="str">
            <v>(II) Birden fazla karşılaşılan arıza</v>
          </cell>
          <cell r="AR295">
            <v>45571.416666666664</v>
          </cell>
          <cell r="AU295" t="str">
            <v>Emniyet Sistemi</v>
          </cell>
        </row>
        <row r="296">
          <cell r="A296" t="str">
            <v>5716dc1c</v>
          </cell>
          <cell r="B296" t="str">
            <v>BOZ-KAY5+6-FF-295</v>
          </cell>
          <cell r="E296">
            <v>45573</v>
          </cell>
          <cell r="F296">
            <v>45573.946527777778</v>
          </cell>
          <cell r="G296" t="str">
            <v>3878(7)</v>
          </cell>
          <cell r="H296" t="str">
            <v>P</v>
          </cell>
          <cell r="I296" t="str">
            <v>Hat/Line</v>
          </cell>
          <cell r="J296" t="str">
            <v>C-Uyarı, sürüş devamlılığı</v>
          </cell>
          <cell r="K296" t="str">
            <v>Müşteri</v>
          </cell>
          <cell r="L296" t="str">
            <v>ANONS SİSTEMİ İLERLEMİYOR.</v>
          </cell>
          <cell r="M296" t="str">
            <v>ARAÇ RESETLENDİ(AU300). SİSTEM NORMALE DÖNDÜ SORUN YOK.</v>
          </cell>
          <cell r="N296">
            <v>68998</v>
          </cell>
          <cell r="P296" t="str">
            <v>B(Servisten çekmeye etki eden arızalar)</v>
          </cell>
          <cell r="Q296" t="str">
            <v>N.A(Yaralanma yok)</v>
          </cell>
          <cell r="R296" t="str">
            <v>Tedarikçi</v>
          </cell>
          <cell r="S296" t="str">
            <v>Atak</v>
          </cell>
          <cell r="T296">
            <v>45574</v>
          </cell>
          <cell r="U296">
            <v>45574.333333333336</v>
          </cell>
          <cell r="V296" t="str">
            <v>ATAK ULAŞIM SAN.TİC.LTD.ŞTİ.</v>
          </cell>
          <cell r="W296" t="str">
            <v>Merkez Ünite AU300 (train bus, vehicle b</v>
          </cell>
          <cell r="X296" t="str">
            <v>E840-7002</v>
          </cell>
          <cell r="Y296">
            <v>1</v>
          </cell>
          <cell r="AB296" t="str">
            <v>Arıza çözülecek</v>
          </cell>
          <cell r="AE296" t="str">
            <v/>
          </cell>
          <cell r="AH296" t="str">
            <v/>
          </cell>
          <cell r="AN296">
            <v>1</v>
          </cell>
          <cell r="AP296" t="str">
            <v>(II) Birden fazla karşılaşılan arıza</v>
          </cell>
          <cell r="AR296">
            <v>45574.416666666664</v>
          </cell>
          <cell r="AU296" t="str">
            <v>PA/PIS/CCTV</v>
          </cell>
        </row>
        <row r="297">
          <cell r="A297" t="str">
            <v>de012cea</v>
          </cell>
          <cell r="B297" t="str">
            <v>BOZ-KAY5+6-FF-296</v>
          </cell>
          <cell r="E297">
            <v>45574</v>
          </cell>
          <cell r="F297">
            <v>45574.588888888888</v>
          </cell>
          <cell r="G297" t="str">
            <v>3880(9)</v>
          </cell>
          <cell r="H297" t="str">
            <v>MA</v>
          </cell>
          <cell r="I297" t="str">
            <v>Hat/Line</v>
          </cell>
          <cell r="J297" t="str">
            <v>B-Hız veya güç azalması</v>
          </cell>
          <cell r="K297" t="str">
            <v>Müşteri</v>
          </cell>
          <cell r="L297" t="str">
            <v>ARAÇ SAĞ KAPILARI AÇMADI RESETLENDİ DÜZELME OLMADI.</v>
          </cell>
          <cell r="M297" t="str">
            <v>UDX 501 KONNEKTÖRÜ SÖKÜLÜP TAKILDI. PİNLER KONTROL EDİLDİ. ARIZA GİDERİLDİ.</v>
          </cell>
          <cell r="N297">
            <v>50553</v>
          </cell>
          <cell r="P297" t="str">
            <v>B(Servisten çekmeye etki eden arızalar)</v>
          </cell>
          <cell r="Q297" t="str">
            <v>N.A(Yaralanma yok)</v>
          </cell>
          <cell r="R297" t="str">
            <v>Bozankaya</v>
          </cell>
          <cell r="S297" t="str">
            <v>Üretim</v>
          </cell>
          <cell r="T297">
            <v>45574</v>
          </cell>
          <cell r="U297">
            <v>45574.604166666664</v>
          </cell>
          <cell r="V297" t="str">
            <v>KNORR-BREMSE GMBH DİVİSİON IFE AUTO</v>
          </cell>
          <cell r="W297" t="str">
            <v>PRM’LI ÇİFTLİ KAPI</v>
          </cell>
          <cell r="X297" t="str">
            <v>M110-7082</v>
          </cell>
          <cell r="AB297" t="str">
            <v>Arıza çözülecek</v>
          </cell>
          <cell r="AE297" t="str">
            <v/>
          </cell>
          <cell r="AH297" t="str">
            <v/>
          </cell>
          <cell r="AN297">
            <v>1</v>
          </cell>
          <cell r="AP297" t="str">
            <v>(II) Birden fazla karşılaşılan arıza</v>
          </cell>
          <cell r="AQ297">
            <v>45574</v>
          </cell>
          <cell r="AR297">
            <v>45574.666666666664</v>
          </cell>
          <cell r="AU297" t="str">
            <v>Kapı</v>
          </cell>
        </row>
        <row r="298">
          <cell r="A298" t="str">
            <v>8031fec0</v>
          </cell>
          <cell r="B298" t="str">
            <v>BOZ-KAY5+6-FF-297</v>
          </cell>
          <cell r="E298">
            <v>45577</v>
          </cell>
          <cell r="F298">
            <v>45577.426388888889</v>
          </cell>
          <cell r="G298" t="str">
            <v>3874(3)</v>
          </cell>
          <cell r="H298" t="str">
            <v>MB</v>
          </cell>
          <cell r="I298" t="str">
            <v>Depo/Depot</v>
          </cell>
          <cell r="J298" t="str">
            <v>C-Uyarı, sürüş devamlılığı</v>
          </cell>
          <cell r="K298" t="str">
            <v>SSH</v>
          </cell>
          <cell r="L298" t="str">
            <v>CCTV Ekran parlaklığı stabil değil</v>
          </cell>
          <cell r="M298" t="str">
            <v>Ekran değişimi</v>
          </cell>
          <cell r="N298">
            <v>97804</v>
          </cell>
          <cell r="P298" t="str">
            <v>C(Sisteme etki etmeyen arıza)</v>
          </cell>
          <cell r="Q298" t="str">
            <v>N.A(Yaralanma yok)</v>
          </cell>
          <cell r="R298" t="str">
            <v>Tedarikçi</v>
          </cell>
          <cell r="S298" t="str">
            <v>NSC</v>
          </cell>
          <cell r="T298">
            <v>45577</v>
          </cell>
          <cell r="U298">
            <v>45577.428472222222</v>
          </cell>
          <cell r="V298" t="str">
            <v>NSC TEKNOLOJİ ve İNŞAAT LTD.ŞTİ.</v>
          </cell>
          <cell r="W298" t="str">
            <v>CCTV EKRANI</v>
          </cell>
          <cell r="X298" t="str">
            <v>E810-7145</v>
          </cell>
          <cell r="Y298">
            <v>1</v>
          </cell>
          <cell r="Z298" t="str">
            <v>SA41452.01-02.02</v>
          </cell>
          <cell r="AB298" t="str">
            <v>Ekipman değiştirilecek</v>
          </cell>
          <cell r="AE298" t="str">
            <v/>
          </cell>
          <cell r="AH298" t="str">
            <v/>
          </cell>
          <cell r="AN298">
            <v>1</v>
          </cell>
          <cell r="AP298" t="str">
            <v>(II) Birden fazla karşılaşılan arıza</v>
          </cell>
          <cell r="AQ298">
            <v>45577</v>
          </cell>
          <cell r="AR298">
            <v>45577.431250000001</v>
          </cell>
          <cell r="AU298" t="str">
            <v>PA/PIS/CCTV</v>
          </cell>
        </row>
        <row r="299">
          <cell r="A299" t="str">
            <v>beee10ea</v>
          </cell>
          <cell r="B299" t="str">
            <v>BOZ-KAY5+6-FF-298</v>
          </cell>
          <cell r="E299">
            <v>45579</v>
          </cell>
          <cell r="F299">
            <v>45579.457638888889</v>
          </cell>
          <cell r="G299" t="str">
            <v>3882(11)</v>
          </cell>
          <cell r="H299" t="str">
            <v>MA</v>
          </cell>
          <cell r="I299" t="str">
            <v>Hat/Line</v>
          </cell>
          <cell r="J299" t="str">
            <v>B-Hız veya güç azalması</v>
          </cell>
          <cell r="K299" t="str">
            <v>Müşteri</v>
          </cell>
          <cell r="L299" t="str">
            <v>Kabin kliması çalışmıyor resetleyince 2 dakika çalışıp tekrardan duruyor.</v>
          </cell>
          <cell r="M299" t="str">
            <v>Eltesan firması ile gerekli kontrol yapıldı. Yazılım güncellemesi ve ayarları yapıldı.</v>
          </cell>
          <cell r="N299">
            <v>29611</v>
          </cell>
          <cell r="P299" t="str">
            <v>B(Servisten çekmeye etki eden arızalar)</v>
          </cell>
          <cell r="Q299" t="str">
            <v>N.A(Yaralanma yok)</v>
          </cell>
          <cell r="R299" t="str">
            <v>Tedarikçi</v>
          </cell>
          <cell r="S299" t="str">
            <v>Eltesan</v>
          </cell>
          <cell r="T299">
            <v>45579</v>
          </cell>
          <cell r="U299">
            <v>45579.479166666664</v>
          </cell>
          <cell r="V299" t="str">
            <v>ELTESAN ELEKTRO MEKANİK SOĞUTMA SAN</v>
          </cell>
          <cell r="W299" t="str">
            <v>SURUCU KLIMASI-Eltesan/Hispacold 4,5 KW</v>
          </cell>
          <cell r="X299" t="str">
            <v>H500-7243</v>
          </cell>
          <cell r="AB299" t="str">
            <v>Yazılım güncelleme</v>
          </cell>
          <cell r="AE299" t="str">
            <v/>
          </cell>
          <cell r="AH299" t="str">
            <v/>
          </cell>
          <cell r="AN299">
            <v>1</v>
          </cell>
          <cell r="AP299" t="str">
            <v>(III) Birden fazla aynı araçta karşılaşılan arıza</v>
          </cell>
          <cell r="AQ299">
            <v>45579</v>
          </cell>
          <cell r="AR299">
            <v>45579.625</v>
          </cell>
          <cell r="AU299" t="str">
            <v>HVAC Sürücü</v>
          </cell>
        </row>
        <row r="300">
          <cell r="A300" t="str">
            <v>8f01821e</v>
          </cell>
          <cell r="B300" t="str">
            <v>BOZ-KAY5+6-FF-299</v>
          </cell>
          <cell r="E300">
            <v>45584</v>
          </cell>
          <cell r="F300">
            <v>45584.459722222222</v>
          </cell>
          <cell r="G300" t="str">
            <v>3878(7)</v>
          </cell>
          <cell r="H300" t="str">
            <v>MA</v>
          </cell>
          <cell r="I300" t="str">
            <v>Hat/Line</v>
          </cell>
          <cell r="J300" t="str">
            <v>A-Sürüşü engeller</v>
          </cell>
          <cell r="K300" t="str">
            <v>Müşteri</v>
          </cell>
          <cell r="L300" t="str">
            <v>MA fren arızası hata kodu fb09</v>
          </cell>
          <cell r="M300" t="str">
            <v>Araç FB09 arızası vermiş aracın hpu çalışmıyordu. Hpu değişimi yapıldı. Park sahasında test yapıldı. Sorun giderildi.</v>
          </cell>
          <cell r="N300">
            <v>72015</v>
          </cell>
          <cell r="P300" t="str">
            <v>A(Hareket etmeyi engelleyen arıza)</v>
          </cell>
          <cell r="Q300" t="str">
            <v>N.A(Yaralanma yok)</v>
          </cell>
          <cell r="R300" t="str">
            <v>Tedarikçi</v>
          </cell>
          <cell r="S300" t="str">
            <v>HANNING  KAHL</v>
          </cell>
          <cell r="T300">
            <v>45584</v>
          </cell>
          <cell r="U300">
            <v>45584.479166666664</v>
          </cell>
          <cell r="V300" t="str">
            <v>HANNING &amp; KAHL GMBH &amp; CO.KG</v>
          </cell>
          <cell r="W300" t="str">
            <v>XHidrolik Ünite HZY-K100-DPR</v>
          </cell>
          <cell r="X300" t="str">
            <v>S306-7001</v>
          </cell>
          <cell r="Y300">
            <v>1</v>
          </cell>
          <cell r="AB300" t="str">
            <v>Tamir edilecek</v>
          </cell>
          <cell r="AE300" t="str">
            <v/>
          </cell>
          <cell r="AH300" t="str">
            <v/>
          </cell>
          <cell r="AN300">
            <v>1</v>
          </cell>
          <cell r="AP300" t="str">
            <v>(II) Birden fazla karşılaşılan arıza</v>
          </cell>
          <cell r="AQ300">
            <v>45584</v>
          </cell>
          <cell r="AR300">
            <v>45584.708333333336</v>
          </cell>
          <cell r="AU300" t="str">
            <v>Fren</v>
          </cell>
        </row>
        <row r="301">
          <cell r="A301">
            <v>24077267</v>
          </cell>
          <cell r="B301" t="str">
            <v>BOZ-KAY5+6-FF-300</v>
          </cell>
          <cell r="E301">
            <v>45584</v>
          </cell>
          <cell r="F301">
            <v>45584.664583333331</v>
          </cell>
          <cell r="G301" t="str">
            <v>3878(7)</v>
          </cell>
          <cell r="H301" t="str">
            <v>MA</v>
          </cell>
          <cell r="I301" t="str">
            <v>Hat/Line</v>
          </cell>
          <cell r="J301" t="str">
            <v>B-Hız veya güç azalması</v>
          </cell>
          <cell r="K301" t="str">
            <v>Müşteri</v>
          </cell>
          <cell r="L301" t="str">
            <v>MA BOJİ FB09 FREN ARIZASI VERDİ</v>
          </cell>
          <cell r="M301" t="str">
            <v>ARACIN HPU DEĞİŞİMİ YAPILDI</v>
          </cell>
          <cell r="N301">
            <v>72167</v>
          </cell>
          <cell r="P301" t="str">
            <v>B(Servisten çekmeye etki eden arızalar)</v>
          </cell>
          <cell r="Q301" t="str">
            <v>N.A(Yaralanma yok)</v>
          </cell>
          <cell r="R301" t="str">
            <v>Tedarikçi</v>
          </cell>
          <cell r="S301" t="str">
            <v>HANNING  KAHL</v>
          </cell>
          <cell r="T301">
            <v>45584</v>
          </cell>
          <cell r="U301">
            <v>45584.665277777778</v>
          </cell>
          <cell r="V301" t="str">
            <v>HANNING &amp; KAHL GMBH &amp; CO.KG</v>
          </cell>
          <cell r="W301" t="str">
            <v>XHidrolik Ünite HZY-K100-DPR</v>
          </cell>
          <cell r="X301" t="str">
            <v>S306-7001</v>
          </cell>
          <cell r="Y301">
            <v>1</v>
          </cell>
          <cell r="Z301">
            <v>10075479</v>
          </cell>
          <cell r="AB301" t="str">
            <v>Ekipman değiştirilecek</v>
          </cell>
          <cell r="AE301" t="str">
            <v/>
          </cell>
          <cell r="AH301" t="str">
            <v/>
          </cell>
          <cell r="AN301">
            <v>3</v>
          </cell>
          <cell r="AP301" t="str">
            <v>(II) Birden fazla karşılaşılan arıza</v>
          </cell>
          <cell r="AQ301">
            <v>45584</v>
          </cell>
          <cell r="AR301">
            <v>45584.708333333336</v>
          </cell>
          <cell r="AU301" t="str">
            <v>Fren</v>
          </cell>
        </row>
        <row r="302">
          <cell r="A302" t="str">
            <v>acc102a2</v>
          </cell>
          <cell r="B302" t="str">
            <v>BOZ-KAY5+6-FF-301</v>
          </cell>
          <cell r="E302">
            <v>45586</v>
          </cell>
          <cell r="F302">
            <v>45586.37222222222</v>
          </cell>
          <cell r="G302" t="str">
            <v>3882(11)</v>
          </cell>
          <cell r="H302" t="str">
            <v>MA</v>
          </cell>
          <cell r="I302" t="str">
            <v>Hat/Line</v>
          </cell>
          <cell r="J302" t="str">
            <v>C-Uyarı, sürüş devamlılığı</v>
          </cell>
          <cell r="K302" t="str">
            <v>Müşteri</v>
          </cell>
          <cell r="L302" t="str">
            <v>KABİN KLİMASI YETERSİZ SICAK ÜFLEMİYOR.</v>
          </cell>
          <cell r="M302" t="str">
            <v>KONTROL EDİLDİ SORUN YOK.</v>
          </cell>
          <cell r="N302">
            <v>31529</v>
          </cell>
          <cell r="P302" t="str">
            <v>B(Servisten çekmeye etki eden arızalar)</v>
          </cell>
          <cell r="Q302" t="str">
            <v>N.A(Yaralanma yok)</v>
          </cell>
          <cell r="R302" t="str">
            <v>Tedarikçi</v>
          </cell>
          <cell r="S302" t="str">
            <v>Eltesan</v>
          </cell>
          <cell r="T302">
            <v>45586</v>
          </cell>
          <cell r="U302">
            <v>45586.416666666664</v>
          </cell>
          <cell r="V302" t="str">
            <v>ELTESAN ELEKTRO MEKANİK SOĞUTMA SAN</v>
          </cell>
          <cell r="W302" t="str">
            <v>KLIMA UNITESİ /Eltesan/Hispacold 41,5 kW</v>
          </cell>
          <cell r="X302" t="str">
            <v>H500-7240</v>
          </cell>
          <cell r="Y302">
            <v>1</v>
          </cell>
          <cell r="AB302" t="str">
            <v>Arıza çözülecek</v>
          </cell>
          <cell r="AE302" t="str">
            <v/>
          </cell>
          <cell r="AH302" t="str">
            <v/>
          </cell>
          <cell r="AN302">
            <v>1</v>
          </cell>
          <cell r="AP302" t="str">
            <v>(III) Birden fazla aynı araçta karşılaşılan arıza</v>
          </cell>
          <cell r="AR302">
            <v>45586.5</v>
          </cell>
          <cell r="AU302" t="str">
            <v>HVAC Sürücü</v>
          </cell>
        </row>
        <row r="303">
          <cell r="A303" t="str">
            <v>e8569cda</v>
          </cell>
          <cell r="B303" t="str">
            <v>BOZ-KAY5+6-FF-302</v>
          </cell>
          <cell r="E303">
            <v>45587</v>
          </cell>
          <cell r="F303">
            <v>45587.52847222222</v>
          </cell>
          <cell r="G303" t="str">
            <v>3879(8)</v>
          </cell>
          <cell r="H303" t="str">
            <v>MA</v>
          </cell>
          <cell r="I303" t="str">
            <v>Hat/Line</v>
          </cell>
          <cell r="J303" t="str">
            <v>C-Uyarı, sürüş devamlılığı</v>
          </cell>
          <cell r="K303" t="str">
            <v>Müşteri</v>
          </cell>
          <cell r="L303" t="str">
            <v>YOLCU BİLGİLENDİRME EKRANLARI ÇALIŞMIYOR.</v>
          </cell>
          <cell r="M303" t="str">
            <v>ARAÇ KONTROL EDİLDİ. EKRANLAR ÇALIŞIYOR.</v>
          </cell>
          <cell r="N303">
            <v>56701</v>
          </cell>
          <cell r="P303" t="str">
            <v>B(Servisten çekmeye etki eden arızalar)</v>
          </cell>
          <cell r="Q303" t="str">
            <v>N.A(Yaralanma yok)</v>
          </cell>
          <cell r="R303" t="str">
            <v>Tedarikçi</v>
          </cell>
          <cell r="S303" t="str">
            <v>Atak</v>
          </cell>
          <cell r="T303">
            <v>45587</v>
          </cell>
          <cell r="U303">
            <v>45587.541666666664</v>
          </cell>
          <cell r="V303" t="str">
            <v>ATAK ULAŞIM SAN.TİC.LTD.ŞTİ.</v>
          </cell>
          <cell r="W303" t="str">
            <v>STRETCH LCD EKRAN</v>
          </cell>
          <cell r="X303" t="str">
            <v>E410-7003</v>
          </cell>
          <cell r="Y303">
            <v>4</v>
          </cell>
          <cell r="AB303" t="str">
            <v>Arıza çözülecek</v>
          </cell>
          <cell r="AE303" t="str">
            <v/>
          </cell>
          <cell r="AH303" t="str">
            <v/>
          </cell>
          <cell r="AN303">
            <v>2</v>
          </cell>
          <cell r="AP303" t="str">
            <v>(III) Birden fazla aynı araçta karşılaşılan arıza</v>
          </cell>
          <cell r="AR303">
            <v>45587.666666666664</v>
          </cell>
          <cell r="AU303" t="str">
            <v>PA/PIS/CCTV</v>
          </cell>
        </row>
        <row r="304">
          <cell r="A304" t="str">
            <v>23711d22</v>
          </cell>
          <cell r="B304" t="str">
            <v>BOZ-KAY5+6-FF-303</v>
          </cell>
          <cell r="E304">
            <v>45588</v>
          </cell>
          <cell r="F304">
            <v>45588.644444444442</v>
          </cell>
          <cell r="G304" t="str">
            <v>3878(7)</v>
          </cell>
          <cell r="H304" t="str">
            <v>MA</v>
          </cell>
          <cell r="I304" t="str">
            <v>Hat/Line</v>
          </cell>
          <cell r="J304" t="str">
            <v>C-Uyarı, sürüş devamlılığı</v>
          </cell>
          <cell r="K304" t="str">
            <v>Müşteri</v>
          </cell>
          <cell r="L304" t="str">
            <v>KAPI ÜSTÜ EKRANLARDA GÖRSELLER DONMUŞ ÇALIŞMIYOR.</v>
          </cell>
          <cell r="M304" t="str">
            <v>ARAÇ KAPI ÜSTÜ EKRANLAR KONTROL EDİLDİ. KAPI ÜSTÜ EKRANLARDA SORUN GÖRÜLMEDİ.</v>
          </cell>
          <cell r="N304">
            <v>72985</v>
          </cell>
          <cell r="P304" t="str">
            <v>B(Servisten çekmeye etki eden arızalar)</v>
          </cell>
          <cell r="Q304" t="str">
            <v>N.A(Yaralanma yok)</v>
          </cell>
          <cell r="R304" t="str">
            <v>Tedarikçi</v>
          </cell>
          <cell r="S304" t="str">
            <v>Atak</v>
          </cell>
          <cell r="T304">
            <v>45588</v>
          </cell>
          <cell r="U304">
            <v>45588.666666666664</v>
          </cell>
          <cell r="V304" t="str">
            <v>ATAK ULAŞIM SAN.TİC.LTD.ŞTİ.</v>
          </cell>
          <cell r="W304" t="str">
            <v>STRETCH LCD EKRAN</v>
          </cell>
          <cell r="X304" t="str">
            <v>E410-7003</v>
          </cell>
          <cell r="Y304">
            <v>3</v>
          </cell>
          <cell r="AB304" t="str">
            <v>Arıza çözülecek</v>
          </cell>
          <cell r="AE304" t="str">
            <v/>
          </cell>
          <cell r="AH304" t="str">
            <v/>
          </cell>
          <cell r="AN304">
            <v>2</v>
          </cell>
          <cell r="AP304" t="str">
            <v>(III) Birden fazla aynı araçta karşılaşılan arıza</v>
          </cell>
          <cell r="AR304">
            <v>45588.75</v>
          </cell>
          <cell r="AU304" t="str">
            <v>PA/PIS/CCTV</v>
          </cell>
        </row>
        <row r="305">
          <cell r="A305" t="str">
            <v>18cde289</v>
          </cell>
          <cell r="B305" t="str">
            <v>BOZ-KAY5+6-FF-304</v>
          </cell>
          <cell r="E305">
            <v>45588</v>
          </cell>
          <cell r="F305">
            <v>45588.645138888889</v>
          </cell>
          <cell r="G305" t="str">
            <v>3879(8)</v>
          </cell>
          <cell r="H305" t="str">
            <v>MA</v>
          </cell>
          <cell r="I305" t="str">
            <v>Hat/Line</v>
          </cell>
          <cell r="J305" t="str">
            <v>C-Uyarı, sürüş devamlılığı</v>
          </cell>
          <cell r="K305" t="str">
            <v>Müşteri</v>
          </cell>
          <cell r="L305" t="str">
            <v>KAPI ÜSTÜ EKRANLAR ÇALIŞMIYOR.</v>
          </cell>
          <cell r="M305" t="str">
            <v>ARACIN KAPI ÜSTÜ EKRANLARI ÇALIŞIYOR. ORTA EKRANLARIN ÇALIŞMADIĞI GÖRÜLDÜ. ORTA EKRANLARIN HDMI KABLOSU ÇIKMIŞ. KABLOSU TAKILDI ORTA EKRANLAR ÇALIŞIYOR.</v>
          </cell>
          <cell r="N305">
            <v>57004</v>
          </cell>
          <cell r="P305" t="str">
            <v>B(Servisten çekmeye etki eden arızalar)</v>
          </cell>
          <cell r="Q305" t="str">
            <v>N.A(Yaralanma yok)</v>
          </cell>
          <cell r="R305" t="str">
            <v>Tedarikçi</v>
          </cell>
          <cell r="S305" t="str">
            <v>Eltesan</v>
          </cell>
          <cell r="T305">
            <v>45588</v>
          </cell>
          <cell r="U305">
            <v>45588.666666666664</v>
          </cell>
          <cell r="V305" t="str">
            <v>ATAK ULAŞIM SAN.TİC.LTD.ŞTİ.</v>
          </cell>
          <cell r="W305" t="str">
            <v>28.6"  EKRAN</v>
          </cell>
          <cell r="X305" t="str">
            <v>E840-7120</v>
          </cell>
          <cell r="Y305">
            <v>4</v>
          </cell>
          <cell r="AB305" t="str">
            <v>Arıza çözülecek</v>
          </cell>
          <cell r="AE305" t="str">
            <v/>
          </cell>
          <cell r="AH305" t="str">
            <v/>
          </cell>
          <cell r="AN305">
            <v>2</v>
          </cell>
          <cell r="AP305" t="str">
            <v>(III) Birden fazla aynı araçta karşılaşılan arıza</v>
          </cell>
          <cell r="AR305">
            <v>45588.75</v>
          </cell>
          <cell r="AU305" t="str">
            <v>PA/PIS/CCTV</v>
          </cell>
        </row>
        <row r="306">
          <cell r="A306" t="str">
            <v>270ab75d</v>
          </cell>
          <cell r="B306" t="str">
            <v>BOZ-KAY5+6-FF-305</v>
          </cell>
          <cell r="E306">
            <v>45591</v>
          </cell>
          <cell r="F306">
            <v>45591.892361111109</v>
          </cell>
          <cell r="G306" t="str">
            <v>3879(8)</v>
          </cell>
          <cell r="H306" t="str">
            <v>MB</v>
          </cell>
          <cell r="I306" t="str">
            <v>Hat/Line</v>
          </cell>
          <cell r="J306" t="str">
            <v>C-Uyarı, sürüş devamlılığı</v>
          </cell>
          <cell r="K306" t="str">
            <v>Müşteri</v>
          </cell>
          <cell r="L306" t="str">
            <v>EL TOTMANI TAKILI KALIYOR.</v>
          </cell>
          <cell r="M306" t="str">
            <v>EL TOTMANI TAKILI KALIYORDU. TOTMAN SETSKUR VİDA AYARI YAPILDI.</v>
          </cell>
          <cell r="N306">
            <v>57784</v>
          </cell>
          <cell r="P306" t="str">
            <v>A(Hareket etmeyi engelleyen arıza)</v>
          </cell>
          <cell r="Q306" t="str">
            <v>N.A(Yaralanma yok)</v>
          </cell>
          <cell r="R306" t="str">
            <v>Tedarikçi</v>
          </cell>
          <cell r="S306" t="str">
            <v>Medcom</v>
          </cell>
          <cell r="T306">
            <v>45592</v>
          </cell>
          <cell r="U306">
            <v>45592.333333333336</v>
          </cell>
          <cell r="V306" t="str">
            <v>MEDCOM SP. Z O.O.</v>
          </cell>
          <cell r="W306" t="str">
            <v>MASTER CONTRROLER S334 C36B</v>
          </cell>
          <cell r="X306" t="str">
            <v>E300-7001</v>
          </cell>
          <cell r="Y306">
            <v>1</v>
          </cell>
          <cell r="AB306" t="str">
            <v>Tamir edilecek</v>
          </cell>
          <cell r="AE306" t="str">
            <v/>
          </cell>
          <cell r="AH306" t="str">
            <v/>
          </cell>
          <cell r="AN306">
            <v>1</v>
          </cell>
          <cell r="AP306" t="str">
            <v>(II) Birden fazla karşılaşılan arıza</v>
          </cell>
          <cell r="AR306">
            <v>45592.416666666664</v>
          </cell>
          <cell r="AU306" t="str">
            <v>Emniyet Sistemi</v>
          </cell>
        </row>
        <row r="307">
          <cell r="A307" t="str">
            <v>a19339ca</v>
          </cell>
          <cell r="B307" t="str">
            <v>BOZ-KAY5+6-FF-306</v>
          </cell>
          <cell r="E307">
            <v>45592</v>
          </cell>
          <cell r="F307">
            <v>45592.504861111112</v>
          </cell>
          <cell r="G307" t="str">
            <v>3872(1)</v>
          </cell>
          <cell r="H307" t="str">
            <v>MB</v>
          </cell>
          <cell r="I307" t="str">
            <v>Hat/Line</v>
          </cell>
          <cell r="J307" t="str">
            <v>C-Uyarı, sürüş devamlılığı</v>
          </cell>
          <cell r="K307" t="str">
            <v>Müşteri</v>
          </cell>
          <cell r="L307" t="str">
            <v>CB KABİN KAPISI KİTLENMEDİ. AYNI ARIZADAN  26.10.2024 TARİHİNDE BAKIMA ALINMIŞTIR. HATTAN GELEN ARAÇ SEFERE ÇIKIŞ YAPTI. BU SEBEPLE 1 SEFERDE 3 DAKİKA TEHİR OLUŞTU.</v>
          </cell>
          <cell r="M307" t="str">
            <v>KAPI KİLİDİ VE AYARI BOZUKTU AYAR YAPILDI. KAPININ ÜST VİDALAR VE KAPI KİLİDİ AYARLANDI. KAPIDA YAPISAL OLARAK BOZUKLUK MEVCUT TRİME ÇARPMAKTADIR. KAPININ DEĞİŞMESİ GEREKMEKTEDİR.</v>
          </cell>
          <cell r="N307">
            <v>95041</v>
          </cell>
          <cell r="P307" t="str">
            <v>B(Servisten çekmeye etki eden arızalar)</v>
          </cell>
          <cell r="Q307" t="str">
            <v>N.A(Yaralanma yok)</v>
          </cell>
          <cell r="R307" t="str">
            <v>Tedarikçi</v>
          </cell>
          <cell r="S307" t="str">
            <v>Bozankaya</v>
          </cell>
          <cell r="T307">
            <v>45592</v>
          </cell>
          <cell r="U307">
            <v>45592.541666666664</v>
          </cell>
          <cell r="V307" t="str">
            <v>GREBO OTOMOTİV SANAYİ A.Ş</v>
          </cell>
          <cell r="W307" t="str">
            <v>SURUCU KAPISI KOMPLESI</v>
          </cell>
          <cell r="X307" t="str">
            <v>T110-7047</v>
          </cell>
          <cell r="Y307">
            <v>1</v>
          </cell>
          <cell r="AB307" t="str">
            <v>Tamir edilecek</v>
          </cell>
          <cell r="AE307" t="str">
            <v/>
          </cell>
          <cell r="AH307" t="str">
            <v/>
          </cell>
          <cell r="AN307">
            <v>2</v>
          </cell>
          <cell r="AP307" t="str">
            <v>(II) Birden fazla karşılaşılan arıza</v>
          </cell>
          <cell r="AR307">
            <v>45592.666666666664</v>
          </cell>
          <cell r="AU307" t="str">
            <v>Kapı</v>
          </cell>
        </row>
        <row r="308">
          <cell r="A308" t="str">
            <v>16f36d53</v>
          </cell>
          <cell r="B308" t="str">
            <v>BOZ-KAY5+6-FF-307</v>
          </cell>
          <cell r="E308">
            <v>45595</v>
          </cell>
          <cell r="F308">
            <v>45595.26666666667</v>
          </cell>
          <cell r="G308" t="str">
            <v>3880(9)</v>
          </cell>
          <cell r="H308" t="str">
            <v>RA</v>
          </cell>
          <cell r="I308" t="str">
            <v>Hat/Line</v>
          </cell>
          <cell r="J308" t="str">
            <v>C-Uyarı, sürüş devamlılığı</v>
          </cell>
          <cell r="K308" t="str">
            <v>Müşteri</v>
          </cell>
          <cell r="L308" t="str">
            <v>KLİMALAR DEVREYE GİRMİYOR YOLCU ŞİKAYETİ</v>
          </cell>
          <cell r="M308" t="str">
            <v>KLİMALAR ARIZAYA GEÇMİŞ RESETLENDİ ISITMA YAPIYOR.</v>
          </cell>
          <cell r="N308">
            <v>53844</v>
          </cell>
          <cell r="P308" t="str">
            <v>B(Servisten çekmeye etki eden arızalar)</v>
          </cell>
          <cell r="Q308" t="str">
            <v>N.A(Yaralanma yok)</v>
          </cell>
          <cell r="R308" t="str">
            <v>Tedarikçi</v>
          </cell>
          <cell r="S308" t="str">
            <v>Eltesan</v>
          </cell>
          <cell r="T308">
            <v>45595</v>
          </cell>
          <cell r="U308">
            <v>45595.333333333336</v>
          </cell>
          <cell r="V308" t="str">
            <v>ELTESAN ELEKTRO MEKANİK SOĞUTMA SAN</v>
          </cell>
          <cell r="W308" t="str">
            <v>KLIMA UNITESİ /Eltesan/Hispacold 41,5 kW</v>
          </cell>
          <cell r="X308" t="str">
            <v>H500-7240</v>
          </cell>
          <cell r="Y308">
            <v>1</v>
          </cell>
          <cell r="AB308" t="str">
            <v>Yazılım güncelleme</v>
          </cell>
          <cell r="AE308" t="str">
            <v/>
          </cell>
          <cell r="AH308" t="str">
            <v/>
          </cell>
          <cell r="AN308">
            <v>1</v>
          </cell>
          <cell r="AP308" t="str">
            <v>(III) Birden fazla aynı araçta karşılaşılan arıza</v>
          </cell>
          <cell r="AR308">
            <v>45595.416666666664</v>
          </cell>
          <cell r="AU308" t="str">
            <v>HVAC Yolcu</v>
          </cell>
        </row>
        <row r="309">
          <cell r="A309" t="str">
            <v>fab953be</v>
          </cell>
          <cell r="B309" t="str">
            <v>BOZ-KAY5+6-FF-308</v>
          </cell>
          <cell r="E309">
            <v>45595</v>
          </cell>
          <cell r="F309">
            <v>45595.267361111109</v>
          </cell>
          <cell r="G309" t="str">
            <v>3879(8)</v>
          </cell>
          <cell r="H309" t="str">
            <v>RB</v>
          </cell>
          <cell r="I309" t="str">
            <v>Hat/Line</v>
          </cell>
          <cell r="J309" t="str">
            <v>C-Uyarı, sürüş devamlılığı</v>
          </cell>
          <cell r="K309" t="str">
            <v>Müşteri</v>
          </cell>
          <cell r="L309" t="str">
            <v>KLİMALAR DEVREYE GİRMİYORDU(YOLCU ŞİKAYETİ)</v>
          </cell>
          <cell r="M309" t="str">
            <v>KLİMALAR ARIZAYA GEÇMİŞ RESETLENDİ ISITMA YAPIYOR.</v>
          </cell>
          <cell r="N309">
            <v>57977</v>
          </cell>
          <cell r="P309" t="str">
            <v>B(Servisten çekmeye etki eden arızalar)</v>
          </cell>
          <cell r="Q309" t="str">
            <v>N.A(Yaralanma yok)</v>
          </cell>
          <cell r="R309" t="str">
            <v>Tedarikçi</v>
          </cell>
          <cell r="S309" t="str">
            <v>Eltesan</v>
          </cell>
          <cell r="T309">
            <v>45595</v>
          </cell>
          <cell r="U309">
            <v>45595.333333333336</v>
          </cell>
          <cell r="V309" t="str">
            <v>ELTESAN ELEKTRO MEKANİK SOĞUTMA SAN</v>
          </cell>
          <cell r="W309" t="str">
            <v>KLIMA UNITESİ /Eltesan/Hispacold 41,5 kW</v>
          </cell>
          <cell r="X309" t="str">
            <v>H500-7240</v>
          </cell>
          <cell r="Y309">
            <v>1</v>
          </cell>
          <cell r="AB309" t="str">
            <v>Arıza çözülecek</v>
          </cell>
          <cell r="AE309" t="str">
            <v/>
          </cell>
          <cell r="AH309" t="str">
            <v/>
          </cell>
          <cell r="AN309">
            <v>1</v>
          </cell>
          <cell r="AP309" t="str">
            <v>(III) Birden fazla aynı araçta karşılaşılan arıza</v>
          </cell>
          <cell r="AR309">
            <v>45595.416666666664</v>
          </cell>
          <cell r="AU309" t="str">
            <v>HVAC Yolcu</v>
          </cell>
        </row>
        <row r="310">
          <cell r="A310" t="str">
            <v>9a4968b9</v>
          </cell>
          <cell r="B310" t="str">
            <v>BOZ-KAY5+6-FF-309</v>
          </cell>
          <cell r="E310">
            <v>45600</v>
          </cell>
          <cell r="F310">
            <v>45600.457638888889</v>
          </cell>
          <cell r="G310" t="str">
            <v>3878(7)</v>
          </cell>
          <cell r="H310" t="str">
            <v>MA</v>
          </cell>
          <cell r="I310" t="str">
            <v>Hat/Line</v>
          </cell>
          <cell r="J310" t="str">
            <v>C-Uyarı, sürüş devamlılığı</v>
          </cell>
          <cell r="K310" t="str">
            <v>Müşteri</v>
          </cell>
          <cell r="L310" t="str">
            <v>kabin kliması soğutma yapıyor.</v>
          </cell>
          <cell r="M310" t="str">
            <v>kabin kliması soğutma yapmıyor arızası kontrol edildi. Araç atölyeye geldiğinde kliması ısıtma konumunda ve sıcaklık yüksekti ısıtma konumundan çıkarılıp derecesi düşürüldü tekrar yapılan kontrol kabin klimanın soğutma yaptığı görüldü.</v>
          </cell>
          <cell r="N310">
            <v>75860</v>
          </cell>
          <cell r="P310" t="str">
            <v>B(Servisten çekmeye etki eden arızalar)</v>
          </cell>
          <cell r="Q310" t="str">
            <v>N.A(Yaralanma yok)</v>
          </cell>
          <cell r="R310" t="str">
            <v>Tedarikçi</v>
          </cell>
          <cell r="S310" t="str">
            <v>Eltesan</v>
          </cell>
          <cell r="T310">
            <v>45600</v>
          </cell>
          <cell r="U310">
            <v>45600.541666666664</v>
          </cell>
          <cell r="V310" t="str">
            <v>ELTESAN ELEKTRO MEKANİK SOĞUTMA SAN</v>
          </cell>
          <cell r="W310" t="str">
            <v>KLIMA UNITESİ /Eltesan/Hispacold 41,5 kW</v>
          </cell>
          <cell r="X310" t="str">
            <v>H500-7240</v>
          </cell>
          <cell r="Y310">
            <v>1</v>
          </cell>
          <cell r="AB310" t="str">
            <v>Arıza çözülecek</v>
          </cell>
          <cell r="AE310" t="str">
            <v/>
          </cell>
          <cell r="AH310" t="str">
            <v/>
          </cell>
          <cell r="AN310">
            <v>2</v>
          </cell>
          <cell r="AP310" t="str">
            <v>(III) Birden fazla aynı araçta karşılaşılan arıza</v>
          </cell>
          <cell r="AR310">
            <v>45600.625</v>
          </cell>
          <cell r="AU310" t="str">
            <v>HVAC Sürücü</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richData/_rels/rdRichValueWebImage.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appsheet.com/Template/gettablefileurl?appname=KAY5_6_Failure_Lists-654943&amp;tableName=SAYFA1&amp;filename=Sayfa1_Images%2Fd73e757f.Resim.130815.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appsheet.com/Template/gettablefileurl?appname=KAY5_6_Failure_Lists-654943&amp;tableName=SAYFA1&amp;filename=Sayfa1_Images%2Fd73e757f.Resim.130815.jpg" TargetMode="External"/><Relationship Id="rId299" Type="http://schemas.openxmlformats.org/officeDocument/2006/relationships/hyperlink" Target="https://www.appsheet.com/Template/gettablefileurl?appname=KAY5_6_Failure_Lists-654943&amp;tableName=SAYFA1&amp;filename=Sayfa1_Images%2Fd73e757f.Resim.130815.jpg" TargetMode="External"/><Relationship Id="rId21" Type="http://schemas.openxmlformats.org/officeDocument/2006/relationships/hyperlink" Target="https://www.appsheet.com/Template/gettablefileurl?appname=KAY5_6_Failure_Lists-654943&amp;tableName=SAYFA1&amp;filename=Sayfa1_Images%2Fd73e757f.Resim.130815.jpg" TargetMode="External"/><Relationship Id="rId63" Type="http://schemas.openxmlformats.org/officeDocument/2006/relationships/hyperlink" Target="https://www.appsheet.com/Template/gettablefileurl?appname=KAY5_6_Failure_Lists-654943&amp;tableName=SAYFA1&amp;filename=Sayfa1_Images%2Fd73e757f.Resim.130815.jpg" TargetMode="External"/><Relationship Id="rId159" Type="http://schemas.openxmlformats.org/officeDocument/2006/relationships/hyperlink" Target="https://www.appsheet.com/Template/gettablefileurl?appname=KAY5_6_Failure_Lists-654943&amp;tableName=SAYFA1&amp;filename=Sayfa1_Images%2Fd73e757f.Resim.130815.jpg" TargetMode="External"/><Relationship Id="rId170" Type="http://schemas.openxmlformats.org/officeDocument/2006/relationships/hyperlink" Target="https://www.appsheet.com/Template/gettablefileurl?appname=KAY5_6_Failure_Lists-654943&amp;tableName=SAYFA1&amp;filename=Sayfa1_Images%2Fd73e757f.Resim.130815.jpg" TargetMode="External"/><Relationship Id="rId226" Type="http://schemas.openxmlformats.org/officeDocument/2006/relationships/hyperlink" Target="https://www.appsheet.com/Template/gettablefileurl?appname=KAY5_6_Failure_Lists-654943&amp;tableName=SAYFA1&amp;filename=Sayfa1_Images%2Fd73e757f.Resim.130815.jpg" TargetMode="External"/><Relationship Id="rId268" Type="http://schemas.openxmlformats.org/officeDocument/2006/relationships/hyperlink" Target="https://www.appsheet.com/Template/gettablefileurl?appname=KAY5_6_Failure_Lists-654943&amp;tableName=SAYFA1&amp;filename=Sayfa1_Images%2Fd73e757f.Resim.130815.jpg" TargetMode="External"/><Relationship Id="rId32" Type="http://schemas.openxmlformats.org/officeDocument/2006/relationships/hyperlink" Target="https://www.appsheet.com/Template/gettablefileurl?appname=KAY5_6_Failure_Lists-654943&amp;tableName=SAYFA1&amp;filename=Sayfa1_Images%2Fd73e757f.Resim.130815.jpg" TargetMode="External"/><Relationship Id="rId74" Type="http://schemas.openxmlformats.org/officeDocument/2006/relationships/hyperlink" Target="https://www.appsheet.com/Template/gettablefileurl?appname=KAY5_6_Failure_Lists-654943&amp;tableName=SAYFA1&amp;filename=Sayfa1_Images%2Fd73e757f.Resim.130815.jpg" TargetMode="External"/><Relationship Id="rId128" Type="http://schemas.openxmlformats.org/officeDocument/2006/relationships/hyperlink" Target="https://www.appsheet.com/Template/gettablefileurl?appname=KAY5_6_Failure_Lists-654943&amp;tableName=SAYFA1&amp;filename=Sayfa1_Images%2Fd73e757f.Resim.130815.jpg" TargetMode="External"/><Relationship Id="rId5" Type="http://schemas.openxmlformats.org/officeDocument/2006/relationships/hyperlink" Target="https://www.appsheet.com/Template/gettablefileurl?appname=KAY5_6_Failure_Lists-654943&amp;tableName=SAYFA1&amp;filename=Sayfa1_Images%2Fd73e757f.Resim.130815.jpg" TargetMode="External"/><Relationship Id="rId181" Type="http://schemas.openxmlformats.org/officeDocument/2006/relationships/hyperlink" Target="https://www.appsheet.com/Template/gettablefileurl?appname=KAY5_6_Failure_Lists-654943&amp;tableName=SAYFA1&amp;filename=Sayfa1_Images%2Fd73e757f.Resim.130815.jpg" TargetMode="External"/><Relationship Id="rId237" Type="http://schemas.openxmlformats.org/officeDocument/2006/relationships/hyperlink" Target="https://www.appsheet.com/Template/gettablefileurl?appname=KAY5_6_Failure_Lists-654943&amp;tableName=SAYFA1&amp;filename=Sayfa1_Images%2Fd73e757f.Resim.130815.jpg" TargetMode="External"/><Relationship Id="rId279" Type="http://schemas.openxmlformats.org/officeDocument/2006/relationships/hyperlink" Target="https://www.appsheet.com/Template/gettablefileurl?appname=KAY5_6_Failure_Lists-654943&amp;tableName=SAYFA1&amp;filename=Sayfa1_Images%2Fd73e757f.Resim.130815.jpg" TargetMode="External"/><Relationship Id="rId43" Type="http://schemas.openxmlformats.org/officeDocument/2006/relationships/hyperlink" Target="https://www.appsheet.com/Template/gettablefileurl?appname=KAY5_6_Failure_Lists-654943&amp;tableName=SAYFA1&amp;filename=Sayfa1_Images%2Fd73e757f.Resim.130815.jpg" TargetMode="External"/><Relationship Id="rId139" Type="http://schemas.openxmlformats.org/officeDocument/2006/relationships/hyperlink" Target="https://www.appsheet.com/Template/gettablefileurl?appname=KAY5_6_Failure_Lists-654943&amp;tableName=SAYFA1&amp;filename=Sayfa1_Images%2Fd73e757f.Resim.130815.jpg" TargetMode="External"/><Relationship Id="rId290" Type="http://schemas.openxmlformats.org/officeDocument/2006/relationships/hyperlink" Target="https://www.appsheet.com/Template/gettablefileurl?appname=KAY5_6_Failure_Lists-654943&amp;tableName=SAYFA1&amp;filename=Sayfa1_Images%2Fd73e757f.Resim.130815.jpg" TargetMode="External"/><Relationship Id="rId304" Type="http://schemas.openxmlformats.org/officeDocument/2006/relationships/hyperlink" Target="https://www.appsheet.com/Template/gettablefileurl?appname=KAY5_6_Failure_Lists-654943&amp;tableName=SAYFA1&amp;filename=Sayfa1_Images%2Fd73e757f.Resim.130815.jpg" TargetMode="External"/><Relationship Id="rId85" Type="http://schemas.openxmlformats.org/officeDocument/2006/relationships/hyperlink" Target="https://www.appsheet.com/Template/gettablefileurl?appname=KAY5_6_Failure_Lists-654943&amp;tableName=SAYFA1&amp;filename=Sayfa1_Images%2Fd73e757f.Resim.130815.jpg" TargetMode="External"/><Relationship Id="rId150" Type="http://schemas.openxmlformats.org/officeDocument/2006/relationships/hyperlink" Target="https://www.appsheet.com/Template/gettablefileurl?appname=KAY5_6_Failure_Lists-654943&amp;tableName=SAYFA1&amp;filename=Sayfa1_Images%2Fd73e757f.Resim.130815.jpg" TargetMode="External"/><Relationship Id="rId192" Type="http://schemas.openxmlformats.org/officeDocument/2006/relationships/hyperlink" Target="https://www.appsheet.com/Template/gettablefileurl?appname=KAY5_6_Failure_Lists-654943&amp;tableName=SAYFA1&amp;filename=Sayfa1_Images%2Fd73e757f.Resim.130815.jpg" TargetMode="External"/><Relationship Id="rId206" Type="http://schemas.openxmlformats.org/officeDocument/2006/relationships/hyperlink" Target="https://www.appsheet.com/Template/gettablefileurl?appname=KAY5_6_Failure_Lists-654943&amp;tableName=SAYFA1&amp;filename=Sayfa1_Images%2Fd73e757f.Resim.130815.jpg" TargetMode="External"/><Relationship Id="rId248" Type="http://schemas.openxmlformats.org/officeDocument/2006/relationships/hyperlink" Target="https://www.appsheet.com/Template/gettablefileurl?appname=KAY5_6_Failure_Lists-654943&amp;tableName=SAYFA1&amp;filename=Sayfa1_Images%2Fd73e757f.Resim.130815.jpg" TargetMode="External"/><Relationship Id="rId12" Type="http://schemas.openxmlformats.org/officeDocument/2006/relationships/hyperlink" Target="https://www.appsheet.com/Template/gettablefileurl?appname=KAY5_6_Failure_Lists-654943&amp;tableName=SAYFA1&amp;filename=Sayfa1_Images%2Fd73e757f.Resim.130815.jpg" TargetMode="External"/><Relationship Id="rId108" Type="http://schemas.openxmlformats.org/officeDocument/2006/relationships/hyperlink" Target="https://www.appsheet.com/Template/gettablefileurl?appname=KAY5_6_Failure_Lists-654943&amp;tableName=SAYFA1&amp;filename=Sayfa1_Images%2Fd73e757f.Resim.130815.jpg" TargetMode="External"/><Relationship Id="rId54" Type="http://schemas.openxmlformats.org/officeDocument/2006/relationships/hyperlink" Target="https://www.appsheet.com/Template/gettablefileurl?appname=KAY5_6_Failure_Lists-654943&amp;tableName=SAYFA1&amp;filename=Sayfa1_Images%2Fd73e757f.Resim.130815.jpg" TargetMode="External"/><Relationship Id="rId96" Type="http://schemas.openxmlformats.org/officeDocument/2006/relationships/hyperlink" Target="https://www.appsheet.com/Template/gettablefileurl?appname=KAY5_6_Failure_Lists-654943&amp;tableName=SAYFA1&amp;filename=Sayfa1_Images%2Fd73e757f.Resim.130815.jpg" TargetMode="External"/><Relationship Id="rId161" Type="http://schemas.openxmlformats.org/officeDocument/2006/relationships/hyperlink" Target="https://www.appsheet.com/Template/gettablefileurl?appname=KAY5_6_Failure_Lists-654943&amp;tableName=SAYFA1&amp;filename=Sayfa1_Images%2Fd73e757f.Resim.130815.jpg" TargetMode="External"/><Relationship Id="rId217" Type="http://schemas.openxmlformats.org/officeDocument/2006/relationships/hyperlink" Target="https://www.appsheet.com/Template/gettablefileurl?appname=KAY5_6_Failure_Lists-654943&amp;tableName=SAYFA1&amp;filename=Sayfa1_Images%2Fd73e757f.Resim.130815.jpg" TargetMode="External"/><Relationship Id="rId259" Type="http://schemas.openxmlformats.org/officeDocument/2006/relationships/hyperlink" Target="https://www.appsheet.com/Template/gettablefileurl?appname=KAY5_6_Failure_Lists-654943&amp;tableName=SAYFA1&amp;filename=Sayfa1_Images%2Fd73e757f.Resim.130815.jpg" TargetMode="External"/><Relationship Id="rId23" Type="http://schemas.openxmlformats.org/officeDocument/2006/relationships/hyperlink" Target="https://www.appsheet.com/Template/gettablefileurl?appname=KAY5_6_Failure_Lists-654943&amp;tableName=SAYFA1&amp;filename=Sayfa1_Images%2Fd73e757f.Resim.130815.jpg" TargetMode="External"/><Relationship Id="rId119" Type="http://schemas.openxmlformats.org/officeDocument/2006/relationships/hyperlink" Target="https://www.appsheet.com/Template/gettablefileurl?appname=KAY5_6_Failure_Lists-654943&amp;tableName=SAYFA1&amp;filename=Sayfa1_Images%2Fd73e757f.Resim.130815.jpg" TargetMode="External"/><Relationship Id="rId270" Type="http://schemas.openxmlformats.org/officeDocument/2006/relationships/hyperlink" Target="https://www.appsheet.com/Template/gettablefileurl?appname=KAY5_6_Failure_Lists-654943&amp;tableName=SAYFA1&amp;filename=Sayfa1_Images%2Fd73e757f.Resim.130815.jpg" TargetMode="External"/><Relationship Id="rId44" Type="http://schemas.openxmlformats.org/officeDocument/2006/relationships/hyperlink" Target="https://www.appsheet.com/Template/gettablefileurl?appname=KAY5_6_Failure_Lists-654943&amp;tableName=SAYFA1&amp;filename=Sayfa1_Images%2Fd73e757f.Resim.130815.jpg" TargetMode="External"/><Relationship Id="rId65" Type="http://schemas.openxmlformats.org/officeDocument/2006/relationships/hyperlink" Target="https://www.appsheet.com/Template/gettablefileurl?appname=KAY5_6_Failure_Lists-654943&amp;tableName=SAYFA1&amp;filename=Sayfa1_Images%2Fd73e757f.Resim.130815.jpg" TargetMode="External"/><Relationship Id="rId86" Type="http://schemas.openxmlformats.org/officeDocument/2006/relationships/hyperlink" Target="https://www.appsheet.com/Template/gettablefileurl?appname=KAY5_6_Failure_Lists-654943&amp;tableName=SAYFA1&amp;filename=Sayfa1_Images%2Fd73e757f.Resim.130815.jpg" TargetMode="External"/><Relationship Id="rId130" Type="http://schemas.openxmlformats.org/officeDocument/2006/relationships/hyperlink" Target="https://www.appsheet.com/Template/gettablefileurl?appname=KAY5_6_Failure_Lists-654943&amp;tableName=SAYFA1&amp;filename=Sayfa1_Images%2Fd73e757f.Resim.130815.jpg" TargetMode="External"/><Relationship Id="rId151" Type="http://schemas.openxmlformats.org/officeDocument/2006/relationships/hyperlink" Target="https://www.appsheet.com/Template/gettablefileurl?appname=KAY5_6_Failure_Lists-654943&amp;tableName=SAYFA1&amp;filename=Sayfa1_Images%2Fd73e757f.Resim.130815.jpg" TargetMode="External"/><Relationship Id="rId172" Type="http://schemas.openxmlformats.org/officeDocument/2006/relationships/hyperlink" Target="https://www.appsheet.com/Template/gettablefileurl?appname=KAY5_6_Failure_Lists-654943&amp;tableName=SAYFA1&amp;filename=Sayfa1_Images%2Fd73e757f.Resim.130815.jpg" TargetMode="External"/><Relationship Id="rId193" Type="http://schemas.openxmlformats.org/officeDocument/2006/relationships/hyperlink" Target="https://www.appsheet.com/Template/gettablefileurl?appname=KAY5_6_Failure_Lists-654943&amp;tableName=SAYFA1&amp;filename=Sayfa1_Images%2Fd73e757f.Resim.130815.jpg" TargetMode="External"/><Relationship Id="rId207" Type="http://schemas.openxmlformats.org/officeDocument/2006/relationships/hyperlink" Target="https://www.appsheet.com/Template/gettablefileurl?appname=KAY5_6_Failure_Lists-654943&amp;tableName=SAYFA1&amp;filename=Sayfa1_Images%2Fd73e757f.Resim.130815.jpg" TargetMode="External"/><Relationship Id="rId228" Type="http://schemas.openxmlformats.org/officeDocument/2006/relationships/hyperlink" Target="https://www.appsheet.com/Template/gettablefileurl?appname=KAY5_6_Failure_Lists-654943&amp;tableName=SAYFA1&amp;filename=Sayfa1_Images%2Fd73e757f.Resim.130815.jpg" TargetMode="External"/><Relationship Id="rId249" Type="http://schemas.openxmlformats.org/officeDocument/2006/relationships/hyperlink" Target="https://www.appsheet.com/Template/gettablefileurl?appname=KAY5_6_Failure_Lists-654943&amp;tableName=SAYFA1&amp;filename=Sayfa1_Images%2Fd73e757f.Resim.130815.jpg" TargetMode="External"/><Relationship Id="rId13" Type="http://schemas.openxmlformats.org/officeDocument/2006/relationships/hyperlink" Target="https://www.appsheet.com/Template/gettablefileurl?appname=KAY5_6_Failure_Lists-654943&amp;tableName=SAYFA1&amp;filename=Sayfa1_Images%2Fd73e757f.Resim.130815.jpg" TargetMode="External"/><Relationship Id="rId109" Type="http://schemas.openxmlformats.org/officeDocument/2006/relationships/hyperlink" Target="https://www.appsheet.com/Template/gettablefileurl?appname=KAY5_6_Failure_Lists-654943&amp;tableName=SAYFA1&amp;filename=Sayfa1_Images%2Fd73e757f.Resim.130815.jpg" TargetMode="External"/><Relationship Id="rId260" Type="http://schemas.openxmlformats.org/officeDocument/2006/relationships/hyperlink" Target="https://www.appsheet.com/Template/gettablefileurl?appname=KAY5_6_Failure_Lists-654943&amp;tableName=SAYFA1&amp;filename=Sayfa1_Images%2Fd73e757f.Resim.130815.jpg" TargetMode="External"/><Relationship Id="rId281" Type="http://schemas.openxmlformats.org/officeDocument/2006/relationships/hyperlink" Target="https://www.appsheet.com/Template/gettablefileurl?appname=KAY5_6_Failure_Lists-654943&amp;tableName=SAYFA1&amp;filename=Sayfa1_Images%2Fd73e757f.Resim.130815.jpg" TargetMode="External"/><Relationship Id="rId34" Type="http://schemas.openxmlformats.org/officeDocument/2006/relationships/hyperlink" Target="https://www.appsheet.com/Template/gettablefileurl?appname=KAY5_6_Failure_Lists-654943&amp;tableName=SAYFA1&amp;filename=Sayfa1_Images%2Fd73e757f.Resim.130815.jpg" TargetMode="External"/><Relationship Id="rId55" Type="http://schemas.openxmlformats.org/officeDocument/2006/relationships/hyperlink" Target="https://www.appsheet.com/Template/gettablefileurl?appname=KAY5_6_Failure_Lists-654943&amp;tableName=SAYFA1&amp;filename=Sayfa1_Images%2Fd73e757f.Resim.130815.jpg" TargetMode="External"/><Relationship Id="rId76" Type="http://schemas.openxmlformats.org/officeDocument/2006/relationships/hyperlink" Target="https://www.appsheet.com/Template/gettablefileurl?appname=KAY5_6_Failure_Lists-654943&amp;tableName=SAYFA1&amp;filename=Sayfa1_Images%2Fd73e757f.Resim.130815.jpg" TargetMode="External"/><Relationship Id="rId97" Type="http://schemas.openxmlformats.org/officeDocument/2006/relationships/hyperlink" Target="https://www.appsheet.com/Template/gettablefileurl?appname=KAY5_6_Failure_Lists-654943&amp;tableName=SAYFA1&amp;filename=Sayfa1_Images%2Fd73e757f.Resim.130815.jpg" TargetMode="External"/><Relationship Id="rId120" Type="http://schemas.openxmlformats.org/officeDocument/2006/relationships/hyperlink" Target="https://www.appsheet.com/Template/gettablefileurl?appname=KAY5_6_Failure_Lists-654943&amp;tableName=SAYFA1&amp;filename=Sayfa1_Images%2Fd73e757f.Resim.130815.jpg" TargetMode="External"/><Relationship Id="rId141" Type="http://schemas.openxmlformats.org/officeDocument/2006/relationships/hyperlink" Target="https://www.appsheet.com/Template/gettablefileurl?appname=KAY5_6_Failure_Lists-654943&amp;tableName=SAYFA1&amp;filename=Sayfa1_Images%2Fd73e757f.Resim.130815.jpg" TargetMode="External"/><Relationship Id="rId7" Type="http://schemas.openxmlformats.org/officeDocument/2006/relationships/hyperlink" Target="https://www.appsheet.com/Template/gettablefileurl?appname=KAY5_6_Failure_Lists-654943&amp;tableName=SAYFA1&amp;filename=Sayfa1_Images%2Fd73e757f.Resim.130815.jpg" TargetMode="External"/><Relationship Id="rId162" Type="http://schemas.openxmlformats.org/officeDocument/2006/relationships/hyperlink" Target="https://www.appsheet.com/Template/gettablefileurl?appname=KAY5_6_Failure_Lists-654943&amp;tableName=SAYFA1&amp;filename=Sayfa1_Images%2Fd73e757f.Resim.130815.jpg" TargetMode="External"/><Relationship Id="rId183" Type="http://schemas.openxmlformats.org/officeDocument/2006/relationships/hyperlink" Target="https://www.appsheet.com/Template/gettablefileurl?appname=KAY5_6_Failure_Lists-654943&amp;tableName=SAYFA1&amp;filename=Sayfa1_Images%2Fd73e757f.Resim.130815.jpg" TargetMode="External"/><Relationship Id="rId218" Type="http://schemas.openxmlformats.org/officeDocument/2006/relationships/hyperlink" Target="https://www.appsheet.com/Template/gettablefileurl?appname=KAY5_6_Failure_Lists-654943&amp;tableName=SAYFA1&amp;filename=Sayfa1_Images%2Fd73e757f.Resim.130815.jpg" TargetMode="External"/><Relationship Id="rId239" Type="http://schemas.openxmlformats.org/officeDocument/2006/relationships/hyperlink" Target="https://www.appsheet.com/Template/gettablefileurl?appname=KAY5_6_Failure_Lists-654943&amp;tableName=SAYFA1&amp;filename=Sayfa1_Images%2Fd73e757f.Resim.130815.jpg" TargetMode="External"/><Relationship Id="rId250" Type="http://schemas.openxmlformats.org/officeDocument/2006/relationships/hyperlink" Target="https://www.appsheet.com/Template/gettablefileurl?appname=KAY5_6_Failure_Lists-654943&amp;tableName=SAYFA1&amp;filename=Sayfa1_Images%2Fd73e757f.Resim.130815.jpg" TargetMode="External"/><Relationship Id="rId271" Type="http://schemas.openxmlformats.org/officeDocument/2006/relationships/hyperlink" Target="https://www.appsheet.com/Template/gettablefileurl?appname=KAY5_6_Failure_Lists-654943&amp;tableName=SAYFA1&amp;filename=Sayfa1_Images%2Fd73e757f.Resim.130815.jpg" TargetMode="External"/><Relationship Id="rId292" Type="http://schemas.openxmlformats.org/officeDocument/2006/relationships/hyperlink" Target="https://www.appsheet.com/Template/gettablefileurl?appname=KAY5_6_Failure_Lists-654943&amp;tableName=SAYFA1&amp;filename=Sayfa1_Images%2Fd73e757f.Resim.130815.jpg" TargetMode="External"/><Relationship Id="rId306" Type="http://schemas.openxmlformats.org/officeDocument/2006/relationships/hyperlink" Target="https://www.appsheet.com/Template/gettablefileurl?appname=KAY5_6_Failure_Lists-654943&amp;tableName=SAYFA1&amp;filename=Sayfa1_Images%2Fd73e757f.Resim.130815.jpg" TargetMode="External"/><Relationship Id="rId24" Type="http://schemas.openxmlformats.org/officeDocument/2006/relationships/hyperlink" Target="https://www.appsheet.com/Template/gettablefileurl?appname=KAY5_6_Failure_Lists-654943&amp;tableName=SAYFA1&amp;filename=Sayfa1_Images%2Fd73e757f.Resim.130815.jpg" TargetMode="External"/><Relationship Id="rId45" Type="http://schemas.openxmlformats.org/officeDocument/2006/relationships/hyperlink" Target="https://www.appsheet.com/Template/gettablefileurl?appname=KAY5_6_Failure_Lists-654943&amp;tableName=SAYFA1&amp;filename=Sayfa1_Images%2Fd73e757f.Resim.130815.jpg" TargetMode="External"/><Relationship Id="rId66" Type="http://schemas.openxmlformats.org/officeDocument/2006/relationships/hyperlink" Target="https://www.appsheet.com/Template/gettablefileurl?appname=KAY5_6_Failure_Lists-654943&amp;tableName=SAYFA1&amp;filename=Sayfa1_Images%2Fd73e757f.Resim.130815.jpg" TargetMode="External"/><Relationship Id="rId87" Type="http://schemas.openxmlformats.org/officeDocument/2006/relationships/hyperlink" Target="https://www.appsheet.com/Template/gettablefileurl?appname=KAY5_6_Failure_Lists-654943&amp;tableName=SAYFA1&amp;filename=Sayfa1_Images%2Fd73e757f.Resim.130815.jpg" TargetMode="External"/><Relationship Id="rId110" Type="http://schemas.openxmlformats.org/officeDocument/2006/relationships/hyperlink" Target="https://www.appsheet.com/Template/gettablefileurl?appname=KAY5_6_Failure_Lists-654943&amp;tableName=SAYFA1&amp;filename=Sayfa1_Images%2Fd73e757f.Resim.130815.jpg" TargetMode="External"/><Relationship Id="rId131" Type="http://schemas.openxmlformats.org/officeDocument/2006/relationships/hyperlink" Target="https://www.appsheet.com/Template/gettablefileurl?appname=KAY5_6_Failure_Lists-654943&amp;tableName=SAYFA1&amp;filename=Sayfa1_Images%2Fd73e757f.Resim.130815.jpg" TargetMode="External"/><Relationship Id="rId152" Type="http://schemas.openxmlformats.org/officeDocument/2006/relationships/hyperlink" Target="https://www.appsheet.com/Template/gettablefileurl?appname=KAY5_6_Failure_Lists-654943&amp;tableName=SAYFA1&amp;filename=Sayfa1_Images%2Fd73e757f.Resim.130815.jpg" TargetMode="External"/><Relationship Id="rId173" Type="http://schemas.openxmlformats.org/officeDocument/2006/relationships/hyperlink" Target="https://www.appsheet.com/Template/gettablefileurl?appname=KAY5_6_Failure_Lists-654943&amp;tableName=SAYFA1&amp;filename=Sayfa1_Images%2Fd73e757f.Resim.130815.jpg" TargetMode="External"/><Relationship Id="rId194" Type="http://schemas.openxmlformats.org/officeDocument/2006/relationships/hyperlink" Target="https://www.appsheet.com/Template/gettablefileurl?appname=KAY5_6_Failure_Lists-654943&amp;tableName=SAYFA1&amp;filename=Sayfa1_Images%2Fd73e757f.Resim.130815.jpg" TargetMode="External"/><Relationship Id="rId208" Type="http://schemas.openxmlformats.org/officeDocument/2006/relationships/hyperlink" Target="https://www.appsheet.com/Template/gettablefileurl?appname=KAY5_6_Failure_Lists-654943&amp;tableName=SAYFA1&amp;filename=Sayfa1_Images%2Fd73e757f.Resim.130815.jpg" TargetMode="External"/><Relationship Id="rId229" Type="http://schemas.openxmlformats.org/officeDocument/2006/relationships/hyperlink" Target="https://www.appsheet.com/Template/gettablefileurl?appname=KAY5_6_Failure_Lists-654943&amp;tableName=SAYFA1&amp;filename=Sayfa1_Images%2Fd73e757f.Resim.130815.jpg" TargetMode="External"/><Relationship Id="rId240" Type="http://schemas.openxmlformats.org/officeDocument/2006/relationships/hyperlink" Target="https://www.appsheet.com/Template/gettablefileurl?appname=KAY5_6_Failure_Lists-654943&amp;tableName=SAYFA1&amp;filename=Sayfa1_Images%2Fd73e757f.Resim.130815.jpg" TargetMode="External"/><Relationship Id="rId261" Type="http://schemas.openxmlformats.org/officeDocument/2006/relationships/hyperlink" Target="https://www.appsheet.com/Template/gettablefileurl?appname=KAY5_6_Failure_Lists-654943&amp;tableName=SAYFA1&amp;filename=Sayfa1_Images%2Fd73e757f.Resim.130815.jpg" TargetMode="External"/><Relationship Id="rId14" Type="http://schemas.openxmlformats.org/officeDocument/2006/relationships/hyperlink" Target="https://www.appsheet.com/Template/gettablefileurl?appname=KAY5_6_Failure_Lists-654943&amp;tableName=SAYFA1&amp;filename=Sayfa1_Images%2Fd73e757f.Resim.130815.jpg" TargetMode="External"/><Relationship Id="rId35" Type="http://schemas.openxmlformats.org/officeDocument/2006/relationships/hyperlink" Target="https://www.appsheet.com/Template/gettablefileurl?appname=KAY5_6_Failure_Lists-654943&amp;tableName=SAYFA1&amp;filename=Sayfa1_Images%2Fd73e757f.Resim.130815.jpg" TargetMode="External"/><Relationship Id="rId56" Type="http://schemas.openxmlformats.org/officeDocument/2006/relationships/hyperlink" Target="https://www.appsheet.com/Template/gettablefileurl?appname=KAY5_6_Failure_Lists-654943&amp;tableName=SAYFA1&amp;filename=Sayfa1_Images%2Fd73e757f.Resim.130815.jpg" TargetMode="External"/><Relationship Id="rId77" Type="http://schemas.openxmlformats.org/officeDocument/2006/relationships/hyperlink" Target="https://www.appsheet.com/Template/gettablefileurl?appname=KAY5_6_Failure_Lists-654943&amp;tableName=SAYFA1&amp;filename=Sayfa1_Images%2Fd73e757f.Resim.130815.jpg" TargetMode="External"/><Relationship Id="rId100" Type="http://schemas.openxmlformats.org/officeDocument/2006/relationships/hyperlink" Target="https://www.appsheet.com/Template/gettablefileurl?appname=KAY5_6_Failure_Lists-654943&amp;tableName=SAYFA1&amp;filename=Sayfa1_Images%2Fd73e757f.Resim.130815.jpg" TargetMode="External"/><Relationship Id="rId282" Type="http://schemas.openxmlformats.org/officeDocument/2006/relationships/hyperlink" Target="https://www.appsheet.com/Template/gettablefileurl?appname=KAY5_6_Failure_Lists-654943&amp;tableName=SAYFA1&amp;filename=Sayfa1_Images%2Fd73e757f.Resim.130815.jpg" TargetMode="External"/><Relationship Id="rId8" Type="http://schemas.openxmlformats.org/officeDocument/2006/relationships/hyperlink" Target="https://www.appsheet.com/Template/gettablefileurl?appname=KAY5_6_Failure_Lists-654943&amp;tableName=SAYFA1&amp;filename=Sayfa1_Images%2Fd73e757f.Resim.130815.jpg" TargetMode="External"/><Relationship Id="rId98" Type="http://schemas.openxmlformats.org/officeDocument/2006/relationships/hyperlink" Target="https://www.appsheet.com/Template/gettablefileurl?appname=KAY5_6_Failure_Lists-654943&amp;tableName=SAYFA1&amp;filename=Sayfa1_Images%2Fd73e757f.Resim.130815.jpg" TargetMode="External"/><Relationship Id="rId121" Type="http://schemas.openxmlformats.org/officeDocument/2006/relationships/hyperlink" Target="https://www.appsheet.com/Template/gettablefileurl?appname=KAY5_6_Failure_Lists-654943&amp;tableName=SAYFA1&amp;filename=Sayfa1_Images%2Fd73e757f.Resim.130815.jpg" TargetMode="External"/><Relationship Id="rId142" Type="http://schemas.openxmlformats.org/officeDocument/2006/relationships/hyperlink" Target="https://www.appsheet.com/Template/gettablefileurl?appname=KAY5_6_Failure_Lists-654943&amp;tableName=SAYFA1&amp;filename=Sayfa1_Images%2Fd73e757f.Resim.130815.jpg" TargetMode="External"/><Relationship Id="rId163" Type="http://schemas.openxmlformats.org/officeDocument/2006/relationships/hyperlink" Target="https://www.appsheet.com/Template/gettablefileurl?appname=KAY5_6_Failure_Lists-654943&amp;tableName=SAYFA1&amp;filename=Sayfa1_Images%2Fd73e757f.Resim.130815.jpg" TargetMode="External"/><Relationship Id="rId184" Type="http://schemas.openxmlformats.org/officeDocument/2006/relationships/hyperlink" Target="https://www.appsheet.com/Template/gettablefileurl?appname=KAY5_6_Failure_Lists-654943&amp;tableName=SAYFA1&amp;filename=Sayfa1_Images%2Fd73e757f.Resim.130815.jpg" TargetMode="External"/><Relationship Id="rId219" Type="http://schemas.openxmlformats.org/officeDocument/2006/relationships/hyperlink" Target="https://www.appsheet.com/Template/gettablefileurl?appname=KAY5_6_Failure_Lists-654943&amp;tableName=SAYFA1&amp;filename=Sayfa1_Images%2Fd73e757f.Resim.130815.jpg" TargetMode="External"/><Relationship Id="rId230" Type="http://schemas.openxmlformats.org/officeDocument/2006/relationships/hyperlink" Target="https://www.appsheet.com/Template/gettablefileurl?appname=KAY5_6_Failure_Lists-654943&amp;tableName=SAYFA1&amp;filename=Sayfa1_Images%2Fd73e757f.Resim.130815.jpg" TargetMode="External"/><Relationship Id="rId251" Type="http://schemas.openxmlformats.org/officeDocument/2006/relationships/hyperlink" Target="https://www.appsheet.com/Template/gettablefileurl?appname=KAY5_6_Failure_Lists-654943&amp;tableName=SAYFA1&amp;filename=Sayfa1_Images%2Fd73e757f.Resim.130815.jpg" TargetMode="External"/><Relationship Id="rId25" Type="http://schemas.openxmlformats.org/officeDocument/2006/relationships/hyperlink" Target="https://www.appsheet.com/Template/gettablefileurl?appname=KAY5_6_Failure_Lists-654943&amp;tableName=SAYFA1&amp;filename=Sayfa1_Images%2Fd73e757f.Resim.130815.jpg" TargetMode="External"/><Relationship Id="rId46" Type="http://schemas.openxmlformats.org/officeDocument/2006/relationships/hyperlink" Target="https://www.appsheet.com/Template/gettablefileurl?appname=KAY5_6_Failure_Lists-654943&amp;tableName=SAYFA1&amp;filename=Sayfa1_Images%2Fd73e757f.Resim.130815.jpg" TargetMode="External"/><Relationship Id="rId67" Type="http://schemas.openxmlformats.org/officeDocument/2006/relationships/hyperlink" Target="https://www.appsheet.com/Template/gettablefileurl?appname=KAY5_6_Failure_Lists-654943&amp;tableName=SAYFA1&amp;filename=Sayfa1_Images%2Fd73e757f.Resim.130815.jpg" TargetMode="External"/><Relationship Id="rId272" Type="http://schemas.openxmlformats.org/officeDocument/2006/relationships/hyperlink" Target="https://www.appsheet.com/Template/gettablefileurl?appname=KAY5_6_Failure_Lists-654943&amp;tableName=SAYFA1&amp;filename=Sayfa1_Images%2Fd73e757f.Resim.130815.jpg" TargetMode="External"/><Relationship Id="rId293" Type="http://schemas.openxmlformats.org/officeDocument/2006/relationships/hyperlink" Target="https://www.appsheet.com/Template/gettablefileurl?appname=KAY5_6_Failure_Lists-654943&amp;tableName=SAYFA1&amp;filename=Sayfa1_Images%2Fd73e757f.Resim.130815.jpg" TargetMode="External"/><Relationship Id="rId307" Type="http://schemas.openxmlformats.org/officeDocument/2006/relationships/hyperlink" Target="https://www.appsheet.com/Template/gettablefileurl?appname=KAY5_6_Failure_Lists-654943&amp;tableName=SAYFA1&amp;filename=Sayfa1_Images%2Fd73e757f.Resim.130815.jpg" TargetMode="External"/><Relationship Id="rId88" Type="http://schemas.openxmlformats.org/officeDocument/2006/relationships/hyperlink" Target="https://www.appsheet.com/Template/gettablefileurl?appname=KAY5_6_Failure_Lists-654943&amp;tableName=SAYFA1&amp;filename=Sayfa1_Images%2Fd73e757f.Resim.130815.jpg" TargetMode="External"/><Relationship Id="rId111" Type="http://schemas.openxmlformats.org/officeDocument/2006/relationships/hyperlink" Target="https://www.appsheet.com/Template/gettablefileurl?appname=KAY5_6_Failure_Lists-654943&amp;tableName=SAYFA1&amp;filename=Sayfa1_Images%2Fd73e757f.Resim.130815.jpg" TargetMode="External"/><Relationship Id="rId132" Type="http://schemas.openxmlformats.org/officeDocument/2006/relationships/hyperlink" Target="https://www.appsheet.com/Template/gettablefileurl?appname=KAY5_6_Failure_Lists-654943&amp;tableName=SAYFA1&amp;filename=Sayfa1_Images%2Fd73e757f.Resim.130815.jpg" TargetMode="External"/><Relationship Id="rId153" Type="http://schemas.openxmlformats.org/officeDocument/2006/relationships/hyperlink" Target="https://www.appsheet.com/Template/gettablefileurl?appname=KAY5_6_Failure_Lists-654943&amp;tableName=SAYFA1&amp;filename=Sayfa1_Images%2Fd73e757f.Resim.130815.jpg" TargetMode="External"/><Relationship Id="rId174" Type="http://schemas.openxmlformats.org/officeDocument/2006/relationships/hyperlink" Target="https://www.appsheet.com/Template/gettablefileurl?appname=KAY5_6_Failure_Lists-654943&amp;tableName=SAYFA1&amp;filename=Sayfa1_Images%2Fd73e757f.Resim.130815.jpg" TargetMode="External"/><Relationship Id="rId195" Type="http://schemas.openxmlformats.org/officeDocument/2006/relationships/hyperlink" Target="https://www.appsheet.com/Template/gettablefileurl?appname=KAY5_6_Failure_Lists-654943&amp;tableName=SAYFA1&amp;filename=Sayfa1_Images%2Fd73e757f.Resim.130815.jpg" TargetMode="External"/><Relationship Id="rId209" Type="http://schemas.openxmlformats.org/officeDocument/2006/relationships/hyperlink" Target="https://www.appsheet.com/Template/gettablefileurl?appname=KAY5_6_Failure_Lists-654943&amp;tableName=SAYFA1&amp;filename=Sayfa1_Images%2Fd73e757f.Resim.130815.jpg" TargetMode="External"/><Relationship Id="rId220" Type="http://schemas.openxmlformats.org/officeDocument/2006/relationships/hyperlink" Target="https://www.appsheet.com/Template/gettablefileurl?appname=KAY5_6_Failure_Lists-654943&amp;tableName=SAYFA1&amp;filename=Sayfa1_Images%2Fd73e757f.Resim.130815.jpg" TargetMode="External"/><Relationship Id="rId241" Type="http://schemas.openxmlformats.org/officeDocument/2006/relationships/hyperlink" Target="https://www.appsheet.com/Template/gettablefileurl?appname=KAY5_6_Failure_Lists-654943&amp;tableName=SAYFA1&amp;filename=Sayfa1_Images%2Fd73e757f.Resim.130815.jpg" TargetMode="External"/><Relationship Id="rId15" Type="http://schemas.openxmlformats.org/officeDocument/2006/relationships/hyperlink" Target="https://www.appsheet.com/Template/gettablefileurl?appname=KAY5_6_Failure_Lists-654943&amp;tableName=SAYFA1&amp;filename=Sayfa1_Images%2Fd73e757f.Resim.130815.jpg" TargetMode="External"/><Relationship Id="rId36" Type="http://schemas.openxmlformats.org/officeDocument/2006/relationships/hyperlink" Target="https://www.appsheet.com/Template/gettablefileurl?appname=KAY5_6_Failure_Lists-654943&amp;tableName=SAYFA1&amp;filename=Sayfa1_Images%2Fd73e757f.Resim.130815.jpg" TargetMode="External"/><Relationship Id="rId57" Type="http://schemas.openxmlformats.org/officeDocument/2006/relationships/hyperlink" Target="https://www.appsheet.com/Template/gettablefileurl?appname=KAY5_6_Failure_Lists-654943&amp;tableName=SAYFA1&amp;filename=Sayfa1_Images%2Fd73e757f.Resim.130815.jpg" TargetMode="External"/><Relationship Id="rId262" Type="http://schemas.openxmlformats.org/officeDocument/2006/relationships/hyperlink" Target="https://www.appsheet.com/Template/gettablefileurl?appname=KAY5_6_Failure_Lists-654943&amp;tableName=SAYFA1&amp;filename=Sayfa1_Images%2Fd73e757f.Resim.130815.jpg" TargetMode="External"/><Relationship Id="rId283" Type="http://schemas.openxmlformats.org/officeDocument/2006/relationships/hyperlink" Target="https://www.appsheet.com/Template/gettablefileurl?appname=KAY5_6_Failure_Lists-654943&amp;tableName=SAYFA1&amp;filename=Sayfa1_Images%2Fd73e757f.Resim.130815.jpg" TargetMode="External"/><Relationship Id="rId78" Type="http://schemas.openxmlformats.org/officeDocument/2006/relationships/hyperlink" Target="https://www.appsheet.com/Template/gettablefileurl?appname=KAY5_6_Failure_Lists-654943&amp;tableName=SAYFA1&amp;filename=Sayfa1_Images%2Fd73e757f.Resim.130815.jpg" TargetMode="External"/><Relationship Id="rId99" Type="http://schemas.openxmlformats.org/officeDocument/2006/relationships/hyperlink" Target="https://www.appsheet.com/Template/gettablefileurl?appname=KAY5_6_Failure_Lists-654943&amp;tableName=SAYFA1&amp;filename=Sayfa1_Images%2Fd73e757f.Resim.130815.jpg" TargetMode="External"/><Relationship Id="rId101" Type="http://schemas.openxmlformats.org/officeDocument/2006/relationships/hyperlink" Target="https://www.appsheet.com/Template/gettablefileurl?appname=KAY5_6_Failure_Lists-654943&amp;tableName=SAYFA1&amp;filename=Sayfa1_Images%2Fd73e757f.Resim.130815.jpg" TargetMode="External"/><Relationship Id="rId122" Type="http://schemas.openxmlformats.org/officeDocument/2006/relationships/hyperlink" Target="https://www.appsheet.com/Template/gettablefileurl?appname=KAY5_6_Failure_Lists-654943&amp;tableName=SAYFA1&amp;filename=Sayfa1_Images%2Fd73e757f.Resim.130815.jpg" TargetMode="External"/><Relationship Id="rId143" Type="http://schemas.openxmlformats.org/officeDocument/2006/relationships/hyperlink" Target="https://www.appsheet.com/Template/gettablefileurl?appname=KAY5_6_Failure_Lists-654943&amp;tableName=SAYFA1&amp;filename=Sayfa1_Images%2Fd73e757f.Resim.130815.jpg" TargetMode="External"/><Relationship Id="rId164" Type="http://schemas.openxmlformats.org/officeDocument/2006/relationships/hyperlink" Target="https://www.appsheet.com/Template/gettablefileurl?appname=KAY5_6_Failure_Lists-654943&amp;tableName=SAYFA1&amp;filename=Sayfa1_Images%2Fd73e757f.Resim.130815.jpg" TargetMode="External"/><Relationship Id="rId185" Type="http://schemas.openxmlformats.org/officeDocument/2006/relationships/hyperlink" Target="https://www.appsheet.com/Template/gettablefileurl?appname=KAY5_6_Failure_Lists-654943&amp;tableName=SAYFA1&amp;filename=Sayfa1_Images%2Fd73e757f.Resim.130815.jpg" TargetMode="External"/><Relationship Id="rId9" Type="http://schemas.openxmlformats.org/officeDocument/2006/relationships/hyperlink" Target="https://www.appsheet.com/Template/gettablefileurl?appname=KAY5_6_Failure_Lists-654943&amp;tableName=SAYFA1&amp;filename=Sayfa1_Images%2Fd73e757f.Resim.130815.jpg" TargetMode="External"/><Relationship Id="rId210" Type="http://schemas.openxmlformats.org/officeDocument/2006/relationships/hyperlink" Target="https://www.appsheet.com/Template/gettablefileurl?appname=KAY5_6_Failure_Lists-654943&amp;tableName=SAYFA1&amp;filename=Sayfa1_Images%2Fd73e757f.Resim.130815.jpg" TargetMode="External"/><Relationship Id="rId26" Type="http://schemas.openxmlformats.org/officeDocument/2006/relationships/hyperlink" Target="https://www.appsheet.com/Template/gettablefileurl?appname=KAY5_6_Failure_Lists-654943&amp;tableName=SAYFA1&amp;filename=Sayfa1_Images%2Fd73e757f.Resim.130815.jpg" TargetMode="External"/><Relationship Id="rId231" Type="http://schemas.openxmlformats.org/officeDocument/2006/relationships/hyperlink" Target="https://www.appsheet.com/Template/gettablefileurl?appname=KAY5_6_Failure_Lists-654943&amp;tableName=SAYFA1&amp;filename=Sayfa1_Images%2Fd73e757f.Resim.130815.jpg" TargetMode="External"/><Relationship Id="rId252" Type="http://schemas.openxmlformats.org/officeDocument/2006/relationships/hyperlink" Target="https://www.appsheet.com/Template/gettablefileurl?appname=KAY5_6_Failure_Lists-654943&amp;tableName=SAYFA1&amp;filename=Sayfa1_Images%2Fd73e757f.Resim.130815.jpg" TargetMode="External"/><Relationship Id="rId273" Type="http://schemas.openxmlformats.org/officeDocument/2006/relationships/hyperlink" Target="https://www.appsheet.com/Template/gettablefileurl?appname=KAY5_6_Failure_Lists-654943&amp;tableName=SAYFA1&amp;filename=Sayfa1_Images%2Fd73e757f.Resim.130815.jpg" TargetMode="External"/><Relationship Id="rId294" Type="http://schemas.openxmlformats.org/officeDocument/2006/relationships/hyperlink" Target="https://www.appsheet.com/Template/gettablefileurl?appname=KAY5_6_Failure_Lists-654943&amp;tableName=SAYFA1&amp;filename=Sayfa1_Images%2Fd73e757f.Resim.130815.jpg" TargetMode="External"/><Relationship Id="rId308" Type="http://schemas.openxmlformats.org/officeDocument/2006/relationships/hyperlink" Target="https://www.appsheet.com/Template/gettablefileurl?appname=KAY5_6_Failure_Lists-654943&amp;tableName=SAYFA1&amp;filename=Sayfa1_Images%2Fd73e757f.Resim.130815.jpg" TargetMode="External"/><Relationship Id="rId47" Type="http://schemas.openxmlformats.org/officeDocument/2006/relationships/hyperlink" Target="https://www.appsheet.com/Template/gettablefileurl?appname=KAY5_6_Failure_Lists-654943&amp;tableName=SAYFA1&amp;filename=Sayfa1_Images%2Fd73e757f.Resim.130815.jpg" TargetMode="External"/><Relationship Id="rId68" Type="http://schemas.openxmlformats.org/officeDocument/2006/relationships/hyperlink" Target="https://www.appsheet.com/Template/gettablefileurl?appname=KAY5_6_Failure_Lists-654943&amp;tableName=SAYFA1&amp;filename=Sayfa1_Images%2Fd73e757f.Resim.130815.jpg" TargetMode="External"/><Relationship Id="rId89" Type="http://schemas.openxmlformats.org/officeDocument/2006/relationships/hyperlink" Target="https://www.appsheet.com/Template/gettablefileurl?appname=KAY5_6_Failure_Lists-654943&amp;tableName=SAYFA1&amp;filename=Sayfa1_Images%2Fd73e757f.Resim.130815.jpg" TargetMode="External"/><Relationship Id="rId112" Type="http://schemas.openxmlformats.org/officeDocument/2006/relationships/hyperlink" Target="https://www.appsheet.com/Template/gettablefileurl?appname=KAY5_6_Failure_Lists-654943&amp;tableName=SAYFA1&amp;filename=Sayfa1_Images%2Fd73e757f.Resim.130815.jpg" TargetMode="External"/><Relationship Id="rId133" Type="http://schemas.openxmlformats.org/officeDocument/2006/relationships/hyperlink" Target="https://www.appsheet.com/Template/gettablefileurl?appname=KAY5_6_Failure_Lists-654943&amp;tableName=SAYFA1&amp;filename=Sayfa1_Images%2Fd73e757f.Resim.130815.jpg" TargetMode="External"/><Relationship Id="rId154" Type="http://schemas.openxmlformats.org/officeDocument/2006/relationships/hyperlink" Target="https://www.appsheet.com/Template/gettablefileurl?appname=KAY5_6_Failure_Lists-654943&amp;tableName=SAYFA1&amp;filename=Sayfa1_Images%2Fd73e757f.Resim.130815.jpg" TargetMode="External"/><Relationship Id="rId175" Type="http://schemas.openxmlformats.org/officeDocument/2006/relationships/hyperlink" Target="https://www.appsheet.com/Template/gettablefileurl?appname=KAY5_6_Failure_Lists-654943&amp;tableName=SAYFA1&amp;filename=Sayfa1_Images%2Fd73e757f.Resim.130815.jpg" TargetMode="External"/><Relationship Id="rId196" Type="http://schemas.openxmlformats.org/officeDocument/2006/relationships/hyperlink" Target="https://www.appsheet.com/Template/gettablefileurl?appname=KAY5_6_Failure_Lists-654943&amp;tableName=SAYFA1&amp;filename=Sayfa1_Images%2Fd73e757f.Resim.130815.jpg" TargetMode="External"/><Relationship Id="rId200" Type="http://schemas.openxmlformats.org/officeDocument/2006/relationships/hyperlink" Target="https://www.appsheet.com/Template/gettablefileurl?appname=KAY5_6_Failure_Lists-654943&amp;tableName=SAYFA1&amp;filename=Sayfa1_Images%2Fd73e757f.Resim.130815.jpg" TargetMode="External"/><Relationship Id="rId16" Type="http://schemas.openxmlformats.org/officeDocument/2006/relationships/hyperlink" Target="https://www.appsheet.com/Template/gettablefileurl?appname=KAY5_6_Failure_Lists-654943&amp;tableName=SAYFA1&amp;filename=Sayfa1_Images%2Fd73e757f.Resim.130815.jpg" TargetMode="External"/><Relationship Id="rId221" Type="http://schemas.openxmlformats.org/officeDocument/2006/relationships/hyperlink" Target="https://www.appsheet.com/Template/gettablefileurl?appname=KAY5_6_Failure_Lists-654943&amp;tableName=SAYFA1&amp;filename=Sayfa1_Images%2Fd73e757f.Resim.130815.jpg" TargetMode="External"/><Relationship Id="rId242" Type="http://schemas.openxmlformats.org/officeDocument/2006/relationships/hyperlink" Target="https://www.appsheet.com/Template/gettablefileurl?appname=KAY5_6_Failure_Lists-654943&amp;tableName=SAYFA1&amp;filename=Sayfa1_Images%2Fd73e757f.Resim.130815.jpg" TargetMode="External"/><Relationship Id="rId263" Type="http://schemas.openxmlformats.org/officeDocument/2006/relationships/hyperlink" Target="https://www.appsheet.com/Template/gettablefileurl?appname=KAY5_6_Failure_Lists-654943&amp;tableName=SAYFA1&amp;filename=Sayfa1_Images%2Fd73e757f.Resim.130815.jpg" TargetMode="External"/><Relationship Id="rId284" Type="http://schemas.openxmlformats.org/officeDocument/2006/relationships/hyperlink" Target="https://www.appsheet.com/Template/gettablefileurl?appname=KAY5_6_Failure_Lists-654943&amp;tableName=SAYFA1&amp;filename=Sayfa1_Images%2Fd73e757f.Resim.130815.jpg" TargetMode="External"/><Relationship Id="rId37" Type="http://schemas.openxmlformats.org/officeDocument/2006/relationships/hyperlink" Target="https://www.appsheet.com/Template/gettablefileurl?appname=KAY5_6_Failure_Lists-654943&amp;tableName=SAYFA1&amp;filename=Sayfa1_Images%2Fd73e757f.Resim.130815.jpg" TargetMode="External"/><Relationship Id="rId58" Type="http://schemas.openxmlformats.org/officeDocument/2006/relationships/hyperlink" Target="https://www.appsheet.com/Template/gettablefileurl?appname=KAY5_6_Failure_Lists-654943&amp;tableName=SAYFA1&amp;filename=Sayfa1_Images%2Fd73e757f.Resim.130815.jpg" TargetMode="External"/><Relationship Id="rId79" Type="http://schemas.openxmlformats.org/officeDocument/2006/relationships/hyperlink" Target="https://www.appsheet.com/Template/gettablefileurl?appname=KAY5_6_Failure_Lists-654943&amp;tableName=SAYFA1&amp;filename=Sayfa1_Images%2Fd73e757f.Resim.130815.jpg" TargetMode="External"/><Relationship Id="rId102" Type="http://schemas.openxmlformats.org/officeDocument/2006/relationships/hyperlink" Target="https://www.appsheet.com/Template/gettablefileurl?appname=KAY5_6_Failure_Lists-654943&amp;tableName=SAYFA1&amp;filename=Sayfa1_Images%2Fd73e757f.Resim.130815.jpg" TargetMode="External"/><Relationship Id="rId123" Type="http://schemas.openxmlformats.org/officeDocument/2006/relationships/hyperlink" Target="https://www.appsheet.com/Template/gettablefileurl?appname=KAY5_6_Failure_Lists-654943&amp;tableName=SAYFA1&amp;filename=Sayfa1_Images%2Fd73e757f.Resim.130815.jpg" TargetMode="External"/><Relationship Id="rId144" Type="http://schemas.openxmlformats.org/officeDocument/2006/relationships/hyperlink" Target="https://www.appsheet.com/Template/gettablefileurl?appname=KAY5_6_Failure_Lists-654943&amp;tableName=SAYFA1&amp;filename=Sayfa1_Images%2Fd73e757f.Resim.130815.jpg" TargetMode="External"/><Relationship Id="rId90" Type="http://schemas.openxmlformats.org/officeDocument/2006/relationships/hyperlink" Target="https://www.appsheet.com/Template/gettablefileurl?appname=KAY5_6_Failure_Lists-654943&amp;tableName=SAYFA1&amp;filename=Sayfa1_Images%2Fd73e757f.Resim.130815.jpg" TargetMode="External"/><Relationship Id="rId165" Type="http://schemas.openxmlformats.org/officeDocument/2006/relationships/hyperlink" Target="https://www.appsheet.com/Template/gettablefileurl?appname=KAY5_6_Failure_Lists-654943&amp;tableName=SAYFA1&amp;filename=Sayfa1_Images%2Fd73e757f.Resim.130815.jpg" TargetMode="External"/><Relationship Id="rId186" Type="http://schemas.openxmlformats.org/officeDocument/2006/relationships/hyperlink" Target="https://www.appsheet.com/Template/gettablefileurl?appname=KAY5_6_Failure_Lists-654943&amp;tableName=SAYFA1&amp;filename=Sayfa1_Images%2Fd73e757f.Resim.130815.jpg" TargetMode="External"/><Relationship Id="rId211" Type="http://schemas.openxmlformats.org/officeDocument/2006/relationships/hyperlink" Target="https://www.appsheet.com/Template/gettablefileurl?appname=KAY5_6_Failure_Lists-654943&amp;tableName=SAYFA1&amp;filename=Sayfa1_Images%2Fd73e757f.Resim.130815.jpg" TargetMode="External"/><Relationship Id="rId232" Type="http://schemas.openxmlformats.org/officeDocument/2006/relationships/hyperlink" Target="https://www.appsheet.com/Template/gettablefileurl?appname=KAY5_6_Failure_Lists-654943&amp;tableName=SAYFA1&amp;filename=Sayfa1_Images%2Fd73e757f.Resim.130815.jpg" TargetMode="External"/><Relationship Id="rId253" Type="http://schemas.openxmlformats.org/officeDocument/2006/relationships/hyperlink" Target="https://www.appsheet.com/Template/gettablefileurl?appname=KAY5_6_Failure_Lists-654943&amp;tableName=SAYFA1&amp;filename=Sayfa1_Images%2Fd73e757f.Resim.130815.jpg" TargetMode="External"/><Relationship Id="rId274" Type="http://schemas.openxmlformats.org/officeDocument/2006/relationships/hyperlink" Target="https://www.appsheet.com/Template/gettablefileurl?appname=KAY5_6_Failure_Lists-654943&amp;tableName=SAYFA1&amp;filename=Sayfa1_Images%2Fd73e757f.Resim.130815.jpg" TargetMode="External"/><Relationship Id="rId295" Type="http://schemas.openxmlformats.org/officeDocument/2006/relationships/hyperlink" Target="https://www.appsheet.com/Template/gettablefileurl?appname=KAY5_6_Failure_Lists-654943&amp;tableName=SAYFA1&amp;filename=Sayfa1_Images%2Fd73e757f.Resim.130815.jpg" TargetMode="External"/><Relationship Id="rId309" Type="http://schemas.openxmlformats.org/officeDocument/2006/relationships/hyperlink" Target="https://www.appsheet.com/Template/gettablefileurl?appname=KAY5_6_Failure_Lists-654943&amp;tableName=SAYFA1&amp;filename=Sayfa1_Images%2Fd73e757f.Resim.130815.jpg" TargetMode="External"/><Relationship Id="rId27" Type="http://schemas.openxmlformats.org/officeDocument/2006/relationships/hyperlink" Target="https://www.appsheet.com/Template/gettablefileurl?appname=KAY5_6_Failure_Lists-654943&amp;tableName=SAYFA1&amp;filename=Sayfa1_Images%2Fd73e757f.Resim.130815.jpg" TargetMode="External"/><Relationship Id="rId48" Type="http://schemas.openxmlformats.org/officeDocument/2006/relationships/hyperlink" Target="https://www.appsheet.com/Template/gettablefileurl?appname=KAY5_6_Failure_Lists-654943&amp;tableName=SAYFA1&amp;filename=Sayfa1_Images%2Fd73e757f.Resim.130815.jpg" TargetMode="External"/><Relationship Id="rId69" Type="http://schemas.openxmlformats.org/officeDocument/2006/relationships/hyperlink" Target="https://www.appsheet.com/Template/gettablefileurl?appname=KAY5_6_Failure_Lists-654943&amp;tableName=SAYFA1&amp;filename=Sayfa1_Images%2Fd73e757f.Resim.130815.jpg" TargetMode="External"/><Relationship Id="rId113" Type="http://schemas.openxmlformats.org/officeDocument/2006/relationships/hyperlink" Target="https://www.appsheet.com/Template/gettablefileurl?appname=KAY5_6_Failure_Lists-654943&amp;tableName=SAYFA1&amp;filename=Sayfa1_Images%2Fd73e757f.Resim.130815.jpg" TargetMode="External"/><Relationship Id="rId134" Type="http://schemas.openxmlformats.org/officeDocument/2006/relationships/hyperlink" Target="https://www.appsheet.com/Template/gettablefileurl?appname=KAY5_6_Failure_Lists-654943&amp;tableName=SAYFA1&amp;filename=Sayfa1_Images%2Fd73e757f.Resim.130815.jpg" TargetMode="External"/><Relationship Id="rId80" Type="http://schemas.openxmlformats.org/officeDocument/2006/relationships/hyperlink" Target="https://www.appsheet.com/Template/gettablefileurl?appname=KAY5_6_Failure_Lists-654943&amp;tableName=SAYFA1&amp;filename=Sayfa1_Images%2Fd73e757f.Resim.130815.jpg" TargetMode="External"/><Relationship Id="rId155" Type="http://schemas.openxmlformats.org/officeDocument/2006/relationships/hyperlink" Target="https://www.appsheet.com/Template/gettablefileurl?appname=KAY5_6_Failure_Lists-654943&amp;tableName=SAYFA1&amp;filename=Sayfa1_Images%2Fd73e757f.Resim.130815.jpg" TargetMode="External"/><Relationship Id="rId176" Type="http://schemas.openxmlformats.org/officeDocument/2006/relationships/hyperlink" Target="https://www.appsheet.com/Template/gettablefileurl?appname=KAY5_6_Failure_Lists-654943&amp;tableName=SAYFA1&amp;filename=Sayfa1_Images%2Fd73e757f.Resim.130815.jpg" TargetMode="External"/><Relationship Id="rId197" Type="http://schemas.openxmlformats.org/officeDocument/2006/relationships/hyperlink" Target="https://www.appsheet.com/Template/gettablefileurl?appname=KAY5_6_Failure_Lists-654943&amp;tableName=SAYFA1&amp;filename=Sayfa1_Images%2Fd73e757f.Resim.130815.jpg" TargetMode="External"/><Relationship Id="rId201" Type="http://schemas.openxmlformats.org/officeDocument/2006/relationships/hyperlink" Target="https://www.appsheet.com/Template/gettablefileurl?appname=KAY5_6_Failure_Lists-654943&amp;tableName=SAYFA1&amp;filename=Sayfa1_Images%2Fd73e757f.Resim.130815.jpg" TargetMode="External"/><Relationship Id="rId222" Type="http://schemas.openxmlformats.org/officeDocument/2006/relationships/hyperlink" Target="https://www.appsheet.com/Template/gettablefileurl?appname=KAY5_6_Failure_Lists-654943&amp;tableName=SAYFA1&amp;filename=Sayfa1_Images%2Fd73e757f.Resim.130815.jpg" TargetMode="External"/><Relationship Id="rId243" Type="http://schemas.openxmlformats.org/officeDocument/2006/relationships/hyperlink" Target="https://www.appsheet.com/Template/gettablefileurl?appname=KAY5_6_Failure_Lists-654943&amp;tableName=SAYFA1&amp;filename=Sayfa1_Images%2Fd73e757f.Resim.130815.jpg" TargetMode="External"/><Relationship Id="rId264" Type="http://schemas.openxmlformats.org/officeDocument/2006/relationships/hyperlink" Target="https://www.appsheet.com/Template/gettablefileurl?appname=KAY5_6_Failure_Lists-654943&amp;tableName=SAYFA1&amp;filename=Sayfa1_Images%2Fd73e757f.Resim.130815.jpg" TargetMode="External"/><Relationship Id="rId285" Type="http://schemas.openxmlformats.org/officeDocument/2006/relationships/hyperlink" Target="https://www.appsheet.com/Template/gettablefileurl?appname=KAY5_6_Failure_Lists-654943&amp;tableName=SAYFA1&amp;filename=Sayfa1_Images%2Fd73e757f.Resim.130815.jpg" TargetMode="External"/><Relationship Id="rId17" Type="http://schemas.openxmlformats.org/officeDocument/2006/relationships/hyperlink" Target="https://www.appsheet.com/Template/gettablefileurl?appname=KAY5_6_Failure_Lists-654943&amp;tableName=SAYFA1&amp;filename=Sayfa1_Images%2Fd73e757f.Resim.130815.jpg" TargetMode="External"/><Relationship Id="rId38" Type="http://schemas.openxmlformats.org/officeDocument/2006/relationships/hyperlink" Target="https://www.appsheet.com/Template/gettablefileurl?appname=KAY5_6_Failure_Lists-654943&amp;tableName=SAYFA1&amp;filename=Sayfa1_Images%2Fd73e757f.Resim.130815.jpg" TargetMode="External"/><Relationship Id="rId59" Type="http://schemas.openxmlformats.org/officeDocument/2006/relationships/hyperlink" Target="https://www.appsheet.com/Template/gettablefileurl?appname=KAY5_6_Failure_Lists-654943&amp;tableName=SAYFA1&amp;filename=Sayfa1_Images%2Fd73e757f.Resim.130815.jpg" TargetMode="External"/><Relationship Id="rId103" Type="http://schemas.openxmlformats.org/officeDocument/2006/relationships/hyperlink" Target="https://www.appsheet.com/Template/gettablefileurl?appname=KAY5_6_Failure_Lists-654943&amp;tableName=SAYFA1&amp;filename=Sayfa1_Images%2Fd73e757f.Resim.130815.jpg" TargetMode="External"/><Relationship Id="rId124" Type="http://schemas.openxmlformats.org/officeDocument/2006/relationships/hyperlink" Target="https://www.appsheet.com/Template/gettablefileurl?appname=KAY5_6_Failure_Lists-654943&amp;tableName=SAYFA1&amp;filename=Sayfa1_Images%2Fd73e757f.Resim.130815.jpg" TargetMode="External"/><Relationship Id="rId310" Type="http://schemas.openxmlformats.org/officeDocument/2006/relationships/printerSettings" Target="../printerSettings/printerSettings2.bin"/><Relationship Id="rId70" Type="http://schemas.openxmlformats.org/officeDocument/2006/relationships/hyperlink" Target="https://www.appsheet.com/Template/gettablefileurl?appname=KAY5_6_Failure_Lists-654943&amp;tableName=SAYFA1&amp;filename=Sayfa1_Images%2Fd73e757f.Resim.130815.jpg" TargetMode="External"/><Relationship Id="rId91" Type="http://schemas.openxmlformats.org/officeDocument/2006/relationships/hyperlink" Target="https://www.appsheet.com/Template/gettablefileurl?appname=KAY5_6_Failure_Lists-654943&amp;tableName=SAYFA1&amp;filename=Sayfa1_Images%2Fd73e757f.Resim.130815.jpg" TargetMode="External"/><Relationship Id="rId145" Type="http://schemas.openxmlformats.org/officeDocument/2006/relationships/hyperlink" Target="https://www.appsheet.com/Template/gettablefileurl?appname=KAY5_6_Failure_Lists-654943&amp;tableName=SAYFA1&amp;filename=Sayfa1_Images%2Fd73e757f.Resim.130815.jpg" TargetMode="External"/><Relationship Id="rId166" Type="http://schemas.openxmlformats.org/officeDocument/2006/relationships/hyperlink" Target="https://www.appsheet.com/Template/gettablefileurl?appname=KAY5_6_Failure_Lists-654943&amp;tableName=SAYFA1&amp;filename=Sayfa1_Images%2Fd73e757f.Resim.130815.jpg" TargetMode="External"/><Relationship Id="rId187" Type="http://schemas.openxmlformats.org/officeDocument/2006/relationships/hyperlink" Target="https://www.appsheet.com/Template/gettablefileurl?appname=KAY5_6_Failure_Lists-654943&amp;tableName=SAYFA1&amp;filename=Sayfa1_Images%2Fd73e757f.Resim.130815.jpg" TargetMode="External"/><Relationship Id="rId1" Type="http://schemas.openxmlformats.org/officeDocument/2006/relationships/hyperlink" Target="https://www.appsheet.com/Template/gettablefileurl?appname=KAY5_6_Failure_Lists-654943&amp;tableName=SAYFA1&amp;filename=Sayfa1_Images%2Fd73e757f.Resim.130815.jpg" TargetMode="External"/><Relationship Id="rId212" Type="http://schemas.openxmlformats.org/officeDocument/2006/relationships/hyperlink" Target="https://www.appsheet.com/Template/gettablefileurl?appname=KAY5_6_Failure_Lists-654943&amp;tableName=SAYFA1&amp;filename=Sayfa1_Images%2Fd73e757f.Resim.130815.jpg" TargetMode="External"/><Relationship Id="rId233" Type="http://schemas.openxmlformats.org/officeDocument/2006/relationships/hyperlink" Target="https://www.appsheet.com/Template/gettablefileurl?appname=KAY5_6_Failure_Lists-654943&amp;tableName=SAYFA1&amp;filename=Sayfa1_Images%2Fd73e757f.Resim.130815.jpg" TargetMode="External"/><Relationship Id="rId254" Type="http://schemas.openxmlformats.org/officeDocument/2006/relationships/hyperlink" Target="https://www.appsheet.com/Template/gettablefileurl?appname=KAY5_6_Failure_Lists-654943&amp;tableName=SAYFA1&amp;filename=Sayfa1_Images%2Fd73e757f.Resim.130815.jpg" TargetMode="External"/><Relationship Id="rId28" Type="http://schemas.openxmlformats.org/officeDocument/2006/relationships/hyperlink" Target="https://www.appsheet.com/Template/gettablefileurl?appname=KAY5_6_Failure_Lists-654943&amp;tableName=SAYFA1&amp;filename=Sayfa1_Images%2Fd73e757f.Resim.130815.jpg" TargetMode="External"/><Relationship Id="rId49" Type="http://schemas.openxmlformats.org/officeDocument/2006/relationships/hyperlink" Target="https://www.appsheet.com/Template/gettablefileurl?appname=KAY5_6_Failure_Lists-654943&amp;tableName=SAYFA1&amp;filename=Sayfa1_Images%2Fd73e757f.Resim.130815.jpg" TargetMode="External"/><Relationship Id="rId114" Type="http://schemas.openxmlformats.org/officeDocument/2006/relationships/hyperlink" Target="https://www.appsheet.com/Template/gettablefileurl?appname=KAY5_6_Failure_Lists-654943&amp;tableName=SAYFA1&amp;filename=Sayfa1_Images%2Fd73e757f.Resim.130815.jpg" TargetMode="External"/><Relationship Id="rId275" Type="http://schemas.openxmlformats.org/officeDocument/2006/relationships/hyperlink" Target="https://www.appsheet.com/Template/gettablefileurl?appname=KAY5_6_Failure_Lists-654943&amp;tableName=SAYFA1&amp;filename=Sayfa1_Images%2Fd73e757f.Resim.130815.jpg" TargetMode="External"/><Relationship Id="rId296" Type="http://schemas.openxmlformats.org/officeDocument/2006/relationships/hyperlink" Target="https://www.appsheet.com/Template/gettablefileurl?appname=KAY5_6_Failure_Lists-654943&amp;tableName=SAYFA1&amp;filename=Sayfa1_Images%2Fd73e757f.Resim.130815.jpg" TargetMode="External"/><Relationship Id="rId300" Type="http://schemas.openxmlformats.org/officeDocument/2006/relationships/hyperlink" Target="https://www.appsheet.com/Template/gettablefileurl?appname=KAY5_6_Failure_Lists-654943&amp;tableName=SAYFA1&amp;filename=Sayfa1_Images%2Fd73e757f.Resim.130815.jpg" TargetMode="External"/><Relationship Id="rId60" Type="http://schemas.openxmlformats.org/officeDocument/2006/relationships/hyperlink" Target="https://www.appsheet.com/Template/gettablefileurl?appname=KAY5_6_Failure_Lists-654943&amp;tableName=SAYFA1&amp;filename=Sayfa1_Images%2Fd73e757f.Resim.130815.jpg" TargetMode="External"/><Relationship Id="rId81" Type="http://schemas.openxmlformats.org/officeDocument/2006/relationships/hyperlink" Target="https://www.appsheet.com/Template/gettablefileurl?appname=KAY5_6_Failure_Lists-654943&amp;tableName=SAYFA1&amp;filename=Sayfa1_Images%2Fd73e757f.Resim.130815.jpg" TargetMode="External"/><Relationship Id="rId135" Type="http://schemas.openxmlformats.org/officeDocument/2006/relationships/hyperlink" Target="https://www.appsheet.com/Template/gettablefileurl?appname=KAY5_6_Failure_Lists-654943&amp;tableName=SAYFA1&amp;filename=Sayfa1_Images%2Fd73e757f.Resim.130815.jpg" TargetMode="External"/><Relationship Id="rId156" Type="http://schemas.openxmlformats.org/officeDocument/2006/relationships/hyperlink" Target="https://www.appsheet.com/Template/gettablefileurl?appname=KAY5_6_Failure_Lists-654943&amp;tableName=SAYFA1&amp;filename=Sayfa1_Images%2Fd73e757f.Resim.130815.jpg" TargetMode="External"/><Relationship Id="rId177" Type="http://schemas.openxmlformats.org/officeDocument/2006/relationships/hyperlink" Target="https://www.appsheet.com/Template/gettablefileurl?appname=KAY5_6_Failure_Lists-654943&amp;tableName=SAYFA1&amp;filename=Sayfa1_Images%2Fd73e757f.Resim.130815.jpg" TargetMode="External"/><Relationship Id="rId198" Type="http://schemas.openxmlformats.org/officeDocument/2006/relationships/hyperlink" Target="https://www.appsheet.com/Template/gettablefileurl?appname=KAY5_6_Failure_Lists-654943&amp;tableName=SAYFA1&amp;filename=Sayfa1_Images%2Fd73e757f.Resim.130815.jpg" TargetMode="External"/><Relationship Id="rId202" Type="http://schemas.openxmlformats.org/officeDocument/2006/relationships/hyperlink" Target="https://www.appsheet.com/Template/gettablefileurl?appname=KAY5_6_Failure_Lists-654943&amp;tableName=SAYFA1&amp;filename=Sayfa1_Images%2Fd73e757f.Resim.130815.jpg" TargetMode="External"/><Relationship Id="rId223" Type="http://schemas.openxmlformats.org/officeDocument/2006/relationships/hyperlink" Target="https://www.appsheet.com/Template/gettablefileurl?appname=KAY5_6_Failure_Lists-654943&amp;tableName=SAYFA1&amp;filename=Sayfa1_Images%2Fd73e757f.Resim.130815.jpg" TargetMode="External"/><Relationship Id="rId244" Type="http://schemas.openxmlformats.org/officeDocument/2006/relationships/hyperlink" Target="https://www.appsheet.com/Template/gettablefileurl?appname=KAY5_6_Failure_Lists-654943&amp;tableName=SAYFA1&amp;filename=Sayfa1_Images%2Fd73e757f.Resim.130815.jpg" TargetMode="External"/><Relationship Id="rId18" Type="http://schemas.openxmlformats.org/officeDocument/2006/relationships/hyperlink" Target="https://www.appsheet.com/Template/gettablefileurl?appname=KAY5_6_Failure_Lists-654943&amp;tableName=SAYFA1&amp;filename=Sayfa1_Images%2Fd73e757f.Resim.130815.jpg" TargetMode="External"/><Relationship Id="rId39" Type="http://schemas.openxmlformats.org/officeDocument/2006/relationships/hyperlink" Target="https://www.appsheet.com/Template/gettablefileurl?appname=KAY5_6_Failure_Lists-654943&amp;tableName=SAYFA1&amp;filename=Sayfa1_Images%2Fd73e757f.Resim.130815.jpg" TargetMode="External"/><Relationship Id="rId265" Type="http://schemas.openxmlformats.org/officeDocument/2006/relationships/hyperlink" Target="https://www.appsheet.com/Template/gettablefileurl?appname=KAY5_6_Failure_Lists-654943&amp;tableName=SAYFA1&amp;filename=Sayfa1_Images%2Fd73e757f.Resim.130815.jpg" TargetMode="External"/><Relationship Id="rId286" Type="http://schemas.openxmlformats.org/officeDocument/2006/relationships/hyperlink" Target="https://www.appsheet.com/Template/gettablefileurl?appname=KAY5_6_Failure_Lists-654943&amp;tableName=SAYFA1&amp;filename=Sayfa1_Images%2Fd73e757f.Resim.130815.jpg" TargetMode="External"/><Relationship Id="rId50" Type="http://schemas.openxmlformats.org/officeDocument/2006/relationships/hyperlink" Target="https://www.appsheet.com/Template/gettablefileurl?appname=KAY5_6_Failure_Lists-654943&amp;tableName=SAYFA1&amp;filename=Sayfa1_Images%2Fd73e757f.Resim.130815.jpg" TargetMode="External"/><Relationship Id="rId104" Type="http://schemas.openxmlformats.org/officeDocument/2006/relationships/hyperlink" Target="https://www.appsheet.com/Template/gettablefileurl?appname=KAY5_6_Failure_Lists-654943&amp;tableName=SAYFA1&amp;filename=Sayfa1_Images%2Fd73e757f.Resim.130815.jpg" TargetMode="External"/><Relationship Id="rId125" Type="http://schemas.openxmlformats.org/officeDocument/2006/relationships/hyperlink" Target="https://www.appsheet.com/Template/gettablefileurl?appname=KAY5_6_Failure_Lists-654943&amp;tableName=SAYFA1&amp;filename=Sayfa1_Images%2Fd73e757f.Resim.130815.jpg" TargetMode="External"/><Relationship Id="rId146" Type="http://schemas.openxmlformats.org/officeDocument/2006/relationships/hyperlink" Target="https://www.appsheet.com/Template/gettablefileurl?appname=KAY5_6_Failure_Lists-654943&amp;tableName=SAYFA1&amp;filename=Sayfa1_Images%2Fd73e757f.Resim.130815.jpg" TargetMode="External"/><Relationship Id="rId167" Type="http://schemas.openxmlformats.org/officeDocument/2006/relationships/hyperlink" Target="https://www.appsheet.com/Template/gettablefileurl?appname=KAY5_6_Failure_Lists-654943&amp;tableName=SAYFA1&amp;filename=Sayfa1_Images%2Fd73e757f.Resim.130815.jpg" TargetMode="External"/><Relationship Id="rId188" Type="http://schemas.openxmlformats.org/officeDocument/2006/relationships/hyperlink" Target="https://www.appsheet.com/Template/gettablefileurl?appname=KAY5_6_Failure_Lists-654943&amp;tableName=SAYFA1&amp;filename=Sayfa1_Images%2Fd73e757f.Resim.130815.jpg" TargetMode="External"/><Relationship Id="rId311" Type="http://schemas.openxmlformats.org/officeDocument/2006/relationships/drawing" Target="../drawings/drawing2.xml"/><Relationship Id="rId71" Type="http://schemas.openxmlformats.org/officeDocument/2006/relationships/hyperlink" Target="https://www.appsheet.com/Template/gettablefileurl?appname=KAY5_6_Failure_Lists-654943&amp;tableName=SAYFA1&amp;filename=Sayfa1_Images%2Fd73e757f.Resim.130815.jpg" TargetMode="External"/><Relationship Id="rId92" Type="http://schemas.openxmlformats.org/officeDocument/2006/relationships/hyperlink" Target="https://www.appsheet.com/Template/gettablefileurl?appname=KAY5_6_Failure_Lists-654943&amp;tableName=SAYFA1&amp;filename=Sayfa1_Images%2Fd73e757f.Resim.130815.jpg" TargetMode="External"/><Relationship Id="rId213" Type="http://schemas.openxmlformats.org/officeDocument/2006/relationships/hyperlink" Target="https://www.appsheet.com/Template/gettablefileurl?appname=KAY5_6_Failure_Lists-654943&amp;tableName=SAYFA1&amp;filename=Sayfa1_Images%2Fd73e757f.Resim.130815.jpg" TargetMode="External"/><Relationship Id="rId234" Type="http://schemas.openxmlformats.org/officeDocument/2006/relationships/hyperlink" Target="https://www.appsheet.com/Template/gettablefileurl?appname=KAY5_6_Failure_Lists-654943&amp;tableName=SAYFA1&amp;filename=Sayfa1_Images%2Fd73e757f.Resim.130815.jpg" TargetMode="External"/><Relationship Id="rId2" Type="http://schemas.openxmlformats.org/officeDocument/2006/relationships/hyperlink" Target="https://www.appsheet.com/Template/gettablefileurl?appname=KAY5_6_Failure_Lists-654943&amp;tableName=SAYFA1&amp;filename=Sayfa1_Images%2Fd73e757f.Resim.130815.jpg" TargetMode="External"/><Relationship Id="rId29" Type="http://schemas.openxmlformats.org/officeDocument/2006/relationships/hyperlink" Target="https://www.appsheet.com/Template/gettablefileurl?appname=KAY5_6_Failure_Lists-654943&amp;tableName=SAYFA1&amp;filename=Sayfa1_Images%2Fd73e757f.Resim.130815.jpg" TargetMode="External"/><Relationship Id="rId255" Type="http://schemas.openxmlformats.org/officeDocument/2006/relationships/hyperlink" Target="https://www.appsheet.com/Template/gettablefileurl?appname=KAY5_6_Failure_Lists-654943&amp;tableName=SAYFA1&amp;filename=Sayfa1_Images%2Fd73e757f.Resim.130815.jpg" TargetMode="External"/><Relationship Id="rId276" Type="http://schemas.openxmlformats.org/officeDocument/2006/relationships/hyperlink" Target="https://www.appsheet.com/Template/gettablefileurl?appname=KAY5_6_Failure_Lists-654943&amp;tableName=SAYFA1&amp;filename=Sayfa1_Images%2Fd73e757f.Resim.130815.jpg" TargetMode="External"/><Relationship Id="rId297" Type="http://schemas.openxmlformats.org/officeDocument/2006/relationships/hyperlink" Target="https://www.appsheet.com/Template/gettablefileurl?appname=KAY5_6_Failure_Lists-654943&amp;tableName=SAYFA1&amp;filename=Sayfa1_Images%2Fd73e757f.Resim.130815.jpg" TargetMode="External"/><Relationship Id="rId40" Type="http://schemas.openxmlformats.org/officeDocument/2006/relationships/hyperlink" Target="https://www.appsheet.com/Template/gettablefileurl?appname=KAY5_6_Failure_Lists-654943&amp;tableName=SAYFA1&amp;filename=Sayfa1_Images%2Fd73e757f.Resim.130815.jpg" TargetMode="External"/><Relationship Id="rId115" Type="http://schemas.openxmlformats.org/officeDocument/2006/relationships/hyperlink" Target="https://www.appsheet.com/Template/gettablefileurl?appname=KAY5_6_Failure_Lists-654943&amp;tableName=SAYFA1&amp;filename=Sayfa1_Images%2Fd73e757f.Resim.130815.jpg" TargetMode="External"/><Relationship Id="rId136" Type="http://schemas.openxmlformats.org/officeDocument/2006/relationships/hyperlink" Target="https://www.appsheet.com/Template/gettablefileurl?appname=KAY5_6_Failure_Lists-654943&amp;tableName=SAYFA1&amp;filename=Sayfa1_Images%2Fd73e757f.Resim.130815.jpg" TargetMode="External"/><Relationship Id="rId157" Type="http://schemas.openxmlformats.org/officeDocument/2006/relationships/hyperlink" Target="https://www.appsheet.com/Template/gettablefileurl?appname=KAY5_6_Failure_Lists-654943&amp;tableName=SAYFA1&amp;filename=Sayfa1_Images%2Fd73e757f.Resim.130815.jpg" TargetMode="External"/><Relationship Id="rId178" Type="http://schemas.openxmlformats.org/officeDocument/2006/relationships/hyperlink" Target="https://www.appsheet.com/Template/gettablefileurl?appname=KAY5_6_Failure_Lists-654943&amp;tableName=SAYFA1&amp;filename=Sayfa1_Images%2Fd73e757f.Resim.130815.jpg" TargetMode="External"/><Relationship Id="rId301" Type="http://schemas.openxmlformats.org/officeDocument/2006/relationships/hyperlink" Target="https://www.appsheet.com/Template/gettablefileurl?appname=KAY5_6_Failure_Lists-654943&amp;tableName=SAYFA1&amp;filename=Sayfa1_Images%2Fd73e757f.Resim.130815.jpg" TargetMode="External"/><Relationship Id="rId61" Type="http://schemas.openxmlformats.org/officeDocument/2006/relationships/hyperlink" Target="https://www.appsheet.com/Template/gettablefileurl?appname=KAY5_6_Failure_Lists-654943&amp;tableName=SAYFA1&amp;filename=Sayfa1_Images%2Fd73e757f.Resim.130815.jpg" TargetMode="External"/><Relationship Id="rId82" Type="http://schemas.openxmlformats.org/officeDocument/2006/relationships/hyperlink" Target="https://www.appsheet.com/Template/gettablefileurl?appname=KAY5_6_Failure_Lists-654943&amp;tableName=SAYFA1&amp;filename=Sayfa1_Images%2Fd73e757f.Resim.130815.jpg" TargetMode="External"/><Relationship Id="rId199" Type="http://schemas.openxmlformats.org/officeDocument/2006/relationships/hyperlink" Target="https://www.appsheet.com/Template/gettablefileurl?appname=KAY5_6_Failure_Lists-654943&amp;tableName=SAYFA1&amp;filename=Sayfa1_Images%2Fd73e757f.Resim.130815.jpg" TargetMode="External"/><Relationship Id="rId203" Type="http://schemas.openxmlformats.org/officeDocument/2006/relationships/hyperlink" Target="https://www.appsheet.com/Template/gettablefileurl?appname=KAY5_6_Failure_Lists-654943&amp;tableName=SAYFA1&amp;filename=Sayfa1_Images%2Fd73e757f.Resim.130815.jpg" TargetMode="External"/><Relationship Id="rId19" Type="http://schemas.openxmlformats.org/officeDocument/2006/relationships/hyperlink" Target="https://www.appsheet.com/Template/gettablefileurl?appname=KAY5_6_Failure_Lists-654943&amp;tableName=SAYFA1&amp;filename=Sayfa1_Images%2Fd73e757f.Resim.130815.jpg" TargetMode="External"/><Relationship Id="rId224" Type="http://schemas.openxmlformats.org/officeDocument/2006/relationships/hyperlink" Target="https://www.appsheet.com/Template/gettablefileurl?appname=KAY5_6_Failure_Lists-654943&amp;tableName=SAYFA1&amp;filename=Sayfa1_Images%2Fd73e757f.Resim.130815.jpg" TargetMode="External"/><Relationship Id="rId245" Type="http://schemas.openxmlformats.org/officeDocument/2006/relationships/hyperlink" Target="https://www.appsheet.com/Template/gettablefileurl?appname=KAY5_6_Failure_Lists-654943&amp;tableName=SAYFA1&amp;filename=Sayfa1_Images%2Fd73e757f.Resim.130815.jpg" TargetMode="External"/><Relationship Id="rId266" Type="http://schemas.openxmlformats.org/officeDocument/2006/relationships/hyperlink" Target="https://www.appsheet.com/Template/gettablefileurl?appname=KAY5_6_Failure_Lists-654943&amp;tableName=SAYFA1&amp;filename=Sayfa1_Images%2Fd73e757f.Resim.130815.jpg" TargetMode="External"/><Relationship Id="rId287" Type="http://schemas.openxmlformats.org/officeDocument/2006/relationships/hyperlink" Target="https://www.appsheet.com/Template/gettablefileurl?appname=KAY5_6_Failure_Lists-654943&amp;tableName=SAYFA1&amp;filename=Sayfa1_Images%2Fd73e757f.Resim.130815.jpg" TargetMode="External"/><Relationship Id="rId30" Type="http://schemas.openxmlformats.org/officeDocument/2006/relationships/hyperlink" Target="https://www.appsheet.com/Template/gettablefileurl?appname=KAY5_6_Failure_Lists-654943&amp;tableName=SAYFA1&amp;filename=Sayfa1_Images%2Fd73e757f.Resim.130815.jpg" TargetMode="External"/><Relationship Id="rId105" Type="http://schemas.openxmlformats.org/officeDocument/2006/relationships/hyperlink" Target="https://www.appsheet.com/Template/gettablefileurl?appname=KAY5_6_Failure_Lists-654943&amp;tableName=SAYFA1&amp;filename=Sayfa1_Images%2Fd73e757f.Resim.130815.jpg" TargetMode="External"/><Relationship Id="rId126" Type="http://schemas.openxmlformats.org/officeDocument/2006/relationships/hyperlink" Target="https://www.appsheet.com/Template/gettablefileurl?appname=KAY5_6_Failure_Lists-654943&amp;tableName=SAYFA1&amp;filename=Sayfa1_Images%2Fd73e757f.Resim.130815.jpg" TargetMode="External"/><Relationship Id="rId147" Type="http://schemas.openxmlformats.org/officeDocument/2006/relationships/hyperlink" Target="https://www.appsheet.com/Template/gettablefileurl?appname=KAY5_6_Failure_Lists-654943&amp;tableName=SAYFA1&amp;filename=Sayfa1_Images%2Fd73e757f.Resim.130815.jpg" TargetMode="External"/><Relationship Id="rId168" Type="http://schemas.openxmlformats.org/officeDocument/2006/relationships/hyperlink" Target="https://www.appsheet.com/Template/gettablefileurl?appname=KAY5_6_Failure_Lists-654943&amp;tableName=SAYFA1&amp;filename=Sayfa1_Images%2Fd73e757f.Resim.130815.jpg" TargetMode="External"/><Relationship Id="rId51" Type="http://schemas.openxmlformats.org/officeDocument/2006/relationships/hyperlink" Target="https://www.appsheet.com/Template/gettablefileurl?appname=KAY5_6_Failure_Lists-654943&amp;tableName=SAYFA1&amp;filename=Sayfa1_Images%2Fd73e757f.Resim.130815.jpg" TargetMode="External"/><Relationship Id="rId72" Type="http://schemas.openxmlformats.org/officeDocument/2006/relationships/hyperlink" Target="https://www.appsheet.com/Template/gettablefileurl?appname=KAY5_6_Failure_Lists-654943&amp;tableName=SAYFA1&amp;filename=Sayfa1_Images%2Fd73e757f.Resim.130815.jpg" TargetMode="External"/><Relationship Id="rId93" Type="http://schemas.openxmlformats.org/officeDocument/2006/relationships/hyperlink" Target="https://www.appsheet.com/Template/gettablefileurl?appname=KAY5_6_Failure_Lists-654943&amp;tableName=SAYFA1&amp;filename=Sayfa1_Images%2Fd73e757f.Resim.130815.jpg" TargetMode="External"/><Relationship Id="rId189" Type="http://schemas.openxmlformats.org/officeDocument/2006/relationships/hyperlink" Target="https://www.appsheet.com/Template/gettablefileurl?appname=KAY5_6_Failure_Lists-654943&amp;tableName=SAYFA1&amp;filename=Sayfa1_Images%2Fd73e757f.Resim.130815.jpg" TargetMode="External"/><Relationship Id="rId3" Type="http://schemas.openxmlformats.org/officeDocument/2006/relationships/hyperlink" Target="https://www.appsheet.com/Template/gettablefileurl?appname=KAY5_6_Failure_Lists-654943&amp;tableName=SAYFA1&amp;filename=Sayfa1_Images%2Fd73e757f.Resim.130815.jpg" TargetMode="External"/><Relationship Id="rId214" Type="http://schemas.openxmlformats.org/officeDocument/2006/relationships/hyperlink" Target="https://www.appsheet.com/Template/gettablefileurl?appname=KAY5_6_Failure_Lists-654943&amp;tableName=SAYFA1&amp;filename=Sayfa1_Images%2Fd73e757f.Resim.130815.jpg" TargetMode="External"/><Relationship Id="rId235" Type="http://schemas.openxmlformats.org/officeDocument/2006/relationships/hyperlink" Target="https://www.appsheet.com/Template/gettablefileurl?appname=KAY5_6_Failure_Lists-654943&amp;tableName=SAYFA1&amp;filename=Sayfa1_Images%2Fd73e757f.Resim.130815.jpg" TargetMode="External"/><Relationship Id="rId256" Type="http://schemas.openxmlformats.org/officeDocument/2006/relationships/hyperlink" Target="https://www.appsheet.com/Template/gettablefileurl?appname=KAY5_6_Failure_Lists-654943&amp;tableName=SAYFA1&amp;filename=Sayfa1_Images%2Fd73e757f.Resim.130815.jpg" TargetMode="External"/><Relationship Id="rId277" Type="http://schemas.openxmlformats.org/officeDocument/2006/relationships/hyperlink" Target="https://www.appsheet.com/Template/gettablefileurl?appname=KAY5_6_Failure_Lists-654943&amp;tableName=SAYFA1&amp;filename=Sayfa1_Images%2Fd73e757f.Resim.130815.jpg" TargetMode="External"/><Relationship Id="rId298" Type="http://schemas.openxmlformats.org/officeDocument/2006/relationships/hyperlink" Target="https://www.appsheet.com/Template/gettablefileurl?appname=KAY5_6_Failure_Lists-654943&amp;tableName=SAYFA1&amp;filename=Sayfa1_Images%2Fd73e757f.Resim.130815.jpg" TargetMode="External"/><Relationship Id="rId116" Type="http://schemas.openxmlformats.org/officeDocument/2006/relationships/hyperlink" Target="https://www.appsheet.com/Template/gettablefileurl?appname=KAY5_6_Failure_Lists-654943&amp;tableName=SAYFA1&amp;filename=Sayfa1_Images%2Fd73e757f.Resim.130815.jpg" TargetMode="External"/><Relationship Id="rId137" Type="http://schemas.openxmlformats.org/officeDocument/2006/relationships/hyperlink" Target="https://www.appsheet.com/Template/gettablefileurl?appname=KAY5_6_Failure_Lists-654943&amp;tableName=SAYFA1&amp;filename=Sayfa1_Images%2Fd73e757f.Resim.130815.jpg" TargetMode="External"/><Relationship Id="rId158" Type="http://schemas.openxmlformats.org/officeDocument/2006/relationships/hyperlink" Target="https://www.appsheet.com/Template/gettablefileurl?appname=KAY5_6_Failure_Lists-654943&amp;tableName=SAYFA1&amp;filename=Sayfa1_Images%2Fd73e757f.Resim.130815.jpg" TargetMode="External"/><Relationship Id="rId302" Type="http://schemas.openxmlformats.org/officeDocument/2006/relationships/hyperlink" Target="https://www.appsheet.com/Template/gettablefileurl?appname=KAY5_6_Failure_Lists-654943&amp;tableName=SAYFA1&amp;filename=Sayfa1_Images%2Fd73e757f.Resim.130815.jpg" TargetMode="External"/><Relationship Id="rId20" Type="http://schemas.openxmlformats.org/officeDocument/2006/relationships/hyperlink" Target="https://www.appsheet.com/Template/gettablefileurl?appname=KAY5_6_Failure_Lists-654943&amp;tableName=SAYFA1&amp;filename=Sayfa1_Images%2Fd73e757f.Resim.130815.jpg" TargetMode="External"/><Relationship Id="rId41" Type="http://schemas.openxmlformats.org/officeDocument/2006/relationships/hyperlink" Target="https://www.appsheet.com/Template/gettablefileurl?appname=KAY5_6_Failure_Lists-654943&amp;tableName=SAYFA1&amp;filename=Sayfa1_Images%2Fd73e757f.Resim.130815.jpg" TargetMode="External"/><Relationship Id="rId62" Type="http://schemas.openxmlformats.org/officeDocument/2006/relationships/hyperlink" Target="https://www.appsheet.com/Template/gettablefileurl?appname=KAY5_6_Failure_Lists-654943&amp;tableName=SAYFA1&amp;filename=Sayfa1_Images%2Fd73e757f.Resim.130815.jpg" TargetMode="External"/><Relationship Id="rId83" Type="http://schemas.openxmlformats.org/officeDocument/2006/relationships/hyperlink" Target="https://www.appsheet.com/Template/gettablefileurl?appname=KAY5_6_Failure_Lists-654943&amp;tableName=SAYFA1&amp;filename=Sayfa1_Images%2Fd73e757f.Resim.130815.jpg" TargetMode="External"/><Relationship Id="rId179" Type="http://schemas.openxmlformats.org/officeDocument/2006/relationships/hyperlink" Target="https://www.appsheet.com/Template/gettablefileurl?appname=KAY5_6_Failure_Lists-654943&amp;tableName=SAYFA1&amp;filename=Sayfa1_Images%2Fd73e757f.Resim.130815.jpg" TargetMode="External"/><Relationship Id="rId190" Type="http://schemas.openxmlformats.org/officeDocument/2006/relationships/hyperlink" Target="https://www.appsheet.com/Template/gettablefileurl?appname=KAY5_6_Failure_Lists-654943&amp;tableName=SAYFA1&amp;filename=Sayfa1_Images%2Fd73e757f.Resim.130815.jpg" TargetMode="External"/><Relationship Id="rId204" Type="http://schemas.openxmlformats.org/officeDocument/2006/relationships/hyperlink" Target="https://www.appsheet.com/Template/gettablefileurl?appname=KAY5_6_Failure_Lists-654943&amp;tableName=SAYFA1&amp;filename=Sayfa1_Images%2Fd73e757f.Resim.130815.jpg" TargetMode="External"/><Relationship Id="rId225" Type="http://schemas.openxmlformats.org/officeDocument/2006/relationships/hyperlink" Target="https://www.appsheet.com/Template/gettablefileurl?appname=KAY5_6_Failure_Lists-654943&amp;tableName=SAYFA1&amp;filename=Sayfa1_Images%2Fd73e757f.Resim.130815.jpg" TargetMode="External"/><Relationship Id="rId246" Type="http://schemas.openxmlformats.org/officeDocument/2006/relationships/hyperlink" Target="https://www.appsheet.com/Template/gettablefileurl?appname=KAY5_6_Failure_Lists-654943&amp;tableName=SAYFA1&amp;filename=Sayfa1_Images%2Fd73e757f.Resim.130815.jpg" TargetMode="External"/><Relationship Id="rId267" Type="http://schemas.openxmlformats.org/officeDocument/2006/relationships/hyperlink" Target="https://www.appsheet.com/Template/gettablefileurl?appname=KAY5_6_Failure_Lists-654943&amp;tableName=SAYFA1&amp;filename=Sayfa1_Images%2Fd73e757f.Resim.130815.jpg" TargetMode="External"/><Relationship Id="rId288" Type="http://schemas.openxmlformats.org/officeDocument/2006/relationships/hyperlink" Target="https://www.appsheet.com/Template/gettablefileurl?appname=KAY5_6_Failure_Lists-654943&amp;tableName=SAYFA1&amp;filename=Sayfa1_Images%2Fd73e757f.Resim.130815.jpg" TargetMode="External"/><Relationship Id="rId106" Type="http://schemas.openxmlformats.org/officeDocument/2006/relationships/hyperlink" Target="https://www.appsheet.com/Template/gettablefileurl?appname=KAY5_6_Failure_Lists-654943&amp;tableName=SAYFA1&amp;filename=Sayfa1_Images%2Fd73e757f.Resim.130815.jpg" TargetMode="External"/><Relationship Id="rId127" Type="http://schemas.openxmlformats.org/officeDocument/2006/relationships/hyperlink" Target="https://www.appsheet.com/Template/gettablefileurl?appname=KAY5_6_Failure_Lists-654943&amp;tableName=SAYFA1&amp;filename=Sayfa1_Images%2Fd73e757f.Resim.130815.jpg" TargetMode="External"/><Relationship Id="rId10" Type="http://schemas.openxmlformats.org/officeDocument/2006/relationships/hyperlink" Target="https://www.appsheet.com/Template/gettablefileurl?appname=KAY5_6_Failure_Lists-654943&amp;tableName=SAYFA1&amp;filename=Sayfa1_Images%2Fd73e757f.Resim.130815.jpg" TargetMode="External"/><Relationship Id="rId31" Type="http://schemas.openxmlformats.org/officeDocument/2006/relationships/hyperlink" Target="https://www.appsheet.com/Template/gettablefileurl?appname=KAY5_6_Failure_Lists-654943&amp;tableName=SAYFA1&amp;filename=Sayfa1_Images%2Fd73e757f.Resim.130815.jpg" TargetMode="External"/><Relationship Id="rId52" Type="http://schemas.openxmlformats.org/officeDocument/2006/relationships/hyperlink" Target="https://www.appsheet.com/Template/gettablefileurl?appname=KAY5_6_Failure_Lists-654943&amp;tableName=SAYFA1&amp;filename=Sayfa1_Images%2Fd73e757f.Resim.130815.jpg" TargetMode="External"/><Relationship Id="rId73" Type="http://schemas.openxmlformats.org/officeDocument/2006/relationships/hyperlink" Target="https://www.appsheet.com/Template/gettablefileurl?appname=KAY5_6_Failure_Lists-654943&amp;tableName=SAYFA1&amp;filename=Sayfa1_Images%2Fd73e757f.Resim.130815.jpg" TargetMode="External"/><Relationship Id="rId94" Type="http://schemas.openxmlformats.org/officeDocument/2006/relationships/hyperlink" Target="https://www.appsheet.com/Template/gettablefileurl?appname=KAY5_6_Failure_Lists-654943&amp;tableName=SAYFA1&amp;filename=Sayfa1_Images%2Fd73e757f.Resim.130815.jpg" TargetMode="External"/><Relationship Id="rId148" Type="http://schemas.openxmlformats.org/officeDocument/2006/relationships/hyperlink" Target="https://www.appsheet.com/Template/gettablefileurl?appname=KAY5_6_Failure_Lists-654943&amp;tableName=SAYFA1&amp;filename=Sayfa1_Images%2Fd73e757f.Resim.130815.jpg" TargetMode="External"/><Relationship Id="rId169" Type="http://schemas.openxmlformats.org/officeDocument/2006/relationships/hyperlink" Target="https://www.appsheet.com/Template/gettablefileurl?appname=KAY5_6_Failure_Lists-654943&amp;tableName=SAYFA1&amp;filename=Sayfa1_Images%2Fd73e757f.Resim.130815.jpg" TargetMode="External"/><Relationship Id="rId4" Type="http://schemas.openxmlformats.org/officeDocument/2006/relationships/hyperlink" Target="https://www.appsheet.com/Template/gettablefileurl?appname=KAY5_6_Failure_Lists-654943&amp;tableName=SAYFA1&amp;filename=Sayfa1_Images%2Fd73e757f.Resim.130815.jpg" TargetMode="External"/><Relationship Id="rId180" Type="http://schemas.openxmlformats.org/officeDocument/2006/relationships/hyperlink" Target="https://www.appsheet.com/Template/gettablefileurl?appname=KAY5_6_Failure_Lists-654943&amp;tableName=SAYFA1&amp;filename=Sayfa1_Images%2Fd73e757f.Resim.130815.jpg" TargetMode="External"/><Relationship Id="rId215" Type="http://schemas.openxmlformats.org/officeDocument/2006/relationships/hyperlink" Target="https://www.appsheet.com/Template/gettablefileurl?appname=KAY5_6_Failure_Lists-654943&amp;tableName=SAYFA1&amp;filename=Sayfa1_Images%2Fd73e757f.Resim.130815.jpg" TargetMode="External"/><Relationship Id="rId236" Type="http://schemas.openxmlformats.org/officeDocument/2006/relationships/hyperlink" Target="https://www.appsheet.com/Template/gettablefileurl?appname=KAY5_6_Failure_Lists-654943&amp;tableName=SAYFA1&amp;filename=Sayfa1_Images%2Fd73e757f.Resim.130815.jpg" TargetMode="External"/><Relationship Id="rId257" Type="http://schemas.openxmlformats.org/officeDocument/2006/relationships/hyperlink" Target="https://www.appsheet.com/Template/gettablefileurl?appname=KAY5_6_Failure_Lists-654943&amp;tableName=SAYFA1&amp;filename=Sayfa1_Images%2Fd73e757f.Resim.130815.jpg" TargetMode="External"/><Relationship Id="rId278" Type="http://schemas.openxmlformats.org/officeDocument/2006/relationships/hyperlink" Target="https://www.appsheet.com/Template/gettablefileurl?appname=KAY5_6_Failure_Lists-654943&amp;tableName=SAYFA1&amp;filename=Sayfa1_Images%2Fd73e757f.Resim.130815.jpg" TargetMode="External"/><Relationship Id="rId303" Type="http://schemas.openxmlformats.org/officeDocument/2006/relationships/hyperlink" Target="https://www.appsheet.com/Template/gettablefileurl?appname=KAY5_6_Failure_Lists-654943&amp;tableName=SAYFA1&amp;filename=Sayfa1_Images%2Fd73e757f.Resim.130815.jpg" TargetMode="External"/><Relationship Id="rId42" Type="http://schemas.openxmlformats.org/officeDocument/2006/relationships/hyperlink" Target="https://www.appsheet.com/Template/gettablefileurl?appname=KAY5_6_Failure_Lists-654943&amp;tableName=SAYFA1&amp;filename=Sayfa1_Images%2Fd73e757f.Resim.130815.jpg" TargetMode="External"/><Relationship Id="rId84" Type="http://schemas.openxmlformats.org/officeDocument/2006/relationships/hyperlink" Target="https://www.appsheet.com/Template/gettablefileurl?appname=KAY5_6_Failure_Lists-654943&amp;tableName=SAYFA1&amp;filename=Sayfa1_Images%2Fd73e757f.Resim.130815.jpg" TargetMode="External"/><Relationship Id="rId138" Type="http://schemas.openxmlformats.org/officeDocument/2006/relationships/hyperlink" Target="https://www.appsheet.com/Template/gettablefileurl?appname=KAY5_6_Failure_Lists-654943&amp;tableName=SAYFA1&amp;filename=Sayfa1_Images%2Fd73e757f.Resim.130815.jpg" TargetMode="External"/><Relationship Id="rId191" Type="http://schemas.openxmlformats.org/officeDocument/2006/relationships/hyperlink" Target="https://www.appsheet.com/Template/gettablefileurl?appname=KAY5_6_Failure_Lists-654943&amp;tableName=SAYFA1&amp;filename=Sayfa1_Images%2Fd73e757f.Resim.130815.jpg" TargetMode="External"/><Relationship Id="rId205" Type="http://schemas.openxmlformats.org/officeDocument/2006/relationships/hyperlink" Target="https://www.appsheet.com/Template/gettablefileurl?appname=KAY5_6_Failure_Lists-654943&amp;tableName=SAYFA1&amp;filename=Sayfa1_Images%2Fd73e757f.Resim.130815.jpg" TargetMode="External"/><Relationship Id="rId247" Type="http://schemas.openxmlformats.org/officeDocument/2006/relationships/hyperlink" Target="https://www.appsheet.com/Template/gettablefileurl?appname=KAY5_6_Failure_Lists-654943&amp;tableName=SAYFA1&amp;filename=Sayfa1_Images%2Fd73e757f.Resim.130815.jpg" TargetMode="External"/><Relationship Id="rId107" Type="http://schemas.openxmlformats.org/officeDocument/2006/relationships/hyperlink" Target="https://www.appsheet.com/Template/gettablefileurl?appname=KAY5_6_Failure_Lists-654943&amp;tableName=SAYFA1&amp;filename=Sayfa1_Images%2Fd73e757f.Resim.130815.jpg" TargetMode="External"/><Relationship Id="rId289" Type="http://schemas.openxmlformats.org/officeDocument/2006/relationships/hyperlink" Target="https://www.appsheet.com/Template/gettablefileurl?appname=KAY5_6_Failure_Lists-654943&amp;tableName=SAYFA1&amp;filename=Sayfa1_Images%2Fd73e757f.Resim.130815.jpg" TargetMode="External"/><Relationship Id="rId11" Type="http://schemas.openxmlformats.org/officeDocument/2006/relationships/hyperlink" Target="https://www.appsheet.com/Template/gettablefileurl?appname=KAY5_6_Failure_Lists-654943&amp;tableName=SAYFA1&amp;filename=Sayfa1_Images%2Fd73e757f.Resim.130815.jpg" TargetMode="External"/><Relationship Id="rId53" Type="http://schemas.openxmlformats.org/officeDocument/2006/relationships/hyperlink" Target="https://www.appsheet.com/Template/gettablefileurl?appname=KAY5_6_Failure_Lists-654943&amp;tableName=SAYFA1&amp;filename=Sayfa1_Images%2Fd73e757f.Resim.130815.jpg" TargetMode="External"/><Relationship Id="rId149" Type="http://schemas.openxmlformats.org/officeDocument/2006/relationships/hyperlink" Target="https://www.appsheet.com/Template/gettablefileurl?appname=KAY5_6_Failure_Lists-654943&amp;tableName=SAYFA1&amp;filename=Sayfa1_Images%2Fd73e757f.Resim.130815.jpg" TargetMode="External"/><Relationship Id="rId95" Type="http://schemas.openxmlformats.org/officeDocument/2006/relationships/hyperlink" Target="https://www.appsheet.com/Template/gettablefileurl?appname=KAY5_6_Failure_Lists-654943&amp;tableName=SAYFA1&amp;filename=Sayfa1_Images%2Fd73e757f.Resim.130815.jpg" TargetMode="External"/><Relationship Id="rId160" Type="http://schemas.openxmlformats.org/officeDocument/2006/relationships/hyperlink" Target="https://www.appsheet.com/Template/gettablefileurl?appname=KAY5_6_Failure_Lists-654943&amp;tableName=SAYFA1&amp;filename=Sayfa1_Images%2Fd73e757f.Resim.130815.jpg" TargetMode="External"/><Relationship Id="rId216" Type="http://schemas.openxmlformats.org/officeDocument/2006/relationships/hyperlink" Target="https://www.appsheet.com/Template/gettablefileurl?appname=KAY5_6_Failure_Lists-654943&amp;tableName=SAYFA1&amp;filename=Sayfa1_Images%2Fd73e757f.Resim.130815.jpg" TargetMode="External"/><Relationship Id="rId258" Type="http://schemas.openxmlformats.org/officeDocument/2006/relationships/hyperlink" Target="https://www.appsheet.com/Template/gettablefileurl?appname=KAY5_6_Failure_Lists-654943&amp;tableName=SAYFA1&amp;filename=Sayfa1_Images%2Fd73e757f.Resim.130815.jpg" TargetMode="External"/><Relationship Id="rId22" Type="http://schemas.openxmlformats.org/officeDocument/2006/relationships/hyperlink" Target="https://www.appsheet.com/Template/gettablefileurl?appname=KAY5_6_Failure_Lists-654943&amp;tableName=SAYFA1&amp;filename=Sayfa1_Images%2Fd73e757f.Resim.130815.jpg" TargetMode="External"/><Relationship Id="rId64" Type="http://schemas.openxmlformats.org/officeDocument/2006/relationships/hyperlink" Target="https://www.appsheet.com/Template/gettablefileurl?appname=KAY5_6_Failure_Lists-654943&amp;tableName=SAYFA1&amp;filename=Sayfa1_Images%2Fd73e757f.Resim.130815.jpg" TargetMode="External"/><Relationship Id="rId118" Type="http://schemas.openxmlformats.org/officeDocument/2006/relationships/hyperlink" Target="https://www.appsheet.com/Template/gettablefileurl?appname=KAY5_6_Failure_Lists-654943&amp;tableName=SAYFA1&amp;filename=Sayfa1_Images%2Fd73e757f.Resim.130815.jpg" TargetMode="External"/><Relationship Id="rId171" Type="http://schemas.openxmlformats.org/officeDocument/2006/relationships/hyperlink" Target="https://www.appsheet.com/Template/gettablefileurl?appname=KAY5_6_Failure_Lists-654943&amp;tableName=SAYFA1&amp;filename=Sayfa1_Images%2Fd73e757f.Resim.130815.jpg" TargetMode="External"/><Relationship Id="rId227" Type="http://schemas.openxmlformats.org/officeDocument/2006/relationships/hyperlink" Target="https://www.appsheet.com/Template/gettablefileurl?appname=KAY5_6_Failure_Lists-654943&amp;tableName=SAYFA1&amp;filename=Sayfa1_Images%2Fd73e757f.Resim.130815.jpg" TargetMode="External"/><Relationship Id="rId269" Type="http://schemas.openxmlformats.org/officeDocument/2006/relationships/hyperlink" Target="https://www.appsheet.com/Template/gettablefileurl?appname=KAY5_6_Failure_Lists-654943&amp;tableName=SAYFA1&amp;filename=Sayfa1_Images%2Fd73e757f.Resim.130815.jpg" TargetMode="External"/><Relationship Id="rId33" Type="http://schemas.openxmlformats.org/officeDocument/2006/relationships/hyperlink" Target="https://www.appsheet.com/Template/gettablefileurl?appname=KAY5_6_Failure_Lists-654943&amp;tableName=SAYFA1&amp;filename=Sayfa1_Images%2Fd73e757f.Resim.130815.jpg" TargetMode="External"/><Relationship Id="rId129" Type="http://schemas.openxmlformats.org/officeDocument/2006/relationships/hyperlink" Target="https://www.appsheet.com/Template/gettablefileurl?appname=KAY5_6_Failure_Lists-654943&amp;tableName=SAYFA1&amp;filename=Sayfa1_Images%2Fd73e757f.Resim.130815.jpg" TargetMode="External"/><Relationship Id="rId280" Type="http://schemas.openxmlformats.org/officeDocument/2006/relationships/hyperlink" Target="https://www.appsheet.com/Template/gettablefileurl?appname=KAY5_6_Failure_Lists-654943&amp;tableName=SAYFA1&amp;filename=Sayfa1_Images%2Fd73e757f.Resim.130815.jpg" TargetMode="External"/><Relationship Id="rId75" Type="http://schemas.openxmlformats.org/officeDocument/2006/relationships/hyperlink" Target="https://www.appsheet.com/Template/gettablefileurl?appname=KAY5_6_Failure_Lists-654943&amp;tableName=SAYFA1&amp;filename=Sayfa1_Images%2Fd73e757f.Resim.130815.jpg" TargetMode="External"/><Relationship Id="rId140" Type="http://schemas.openxmlformats.org/officeDocument/2006/relationships/hyperlink" Target="https://www.appsheet.com/Template/gettablefileurl?appname=KAY5_6_Failure_Lists-654943&amp;tableName=SAYFA1&amp;filename=Sayfa1_Images%2Fd73e757f.Resim.130815.jpg" TargetMode="External"/><Relationship Id="rId182" Type="http://schemas.openxmlformats.org/officeDocument/2006/relationships/hyperlink" Target="https://www.appsheet.com/Template/gettablefileurl?appname=KAY5_6_Failure_Lists-654943&amp;tableName=SAYFA1&amp;filename=Sayfa1_Images%2Fd73e757f.Resim.130815.jpg" TargetMode="External"/><Relationship Id="rId6" Type="http://schemas.openxmlformats.org/officeDocument/2006/relationships/hyperlink" Target="https://www.appsheet.com/Template/gettablefileurl?appname=KAY5_6_Failure_Lists-654943&amp;tableName=SAYFA1&amp;filename=Sayfa1_Images%2Fd73e757f.Resim.130815.jpg" TargetMode="External"/><Relationship Id="rId238" Type="http://schemas.openxmlformats.org/officeDocument/2006/relationships/hyperlink" Target="https://www.appsheet.com/Template/gettablefileurl?appname=KAY5_6_Failure_Lists-654943&amp;tableName=SAYFA1&amp;filename=Sayfa1_Images%2Fd73e757f.Resim.130815.jpg" TargetMode="External"/><Relationship Id="rId291" Type="http://schemas.openxmlformats.org/officeDocument/2006/relationships/hyperlink" Target="https://www.appsheet.com/Template/gettablefileurl?appname=KAY5_6_Failure_Lists-654943&amp;tableName=SAYFA1&amp;filename=Sayfa1_Images%2Fd73e757f.Resim.130815.jpg" TargetMode="External"/><Relationship Id="rId305" Type="http://schemas.openxmlformats.org/officeDocument/2006/relationships/hyperlink" Target="https://www.appsheet.com/Template/gettablefileurl?appname=KAY5_6_Failure_Lists-654943&amp;tableName=SAYFA1&amp;filename=Sayfa1_Images%2Fd73e757f.Resim.130815.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BA258"/>
  <sheetViews>
    <sheetView showGridLines="0" tabSelected="1" zoomScaleNormal="100" zoomScaleSheetLayoutView="70" workbookViewId="0">
      <pane xSplit="1" ySplit="4" topLeftCell="T241" activePane="bottomRight" state="frozen"/>
      <selection pane="bottomRight" activeCell="AX1" sqref="AX1:AZ1048576"/>
      <selection pane="bottomLeft" activeCell="A7" sqref="A7"/>
      <selection pane="topRight" activeCell="B3" sqref="B3"/>
    </sheetView>
  </sheetViews>
  <sheetFormatPr defaultColWidth="9.140625" defaultRowHeight="101.25" customHeight="1"/>
  <cols>
    <col min="1" max="1" width="3.140625" style="88" bestFit="1" customWidth="1"/>
    <col min="2" max="4" width="5.42578125" style="88" bestFit="1" customWidth="1"/>
    <col min="5" max="5" width="3.5703125" style="91" customWidth="1"/>
    <col min="6" max="6" width="3.140625" style="97" bestFit="1" customWidth="1"/>
    <col min="7" max="7" width="3.140625" style="88" bestFit="1" customWidth="1"/>
    <col min="8" max="11" width="5.42578125" style="88" bestFit="1" customWidth="1"/>
    <col min="12" max="12" width="6.7109375" style="88" customWidth="1"/>
    <col min="13" max="13" width="15.5703125" style="88" customWidth="1"/>
    <col min="14" max="14" width="5.42578125" style="90" bestFit="1" customWidth="1"/>
    <col min="15" max="15" width="8.140625" style="88" customWidth="1"/>
    <col min="16" max="16" width="7.7109375" style="91" bestFit="1" customWidth="1"/>
    <col min="17" max="17" width="5.42578125" style="91" bestFit="1" customWidth="1"/>
    <col min="18" max="18" width="17.85546875" style="91" customWidth="1"/>
    <col min="19" max="19" width="11.7109375" style="91" customWidth="1"/>
    <col min="20" max="20" width="11.7109375" style="115" customWidth="1"/>
    <col min="21" max="21" width="7.7109375" style="91" bestFit="1" customWidth="1"/>
    <col min="22" max="22" width="4.85546875" style="93" customWidth="1"/>
    <col min="23" max="23" width="4.85546875" style="95" customWidth="1"/>
    <col min="24" max="38" width="4.85546875" style="91" customWidth="1"/>
    <col min="39" max="39" width="8" style="91" customWidth="1"/>
    <col min="40" max="40" width="4.85546875" style="91" customWidth="1"/>
    <col min="41" max="42" width="4.85546875" style="112" customWidth="1"/>
    <col min="43" max="43" width="4.85546875" style="91" customWidth="1"/>
    <col min="44" max="44" width="7.85546875" style="91" customWidth="1"/>
    <col min="45" max="47" width="4.85546875" style="91" customWidth="1"/>
    <col min="48" max="48" width="7.7109375" style="117" bestFit="1" customWidth="1"/>
    <col min="49" max="49" width="4.85546875" style="91" customWidth="1"/>
    <col min="50" max="50" width="3" style="87" bestFit="1" customWidth="1"/>
    <col min="51" max="53" width="3" style="87" customWidth="1"/>
    <col min="54" max="54" width="5.7109375" style="88" customWidth="1"/>
    <col min="55" max="16384" width="9.140625" style="88"/>
  </cols>
  <sheetData>
    <row r="1" spans="1:53" s="104" customFormat="1" ht="33" customHeight="1">
      <c r="A1" s="98"/>
      <c r="B1" s="99"/>
      <c r="C1" s="99"/>
      <c r="D1" s="99"/>
      <c r="E1" s="113"/>
      <c r="F1" s="100"/>
      <c r="G1" s="98"/>
      <c r="H1" s="99"/>
      <c r="I1" s="99"/>
      <c r="J1" s="99"/>
      <c r="K1" s="99"/>
      <c r="L1" s="99"/>
      <c r="M1" s="189" t="s">
        <v>0</v>
      </c>
      <c r="N1" s="189"/>
      <c r="O1" s="189"/>
      <c r="P1" s="189"/>
      <c r="Q1" s="189"/>
      <c r="R1" s="189"/>
      <c r="S1" s="189"/>
      <c r="T1" s="189"/>
      <c r="U1" s="189"/>
      <c r="V1" s="189"/>
      <c r="W1" s="189"/>
      <c r="X1" s="189"/>
      <c r="Y1" s="189"/>
      <c r="Z1" s="189"/>
      <c r="AA1" s="188" t="s">
        <v>1</v>
      </c>
      <c r="AB1" s="188"/>
      <c r="AC1" s="188"/>
      <c r="AD1" s="188"/>
      <c r="AE1" s="188"/>
      <c r="AF1" s="188"/>
      <c r="AG1" s="188"/>
      <c r="AH1" s="188"/>
      <c r="AI1" s="188"/>
      <c r="AJ1" s="188"/>
      <c r="AK1" s="188"/>
      <c r="AL1" s="188"/>
      <c r="AM1" s="188"/>
      <c r="AN1" s="105"/>
      <c r="AO1" s="101">
        <f ca="1">TODAY()</f>
        <v>46026</v>
      </c>
      <c r="AP1" s="101"/>
      <c r="AQ1" s="106" t="s">
        <v>2</v>
      </c>
      <c r="AR1" s="102">
        <v>0.27083333333333331</v>
      </c>
      <c r="AS1" s="102">
        <v>0.39583333333333331</v>
      </c>
      <c r="AT1" s="102">
        <v>0.66666666666666663</v>
      </c>
      <c r="AU1" s="102">
        <v>0.8125</v>
      </c>
      <c r="AV1" s="190" t="s">
        <v>3</v>
      </c>
      <c r="AW1" s="190"/>
      <c r="AX1" s="103" t="s">
        <v>4</v>
      </c>
      <c r="AY1" s="87"/>
      <c r="AZ1" s="87"/>
      <c r="BA1" s="87"/>
    </row>
    <row r="2" spans="1:53" ht="38.25" customHeight="1">
      <c r="A2" s="84"/>
      <c r="B2" s="84"/>
      <c r="C2" s="84"/>
      <c r="D2" s="84"/>
      <c r="E2" s="86"/>
      <c r="F2" s="96"/>
      <c r="G2" s="84"/>
      <c r="H2" s="84"/>
      <c r="I2" s="84"/>
      <c r="J2" s="84"/>
      <c r="K2" s="84"/>
      <c r="L2" s="84"/>
      <c r="M2" s="84"/>
      <c r="N2" s="85"/>
      <c r="O2" s="84"/>
      <c r="P2" s="86"/>
      <c r="Q2" s="86"/>
      <c r="R2" s="86"/>
      <c r="S2" s="86"/>
      <c r="T2" s="114"/>
      <c r="U2" s="86"/>
      <c r="V2" s="92"/>
      <c r="W2" s="94"/>
      <c r="X2" s="86"/>
      <c r="Y2" s="86"/>
      <c r="Z2" s="86"/>
      <c r="AA2" s="86"/>
      <c r="AB2" s="86"/>
      <c r="AC2" s="86"/>
      <c r="AD2" s="86"/>
      <c r="AE2" s="86"/>
      <c r="AF2" s="86"/>
      <c r="AG2" s="86"/>
      <c r="AH2" s="86"/>
      <c r="AI2" s="86"/>
      <c r="AJ2" s="86"/>
      <c r="AK2" s="86"/>
      <c r="AL2" s="86"/>
      <c r="AM2" s="107"/>
      <c r="AN2" s="108"/>
      <c r="AO2" s="108"/>
      <c r="AP2" s="108"/>
      <c r="AQ2" s="108"/>
      <c r="AR2" s="191"/>
      <c r="AS2" s="191"/>
      <c r="AT2" s="191"/>
      <c r="AU2" s="191"/>
      <c r="AV2" s="116"/>
      <c r="AW2" s="109"/>
    </row>
    <row r="3" spans="1:53" ht="26.25" customHeight="1">
      <c r="A3" s="185" t="s">
        <v>5</v>
      </c>
      <c r="B3" s="186"/>
      <c r="C3" s="186"/>
      <c r="D3" s="187"/>
      <c r="E3" s="185" t="s">
        <v>6</v>
      </c>
      <c r="F3" s="186"/>
      <c r="G3" s="186"/>
      <c r="H3" s="186"/>
      <c r="I3" s="186"/>
      <c r="J3" s="186"/>
      <c r="K3" s="186"/>
      <c r="L3" s="186"/>
      <c r="M3" s="186"/>
      <c r="N3" s="89"/>
      <c r="O3" s="181" t="s">
        <v>7</v>
      </c>
      <c r="P3" s="1" t="s">
        <v>8</v>
      </c>
      <c r="Q3" s="193" t="s">
        <v>9</v>
      </c>
      <c r="R3" s="194"/>
      <c r="S3" s="194"/>
      <c r="T3" s="194"/>
      <c r="U3" s="194"/>
      <c r="V3" s="194"/>
      <c r="W3" s="194"/>
      <c r="X3" s="194"/>
      <c r="Y3" s="194"/>
      <c r="Z3" s="194"/>
      <c r="AA3" s="194"/>
      <c r="AB3" s="194"/>
      <c r="AC3" s="194"/>
      <c r="AD3" s="194"/>
      <c r="AE3" s="194"/>
      <c r="AF3" s="194"/>
      <c r="AG3" s="194"/>
      <c r="AH3" s="194"/>
      <c r="AI3" s="194"/>
      <c r="AJ3" s="110"/>
      <c r="AK3" s="110"/>
      <c r="AL3" s="110"/>
      <c r="AM3" s="111"/>
      <c r="AN3" s="185" t="s">
        <v>10</v>
      </c>
      <c r="AO3" s="186"/>
      <c r="AP3" s="186"/>
      <c r="AQ3" s="186"/>
      <c r="AR3" s="186"/>
      <c r="AS3" s="186"/>
      <c r="AT3" s="186"/>
      <c r="AU3" s="187"/>
      <c r="AV3" s="192" t="s">
        <v>11</v>
      </c>
      <c r="AW3" s="192"/>
    </row>
    <row r="4" spans="1:53" ht="76.5" customHeight="1">
      <c r="A4" s="148" t="s">
        <v>12</v>
      </c>
      <c r="B4" s="149" t="s">
        <v>13</v>
      </c>
      <c r="C4" s="150" t="s">
        <v>14</v>
      </c>
      <c r="D4" s="151" t="s">
        <v>15</v>
      </c>
      <c r="E4" s="152" t="s">
        <v>16</v>
      </c>
      <c r="F4" s="153" t="s">
        <v>17</v>
      </c>
      <c r="G4" s="154" t="s">
        <v>18</v>
      </c>
      <c r="H4" s="155" t="s">
        <v>19</v>
      </c>
      <c r="I4" s="155" t="s">
        <v>20</v>
      </c>
      <c r="J4" s="155" t="s">
        <v>21</v>
      </c>
      <c r="K4" s="156" t="s">
        <v>22</v>
      </c>
      <c r="L4" s="157" t="s">
        <v>23</v>
      </c>
      <c r="M4" s="158" t="s">
        <v>24</v>
      </c>
      <c r="N4" s="159" t="s">
        <v>25</v>
      </c>
      <c r="O4" s="160" t="s">
        <v>26</v>
      </c>
      <c r="P4" s="161" t="s">
        <v>27</v>
      </c>
      <c r="Q4" s="162" t="s">
        <v>28</v>
      </c>
      <c r="R4" s="163" t="s">
        <v>29</v>
      </c>
      <c r="S4" s="179" t="s">
        <v>30</v>
      </c>
      <c r="T4" s="180" t="s">
        <v>31</v>
      </c>
      <c r="U4" s="164" t="s">
        <v>32</v>
      </c>
      <c r="V4" s="165" t="s">
        <v>33</v>
      </c>
      <c r="W4" s="166" t="s">
        <v>34</v>
      </c>
      <c r="X4" s="167"/>
      <c r="Y4" s="168" t="s">
        <v>35</v>
      </c>
      <c r="Z4" s="164" t="s">
        <v>36</v>
      </c>
      <c r="AA4" s="167"/>
      <c r="AB4" s="167" t="s">
        <v>37</v>
      </c>
      <c r="AC4" s="154" t="s">
        <v>38</v>
      </c>
      <c r="AD4" s="154" t="s">
        <v>39</v>
      </c>
      <c r="AE4" s="157"/>
      <c r="AF4" s="162" t="s">
        <v>40</v>
      </c>
      <c r="AG4" s="162" t="s">
        <v>41</v>
      </c>
      <c r="AH4" s="169" t="s">
        <v>42</v>
      </c>
      <c r="AI4" s="177" t="s">
        <v>43</v>
      </c>
      <c r="AJ4" s="177" t="s">
        <v>44</v>
      </c>
      <c r="AK4" s="170"/>
      <c r="AL4" s="170" t="s">
        <v>45</v>
      </c>
      <c r="AM4" s="170" t="s">
        <v>46</v>
      </c>
      <c r="AN4" s="171" t="s">
        <v>47</v>
      </c>
      <c r="AO4" s="172" t="s">
        <v>48</v>
      </c>
      <c r="AP4" s="118" t="s">
        <v>49</v>
      </c>
      <c r="AQ4" s="173" t="s">
        <v>50</v>
      </c>
      <c r="AR4" s="174" t="s">
        <v>51</v>
      </c>
      <c r="AS4" s="175" t="s">
        <v>52</v>
      </c>
      <c r="AT4" s="176" t="s">
        <v>53</v>
      </c>
      <c r="AU4" s="176" t="s">
        <v>54</v>
      </c>
      <c r="AV4" s="157" t="s">
        <v>55</v>
      </c>
      <c r="AW4" s="157" t="s">
        <v>56</v>
      </c>
    </row>
    <row r="5" spans="1:53" ht="101.25" customHeight="1">
      <c r="A5" s="119" t="s">
        <v>57</v>
      </c>
      <c r="B5" s="120" t="str">
        <f>[3]Sayfa1!$G2</f>
        <v>TS#1</v>
      </c>
      <c r="C5" s="121" t="str">
        <f>[3]Sayfa1!$H2</f>
        <v>T</v>
      </c>
      <c r="D5" s="146">
        <f>[3]Sayfa1!$N2</f>
        <v>100</v>
      </c>
      <c r="E5" s="122" t="str">
        <f>[3]Sayfa1!$B2</f>
        <v>FRACAS-GDM-001</v>
      </c>
      <c r="F5" s="123">
        <f>[3]Sayfa1!$E2</f>
        <v>44943</v>
      </c>
      <c r="G5" s="124">
        <f>[3]Sayfa1!$F2</f>
        <v>44943.423726851855</v>
      </c>
      <c r="H5" s="119" t="str">
        <f>[3]Sayfa1!$I2</f>
        <v>Depo/Depot</v>
      </c>
      <c r="I5" s="125" t="str">
        <f>IF([3]Sayfa1!$K2="SSH","Notified by Bozankaya","Notified by Customer")</f>
        <v>Notified by Customer</v>
      </c>
      <c r="J5" s="119" t="e">
        <f>VLOOKUP([3]Sayfa1!$AU2,#REF!,2,FALSE)</f>
        <v>#REF!</v>
      </c>
      <c r="K5" s="119" t="str">
        <f>[3]Sayfa1!$V2</f>
        <v>Bozankaya</v>
      </c>
      <c r="L5" s="126" t="str">
        <f>A5&amp;"-"&amp;E5</f>
        <v>GDM7X4-FRACAS-GDM-001</v>
      </c>
      <c r="M5" s="127" t="str">
        <f>[3]Sayfa1!$L2</f>
        <v>HVSG kutu kapağını sabitleyen vidaların bozulması.</v>
      </c>
      <c r="N5" s="128" t="str">
        <f>[3]Sayfa1!$J2</f>
        <v>C-Uyarı, sürüş devamlılığı</v>
      </c>
      <c r="O5" s="128" t="str">
        <f>[3]Sayfa1!$P2</f>
        <v>C(Sisteme etki etmeyen arıza)</v>
      </c>
      <c r="P5" s="128" t="str">
        <f>[3]Sayfa1!$Q2</f>
        <v>N.A(Yaralanma yok)</v>
      </c>
      <c r="Q5" s="129" t="str" cm="1">
        <f t="array" ref="Q5">_xlfn.IFS([3]Sayfa1!$R2="Bozankaya","Bozankaya",[3]Sayfa1!$R2="İşletme","Customer",[3]Sayfa1!$R2="Tedarikçi","Equipment Supplier")</f>
        <v>Bozankaya</v>
      </c>
      <c r="R5" s="130" t="str">
        <f>[3]Sayfa1!$M2</f>
        <v>T modülde  , HVSG kutu kapağını sabitleyen vidaların kulanımda bozulma gerçekleşiyor. Vidaların ince çaplı olması sonucunda kapağın ağırlığını kaldırmadığı gözlemlenmiştir.</v>
      </c>
      <c r="S5" s="147">
        <f>[3]Sayfa1!$AB2</f>
        <v>0</v>
      </c>
      <c r="T5" s="147">
        <f>[3]Sayfa1!$AA2</f>
        <v>0</v>
      </c>
      <c r="U5" s="131">
        <f>[3]Sayfa1!$AN2</f>
        <v>0</v>
      </c>
      <c r="V5" s="132">
        <f>[3]Sayfa1!$T2</f>
        <v>44943</v>
      </c>
      <c r="W5" s="133">
        <f>[3]Sayfa1!$U2</f>
        <v>44943.423726851855</v>
      </c>
      <c r="X5" s="134">
        <f>W5</f>
        <v>44943.423726851855</v>
      </c>
      <c r="Y5" s="123" t="str">
        <f>[3]Sayfa1!$AQ2</f>
        <v/>
      </c>
      <c r="Z5" s="135">
        <f>[3]Sayfa1!$AR2</f>
        <v>0</v>
      </c>
      <c r="AA5" s="134">
        <f>Z5</f>
        <v>0</v>
      </c>
      <c r="AB5" s="136">
        <f>IFERROR(IF(Y5-F5&gt;0,(AA5-X5)*24,IF(OR(AND(G5&gt;AR$1,G5&lt;AS$1),AND(G5&gt;AT$1,G5&lt;AU$1)),(AA5-X5)*24,0)),0)</f>
        <v>0</v>
      </c>
      <c r="AC5" s="137" t="str">
        <f>Y5</f>
        <v/>
      </c>
      <c r="AD5" s="135">
        <f>Z5</f>
        <v>0</v>
      </c>
      <c r="AE5" s="138">
        <f>AD5</f>
        <v>0</v>
      </c>
      <c r="AF5" s="139" t="str">
        <f>[3]Sayfa1!$AP2</f>
        <v>(I) İlk defa karşılaşılan arıza</v>
      </c>
      <c r="AG5" s="128" t="str">
        <f>IF([3]Sayfa1!$P2="C(Sisteme etki etmeyen arıza)","Bu Arıza Aracın Servise Verilmesine Engel Değil","Bu Arıza Aracın Servise Verilmesine Engel")</f>
        <v>Bu Arıza Aracın Servise Verilmesine Engel Değil</v>
      </c>
      <c r="AH5" s="140" t="str">
        <f>[3]Sayfa1!$AC2</f>
        <v>41-HBR-23-003</v>
      </c>
      <c r="AI5" s="137"/>
      <c r="AJ5" s="137"/>
      <c r="AK5" s="138">
        <f>AI5+AJ5</f>
        <v>0</v>
      </c>
      <c r="AL5" s="136">
        <f>IFERROR(IF(AND(O5&lt;&gt;"D:Arıza Değil",AG5="Bu Arıza Aracın Servise Verilmesine Engel Değil"),IF(Y5-F5&gt;0,(AA5-X5)*24,IF(OR(AND(G5&gt;AR$1,G5&lt;AS$1),AND(G5&gt;AT$1,G5&lt;AU$1)),(AK5-X5)*24,0))*60,AM5),0)</f>
        <v>0</v>
      </c>
      <c r="AM5" s="136">
        <f>IFERROR(IF(O5&lt;&gt;"C(Sisteme etki etmeyen arıza)",AB5*60,0),0)</f>
        <v>0</v>
      </c>
      <c r="AN5" s="141" t="str">
        <f>K5</f>
        <v>Bozankaya</v>
      </c>
      <c r="AO5" s="141">
        <f>[3]Sayfa1!$X2</f>
        <v>0</v>
      </c>
      <c r="AP5" s="141">
        <f>[3]Sayfa1!$Z2</f>
        <v>0</v>
      </c>
      <c r="AQ5" s="122">
        <f>[3]Sayfa1!$W2</f>
        <v>0</v>
      </c>
      <c r="AR5" s="142">
        <f>[3]Sayfa1!$Y2</f>
        <v>0</v>
      </c>
      <c r="AS5" s="143">
        <f>[3]Sayfa1!$AD2</f>
        <v>0</v>
      </c>
      <c r="AT5" s="137" t="str">
        <f>[3]Sayfa1!$AE2</f>
        <v/>
      </c>
      <c r="AU5" s="137" t="str">
        <f>[3]Sayfa1!$AH2</f>
        <v/>
      </c>
      <c r="AV5" s="144">
        <v>1</v>
      </c>
      <c r="AW5" s="145" t="e">
        <f>U5*AB5*#REF!</f>
        <v>#REF!</v>
      </c>
    </row>
    <row r="6" spans="1:53" ht="101.25" customHeight="1">
      <c r="A6" s="119" t="s">
        <v>57</v>
      </c>
      <c r="B6" s="120" t="str">
        <f>[3]Sayfa1!$G3</f>
        <v>TS#1</v>
      </c>
      <c r="C6" s="121" t="str">
        <f>[3]Sayfa1!$H3</f>
        <v>Mc1</v>
      </c>
      <c r="D6" s="146">
        <f>[3]Sayfa1!$N3</f>
        <v>1</v>
      </c>
      <c r="E6" s="122" t="str">
        <f>[3]Sayfa1!$B3</f>
        <v>FRACAS-GDM-002</v>
      </c>
      <c r="F6" s="123">
        <f>[3]Sayfa1!$E3</f>
        <v>45197</v>
      </c>
      <c r="G6" s="124">
        <f>[3]Sayfa1!$F3</f>
        <v>45197</v>
      </c>
      <c r="H6" s="119" t="str">
        <f>[3]Sayfa1!$I3</f>
        <v>Depo/Depot</v>
      </c>
      <c r="I6" s="125" t="str">
        <f>IF([3]Sayfa1!$K3="SSH","Notified by Bozankaya","Notified by Customer")</f>
        <v>Notified by Customer</v>
      </c>
      <c r="J6" s="119" t="e">
        <f>VLOOKUP([3]Sayfa1!$AU3,#REF!,2,FALSE)</f>
        <v>#REF!</v>
      </c>
      <c r="K6" s="119" t="str">
        <f>[3]Sayfa1!$V3</f>
        <v>Bozankaya</v>
      </c>
      <c r="L6" s="126" t="str">
        <f t="shared" ref="L6:L69" si="0">A6&amp;"-"&amp;E6</f>
        <v>GDM7X4-FRACAS-GDM-002</v>
      </c>
      <c r="M6" s="127" t="str">
        <f>[3]Sayfa1!$L3</f>
        <v>Sol arka kabinetin iç ve dış kapakları kapatılmadan sevk edilmiştir. Sigortaların dış kapağa sürtmesinden dolayı boya atması olmuştur.</v>
      </c>
      <c r="N6" s="128" t="str">
        <f>[3]Sayfa1!$J3</f>
        <v>C-Uyarı, sürüş devamlılığı</v>
      </c>
      <c r="O6" s="128" t="str">
        <f>[3]Sayfa1!$P3</f>
        <v>C(Sisteme etki etmeyen arıza)</v>
      </c>
      <c r="P6" s="128" t="str">
        <f>[3]Sayfa1!$Q3</f>
        <v>N.A(Yaralanma yok)</v>
      </c>
      <c r="Q6" s="129" t="str" cm="1">
        <f t="array" ref="Q6">_xlfn.IFS([3]Sayfa1!$R3="Bozankaya","Bozankaya",[3]Sayfa1!$R3="İşletme","Customer",[3]Sayfa1!$R3="Tedarikçi","Equipment Supplier")</f>
        <v>Bozankaya</v>
      </c>
      <c r="R6" s="130" t="str">
        <f>[3]Sayfa1!$M3</f>
        <v>Tamir süreci başlatıldı. Kalite bölümüne NCR oluşturuldu</v>
      </c>
      <c r="S6" s="147">
        <f>[3]Sayfa1!$AB3</f>
        <v>0</v>
      </c>
      <c r="T6" s="147">
        <f>[3]Sayfa1!$AA3</f>
        <v>0</v>
      </c>
      <c r="U6" s="131">
        <f>[3]Sayfa1!$AN3</f>
        <v>2</v>
      </c>
      <c r="V6" s="132">
        <f>[3]Sayfa1!$T3</f>
        <v>45197</v>
      </c>
      <c r="W6" s="133">
        <f>[3]Sayfa1!$U3</f>
        <v>45197</v>
      </c>
      <c r="X6" s="134">
        <f t="shared" ref="X6:X69" si="1">W6</f>
        <v>45197</v>
      </c>
      <c r="Y6" s="123" t="str">
        <f>[3]Sayfa1!$AQ3</f>
        <v/>
      </c>
      <c r="Z6" s="135">
        <f>[3]Sayfa1!$AR3</f>
        <v>0</v>
      </c>
      <c r="AA6" s="134">
        <f t="shared" ref="AA6:AA69" si="2">Z6</f>
        <v>0</v>
      </c>
      <c r="AB6" s="136">
        <f t="shared" ref="AB6:AB69" si="3">IFERROR(IF(Y6-F6&gt;0,(AA6-X6)*24,IF(OR(AND(G6&gt;AR$1,G6&lt;AS$1),AND(G6&gt;AT$1,G6&lt;AU$1)),(AA6-X6)*24,0)),0)</f>
        <v>0</v>
      </c>
      <c r="AC6" s="137" t="str">
        <f t="shared" ref="AC6:AC69" si="4">Y6</f>
        <v/>
      </c>
      <c r="AD6" s="135">
        <f t="shared" ref="AD6:AD69" si="5">Z6</f>
        <v>0</v>
      </c>
      <c r="AE6" s="138">
        <f t="shared" ref="AE6:AE69" si="6">AD6</f>
        <v>0</v>
      </c>
      <c r="AF6" s="139" t="str">
        <f>[3]Sayfa1!$AP3</f>
        <v>(I) İlk defa karşılaşılan arıza</v>
      </c>
      <c r="AG6" s="128" t="str">
        <f>IF([3]Sayfa1!$P3="C(Sisteme etki etmeyen arıza)","Bu Arıza Aracın Servise Verilmesine Engel Değil","Bu Arıza Aracın Servise Verilmesine Engel")</f>
        <v>Bu Arıza Aracın Servise Verilmesine Engel Değil</v>
      </c>
      <c r="AH6" s="140">
        <f>[3]Sayfa1!$AC3</f>
        <v>0</v>
      </c>
      <c r="AI6" s="137"/>
      <c r="AJ6" s="137"/>
      <c r="AK6" s="138">
        <f t="shared" ref="AK6:AK69" si="7">AI6+AJ6</f>
        <v>0</v>
      </c>
      <c r="AL6" s="136">
        <f t="shared" ref="AL6:AL69" si="8">IFERROR(IF(AND(O6&lt;&gt;"D:Arıza Değil",AG6="Bu Arıza Aracın Servise Verilmesine Engel Değil"),IF(Y6-F6&gt;0,(AA6-X6)*24,IF(OR(AND(G6&gt;AR$1,G6&lt;AS$1),AND(G6&gt;AT$1,G6&lt;AU$1)),(AK6-X6)*24,0))*60,AM6),0)</f>
        <v>0</v>
      </c>
      <c r="AM6" s="136">
        <f t="shared" ref="AM6:AM69" si="9">IFERROR(IF(O6&lt;&gt;"C(Sisteme etki etmeyen arıza)",AB6*60,0),0)</f>
        <v>0</v>
      </c>
      <c r="AN6" s="141" t="str">
        <f t="shared" ref="AN6:AN69" si="10">K6</f>
        <v>Bozankaya</v>
      </c>
      <c r="AO6" s="141">
        <f>[3]Sayfa1!$X3</f>
        <v>0</v>
      </c>
      <c r="AP6" s="141">
        <f>[3]Sayfa1!$Z3</f>
        <v>0</v>
      </c>
      <c r="AQ6" s="122">
        <f>[3]Sayfa1!$W3</f>
        <v>0</v>
      </c>
      <c r="AR6" s="142">
        <f>[3]Sayfa1!$Y3</f>
        <v>0</v>
      </c>
      <c r="AS6" s="143">
        <f>[3]Sayfa1!$AD3</f>
        <v>0</v>
      </c>
      <c r="AT6" s="137" t="str">
        <f>[3]Sayfa1!$AE3</f>
        <v/>
      </c>
      <c r="AU6" s="137" t="str">
        <f>[3]Sayfa1!$AH3</f>
        <v/>
      </c>
      <c r="AV6" s="144">
        <v>2</v>
      </c>
      <c r="AW6" s="145" t="e">
        <f>U6*AB6*#REF!</f>
        <v>#REF!</v>
      </c>
    </row>
    <row r="7" spans="1:53" ht="101.25" customHeight="1">
      <c r="A7" s="119" t="s">
        <v>57</v>
      </c>
      <c r="B7" s="120" t="str">
        <f>[3]Sayfa1!$G4</f>
        <v>TS#1</v>
      </c>
      <c r="C7" s="121" t="str">
        <f>[3]Sayfa1!$H4</f>
        <v>Mc1</v>
      </c>
      <c r="D7" s="146">
        <f>[3]Sayfa1!$N4</f>
        <v>3</v>
      </c>
      <c r="E7" s="122" t="str">
        <f>[3]Sayfa1!$B4</f>
        <v>FRACAS-GDM-003</v>
      </c>
      <c r="F7" s="123">
        <f>[3]Sayfa1!$E4</f>
        <v>45197</v>
      </c>
      <c r="G7" s="124">
        <f>[3]Sayfa1!$F4</f>
        <v>45197</v>
      </c>
      <c r="H7" s="119" t="str">
        <f>[3]Sayfa1!$I4</f>
        <v>Depo/Depot</v>
      </c>
      <c r="I7" s="125" t="str">
        <f>IF([3]Sayfa1!$K4="SSH","Notified by Bozankaya","Notified by Customer")</f>
        <v>Notified by Customer</v>
      </c>
      <c r="J7" s="119" t="e">
        <f>VLOOKUP([3]Sayfa1!$AU4,#REF!,2,FALSE)</f>
        <v>#REF!</v>
      </c>
      <c r="K7" s="119" t="str">
        <f>[3]Sayfa1!$V4</f>
        <v>Bozankaya</v>
      </c>
      <c r="L7" s="126" t="str">
        <f t="shared" si="0"/>
        <v>GDM7X4-FRACAS-GDM-003</v>
      </c>
      <c r="M7" s="127" t="str">
        <f>[3]Sayfa1!$L4</f>
        <v>Sol e kabinet kilit mekanizmaları ayarsızdır, kilit braket süngeri eksiktir.</v>
      </c>
      <c r="N7" s="128" t="str">
        <f>[3]Sayfa1!$J4</f>
        <v>C-Uyarı, sürüş devamlılığı</v>
      </c>
      <c r="O7" s="128" t="str">
        <f>[3]Sayfa1!$P4</f>
        <v>C(Sisteme etki etmeyen arıza)</v>
      </c>
      <c r="P7" s="128" t="str">
        <f>[3]Sayfa1!$Q4</f>
        <v>N.A(Yaralanma yok)</v>
      </c>
      <c r="Q7" s="129" t="str" cm="1">
        <f t="array" ref="Q7">_xlfn.IFS([3]Sayfa1!$R4="Bozankaya","Bozankaya",[3]Sayfa1!$R4="İşletme","Customer",[3]Sayfa1!$R4="Tedarikçi","Equipment Supplier")</f>
        <v>Bozankaya</v>
      </c>
      <c r="R7" s="130" t="str">
        <f>[3]Sayfa1!$M4</f>
        <v>Tamir süreci başlatıldı. Kalite bölümüne NCR oluşturuldu</v>
      </c>
      <c r="S7" s="147">
        <f>[3]Sayfa1!$AB4</f>
        <v>0</v>
      </c>
      <c r="T7" s="147">
        <f>[3]Sayfa1!$AA4</f>
        <v>0</v>
      </c>
      <c r="U7" s="131">
        <f>[3]Sayfa1!$AN4</f>
        <v>2</v>
      </c>
      <c r="V7" s="132">
        <f>[3]Sayfa1!$T4</f>
        <v>45197</v>
      </c>
      <c r="W7" s="133">
        <f>[3]Sayfa1!$U4</f>
        <v>45197</v>
      </c>
      <c r="X7" s="134">
        <f t="shared" si="1"/>
        <v>45197</v>
      </c>
      <c r="Y7" s="123" t="str">
        <f>[3]Sayfa1!$AQ4</f>
        <v/>
      </c>
      <c r="Z7" s="135">
        <f>[3]Sayfa1!$AR4</f>
        <v>0</v>
      </c>
      <c r="AA7" s="134">
        <f t="shared" si="2"/>
        <v>0</v>
      </c>
      <c r="AB7" s="136">
        <f t="shared" si="3"/>
        <v>0</v>
      </c>
      <c r="AC7" s="137" t="str">
        <f t="shared" si="4"/>
        <v/>
      </c>
      <c r="AD7" s="135">
        <f t="shared" si="5"/>
        <v>0</v>
      </c>
      <c r="AE7" s="138">
        <f t="shared" si="6"/>
        <v>0</v>
      </c>
      <c r="AF7" s="139" t="str">
        <f>[3]Sayfa1!$AP4</f>
        <v>(I) İlk defa karşılaşılan arıza</v>
      </c>
      <c r="AG7" s="128" t="str">
        <f>IF([3]Sayfa1!$P4="C(Sisteme etki etmeyen arıza)","Bu Arıza Aracın Servise Verilmesine Engel Değil","Bu Arıza Aracın Servise Verilmesine Engel")</f>
        <v>Bu Arıza Aracın Servise Verilmesine Engel Değil</v>
      </c>
      <c r="AH7" s="140">
        <f>[3]Sayfa1!$AC4</f>
        <v>0</v>
      </c>
      <c r="AI7" s="137"/>
      <c r="AJ7" s="137"/>
      <c r="AK7" s="138">
        <f t="shared" si="7"/>
        <v>0</v>
      </c>
      <c r="AL7" s="136">
        <f t="shared" si="8"/>
        <v>0</v>
      </c>
      <c r="AM7" s="136">
        <f t="shared" si="9"/>
        <v>0</v>
      </c>
      <c r="AN7" s="141" t="str">
        <f t="shared" si="10"/>
        <v>Bozankaya</v>
      </c>
      <c r="AO7" s="141">
        <f>[3]Sayfa1!$X4</f>
        <v>0</v>
      </c>
      <c r="AP7" s="141">
        <f>[3]Sayfa1!$Z4</f>
        <v>0</v>
      </c>
      <c r="AQ7" s="122">
        <f>[3]Sayfa1!$W4</f>
        <v>0</v>
      </c>
      <c r="AR7" s="142">
        <f>[3]Sayfa1!$Y4</f>
        <v>0</v>
      </c>
      <c r="AS7" s="143">
        <f>[3]Sayfa1!$AD4</f>
        <v>0</v>
      </c>
      <c r="AT7" s="137" t="str">
        <f>[3]Sayfa1!$AE4</f>
        <v/>
      </c>
      <c r="AU7" s="137" t="str">
        <f>[3]Sayfa1!$AH4</f>
        <v/>
      </c>
      <c r="AV7" s="144">
        <v>3</v>
      </c>
      <c r="AW7" s="145" t="e">
        <f>U7*AB7*#REF!</f>
        <v>#REF!</v>
      </c>
    </row>
    <row r="8" spans="1:53" ht="101.25" customHeight="1">
      <c r="A8" s="119" t="s">
        <v>57</v>
      </c>
      <c r="B8" s="120" t="str">
        <f>[3]Sayfa1!$G5</f>
        <v>TS#1</v>
      </c>
      <c r="C8" s="121" t="str">
        <f>[3]Sayfa1!$H5</f>
        <v>Mc2</v>
      </c>
      <c r="D8" s="146">
        <f>[3]Sayfa1!$N5</f>
        <v>5</v>
      </c>
      <c r="E8" s="122" t="str">
        <f>[3]Sayfa1!$B5</f>
        <v>FRACAS-GDM-004</v>
      </c>
      <c r="F8" s="123">
        <f>[3]Sayfa1!$E5</f>
        <v>45197</v>
      </c>
      <c r="G8" s="124">
        <f>[3]Sayfa1!$F5</f>
        <v>45197</v>
      </c>
      <c r="H8" s="119" t="str">
        <f>[3]Sayfa1!$I5</f>
        <v>Depo/Depot</v>
      </c>
      <c r="I8" s="125" t="str">
        <f>IF([3]Sayfa1!$K5="SSH","Notified by Bozankaya","Notified by Customer")</f>
        <v>Notified by Customer</v>
      </c>
      <c r="J8" s="119" t="e">
        <f>VLOOKUP([3]Sayfa1!$AU5,#REF!,2,FALSE)</f>
        <v>#REF!</v>
      </c>
      <c r="K8" s="119" t="str">
        <f>[3]Sayfa1!$V5</f>
        <v>Bozankaya</v>
      </c>
      <c r="L8" s="126" t="str">
        <f t="shared" si="0"/>
        <v>GDM7X4-FRACAS-GDM-004</v>
      </c>
      <c r="M8" s="127" t="str">
        <f>[3]Sayfa1!$L5</f>
        <v>Kontak anahtarı eğilmiş. Darbe almıştır.</v>
      </c>
      <c r="N8" s="128" t="str">
        <f>[3]Sayfa1!$J5</f>
        <v>C-Uyarı, sürüş devamlılığı</v>
      </c>
      <c r="O8" s="128" t="str">
        <f>[3]Sayfa1!$P5</f>
        <v>C(Sisteme etki etmeyen arıza)</v>
      </c>
      <c r="P8" s="128" t="str">
        <f>[3]Sayfa1!$Q5</f>
        <v>N.A(Yaralanma yok)</v>
      </c>
      <c r="Q8" s="129" t="str" cm="1">
        <f t="array" ref="Q8">_xlfn.IFS([3]Sayfa1!$R5="Bozankaya","Bozankaya",[3]Sayfa1!$R5="İşletme","Customer",[3]Sayfa1!$R5="Tedarikçi","Equipment Supplier")</f>
        <v>Bozankaya</v>
      </c>
      <c r="R8" s="130" t="str">
        <f>[3]Sayfa1!$M5</f>
        <v>Tamir süreci başlatıldı. Kalite bölümüne NCR oluşturuldu</v>
      </c>
      <c r="S8" s="147">
        <f>[3]Sayfa1!$AB5</f>
        <v>0</v>
      </c>
      <c r="T8" s="147">
        <f>[3]Sayfa1!$AA5</f>
        <v>0</v>
      </c>
      <c r="U8" s="131">
        <f>[3]Sayfa1!$AN5</f>
        <v>2</v>
      </c>
      <c r="V8" s="132">
        <f>[3]Sayfa1!$T5</f>
        <v>45197</v>
      </c>
      <c r="W8" s="133">
        <f>[3]Sayfa1!$U5</f>
        <v>45197</v>
      </c>
      <c r="X8" s="134">
        <f t="shared" si="1"/>
        <v>45197</v>
      </c>
      <c r="Y8" s="123" t="str">
        <f>[3]Sayfa1!$AQ5</f>
        <v/>
      </c>
      <c r="Z8" s="135">
        <f>[3]Sayfa1!$AR5</f>
        <v>0</v>
      </c>
      <c r="AA8" s="134">
        <f t="shared" si="2"/>
        <v>0</v>
      </c>
      <c r="AB8" s="136">
        <f t="shared" si="3"/>
        <v>0</v>
      </c>
      <c r="AC8" s="137" t="str">
        <f t="shared" si="4"/>
        <v/>
      </c>
      <c r="AD8" s="135">
        <f t="shared" si="5"/>
        <v>0</v>
      </c>
      <c r="AE8" s="138">
        <f t="shared" si="6"/>
        <v>0</v>
      </c>
      <c r="AF8" s="139" t="str">
        <f>[3]Sayfa1!$AP5</f>
        <v>(I) İlk defa karşılaşılan arıza</v>
      </c>
      <c r="AG8" s="128" t="str">
        <f>IF([3]Sayfa1!$P5="C(Sisteme etki etmeyen arıza)","Bu Arıza Aracın Servise Verilmesine Engel Değil","Bu Arıza Aracın Servise Verilmesine Engel")</f>
        <v>Bu Arıza Aracın Servise Verilmesine Engel Değil</v>
      </c>
      <c r="AH8" s="140">
        <f>[3]Sayfa1!$AC5</f>
        <v>0</v>
      </c>
      <c r="AI8" s="137"/>
      <c r="AJ8" s="137"/>
      <c r="AK8" s="138">
        <f t="shared" si="7"/>
        <v>0</v>
      </c>
      <c r="AL8" s="136">
        <f t="shared" si="8"/>
        <v>0</v>
      </c>
      <c r="AM8" s="136">
        <f t="shared" si="9"/>
        <v>0</v>
      </c>
      <c r="AN8" s="141" t="str">
        <f t="shared" si="10"/>
        <v>Bozankaya</v>
      </c>
      <c r="AO8" s="141">
        <f>[3]Sayfa1!$X5</f>
        <v>0</v>
      </c>
      <c r="AP8" s="141">
        <f>[3]Sayfa1!$Z5</f>
        <v>0</v>
      </c>
      <c r="AQ8" s="122">
        <f>[3]Sayfa1!$W5</f>
        <v>0</v>
      </c>
      <c r="AR8" s="142">
        <f>[3]Sayfa1!$Y5</f>
        <v>0</v>
      </c>
      <c r="AS8" s="143">
        <f>[3]Sayfa1!$AD5</f>
        <v>0</v>
      </c>
      <c r="AT8" s="137">
        <f>[3]Sayfa1!$AE5</f>
        <v>0</v>
      </c>
      <c r="AU8" s="137">
        <f>[3]Sayfa1!$AH5</f>
        <v>0</v>
      </c>
      <c r="AV8" s="144">
        <v>4</v>
      </c>
      <c r="AW8" s="145" t="e">
        <f>U8*AB8*#REF!</f>
        <v>#REF!</v>
      </c>
    </row>
    <row r="9" spans="1:53" ht="101.25" customHeight="1">
      <c r="A9" s="119" t="s">
        <v>57</v>
      </c>
      <c r="B9" s="120" t="str">
        <f>[3]Sayfa1!$G6</f>
        <v>TS#1</v>
      </c>
      <c r="C9" s="121" t="str">
        <f>[3]Sayfa1!$H6</f>
        <v>Mc1</v>
      </c>
      <c r="D9" s="146">
        <f>[3]Sayfa1!$N6</f>
        <v>7</v>
      </c>
      <c r="E9" s="122" t="str">
        <f>[3]Sayfa1!$B6</f>
        <v>FRACAS-GDM-005</v>
      </c>
      <c r="F9" s="123">
        <f>[3]Sayfa1!$E6</f>
        <v>45197</v>
      </c>
      <c r="G9" s="124">
        <f>[3]Sayfa1!$F6</f>
        <v>45197</v>
      </c>
      <c r="H9" s="119" t="str">
        <f>[3]Sayfa1!$I6</f>
        <v>Depo/Depot</v>
      </c>
      <c r="I9" s="125" t="str">
        <f>IF([3]Sayfa1!$K6="SSH","Notified by Bozankaya","Notified by Customer")</f>
        <v>Notified by Customer</v>
      </c>
      <c r="J9" s="119" t="e">
        <f>VLOOKUP([3]Sayfa1!$AU6,#REF!,2,FALSE)</f>
        <v>#REF!</v>
      </c>
      <c r="K9" s="119" t="str">
        <f>[3]Sayfa1!$V6</f>
        <v>Piton</v>
      </c>
      <c r="L9" s="126" t="str">
        <f t="shared" si="0"/>
        <v>GDM7X4-FRACAS-GDM-005</v>
      </c>
      <c r="M9" s="127" t="str">
        <f>[3]Sayfa1!$L6</f>
        <v>Kapı üstü LCD ekranlarından 3 tanesinde LCD ekran üst camı yok.</v>
      </c>
      <c r="N9" s="128" t="str">
        <f>[3]Sayfa1!$J6</f>
        <v>C-Uyarı, sürüş devamlılığı</v>
      </c>
      <c r="O9" s="128" t="str">
        <f>[3]Sayfa1!$P6</f>
        <v>C(Sisteme etki etmeyen arıza)</v>
      </c>
      <c r="P9" s="128" t="str">
        <f>[3]Sayfa1!$Q6</f>
        <v>N.A(Yaralanma yok)</v>
      </c>
      <c r="Q9" s="129" t="str" cm="1">
        <f t="array" ref="Q9">_xlfn.IFS([3]Sayfa1!$R6="Bozankaya","Bozankaya",[3]Sayfa1!$R6="İşletme","Customer",[3]Sayfa1!$R6="Tedarikçi","Equipment Supplier")</f>
        <v>Bozankaya</v>
      </c>
      <c r="R9" s="130" t="str">
        <f>[3]Sayfa1!$M6</f>
        <v>Tamir süreci başlatıldı. Kalite bölümüne NCR oluşturuldu</v>
      </c>
      <c r="S9" s="147">
        <f>[3]Sayfa1!$AB6</f>
        <v>0</v>
      </c>
      <c r="T9" s="147">
        <f>[3]Sayfa1!$AA6</f>
        <v>0</v>
      </c>
      <c r="U9" s="131">
        <f>[3]Sayfa1!$AN6</f>
        <v>2</v>
      </c>
      <c r="V9" s="132">
        <f>[3]Sayfa1!$T6</f>
        <v>45197</v>
      </c>
      <c r="W9" s="133">
        <f>[3]Sayfa1!$U6</f>
        <v>45197</v>
      </c>
      <c r="X9" s="134">
        <f t="shared" si="1"/>
        <v>45197</v>
      </c>
      <c r="Y9" s="123" t="str">
        <f>[3]Sayfa1!$AQ6</f>
        <v/>
      </c>
      <c r="Z9" s="135">
        <f>[3]Sayfa1!$AR6</f>
        <v>0</v>
      </c>
      <c r="AA9" s="134">
        <f t="shared" si="2"/>
        <v>0</v>
      </c>
      <c r="AB9" s="136">
        <f t="shared" si="3"/>
        <v>0</v>
      </c>
      <c r="AC9" s="137" t="str">
        <f t="shared" si="4"/>
        <v/>
      </c>
      <c r="AD9" s="135">
        <f t="shared" si="5"/>
        <v>0</v>
      </c>
      <c r="AE9" s="138">
        <f t="shared" si="6"/>
        <v>0</v>
      </c>
      <c r="AF9" s="139" t="str">
        <f>[3]Sayfa1!$AP6</f>
        <v>(I) İlk defa karşılaşılan arıza</v>
      </c>
      <c r="AG9" s="128" t="str">
        <f>IF([3]Sayfa1!$P6="C(Sisteme etki etmeyen arıza)","Bu Arıza Aracın Servise Verilmesine Engel Değil","Bu Arıza Aracın Servise Verilmesine Engel")</f>
        <v>Bu Arıza Aracın Servise Verilmesine Engel Değil</v>
      </c>
      <c r="AH9" s="140">
        <f>[3]Sayfa1!$AC6</f>
        <v>0</v>
      </c>
      <c r="AI9" s="137"/>
      <c r="AJ9" s="137"/>
      <c r="AK9" s="138">
        <f t="shared" si="7"/>
        <v>0</v>
      </c>
      <c r="AL9" s="136">
        <f t="shared" si="8"/>
        <v>0</v>
      </c>
      <c r="AM9" s="136">
        <f t="shared" si="9"/>
        <v>0</v>
      </c>
      <c r="AN9" s="141" t="str">
        <f t="shared" si="10"/>
        <v>Piton</v>
      </c>
      <c r="AO9" s="141">
        <f>[3]Sayfa1!$X6</f>
        <v>0</v>
      </c>
      <c r="AP9" s="141">
        <f>[3]Sayfa1!$Z6</f>
        <v>0</v>
      </c>
      <c r="AQ9" s="122">
        <f>[3]Sayfa1!$W6</f>
        <v>0</v>
      </c>
      <c r="AR9" s="142">
        <f>[3]Sayfa1!$Y6</f>
        <v>0</v>
      </c>
      <c r="AS9" s="143">
        <f>[3]Sayfa1!$AD6</f>
        <v>0</v>
      </c>
      <c r="AT9" s="137">
        <f>[3]Sayfa1!$AE6</f>
        <v>0</v>
      </c>
      <c r="AU9" s="137">
        <f>[3]Sayfa1!$AH6</f>
        <v>0</v>
      </c>
      <c r="AV9" s="144">
        <v>5</v>
      </c>
      <c r="AW9" s="145" t="e">
        <f>U9*AB9*#REF!</f>
        <v>#REF!</v>
      </c>
    </row>
    <row r="10" spans="1:53" ht="101.25" customHeight="1">
      <c r="A10" s="119" t="s">
        <v>57</v>
      </c>
      <c r="B10" s="120" t="str">
        <f>[3]Sayfa1!$G7</f>
        <v>TS#1</v>
      </c>
      <c r="C10" s="121" t="str">
        <f>[3]Sayfa1!$H7</f>
        <v>Mc1</v>
      </c>
      <c r="D10" s="146">
        <f>[3]Sayfa1!$N7</f>
        <v>9</v>
      </c>
      <c r="E10" s="122" t="str">
        <f>[3]Sayfa1!$B7</f>
        <v>FRACAS-GDM-006</v>
      </c>
      <c r="F10" s="123">
        <f>[3]Sayfa1!$E7</f>
        <v>45197</v>
      </c>
      <c r="G10" s="124">
        <f>[3]Sayfa1!$F7</f>
        <v>45197</v>
      </c>
      <c r="H10" s="119" t="str">
        <f>[3]Sayfa1!$I7</f>
        <v>Depo/Depot</v>
      </c>
      <c r="I10" s="125" t="str">
        <f>IF([3]Sayfa1!$K7="SSH","Notified by Bozankaya","Notified by Customer")</f>
        <v>Notified by Customer</v>
      </c>
      <c r="J10" s="119" t="e">
        <f>VLOOKUP([3]Sayfa1!$AU7,#REF!,2,FALSE)</f>
        <v>#REF!</v>
      </c>
      <c r="K10" s="119" t="str">
        <f>[3]Sayfa1!$V7</f>
        <v>Bozankaya</v>
      </c>
      <c r="L10" s="126" t="str">
        <f t="shared" si="0"/>
        <v>GDM7X4-FRACAS-GDM-006</v>
      </c>
      <c r="M10" s="127" t="str">
        <f>[3]Sayfa1!$L7</f>
        <v>Tüm körük iç kapamaları yanlış paketlemeden dolayı hasar almıştır</v>
      </c>
      <c r="N10" s="128" t="str">
        <f>[3]Sayfa1!$J7</f>
        <v>C-Uyarı, sürüş devamlılığı</v>
      </c>
      <c r="O10" s="128" t="str">
        <f>[3]Sayfa1!$P7</f>
        <v>C(Sisteme etki etmeyen arıza)</v>
      </c>
      <c r="P10" s="128" t="str">
        <f>[3]Sayfa1!$Q7</f>
        <v>N.A(Yaralanma yok)</v>
      </c>
      <c r="Q10" s="129" t="str" cm="1">
        <f t="array" ref="Q10">_xlfn.IFS([3]Sayfa1!$R7="Bozankaya","Bozankaya",[3]Sayfa1!$R7="İşletme","Customer",[3]Sayfa1!$R7="Tedarikçi","Equipment Supplier")</f>
        <v>Bozankaya</v>
      </c>
      <c r="R10" s="130" t="str">
        <f>[3]Sayfa1!$M7</f>
        <v>Tamir süreci başlatıldı. Kalite bölümüne NCR oluşturuldu</v>
      </c>
      <c r="S10" s="147">
        <f>[3]Sayfa1!$AB7</f>
        <v>0</v>
      </c>
      <c r="T10" s="147">
        <f>[3]Sayfa1!$AA7</f>
        <v>0</v>
      </c>
      <c r="U10" s="131">
        <f>[3]Sayfa1!$AN7</f>
        <v>2</v>
      </c>
      <c r="V10" s="132">
        <f>[3]Sayfa1!$T7</f>
        <v>45197</v>
      </c>
      <c r="W10" s="133">
        <f>[3]Sayfa1!$U7</f>
        <v>45197</v>
      </c>
      <c r="X10" s="134">
        <f t="shared" si="1"/>
        <v>45197</v>
      </c>
      <c r="Y10" s="123" t="str">
        <f>[3]Sayfa1!$AQ7</f>
        <v/>
      </c>
      <c r="Z10" s="135">
        <f>[3]Sayfa1!$AR7</f>
        <v>0</v>
      </c>
      <c r="AA10" s="134">
        <f t="shared" si="2"/>
        <v>0</v>
      </c>
      <c r="AB10" s="136">
        <f t="shared" si="3"/>
        <v>0</v>
      </c>
      <c r="AC10" s="137" t="str">
        <f t="shared" si="4"/>
        <v/>
      </c>
      <c r="AD10" s="135">
        <f t="shared" si="5"/>
        <v>0</v>
      </c>
      <c r="AE10" s="138">
        <f t="shared" si="6"/>
        <v>0</v>
      </c>
      <c r="AF10" s="139" t="str">
        <f>[3]Sayfa1!$AP7</f>
        <v>(I) İlk defa karşılaşılan arıza</v>
      </c>
      <c r="AG10" s="128" t="str">
        <f>IF([3]Sayfa1!$P7="C(Sisteme etki etmeyen arıza)","Bu Arıza Aracın Servise Verilmesine Engel Değil","Bu Arıza Aracın Servise Verilmesine Engel")</f>
        <v>Bu Arıza Aracın Servise Verilmesine Engel Değil</v>
      </c>
      <c r="AH10" s="140">
        <f>[3]Sayfa1!$AC7</f>
        <v>0</v>
      </c>
      <c r="AI10" s="137"/>
      <c r="AJ10" s="137"/>
      <c r="AK10" s="138">
        <f t="shared" si="7"/>
        <v>0</v>
      </c>
      <c r="AL10" s="136">
        <f t="shared" si="8"/>
        <v>0</v>
      </c>
      <c r="AM10" s="136">
        <f t="shared" si="9"/>
        <v>0</v>
      </c>
      <c r="AN10" s="141" t="str">
        <f t="shared" si="10"/>
        <v>Bozankaya</v>
      </c>
      <c r="AO10" s="141">
        <f>[3]Sayfa1!$X7</f>
        <v>0</v>
      </c>
      <c r="AP10" s="141">
        <f>[3]Sayfa1!$Z7</f>
        <v>0</v>
      </c>
      <c r="AQ10" s="122">
        <f>[3]Sayfa1!$W7</f>
        <v>0</v>
      </c>
      <c r="AR10" s="142">
        <f>[3]Sayfa1!$Y7</f>
        <v>0</v>
      </c>
      <c r="AS10" s="143">
        <f>[3]Sayfa1!$AD7</f>
        <v>0</v>
      </c>
      <c r="AT10" s="137">
        <f>[3]Sayfa1!$AE7</f>
        <v>0</v>
      </c>
      <c r="AU10" s="137">
        <f>[3]Sayfa1!$AH7</f>
        <v>0</v>
      </c>
      <c r="AV10" s="144">
        <v>6</v>
      </c>
      <c r="AW10" s="145" t="e">
        <f>U10*AB10*#REF!</f>
        <v>#REF!</v>
      </c>
    </row>
    <row r="11" spans="1:53" ht="101.25" customHeight="1">
      <c r="A11" s="119" t="s">
        <v>57</v>
      </c>
      <c r="B11" s="120" t="str">
        <f>[3]Sayfa1!$G8</f>
        <v>TS#1</v>
      </c>
      <c r="C11" s="121" t="str">
        <f>[3]Sayfa1!$H8</f>
        <v>M</v>
      </c>
      <c r="D11" s="146">
        <f>[3]Sayfa1!$N8</f>
        <v>10</v>
      </c>
      <c r="E11" s="122" t="str">
        <f>[3]Sayfa1!$B8</f>
        <v>FRACAS-GDM-007</v>
      </c>
      <c r="F11" s="123">
        <f>[3]Sayfa1!$E8</f>
        <v>45198</v>
      </c>
      <c r="G11" s="124">
        <f>[3]Sayfa1!$F8</f>
        <v>45198</v>
      </c>
      <c r="H11" s="119" t="str">
        <f>[3]Sayfa1!$I8</f>
        <v>Depo/Depot</v>
      </c>
      <c r="I11" s="125" t="str">
        <f>IF([3]Sayfa1!$K8="SSH","Notified by Bozankaya","Notified by Customer")</f>
        <v>Notified by Customer</v>
      </c>
      <c r="J11" s="119" t="e">
        <f>VLOOKUP([3]Sayfa1!$AU8,#REF!,2,FALSE)</f>
        <v>#REF!</v>
      </c>
      <c r="K11" s="119" t="str">
        <f>[3]Sayfa1!$V8</f>
        <v>Bozankaya</v>
      </c>
      <c r="L11" s="126" t="str">
        <f t="shared" si="0"/>
        <v>GDM7X4-FRACAS-GDM-007</v>
      </c>
      <c r="M11" s="127" t="str">
        <f>[3]Sayfa1!$L8</f>
        <v>Klima montaj cıvatasının tam sıkılmamış gevşek halde durmaktadır</v>
      </c>
      <c r="N11" s="128" t="str">
        <f>[3]Sayfa1!$J8</f>
        <v>C-Uyarı, sürüş devamlılığı</v>
      </c>
      <c r="O11" s="128" t="str">
        <f>[3]Sayfa1!$P8</f>
        <v>C(Sisteme etki etmeyen arıza)</v>
      </c>
      <c r="P11" s="128" t="str">
        <f>[3]Sayfa1!$Q8</f>
        <v>N.A(Yaralanma yok)</v>
      </c>
      <c r="Q11" s="129" t="str" cm="1">
        <f t="array" ref="Q11">_xlfn.IFS([3]Sayfa1!$R8="Bozankaya","Bozankaya",[3]Sayfa1!$R8="İşletme","Customer",[3]Sayfa1!$R8="Tedarikçi","Equipment Supplier")</f>
        <v>Bozankaya</v>
      </c>
      <c r="R11" s="130" t="str">
        <f>[3]Sayfa1!$M8</f>
        <v>Tamir süreci başlatıldı. Kalite bölümüne NCR oluşturuldu</v>
      </c>
      <c r="S11" s="147">
        <f>[3]Sayfa1!$AB8</f>
        <v>0</v>
      </c>
      <c r="T11" s="147">
        <f>[3]Sayfa1!$AA8</f>
        <v>0</v>
      </c>
      <c r="U11" s="131">
        <f>[3]Sayfa1!$AN8</f>
        <v>2</v>
      </c>
      <c r="V11" s="132">
        <f>[3]Sayfa1!$T8</f>
        <v>45198</v>
      </c>
      <c r="W11" s="133">
        <f>[3]Sayfa1!$U8</f>
        <v>45198</v>
      </c>
      <c r="X11" s="134">
        <f t="shared" si="1"/>
        <v>45198</v>
      </c>
      <c r="Y11" s="123">
        <f>[3]Sayfa1!$AQ8</f>
        <v>45199</v>
      </c>
      <c r="Z11" s="135">
        <f>[3]Sayfa1!$AR8</f>
        <v>45199.510081018518</v>
      </c>
      <c r="AA11" s="134">
        <f t="shared" si="2"/>
        <v>45199.510081018518</v>
      </c>
      <c r="AB11" s="136">
        <f t="shared" si="3"/>
        <v>36.241944444424007</v>
      </c>
      <c r="AC11" s="137">
        <f t="shared" si="4"/>
        <v>45199</v>
      </c>
      <c r="AD11" s="135">
        <f t="shared" si="5"/>
        <v>45199.510081018518</v>
      </c>
      <c r="AE11" s="138">
        <f t="shared" si="6"/>
        <v>45199.510081018518</v>
      </c>
      <c r="AF11" s="139" t="str">
        <f>[3]Sayfa1!$AP8</f>
        <v>(I) İlk defa karşılaşılan arıza</v>
      </c>
      <c r="AG11" s="128" t="str">
        <f>IF([3]Sayfa1!$P8="C(Sisteme etki etmeyen arıza)","Bu Arıza Aracın Servise Verilmesine Engel Değil","Bu Arıza Aracın Servise Verilmesine Engel")</f>
        <v>Bu Arıza Aracın Servise Verilmesine Engel Değil</v>
      </c>
      <c r="AH11" s="140">
        <f>[3]Sayfa1!$AC8</f>
        <v>0</v>
      </c>
      <c r="AI11" s="137"/>
      <c r="AJ11" s="137"/>
      <c r="AK11" s="138">
        <f t="shared" si="7"/>
        <v>0</v>
      </c>
      <c r="AL11" s="136">
        <f t="shared" si="8"/>
        <v>2174.5166666654404</v>
      </c>
      <c r="AM11" s="136">
        <f t="shared" si="9"/>
        <v>0</v>
      </c>
      <c r="AN11" s="141" t="str">
        <f t="shared" si="10"/>
        <v>Bozankaya</v>
      </c>
      <c r="AO11" s="141">
        <f>[3]Sayfa1!$X8</f>
        <v>0</v>
      </c>
      <c r="AP11" s="141">
        <f>[3]Sayfa1!$Z8</f>
        <v>0</v>
      </c>
      <c r="AQ11" s="122">
        <f>[3]Sayfa1!$W8</f>
        <v>0</v>
      </c>
      <c r="AR11" s="142">
        <f>[3]Sayfa1!$Y8</f>
        <v>0</v>
      </c>
      <c r="AS11" s="143">
        <f>[3]Sayfa1!$AD8</f>
        <v>0</v>
      </c>
      <c r="AT11" s="137">
        <f>[3]Sayfa1!$AE8</f>
        <v>0</v>
      </c>
      <c r="AU11" s="137">
        <f>[3]Sayfa1!$AH8</f>
        <v>0</v>
      </c>
      <c r="AV11" s="144">
        <v>7</v>
      </c>
      <c r="AW11" s="145" t="e">
        <f>U11*AB11*#REF!</f>
        <v>#REF!</v>
      </c>
    </row>
    <row r="12" spans="1:53" ht="101.25" customHeight="1">
      <c r="A12" s="119" t="s">
        <v>57</v>
      </c>
      <c r="B12" s="120" t="str">
        <f>[3]Sayfa1!$G9</f>
        <v>TS#1</v>
      </c>
      <c r="C12" s="121" t="str">
        <f>[3]Sayfa1!$H9</f>
        <v>M</v>
      </c>
      <c r="D12" s="146">
        <f>[3]Sayfa1!$N9</f>
        <v>12</v>
      </c>
      <c r="E12" s="122" t="str">
        <f>[3]Sayfa1!$B9</f>
        <v>FRACAS-GDM-008</v>
      </c>
      <c r="F12" s="123">
        <f>[3]Sayfa1!$E9</f>
        <v>45198</v>
      </c>
      <c r="G12" s="124">
        <f>[3]Sayfa1!$F9</f>
        <v>45198</v>
      </c>
      <c r="H12" s="119" t="str">
        <f>[3]Sayfa1!$I9</f>
        <v>Depo/Depot</v>
      </c>
      <c r="I12" s="125" t="str">
        <f>IF([3]Sayfa1!$K9="SSH","Notified by Bozankaya","Notified by Customer")</f>
        <v>Notified by Customer</v>
      </c>
      <c r="J12" s="119" t="e">
        <f>VLOOKUP([3]Sayfa1!$AU9,#REF!,2,FALSE)</f>
        <v>#REF!</v>
      </c>
      <c r="K12" s="119" t="str">
        <f>[3]Sayfa1!$V9</f>
        <v>Bozankaya</v>
      </c>
      <c r="L12" s="126" t="str">
        <f t="shared" si="0"/>
        <v>GDM7X4-FRACAS-GDM-008</v>
      </c>
      <c r="M12" s="127" t="str">
        <f>[3]Sayfa1!$L9</f>
        <v>Vida ve şase bağlantılarının tork işaret boyası sökülüyor.</v>
      </c>
      <c r="N12" s="128" t="str">
        <f>[3]Sayfa1!$J9</f>
        <v>C-Uyarı, sürüş devamlılığı</v>
      </c>
      <c r="O12" s="128" t="str">
        <f>[3]Sayfa1!$P9</f>
        <v>C(Sisteme etki etmeyen arıza)</v>
      </c>
      <c r="P12" s="128" t="str">
        <f>[3]Sayfa1!$Q9</f>
        <v>N.A(Yaralanma yok)</v>
      </c>
      <c r="Q12" s="129" t="str" cm="1">
        <f t="array" ref="Q12">_xlfn.IFS([3]Sayfa1!$R9="Bozankaya","Bozankaya",[3]Sayfa1!$R9="İşletme","Customer",[3]Sayfa1!$R9="Tedarikçi","Equipment Supplier")</f>
        <v>Bozankaya</v>
      </c>
      <c r="R12" s="130" t="str">
        <f>[3]Sayfa1!$M9</f>
        <v>Tamir süreci başlatıldı. Kalite bölümüne NCR oluşturuldu</v>
      </c>
      <c r="S12" s="147">
        <f>[3]Sayfa1!$AB9</f>
        <v>0</v>
      </c>
      <c r="T12" s="147">
        <f>[3]Sayfa1!$AA9</f>
        <v>0</v>
      </c>
      <c r="U12" s="131">
        <f>[3]Sayfa1!$AN9</f>
        <v>2</v>
      </c>
      <c r="V12" s="132">
        <f>[3]Sayfa1!$T9</f>
        <v>45198</v>
      </c>
      <c r="W12" s="133">
        <f>[3]Sayfa1!$U9</f>
        <v>45198</v>
      </c>
      <c r="X12" s="134">
        <f t="shared" si="1"/>
        <v>45198</v>
      </c>
      <c r="Y12" s="123">
        <f>[3]Sayfa1!$AQ9</f>
        <v>45201</v>
      </c>
      <c r="Z12" s="135">
        <f>[3]Sayfa1!$AR9</f>
        <v>45201.510277777779</v>
      </c>
      <c r="AA12" s="134">
        <f t="shared" si="2"/>
        <v>45201.510277777779</v>
      </c>
      <c r="AB12" s="136">
        <f t="shared" si="3"/>
        <v>84.246666666702367</v>
      </c>
      <c r="AC12" s="137">
        <f t="shared" si="4"/>
        <v>45201</v>
      </c>
      <c r="AD12" s="135">
        <f t="shared" si="5"/>
        <v>45201.510277777779</v>
      </c>
      <c r="AE12" s="138">
        <f t="shared" si="6"/>
        <v>45201.510277777779</v>
      </c>
      <c r="AF12" s="139" t="str">
        <f>[3]Sayfa1!$AP9</f>
        <v>(I) İlk defa karşılaşılan arıza</v>
      </c>
      <c r="AG12" s="128" t="str">
        <f>IF([3]Sayfa1!$P9="C(Sisteme etki etmeyen arıza)","Bu Arıza Aracın Servise Verilmesine Engel Değil","Bu Arıza Aracın Servise Verilmesine Engel")</f>
        <v>Bu Arıza Aracın Servise Verilmesine Engel Değil</v>
      </c>
      <c r="AH12" s="140">
        <f>[3]Sayfa1!$AC9</f>
        <v>0</v>
      </c>
      <c r="AI12" s="137"/>
      <c r="AJ12" s="137"/>
      <c r="AK12" s="138">
        <f t="shared" si="7"/>
        <v>0</v>
      </c>
      <c r="AL12" s="136">
        <f t="shared" si="8"/>
        <v>5054.800000002142</v>
      </c>
      <c r="AM12" s="136">
        <f t="shared" si="9"/>
        <v>0</v>
      </c>
      <c r="AN12" s="141" t="str">
        <f t="shared" si="10"/>
        <v>Bozankaya</v>
      </c>
      <c r="AO12" s="141">
        <f>[3]Sayfa1!$X9</f>
        <v>0</v>
      </c>
      <c r="AP12" s="141">
        <f>[3]Sayfa1!$Z9</f>
        <v>0</v>
      </c>
      <c r="AQ12" s="122">
        <f>[3]Sayfa1!$W9</f>
        <v>0</v>
      </c>
      <c r="AR12" s="142">
        <f>[3]Sayfa1!$Y9</f>
        <v>0</v>
      </c>
      <c r="AS12" s="143">
        <f>[3]Sayfa1!$AD9</f>
        <v>0</v>
      </c>
      <c r="AT12" s="137">
        <f>[3]Sayfa1!$AE9</f>
        <v>0</v>
      </c>
      <c r="AU12" s="137">
        <f>[3]Sayfa1!$AH9</f>
        <v>0</v>
      </c>
      <c r="AV12" s="144">
        <v>8</v>
      </c>
      <c r="AW12" s="145" t="e">
        <f>U12*AB12*#REF!</f>
        <v>#REF!</v>
      </c>
    </row>
    <row r="13" spans="1:53" ht="101.25" customHeight="1">
      <c r="A13" s="119" t="s">
        <v>57</v>
      </c>
      <c r="B13" s="120" t="str">
        <f>[3]Sayfa1!$G10</f>
        <v>TS#1</v>
      </c>
      <c r="C13" s="121" t="str">
        <f>[3]Sayfa1!$H10</f>
        <v>M</v>
      </c>
      <c r="D13" s="146">
        <f>[3]Sayfa1!$N10</f>
        <v>14</v>
      </c>
      <c r="E13" s="122" t="str">
        <f>[3]Sayfa1!$B10</f>
        <v>FRACAS-GDM-009</v>
      </c>
      <c r="F13" s="123">
        <f>[3]Sayfa1!$E10</f>
        <v>45203</v>
      </c>
      <c r="G13" s="124">
        <f>[3]Sayfa1!$F10</f>
        <v>45203</v>
      </c>
      <c r="H13" s="119" t="str">
        <f>[3]Sayfa1!$I10</f>
        <v>Depo/Depot</v>
      </c>
      <c r="I13" s="125" t="str">
        <f>IF([3]Sayfa1!$K10="SSH","Notified by Bozankaya","Notified by Customer")</f>
        <v>Notified by Customer</v>
      </c>
      <c r="J13" s="119" t="e">
        <f>VLOOKUP([3]Sayfa1!$AU10,#REF!,2,FALSE)</f>
        <v>#REF!</v>
      </c>
      <c r="K13" s="119" t="str">
        <f>[3]Sayfa1!$V10</f>
        <v>Bozankaya</v>
      </c>
      <c r="L13" s="126" t="str">
        <f t="shared" si="0"/>
        <v>GDM7X4-FRACAS-GDM-009</v>
      </c>
      <c r="M13" s="127" t="str">
        <f>[3]Sayfa1!$L10</f>
        <v>X205.B Konnektörinin sabitleme vidası eksik olduğu tepsit edildi.</v>
      </c>
      <c r="N13" s="128" t="str">
        <f>[3]Sayfa1!$J10</f>
        <v>C-Uyarı, sürüş devamlılığı</v>
      </c>
      <c r="O13" s="128" t="str">
        <f>[3]Sayfa1!$P10</f>
        <v>C(Sisteme etki etmeyen arıza)</v>
      </c>
      <c r="P13" s="128" t="str">
        <f>[3]Sayfa1!$Q10</f>
        <v>N.A(Yaralanma yok)</v>
      </c>
      <c r="Q13" s="129" t="str" cm="1">
        <f t="array" ref="Q13">_xlfn.IFS([3]Sayfa1!$R10="Bozankaya","Bozankaya",[3]Sayfa1!$R10="İşletme","Customer",[3]Sayfa1!$R10="Tedarikçi","Equipment Supplier")</f>
        <v>Bozankaya</v>
      </c>
      <c r="R13" s="130" t="str">
        <f>[3]Sayfa1!$M10</f>
        <v>Tamir süreci başlatıldı. Kalite bölümüne NCR oluşturuldu</v>
      </c>
      <c r="S13" s="147">
        <f>[3]Sayfa1!$AB10</f>
        <v>0</v>
      </c>
      <c r="T13" s="147">
        <f>[3]Sayfa1!$AA10</f>
        <v>0</v>
      </c>
      <c r="U13" s="131">
        <f>[3]Sayfa1!$AN10</f>
        <v>2</v>
      </c>
      <c r="V13" s="132">
        <f>[3]Sayfa1!$T10</f>
        <v>45203</v>
      </c>
      <c r="W13" s="133">
        <f>[3]Sayfa1!$U10</f>
        <v>45203</v>
      </c>
      <c r="X13" s="134">
        <f t="shared" si="1"/>
        <v>45203</v>
      </c>
      <c r="Y13" s="123">
        <f>[3]Sayfa1!$AQ10</f>
        <v>45238</v>
      </c>
      <c r="Z13" s="135">
        <f>[3]Sayfa1!$AR10</f>
        <v>45238.510462962964</v>
      </c>
      <c r="AA13" s="134">
        <f t="shared" si="2"/>
        <v>45238.510462962964</v>
      </c>
      <c r="AB13" s="136">
        <f t="shared" si="3"/>
        <v>852.25111111113802</v>
      </c>
      <c r="AC13" s="137">
        <f t="shared" si="4"/>
        <v>45238</v>
      </c>
      <c r="AD13" s="135">
        <f t="shared" si="5"/>
        <v>45238.510462962964</v>
      </c>
      <c r="AE13" s="138">
        <f t="shared" si="6"/>
        <v>45238.510462962964</v>
      </c>
      <c r="AF13" s="139" t="str">
        <f>[3]Sayfa1!$AP10</f>
        <v>(I) İlk defa karşılaşılan arıza</v>
      </c>
      <c r="AG13" s="128" t="str">
        <f>IF([3]Sayfa1!$P10="C(Sisteme etki etmeyen arıza)","Bu Arıza Aracın Servise Verilmesine Engel Değil","Bu Arıza Aracın Servise Verilmesine Engel")</f>
        <v>Bu Arıza Aracın Servise Verilmesine Engel Değil</v>
      </c>
      <c r="AH13" s="140">
        <f>[3]Sayfa1!$AC10</f>
        <v>0</v>
      </c>
      <c r="AI13" s="137"/>
      <c r="AJ13" s="137"/>
      <c r="AK13" s="138">
        <f t="shared" si="7"/>
        <v>0</v>
      </c>
      <c r="AL13" s="136">
        <f t="shared" si="8"/>
        <v>51135.066666668281</v>
      </c>
      <c r="AM13" s="136">
        <f t="shared" si="9"/>
        <v>0</v>
      </c>
      <c r="AN13" s="141" t="str">
        <f t="shared" si="10"/>
        <v>Bozankaya</v>
      </c>
      <c r="AO13" s="141">
        <f>[3]Sayfa1!$X10</f>
        <v>0</v>
      </c>
      <c r="AP13" s="141">
        <f>[3]Sayfa1!$Z10</f>
        <v>0</v>
      </c>
      <c r="AQ13" s="122">
        <f>[3]Sayfa1!$W10</f>
        <v>0</v>
      </c>
      <c r="AR13" s="142">
        <f>[3]Sayfa1!$Y10</f>
        <v>0</v>
      </c>
      <c r="AS13" s="143">
        <f>[3]Sayfa1!$AD10</f>
        <v>0</v>
      </c>
      <c r="AT13" s="137">
        <f>[3]Sayfa1!$AE10</f>
        <v>0</v>
      </c>
      <c r="AU13" s="137">
        <f>[3]Sayfa1!$AH10</f>
        <v>0</v>
      </c>
      <c r="AV13" s="144">
        <v>9</v>
      </c>
      <c r="AW13" s="145" t="e">
        <f>U13*AB13*#REF!</f>
        <v>#REF!</v>
      </c>
    </row>
    <row r="14" spans="1:53" ht="101.25" customHeight="1">
      <c r="A14" s="119" t="s">
        <v>57</v>
      </c>
      <c r="B14" s="120" t="str">
        <f>[3]Sayfa1!$G11</f>
        <v>TS#1</v>
      </c>
      <c r="C14" s="121" t="str">
        <f>[3]Sayfa1!$H11</f>
        <v>T</v>
      </c>
      <c r="D14" s="146">
        <f>[3]Sayfa1!$N11</f>
        <v>15</v>
      </c>
      <c r="E14" s="122" t="str">
        <f>[3]Sayfa1!$B11</f>
        <v>FRACAS-GDM-010</v>
      </c>
      <c r="F14" s="123">
        <f>[3]Sayfa1!$E11</f>
        <v>45203</v>
      </c>
      <c r="G14" s="124">
        <f>[3]Sayfa1!$F11</f>
        <v>45203</v>
      </c>
      <c r="H14" s="119" t="str">
        <f>[3]Sayfa1!$I11</f>
        <v>Depo/Depot</v>
      </c>
      <c r="I14" s="125" t="str">
        <f>IF([3]Sayfa1!$K11="SSH","Notified by Bozankaya","Notified by Customer")</f>
        <v>Notified by Customer</v>
      </c>
      <c r="J14" s="119" t="e">
        <f>VLOOKUP([3]Sayfa1!$AU11,#REF!,2,FALSE)</f>
        <v>#REF!</v>
      </c>
      <c r="K14" s="119" t="str">
        <f>[3]Sayfa1!$V11</f>
        <v>Bozankaya</v>
      </c>
      <c r="L14" s="126" t="str">
        <f t="shared" si="0"/>
        <v>GDM7X4-FRACAS-GDM-010</v>
      </c>
      <c r="M14" s="127" t="str">
        <f>[3]Sayfa1!$L11</f>
        <v>41 pano x402B konnektörünün sabitleme vidası eksiktir.</v>
      </c>
      <c r="N14" s="128" t="str">
        <f>[3]Sayfa1!$J11</f>
        <v>C-Uyarı, sürüş devamlılığı</v>
      </c>
      <c r="O14" s="128" t="str">
        <f>[3]Sayfa1!$P11</f>
        <v>C(Sisteme etki etmeyen arıza)</v>
      </c>
      <c r="P14" s="128" t="str">
        <f>[3]Sayfa1!$Q11</f>
        <v>N.A(Yaralanma yok)</v>
      </c>
      <c r="Q14" s="129" t="str" cm="1">
        <f t="array" ref="Q14">_xlfn.IFS([3]Sayfa1!$R11="Bozankaya","Bozankaya",[3]Sayfa1!$R11="İşletme","Customer",[3]Sayfa1!$R11="Tedarikçi","Equipment Supplier")</f>
        <v>Bozankaya</v>
      </c>
      <c r="R14" s="130" t="str">
        <f>[3]Sayfa1!$M11</f>
        <v>Tamir süreci başlatıldı. Kalite bölümüne NCR oluşturuldu</v>
      </c>
      <c r="S14" s="147">
        <f>[3]Sayfa1!$AB11</f>
        <v>0</v>
      </c>
      <c r="T14" s="147">
        <f>[3]Sayfa1!$AA11</f>
        <v>0</v>
      </c>
      <c r="U14" s="131">
        <f>[3]Sayfa1!$AN11</f>
        <v>2</v>
      </c>
      <c r="V14" s="132">
        <f>[3]Sayfa1!$T11</f>
        <v>45203</v>
      </c>
      <c r="W14" s="133">
        <f>[3]Sayfa1!$U11</f>
        <v>45203</v>
      </c>
      <c r="X14" s="134">
        <f t="shared" si="1"/>
        <v>45203</v>
      </c>
      <c r="Y14" s="123">
        <f>[3]Sayfa1!$AQ11</f>
        <v>45219</v>
      </c>
      <c r="Z14" s="135">
        <f>[3]Sayfa1!$AR11</f>
        <v>45219.510613425926</v>
      </c>
      <c r="AA14" s="134">
        <f t="shared" si="2"/>
        <v>45219.510613425926</v>
      </c>
      <c r="AB14" s="136">
        <f t="shared" si="3"/>
        <v>396.25472222222015</v>
      </c>
      <c r="AC14" s="137">
        <f t="shared" si="4"/>
        <v>45219</v>
      </c>
      <c r="AD14" s="135">
        <f t="shared" si="5"/>
        <v>45219.510613425926</v>
      </c>
      <c r="AE14" s="138">
        <f t="shared" si="6"/>
        <v>45219.510613425926</v>
      </c>
      <c r="AF14" s="139" t="str">
        <f>[3]Sayfa1!$AP11</f>
        <v>(I) İlk defa karşılaşılan arıza</v>
      </c>
      <c r="AG14" s="128" t="str">
        <f>IF([3]Sayfa1!$P11="C(Sisteme etki etmeyen arıza)","Bu Arıza Aracın Servise Verilmesine Engel Değil","Bu Arıza Aracın Servise Verilmesine Engel")</f>
        <v>Bu Arıza Aracın Servise Verilmesine Engel Değil</v>
      </c>
      <c r="AH14" s="140">
        <f>[3]Sayfa1!$AC11</f>
        <v>0</v>
      </c>
      <c r="AI14" s="137"/>
      <c r="AJ14" s="137"/>
      <c r="AK14" s="138">
        <f t="shared" si="7"/>
        <v>0</v>
      </c>
      <c r="AL14" s="136">
        <f t="shared" si="8"/>
        <v>23775.283333333209</v>
      </c>
      <c r="AM14" s="136">
        <f t="shared" si="9"/>
        <v>0</v>
      </c>
      <c r="AN14" s="141" t="str">
        <f t="shared" si="10"/>
        <v>Bozankaya</v>
      </c>
      <c r="AO14" s="141">
        <f>[3]Sayfa1!$X11</f>
        <v>0</v>
      </c>
      <c r="AP14" s="141">
        <f>[3]Sayfa1!$Z11</f>
        <v>0</v>
      </c>
      <c r="AQ14" s="122">
        <f>[3]Sayfa1!$W11</f>
        <v>0</v>
      </c>
      <c r="AR14" s="142">
        <f>[3]Sayfa1!$Y11</f>
        <v>0</v>
      </c>
      <c r="AS14" s="143">
        <f>[3]Sayfa1!$AD11</f>
        <v>0</v>
      </c>
      <c r="AT14" s="137">
        <f>[3]Sayfa1!$AE11</f>
        <v>0</v>
      </c>
      <c r="AU14" s="137">
        <f>[3]Sayfa1!$AH11</f>
        <v>0</v>
      </c>
      <c r="AV14" s="144">
        <v>10</v>
      </c>
      <c r="AW14" s="145" t="e">
        <f>U14*AB14*#REF!</f>
        <v>#REF!</v>
      </c>
    </row>
    <row r="15" spans="1:53" ht="101.25" customHeight="1">
      <c r="A15" s="119" t="s">
        <v>57</v>
      </c>
      <c r="B15" s="120" t="str">
        <f>[3]Sayfa1!$G12</f>
        <v>TS#1</v>
      </c>
      <c r="C15" s="121" t="str">
        <f>[3]Sayfa1!$H12</f>
        <v>Mc1</v>
      </c>
      <c r="D15" s="146">
        <f>[3]Sayfa1!$N12</f>
        <v>17</v>
      </c>
      <c r="E15" s="122" t="str">
        <f>[3]Sayfa1!$B12</f>
        <v>FRACAS-GDM-011</v>
      </c>
      <c r="F15" s="123">
        <f>[3]Sayfa1!$E12</f>
        <v>45205</v>
      </c>
      <c r="G15" s="124">
        <f>[3]Sayfa1!$F12</f>
        <v>45205</v>
      </c>
      <c r="H15" s="119" t="str">
        <f>[3]Sayfa1!$I12</f>
        <v>Depo/Depot</v>
      </c>
      <c r="I15" s="125" t="str">
        <f>IF([3]Sayfa1!$K12="SSH","Notified by Bozankaya","Notified by Customer")</f>
        <v>Notified by Customer</v>
      </c>
      <c r="J15" s="119" t="e">
        <f>VLOOKUP([3]Sayfa1!$AU12,#REF!,2,FALSE)</f>
        <v>#REF!</v>
      </c>
      <c r="K15" s="119" t="str">
        <f>[3]Sayfa1!$V12</f>
        <v>Bozankaya</v>
      </c>
      <c r="L15" s="126" t="str">
        <f t="shared" si="0"/>
        <v>GDM7X4-FRACAS-GDM-011</v>
      </c>
      <c r="M15" s="127" t="str">
        <f>[3]Sayfa1!$L12</f>
        <v>LAN2 slotunun kapağı eksiktir, montaj edilmemiştir.</v>
      </c>
      <c r="N15" s="128" t="str">
        <f>[3]Sayfa1!$J12</f>
        <v>C-Uyarı, sürüş devamlılığı</v>
      </c>
      <c r="O15" s="128" t="str">
        <f>[3]Sayfa1!$P12</f>
        <v>C(Sisteme etki etmeyen arıza)</v>
      </c>
      <c r="P15" s="128" t="str">
        <f>[3]Sayfa1!$Q12</f>
        <v>N.A(Yaralanma yok)</v>
      </c>
      <c r="Q15" s="129" t="str" cm="1">
        <f t="array" ref="Q15">_xlfn.IFS([3]Sayfa1!$R12="Bozankaya","Bozankaya",[3]Sayfa1!$R12="İşletme","Customer",[3]Sayfa1!$R12="Tedarikçi","Equipment Supplier")</f>
        <v>Bozankaya</v>
      </c>
      <c r="R15" s="130" t="str">
        <f>[3]Sayfa1!$M12</f>
        <v>Tamir süreci başlatıldı. Kalite bölümüne NCR oluşturuldu</v>
      </c>
      <c r="S15" s="147">
        <f>[3]Sayfa1!$AB12</f>
        <v>0</v>
      </c>
      <c r="T15" s="147">
        <f>[3]Sayfa1!$AA12</f>
        <v>0</v>
      </c>
      <c r="U15" s="131">
        <f>[3]Sayfa1!$AN12</f>
        <v>2</v>
      </c>
      <c r="V15" s="132">
        <f>[3]Sayfa1!$T12</f>
        <v>45205</v>
      </c>
      <c r="W15" s="133">
        <f>[3]Sayfa1!$U12</f>
        <v>45205</v>
      </c>
      <c r="X15" s="134">
        <f t="shared" si="1"/>
        <v>45205</v>
      </c>
      <c r="Y15" s="123" t="str">
        <f>[3]Sayfa1!$AQ12</f>
        <v/>
      </c>
      <c r="Z15" s="135">
        <f>[3]Sayfa1!$AR12</f>
        <v>0</v>
      </c>
      <c r="AA15" s="134">
        <f t="shared" si="2"/>
        <v>0</v>
      </c>
      <c r="AB15" s="136">
        <f t="shared" si="3"/>
        <v>0</v>
      </c>
      <c r="AC15" s="137" t="str">
        <f t="shared" si="4"/>
        <v/>
      </c>
      <c r="AD15" s="135">
        <f t="shared" si="5"/>
        <v>0</v>
      </c>
      <c r="AE15" s="138">
        <f t="shared" si="6"/>
        <v>0</v>
      </c>
      <c r="AF15" s="139" t="str">
        <f>[3]Sayfa1!$AP12</f>
        <v>(I) İlk defa karşılaşılan arıza</v>
      </c>
      <c r="AG15" s="128" t="str">
        <f>IF([3]Sayfa1!$P12="C(Sisteme etki etmeyen arıza)","Bu Arıza Aracın Servise Verilmesine Engel Değil","Bu Arıza Aracın Servise Verilmesine Engel")</f>
        <v>Bu Arıza Aracın Servise Verilmesine Engel Değil</v>
      </c>
      <c r="AH15" s="140">
        <f>[3]Sayfa1!$AC12</f>
        <v>0</v>
      </c>
      <c r="AI15" s="137"/>
      <c r="AJ15" s="137"/>
      <c r="AK15" s="138">
        <f t="shared" si="7"/>
        <v>0</v>
      </c>
      <c r="AL15" s="136">
        <f t="shared" si="8"/>
        <v>0</v>
      </c>
      <c r="AM15" s="136">
        <f t="shared" si="9"/>
        <v>0</v>
      </c>
      <c r="AN15" s="141" t="str">
        <f t="shared" si="10"/>
        <v>Bozankaya</v>
      </c>
      <c r="AO15" s="141">
        <f>[3]Sayfa1!$X12</f>
        <v>0</v>
      </c>
      <c r="AP15" s="141">
        <f>[3]Sayfa1!$Z12</f>
        <v>0</v>
      </c>
      <c r="AQ15" s="122">
        <f>[3]Sayfa1!$W12</f>
        <v>0</v>
      </c>
      <c r="AR15" s="142">
        <f>[3]Sayfa1!$Y12</f>
        <v>0</v>
      </c>
      <c r="AS15" s="143">
        <f>[3]Sayfa1!$AD12</f>
        <v>0</v>
      </c>
      <c r="AT15" s="137">
        <f>[3]Sayfa1!$AE12</f>
        <v>0</v>
      </c>
      <c r="AU15" s="137">
        <f>[3]Sayfa1!$AH12</f>
        <v>0</v>
      </c>
      <c r="AV15" s="144">
        <v>11</v>
      </c>
      <c r="AW15" s="145" t="e">
        <f>U15*AB15*#REF!</f>
        <v>#REF!</v>
      </c>
    </row>
    <row r="16" spans="1:53" ht="101.25" customHeight="1">
      <c r="A16" s="119" t="s">
        <v>57</v>
      </c>
      <c r="B16" s="120" t="str">
        <f>[3]Sayfa1!$G13</f>
        <v>TS#1</v>
      </c>
      <c r="C16" s="121" t="str">
        <f>[3]Sayfa1!$H13</f>
        <v>Mc2</v>
      </c>
      <c r="D16" s="146">
        <f>[3]Sayfa1!$N13</f>
        <v>18</v>
      </c>
      <c r="E16" s="122" t="str">
        <f>[3]Sayfa1!$B13</f>
        <v>FRACAS-GDM-012</v>
      </c>
      <c r="F16" s="123">
        <f>[3]Sayfa1!$E13</f>
        <v>45205</v>
      </c>
      <c r="G16" s="124">
        <f>[3]Sayfa1!$F13</f>
        <v>45205</v>
      </c>
      <c r="H16" s="119" t="str">
        <f>[3]Sayfa1!$I13</f>
        <v>Depo/Depot</v>
      </c>
      <c r="I16" s="125" t="str">
        <f>IF([3]Sayfa1!$K13="SSH","Notified by Bozankaya","Notified by Customer")</f>
        <v>Notified by Customer</v>
      </c>
      <c r="J16" s="119" t="e">
        <f>VLOOKUP([3]Sayfa1!$AU13,#REF!,2,FALSE)</f>
        <v>#REF!</v>
      </c>
      <c r="K16" s="119" t="str">
        <f>[3]Sayfa1!$V13</f>
        <v>Bozankaya</v>
      </c>
      <c r="L16" s="126" t="str">
        <f t="shared" si="0"/>
        <v>GDM7X4-FRACAS-GDM-012</v>
      </c>
      <c r="M16" s="127" t="str">
        <f>[3]Sayfa1!$L13</f>
        <v>Silecek fonksiyonu çalışmıyor. Kontaklar çekiyor ama fiziksel bir eylem gerçekleşmemektedir.</v>
      </c>
      <c r="N16" s="128" t="str">
        <f>[3]Sayfa1!$J13</f>
        <v>C-Uyarı, sürüş devamlılığı</v>
      </c>
      <c r="O16" s="128" t="str">
        <f>[3]Sayfa1!$P13</f>
        <v>C(Sisteme etki etmeyen arıza)</v>
      </c>
      <c r="P16" s="128" t="str">
        <f>[3]Sayfa1!$Q13</f>
        <v>N.A(Yaralanma yok)</v>
      </c>
      <c r="Q16" s="129" t="str" cm="1">
        <f t="array" ref="Q16">_xlfn.IFS([3]Sayfa1!$R13="Bozankaya","Bozankaya",[3]Sayfa1!$R13="İşletme","Customer",[3]Sayfa1!$R13="Tedarikçi","Equipment Supplier")</f>
        <v>Bozankaya</v>
      </c>
      <c r="R16" s="130" t="str">
        <f>[3]Sayfa1!$M13</f>
        <v>Tamir süreci başlatıldı. Kalite bölümüne NCR oluşturuldu</v>
      </c>
      <c r="S16" s="147">
        <f>[3]Sayfa1!$AB13</f>
        <v>0</v>
      </c>
      <c r="T16" s="147">
        <f>[3]Sayfa1!$AA13</f>
        <v>0</v>
      </c>
      <c r="U16" s="131">
        <f>[3]Sayfa1!$AN13</f>
        <v>2</v>
      </c>
      <c r="V16" s="132">
        <f>[3]Sayfa1!$T13</f>
        <v>45205</v>
      </c>
      <c r="W16" s="133">
        <f>[3]Sayfa1!$U13</f>
        <v>45205</v>
      </c>
      <c r="X16" s="134">
        <f t="shared" si="1"/>
        <v>45205</v>
      </c>
      <c r="Y16" s="123">
        <f>[3]Sayfa1!$AQ13</f>
        <v>45209</v>
      </c>
      <c r="Z16" s="135">
        <f>[3]Sayfa1!$AR13</f>
        <v>45209.510763888888</v>
      </c>
      <c r="AA16" s="134">
        <f t="shared" si="2"/>
        <v>45209.510763888888</v>
      </c>
      <c r="AB16" s="136">
        <f t="shared" si="3"/>
        <v>108.25833333330229</v>
      </c>
      <c r="AC16" s="137">
        <f t="shared" si="4"/>
        <v>45209</v>
      </c>
      <c r="AD16" s="135">
        <f t="shared" si="5"/>
        <v>45209.510763888888</v>
      </c>
      <c r="AE16" s="138">
        <f t="shared" si="6"/>
        <v>45209.510763888888</v>
      </c>
      <c r="AF16" s="139" t="str">
        <f>[3]Sayfa1!$AP13</f>
        <v>(I) İlk defa karşılaşılan arıza</v>
      </c>
      <c r="AG16" s="128" t="str">
        <f>IF([3]Sayfa1!$P13="C(Sisteme etki etmeyen arıza)","Bu Arıza Aracın Servise Verilmesine Engel Değil","Bu Arıza Aracın Servise Verilmesine Engel")</f>
        <v>Bu Arıza Aracın Servise Verilmesine Engel Değil</v>
      </c>
      <c r="AH16" s="140">
        <f>[3]Sayfa1!$AC13</f>
        <v>0</v>
      </c>
      <c r="AI16" s="137"/>
      <c r="AJ16" s="137"/>
      <c r="AK16" s="138">
        <f t="shared" si="7"/>
        <v>0</v>
      </c>
      <c r="AL16" s="136">
        <f t="shared" si="8"/>
        <v>6495.4999999981374</v>
      </c>
      <c r="AM16" s="136">
        <f t="shared" si="9"/>
        <v>0</v>
      </c>
      <c r="AN16" s="141" t="str">
        <f t="shared" si="10"/>
        <v>Bozankaya</v>
      </c>
      <c r="AO16" s="141">
        <f>[3]Sayfa1!$X13</f>
        <v>0</v>
      </c>
      <c r="AP16" s="141">
        <f>[3]Sayfa1!$Z13</f>
        <v>0</v>
      </c>
      <c r="AQ16" s="122">
        <f>[3]Sayfa1!$W13</f>
        <v>0</v>
      </c>
      <c r="AR16" s="142">
        <f>[3]Sayfa1!$Y13</f>
        <v>0</v>
      </c>
      <c r="AS16" s="143">
        <f>[3]Sayfa1!$AD13</f>
        <v>0</v>
      </c>
      <c r="AT16" s="137" t="str">
        <f>[3]Sayfa1!$AE13</f>
        <v/>
      </c>
      <c r="AU16" s="137">
        <f>[3]Sayfa1!$AH13</f>
        <v>45231</v>
      </c>
      <c r="AV16" s="144">
        <v>12</v>
      </c>
      <c r="AW16" s="145" t="e">
        <f>U16*AB16*#REF!</f>
        <v>#REF!</v>
      </c>
    </row>
    <row r="17" spans="1:49" ht="101.25" customHeight="1">
      <c r="A17" s="119" t="s">
        <v>57</v>
      </c>
      <c r="B17" s="120" t="str">
        <f>[3]Sayfa1!$G14</f>
        <v>TS#1</v>
      </c>
      <c r="C17" s="121" t="str">
        <f>[3]Sayfa1!$H14</f>
        <v>Mc2</v>
      </c>
      <c r="D17" s="146">
        <f>[3]Sayfa1!$N14</f>
        <v>20</v>
      </c>
      <c r="E17" s="122" t="str">
        <f>[3]Sayfa1!$B14</f>
        <v>FRACAS-GDM-013</v>
      </c>
      <c r="F17" s="123">
        <f>[3]Sayfa1!$E14</f>
        <v>45205</v>
      </c>
      <c r="G17" s="124">
        <f>[3]Sayfa1!$F14</f>
        <v>45205</v>
      </c>
      <c r="H17" s="119" t="str">
        <f>[3]Sayfa1!$I14</f>
        <v>Depo/Depot</v>
      </c>
      <c r="I17" s="125" t="str">
        <f>IF([3]Sayfa1!$K14="SSH","Notified by Bozankaya","Notified by Customer")</f>
        <v>Notified by Customer</v>
      </c>
      <c r="J17" s="119" t="e">
        <f>VLOOKUP([3]Sayfa1!$AU14,#REF!,2,FALSE)</f>
        <v>#REF!</v>
      </c>
      <c r="K17" s="119" t="str">
        <f>[3]Sayfa1!$V14</f>
        <v>Piton</v>
      </c>
      <c r="L17" s="126" t="str">
        <f t="shared" si="0"/>
        <v>GDM7X4-FRACAS-GDM-013</v>
      </c>
      <c r="M17" s="127" t="str">
        <f>[3]Sayfa1!$L14</f>
        <v>İç ve dış anons çalışmıyor.</v>
      </c>
      <c r="N17" s="128" t="str">
        <f>[3]Sayfa1!$J14</f>
        <v>C-Uyarı, sürüş devamlılığı</v>
      </c>
      <c r="O17" s="128" t="str">
        <f>[3]Sayfa1!$P14</f>
        <v>C(Sisteme etki etmeyen arıza)</v>
      </c>
      <c r="P17" s="128" t="str">
        <f>[3]Sayfa1!$Q14</f>
        <v>N.A(Yaralanma yok)</v>
      </c>
      <c r="Q17" s="129" t="str" cm="1">
        <f t="array" ref="Q17">_xlfn.IFS([3]Sayfa1!$R14="Bozankaya","Bozankaya",[3]Sayfa1!$R14="İşletme","Customer",[3]Sayfa1!$R14="Tedarikçi","Equipment Supplier")</f>
        <v>Bozankaya</v>
      </c>
      <c r="R17" s="130" t="str">
        <f>[3]Sayfa1!$M14</f>
        <v>Tamir süreci başlatıldı. Kalite bölümüne NCR oluşturuldu</v>
      </c>
      <c r="S17" s="147">
        <f>[3]Sayfa1!$AB14</f>
        <v>0</v>
      </c>
      <c r="T17" s="147">
        <f>[3]Sayfa1!$AA14</f>
        <v>0</v>
      </c>
      <c r="U17" s="131">
        <f>[3]Sayfa1!$AN14</f>
        <v>2</v>
      </c>
      <c r="V17" s="132">
        <f>[3]Sayfa1!$T14</f>
        <v>45205</v>
      </c>
      <c r="W17" s="133">
        <f>[3]Sayfa1!$U14</f>
        <v>45205</v>
      </c>
      <c r="X17" s="134">
        <f t="shared" si="1"/>
        <v>45205</v>
      </c>
      <c r="Y17" s="123">
        <f>[3]Sayfa1!$AQ14</f>
        <v>45328</v>
      </c>
      <c r="Z17" s="135">
        <f>[3]Sayfa1!$AR14</f>
        <v>45328.581145833334</v>
      </c>
      <c r="AA17" s="134">
        <f t="shared" si="2"/>
        <v>45328.581145833334</v>
      </c>
      <c r="AB17" s="136">
        <f t="shared" si="3"/>
        <v>2965.9475000000093</v>
      </c>
      <c r="AC17" s="137">
        <f t="shared" si="4"/>
        <v>45328</v>
      </c>
      <c r="AD17" s="135">
        <f t="shared" si="5"/>
        <v>45328.581145833334</v>
      </c>
      <c r="AE17" s="138">
        <f t="shared" si="6"/>
        <v>45328.581145833334</v>
      </c>
      <c r="AF17" s="139" t="str">
        <f>[3]Sayfa1!$AP14</f>
        <v>(I) İlk defa karşılaşılan arıza</v>
      </c>
      <c r="AG17" s="128" t="str">
        <f>IF([3]Sayfa1!$P14="C(Sisteme etki etmeyen arıza)","Bu Arıza Aracın Servise Verilmesine Engel Değil","Bu Arıza Aracın Servise Verilmesine Engel")</f>
        <v>Bu Arıza Aracın Servise Verilmesine Engel Değil</v>
      </c>
      <c r="AH17" s="140">
        <f>[3]Sayfa1!$AC14</f>
        <v>0</v>
      </c>
      <c r="AI17" s="137"/>
      <c r="AJ17" s="137"/>
      <c r="AK17" s="138">
        <f t="shared" si="7"/>
        <v>0</v>
      </c>
      <c r="AL17" s="136">
        <f t="shared" si="8"/>
        <v>177956.85000000056</v>
      </c>
      <c r="AM17" s="136">
        <f t="shared" si="9"/>
        <v>0</v>
      </c>
      <c r="AN17" s="141" t="str">
        <f t="shared" si="10"/>
        <v>Piton</v>
      </c>
      <c r="AO17" s="141">
        <f>[3]Sayfa1!$X14</f>
        <v>0</v>
      </c>
      <c r="AP17" s="141">
        <f>[3]Sayfa1!$Z14</f>
        <v>0</v>
      </c>
      <c r="AQ17" s="122">
        <f>[3]Sayfa1!$W14</f>
        <v>0</v>
      </c>
      <c r="AR17" s="142">
        <f>[3]Sayfa1!$Y14</f>
        <v>0</v>
      </c>
      <c r="AS17" s="143">
        <f>[3]Sayfa1!$AD14</f>
        <v>0</v>
      </c>
      <c r="AT17" s="137">
        <f>[3]Sayfa1!$AE14</f>
        <v>0</v>
      </c>
      <c r="AU17" s="137">
        <f>[3]Sayfa1!$AH14</f>
        <v>0</v>
      </c>
      <c r="AV17" s="144">
        <v>13</v>
      </c>
      <c r="AW17" s="145" t="e">
        <f>U17*AB17*#REF!</f>
        <v>#REF!</v>
      </c>
    </row>
    <row r="18" spans="1:49" ht="101.25" customHeight="1">
      <c r="A18" s="119" t="s">
        <v>57</v>
      </c>
      <c r="B18" s="120" t="str">
        <f>[3]Sayfa1!$G15</f>
        <v>TS#1</v>
      </c>
      <c r="C18" s="121" t="str">
        <f>[3]Sayfa1!$H15</f>
        <v>Mc2</v>
      </c>
      <c r="D18" s="146">
        <f>[3]Sayfa1!$N15</f>
        <v>22</v>
      </c>
      <c r="E18" s="122" t="str">
        <f>[3]Sayfa1!$B15</f>
        <v>FRACAS-GDM-014</v>
      </c>
      <c r="F18" s="123">
        <f>[3]Sayfa1!$E15</f>
        <v>45206</v>
      </c>
      <c r="G18" s="124">
        <f>[3]Sayfa1!$F15</f>
        <v>45206</v>
      </c>
      <c r="H18" s="119" t="str">
        <f>[3]Sayfa1!$I15</f>
        <v>Depo/Depot</v>
      </c>
      <c r="I18" s="125" t="str">
        <f>IF([3]Sayfa1!$K15="SSH","Notified by Bozankaya","Notified by Customer")</f>
        <v>Notified by Customer</v>
      </c>
      <c r="J18" s="119" t="e">
        <f>VLOOKUP([3]Sayfa1!$AU15,#REF!,2,FALSE)</f>
        <v>#REF!</v>
      </c>
      <c r="K18" s="119" t="str">
        <f>[3]Sayfa1!$V15</f>
        <v>Bozankaya</v>
      </c>
      <c r="L18" s="126" t="str">
        <f t="shared" si="0"/>
        <v>GDM7X4-FRACAS-GDM-014</v>
      </c>
      <c r="M18" s="127" t="str">
        <f>[3]Sayfa1!$L15</f>
        <v>Afiş tablosu düşüyor. Çift taraflı bant tutmuyor.</v>
      </c>
      <c r="N18" s="128" t="str">
        <f>[3]Sayfa1!$J15</f>
        <v>C-Uyarı, sürüş devamlılığı</v>
      </c>
      <c r="O18" s="128" t="str">
        <f>[3]Sayfa1!$P15</f>
        <v>C(Sisteme etki etmeyen arıza)</v>
      </c>
      <c r="P18" s="128" t="str">
        <f>[3]Sayfa1!$Q15</f>
        <v>N.A(Yaralanma yok)</v>
      </c>
      <c r="Q18" s="129" t="str" cm="1">
        <f t="array" ref="Q18">_xlfn.IFS([3]Sayfa1!$R15="Bozankaya","Bozankaya",[3]Sayfa1!$R15="İşletme","Customer",[3]Sayfa1!$R15="Tedarikçi","Equipment Supplier")</f>
        <v>Bozankaya</v>
      </c>
      <c r="R18" s="130" t="str">
        <f>[3]Sayfa1!$M15</f>
        <v>Tamir süreci başlatıldı. Kalite bölümüne NCR oluşturuldu</v>
      </c>
      <c r="S18" s="147">
        <f>[3]Sayfa1!$AB15</f>
        <v>0</v>
      </c>
      <c r="T18" s="147">
        <f>[3]Sayfa1!$AA15</f>
        <v>0</v>
      </c>
      <c r="U18" s="131">
        <f>[3]Sayfa1!$AN15</f>
        <v>2</v>
      </c>
      <c r="V18" s="132">
        <f>[3]Sayfa1!$T15</f>
        <v>45206</v>
      </c>
      <c r="W18" s="133">
        <f>[3]Sayfa1!$U15</f>
        <v>45206</v>
      </c>
      <c r="X18" s="134">
        <f t="shared" si="1"/>
        <v>45206</v>
      </c>
      <c r="Y18" s="123" t="str">
        <f>[3]Sayfa1!$AQ15</f>
        <v/>
      </c>
      <c r="Z18" s="135">
        <f>[3]Sayfa1!$AR15</f>
        <v>0</v>
      </c>
      <c r="AA18" s="134">
        <f t="shared" si="2"/>
        <v>0</v>
      </c>
      <c r="AB18" s="136">
        <f t="shared" si="3"/>
        <v>0</v>
      </c>
      <c r="AC18" s="137" t="str">
        <f t="shared" si="4"/>
        <v/>
      </c>
      <c r="AD18" s="135">
        <f t="shared" si="5"/>
        <v>0</v>
      </c>
      <c r="AE18" s="138">
        <f t="shared" si="6"/>
        <v>0</v>
      </c>
      <c r="AF18" s="139" t="str">
        <f>[3]Sayfa1!$AP15</f>
        <v>(I) İlk defa karşılaşılan arıza</v>
      </c>
      <c r="AG18" s="128" t="str">
        <f>IF([3]Sayfa1!$P15="C(Sisteme etki etmeyen arıza)","Bu Arıza Aracın Servise Verilmesine Engel Değil","Bu Arıza Aracın Servise Verilmesine Engel")</f>
        <v>Bu Arıza Aracın Servise Verilmesine Engel Değil</v>
      </c>
      <c r="AH18" s="140">
        <f>[3]Sayfa1!$AC15</f>
        <v>0</v>
      </c>
      <c r="AI18" s="137"/>
      <c r="AJ18" s="137"/>
      <c r="AK18" s="138">
        <f t="shared" si="7"/>
        <v>0</v>
      </c>
      <c r="AL18" s="136">
        <f t="shared" si="8"/>
        <v>0</v>
      </c>
      <c r="AM18" s="136">
        <f t="shared" si="9"/>
        <v>0</v>
      </c>
      <c r="AN18" s="141" t="str">
        <f t="shared" si="10"/>
        <v>Bozankaya</v>
      </c>
      <c r="AO18" s="141">
        <f>[3]Sayfa1!$X15</f>
        <v>0</v>
      </c>
      <c r="AP18" s="141">
        <f>[3]Sayfa1!$Z15</f>
        <v>0</v>
      </c>
      <c r="AQ18" s="122">
        <f>[3]Sayfa1!$W15</f>
        <v>0</v>
      </c>
      <c r="AR18" s="142">
        <f>[3]Sayfa1!$Y15</f>
        <v>0</v>
      </c>
      <c r="AS18" s="143">
        <f>[3]Sayfa1!$AD15</f>
        <v>0</v>
      </c>
      <c r="AT18" s="137">
        <f>[3]Sayfa1!$AE15</f>
        <v>0</v>
      </c>
      <c r="AU18" s="137">
        <f>[3]Sayfa1!$AH15</f>
        <v>0</v>
      </c>
      <c r="AV18" s="144">
        <v>14</v>
      </c>
      <c r="AW18" s="145" t="e">
        <f>U18*AB18*#REF!</f>
        <v>#REF!</v>
      </c>
    </row>
    <row r="19" spans="1:49" ht="101.25" customHeight="1">
      <c r="A19" s="119" t="s">
        <v>57</v>
      </c>
      <c r="B19" s="120" t="str">
        <f>[3]Sayfa1!$G16</f>
        <v>TS#1</v>
      </c>
      <c r="C19" s="121" t="str">
        <f>[3]Sayfa1!$H16</f>
        <v>Mc1</v>
      </c>
      <c r="D19" s="146">
        <f>[3]Sayfa1!$N16</f>
        <v>27</v>
      </c>
      <c r="E19" s="122" t="str">
        <f>[3]Sayfa1!$B16</f>
        <v>FRACAS-GDM-015</v>
      </c>
      <c r="F19" s="123">
        <f>[3]Sayfa1!$E16</f>
        <v>45208</v>
      </c>
      <c r="G19" s="124">
        <f>[3]Sayfa1!$F16</f>
        <v>45208</v>
      </c>
      <c r="H19" s="119" t="str">
        <f>[3]Sayfa1!$I16</f>
        <v>Depo/Depot</v>
      </c>
      <c r="I19" s="125" t="str">
        <f>IF([3]Sayfa1!$K16="SSH","Notified by Bozankaya","Notified by Customer")</f>
        <v>Notified by Customer</v>
      </c>
      <c r="J19" s="119" t="e">
        <f>VLOOKUP([3]Sayfa1!$AU16,#REF!,2,FALSE)</f>
        <v>#REF!</v>
      </c>
      <c r="K19" s="119" t="str">
        <f>[3]Sayfa1!$V16</f>
        <v>Bozankaya</v>
      </c>
      <c r="L19" s="126" t="str">
        <f t="shared" si="0"/>
        <v>GDM7X4-FRACAS-GDM-015</v>
      </c>
      <c r="M19" s="127" t="str">
        <f>[3]Sayfa1!$L16</f>
        <v>Deray sensörlerinde arıza olduğu gözlemlenmektedir.</v>
      </c>
      <c r="N19" s="128" t="str">
        <f>[3]Sayfa1!$J16</f>
        <v>C-Uyarı, sürüş devamlılığı</v>
      </c>
      <c r="O19" s="128" t="str">
        <f>[3]Sayfa1!$P16</f>
        <v>C(Sisteme etki etmeyen arıza)</v>
      </c>
      <c r="P19" s="128" t="str">
        <f>[3]Sayfa1!$Q16</f>
        <v>N.A(Yaralanma yok)</v>
      </c>
      <c r="Q19" s="129" t="str" cm="1">
        <f t="array" ref="Q19">_xlfn.IFS([3]Sayfa1!$R16="Bozankaya","Bozankaya",[3]Sayfa1!$R16="İşletme","Customer",[3]Sayfa1!$R16="Tedarikçi","Equipment Supplier")</f>
        <v>Bozankaya</v>
      </c>
      <c r="R19" s="130" t="str">
        <f>[3]Sayfa1!$M16</f>
        <v>Tamir süreci başlatıldı. Kalite bölümüne NCR oluşturuldu</v>
      </c>
      <c r="S19" s="147">
        <f>[3]Sayfa1!$AB16</f>
        <v>0</v>
      </c>
      <c r="T19" s="147">
        <f>[3]Sayfa1!$AA16</f>
        <v>0</v>
      </c>
      <c r="U19" s="131">
        <f>[3]Sayfa1!$AN16</f>
        <v>2</v>
      </c>
      <c r="V19" s="132">
        <f>[3]Sayfa1!$T16</f>
        <v>45208</v>
      </c>
      <c r="W19" s="133">
        <f>[3]Sayfa1!$U16</f>
        <v>45208</v>
      </c>
      <c r="X19" s="134">
        <f t="shared" si="1"/>
        <v>45208</v>
      </c>
      <c r="Y19" s="123" t="str">
        <f>[3]Sayfa1!$AQ16</f>
        <v/>
      </c>
      <c r="Z19" s="135">
        <f>[3]Sayfa1!$AR16</f>
        <v>0</v>
      </c>
      <c r="AA19" s="134">
        <f t="shared" si="2"/>
        <v>0</v>
      </c>
      <c r="AB19" s="136">
        <f t="shared" si="3"/>
        <v>0</v>
      </c>
      <c r="AC19" s="137" t="str">
        <f t="shared" si="4"/>
        <v/>
      </c>
      <c r="AD19" s="135">
        <f t="shared" si="5"/>
        <v>0</v>
      </c>
      <c r="AE19" s="138">
        <f t="shared" si="6"/>
        <v>0</v>
      </c>
      <c r="AF19" s="139" t="str">
        <f>[3]Sayfa1!$AP16</f>
        <v>(I) İlk defa karşılaşılan arıza</v>
      </c>
      <c r="AG19" s="128" t="str">
        <f>IF([3]Sayfa1!$P16="C(Sisteme etki etmeyen arıza)","Bu Arıza Aracın Servise Verilmesine Engel Değil","Bu Arıza Aracın Servise Verilmesine Engel")</f>
        <v>Bu Arıza Aracın Servise Verilmesine Engel Değil</v>
      </c>
      <c r="AH19" s="140">
        <f>[3]Sayfa1!$AC16</f>
        <v>0</v>
      </c>
      <c r="AI19" s="137"/>
      <c r="AJ19" s="137"/>
      <c r="AK19" s="138">
        <f t="shared" si="7"/>
        <v>0</v>
      </c>
      <c r="AL19" s="136">
        <f t="shared" si="8"/>
        <v>0</v>
      </c>
      <c r="AM19" s="136">
        <f t="shared" si="9"/>
        <v>0</v>
      </c>
      <c r="AN19" s="141" t="str">
        <f t="shared" si="10"/>
        <v>Bozankaya</v>
      </c>
      <c r="AO19" s="141">
        <f>[3]Sayfa1!$X16</f>
        <v>0</v>
      </c>
      <c r="AP19" s="141">
        <f>[3]Sayfa1!$Z16</f>
        <v>0</v>
      </c>
      <c r="AQ19" s="122">
        <f>[3]Sayfa1!$W16</f>
        <v>0</v>
      </c>
      <c r="AR19" s="142">
        <f>[3]Sayfa1!$Y16</f>
        <v>0</v>
      </c>
      <c r="AS19" s="143">
        <f>[3]Sayfa1!$AD16</f>
        <v>0</v>
      </c>
      <c r="AT19" s="137">
        <f>[3]Sayfa1!$AE16</f>
        <v>0</v>
      </c>
      <c r="AU19" s="137">
        <f>[3]Sayfa1!$AH16</f>
        <v>0</v>
      </c>
      <c r="AV19" s="144">
        <v>15</v>
      </c>
      <c r="AW19" s="145" t="e">
        <f>U19*AB19*#REF!</f>
        <v>#REF!</v>
      </c>
    </row>
    <row r="20" spans="1:49" ht="101.25" customHeight="1">
      <c r="A20" s="119" t="s">
        <v>57</v>
      </c>
      <c r="B20" s="120" t="str">
        <f>[3]Sayfa1!$G17</f>
        <v>TS#1</v>
      </c>
      <c r="C20" s="121" t="str">
        <f>[3]Sayfa1!$H17</f>
        <v>T</v>
      </c>
      <c r="D20" s="146">
        <f>[3]Sayfa1!$N17</f>
        <v>28</v>
      </c>
      <c r="E20" s="122" t="str">
        <f>[3]Sayfa1!$B17</f>
        <v>FRACAS-GDM-016</v>
      </c>
      <c r="F20" s="123">
        <f>[3]Sayfa1!$E17</f>
        <v>45208</v>
      </c>
      <c r="G20" s="124">
        <f>[3]Sayfa1!$F17</f>
        <v>45208</v>
      </c>
      <c r="H20" s="119" t="str">
        <f>[3]Sayfa1!$I17</f>
        <v>Depo/Depot</v>
      </c>
      <c r="I20" s="125" t="str">
        <f>IF([3]Sayfa1!$K17="SSH","Notified by Bozankaya","Notified by Customer")</f>
        <v>Notified by Customer</v>
      </c>
      <c r="J20" s="119" t="e">
        <f>VLOOKUP([3]Sayfa1!$AU17,#REF!,2,FALSE)</f>
        <v>#REF!</v>
      </c>
      <c r="K20" s="119" t="str">
        <f>[3]Sayfa1!$V17</f>
        <v>Bozankaya</v>
      </c>
      <c r="L20" s="126" t="str">
        <f t="shared" si="0"/>
        <v>GDM7X4-FRACAS-GDM-016</v>
      </c>
      <c r="M20" s="127" t="str">
        <f>[3]Sayfa1!$L17</f>
        <v>Pantograf kendini otomatik indiriyor. Yukarıda kalmıyor.</v>
      </c>
      <c r="N20" s="128" t="str">
        <f>[3]Sayfa1!$J17</f>
        <v>C-Uyarı, sürüş devamlılığı</v>
      </c>
      <c r="O20" s="128" t="str">
        <f>[3]Sayfa1!$P17</f>
        <v>C(Sisteme etki etmeyen arıza)</v>
      </c>
      <c r="P20" s="128" t="str">
        <f>[3]Sayfa1!$Q17</f>
        <v>N.A(Yaralanma yok)</v>
      </c>
      <c r="Q20" s="129" t="str" cm="1">
        <f t="array" ref="Q20">_xlfn.IFS([3]Sayfa1!$R17="Bozankaya","Bozankaya",[3]Sayfa1!$R17="İşletme","Customer",[3]Sayfa1!$R17="Tedarikçi","Equipment Supplier")</f>
        <v>Bozankaya</v>
      </c>
      <c r="R20" s="130" t="str">
        <f>[3]Sayfa1!$M17</f>
        <v>Tamir süreci başlatıldı. Kalite bölümüne NCR oluşturuldu</v>
      </c>
      <c r="S20" s="147">
        <f>[3]Sayfa1!$AB17</f>
        <v>0</v>
      </c>
      <c r="T20" s="147">
        <f>[3]Sayfa1!$AA17</f>
        <v>0</v>
      </c>
      <c r="U20" s="131">
        <f>[3]Sayfa1!$AN17</f>
        <v>2</v>
      </c>
      <c r="V20" s="132">
        <f>[3]Sayfa1!$T17</f>
        <v>45208</v>
      </c>
      <c r="W20" s="133">
        <f>[3]Sayfa1!$U17</f>
        <v>45208</v>
      </c>
      <c r="X20" s="134">
        <f t="shared" si="1"/>
        <v>45208</v>
      </c>
      <c r="Y20" s="123">
        <f>[3]Sayfa1!$AQ17</f>
        <v>45212</v>
      </c>
      <c r="Z20" s="135">
        <f>[3]Sayfa1!$AR17</f>
        <v>45212.581400462965</v>
      </c>
      <c r="AA20" s="134">
        <f t="shared" si="2"/>
        <v>45212.581400462965</v>
      </c>
      <c r="AB20" s="136">
        <f t="shared" si="3"/>
        <v>109.95361111115199</v>
      </c>
      <c r="AC20" s="137">
        <f t="shared" si="4"/>
        <v>45212</v>
      </c>
      <c r="AD20" s="135">
        <f t="shared" si="5"/>
        <v>45212.581400462965</v>
      </c>
      <c r="AE20" s="138">
        <f t="shared" si="6"/>
        <v>45212.581400462965</v>
      </c>
      <c r="AF20" s="139" t="str">
        <f>[3]Sayfa1!$AP17</f>
        <v>(I) İlk defa karşılaşılan arıza</v>
      </c>
      <c r="AG20" s="128" t="str">
        <f>IF([3]Sayfa1!$P17="C(Sisteme etki etmeyen arıza)","Bu Arıza Aracın Servise Verilmesine Engel Değil","Bu Arıza Aracın Servise Verilmesine Engel")</f>
        <v>Bu Arıza Aracın Servise Verilmesine Engel Değil</v>
      </c>
      <c r="AH20" s="140">
        <f>[3]Sayfa1!$AC17</f>
        <v>0</v>
      </c>
      <c r="AI20" s="137"/>
      <c r="AJ20" s="137"/>
      <c r="AK20" s="138">
        <f t="shared" si="7"/>
        <v>0</v>
      </c>
      <c r="AL20" s="136">
        <f t="shared" si="8"/>
        <v>6597.2166666691191</v>
      </c>
      <c r="AM20" s="136">
        <f t="shared" si="9"/>
        <v>0</v>
      </c>
      <c r="AN20" s="141" t="str">
        <f t="shared" si="10"/>
        <v>Bozankaya</v>
      </c>
      <c r="AO20" s="141">
        <f>[3]Sayfa1!$X17</f>
        <v>0</v>
      </c>
      <c r="AP20" s="141">
        <f>[3]Sayfa1!$Z17</f>
        <v>0</v>
      </c>
      <c r="AQ20" s="122">
        <f>[3]Sayfa1!$W17</f>
        <v>0</v>
      </c>
      <c r="AR20" s="142">
        <f>[3]Sayfa1!$Y17</f>
        <v>0</v>
      </c>
      <c r="AS20" s="143">
        <f>[3]Sayfa1!$AD17</f>
        <v>0</v>
      </c>
      <c r="AT20" s="137">
        <f>[3]Sayfa1!$AE17</f>
        <v>0</v>
      </c>
      <c r="AU20" s="137">
        <f>[3]Sayfa1!$AH17</f>
        <v>0</v>
      </c>
      <c r="AV20" s="144">
        <v>16</v>
      </c>
      <c r="AW20" s="145" t="e">
        <f>U20*AB20*#REF!</f>
        <v>#REF!</v>
      </c>
    </row>
    <row r="21" spans="1:49" ht="101.25" customHeight="1">
      <c r="A21" s="119" t="s">
        <v>57</v>
      </c>
      <c r="B21" s="120" t="str">
        <f>[3]Sayfa1!$G18</f>
        <v>TS#1</v>
      </c>
      <c r="C21" s="121" t="str">
        <f>[3]Sayfa1!$H18</f>
        <v>Mc2</v>
      </c>
      <c r="D21" s="146">
        <f>[3]Sayfa1!$N18</f>
        <v>30</v>
      </c>
      <c r="E21" s="122" t="str">
        <f>[3]Sayfa1!$B18</f>
        <v>FRACAS-GDM-017</v>
      </c>
      <c r="F21" s="123">
        <f>[3]Sayfa1!$E18</f>
        <v>45209</v>
      </c>
      <c r="G21" s="124">
        <f>[3]Sayfa1!$F18</f>
        <v>45209</v>
      </c>
      <c r="H21" s="119" t="str">
        <f>[3]Sayfa1!$I18</f>
        <v>Depo/Depot</v>
      </c>
      <c r="I21" s="125" t="str">
        <f>IF([3]Sayfa1!$K18="SSH","Notified by Bozankaya","Notified by Customer")</f>
        <v>Notified by Customer</v>
      </c>
      <c r="J21" s="119" t="e">
        <f>VLOOKUP([3]Sayfa1!$AU18,#REF!,2,FALSE)</f>
        <v>#REF!</v>
      </c>
      <c r="K21" s="119" t="str">
        <f>[3]Sayfa1!$V18</f>
        <v>IFE</v>
      </c>
      <c r="L21" s="126" t="str">
        <f t="shared" si="0"/>
        <v>GDM7X4-FRACAS-GDM-017</v>
      </c>
      <c r="M21" s="127" t="str">
        <f>[3]Sayfa1!$L18</f>
        <v>MC2 26. Kapı ayarsızlık var. Hassas kenarlar birbirlerini tam karşılamadığı için aralarında boşluk oluşuyor.</v>
      </c>
      <c r="N21" s="128" t="str">
        <f>[3]Sayfa1!$J18</f>
        <v>C-Uyarı, sürüş devamlılığı</v>
      </c>
      <c r="O21" s="128" t="str">
        <f>[3]Sayfa1!$P18</f>
        <v>C(Sisteme etki etmeyen arıza)</v>
      </c>
      <c r="P21" s="128" t="str">
        <f>[3]Sayfa1!$Q18</f>
        <v>N.A(Yaralanma yok)</v>
      </c>
      <c r="Q21" s="129" t="str" cm="1">
        <f t="array" ref="Q21">_xlfn.IFS([3]Sayfa1!$R18="Bozankaya","Bozankaya",[3]Sayfa1!$R18="İşletme","Customer",[3]Sayfa1!$R18="Tedarikçi","Equipment Supplier")</f>
        <v>Bozankaya</v>
      </c>
      <c r="R21" s="130" t="str">
        <f>[3]Sayfa1!$M18</f>
        <v>Tamir süreci başlatıldı. Kalite bölümüne NCR oluşturuldu</v>
      </c>
      <c r="S21" s="147">
        <f>[3]Sayfa1!$AB18</f>
        <v>0</v>
      </c>
      <c r="T21" s="147">
        <f>[3]Sayfa1!$AA18</f>
        <v>0</v>
      </c>
      <c r="U21" s="131">
        <f>[3]Sayfa1!$AN18</f>
        <v>2</v>
      </c>
      <c r="V21" s="132">
        <f>[3]Sayfa1!$T18</f>
        <v>45209</v>
      </c>
      <c r="W21" s="133">
        <f>[3]Sayfa1!$U18</f>
        <v>45209</v>
      </c>
      <c r="X21" s="134">
        <f t="shared" si="1"/>
        <v>45209</v>
      </c>
      <c r="Y21" s="123" t="str">
        <f>[3]Sayfa1!$AQ18</f>
        <v/>
      </c>
      <c r="Z21" s="135">
        <f>[3]Sayfa1!$AR18</f>
        <v>0</v>
      </c>
      <c r="AA21" s="134">
        <f t="shared" si="2"/>
        <v>0</v>
      </c>
      <c r="AB21" s="136">
        <f t="shared" si="3"/>
        <v>0</v>
      </c>
      <c r="AC21" s="137" t="str">
        <f t="shared" si="4"/>
        <v/>
      </c>
      <c r="AD21" s="135">
        <f t="shared" si="5"/>
        <v>0</v>
      </c>
      <c r="AE21" s="138">
        <f t="shared" si="6"/>
        <v>0</v>
      </c>
      <c r="AF21" s="139" t="str">
        <f>[3]Sayfa1!$AP18</f>
        <v>(I) İlk defa karşılaşılan arıza</v>
      </c>
      <c r="AG21" s="128" t="str">
        <f>IF([3]Sayfa1!$P18="C(Sisteme etki etmeyen arıza)","Bu Arıza Aracın Servise Verilmesine Engel Değil","Bu Arıza Aracın Servise Verilmesine Engel")</f>
        <v>Bu Arıza Aracın Servise Verilmesine Engel Değil</v>
      </c>
      <c r="AH21" s="140">
        <f>[3]Sayfa1!$AC18</f>
        <v>0</v>
      </c>
      <c r="AI21" s="137"/>
      <c r="AJ21" s="137"/>
      <c r="AK21" s="138">
        <f t="shared" si="7"/>
        <v>0</v>
      </c>
      <c r="AL21" s="136">
        <f t="shared" si="8"/>
        <v>0</v>
      </c>
      <c r="AM21" s="136">
        <f t="shared" si="9"/>
        <v>0</v>
      </c>
      <c r="AN21" s="141" t="str">
        <f t="shared" si="10"/>
        <v>IFE</v>
      </c>
      <c r="AO21" s="141">
        <f>[3]Sayfa1!$X18</f>
        <v>0</v>
      </c>
      <c r="AP21" s="141">
        <f>[3]Sayfa1!$Z18</f>
        <v>0</v>
      </c>
      <c r="AQ21" s="122">
        <f>[3]Sayfa1!$W18</f>
        <v>0</v>
      </c>
      <c r="AR21" s="142">
        <f>[3]Sayfa1!$Y18</f>
        <v>0</v>
      </c>
      <c r="AS21" s="143">
        <f>[3]Sayfa1!$AD18</f>
        <v>0</v>
      </c>
      <c r="AT21" s="137">
        <f>[3]Sayfa1!$AE18</f>
        <v>0</v>
      </c>
      <c r="AU21" s="137">
        <f>[3]Sayfa1!$AH18</f>
        <v>0</v>
      </c>
      <c r="AV21" s="144">
        <v>17</v>
      </c>
      <c r="AW21" s="145" t="e">
        <f>U21*AB21*#REF!</f>
        <v>#REF!</v>
      </c>
    </row>
    <row r="22" spans="1:49" ht="101.25" customHeight="1">
      <c r="A22" s="119" t="s">
        <v>57</v>
      </c>
      <c r="B22" s="120" t="str">
        <f>[3]Sayfa1!$G19</f>
        <v>TS#1</v>
      </c>
      <c r="C22" s="121" t="str">
        <f>[3]Sayfa1!$H19</f>
        <v>Mc2</v>
      </c>
      <c r="D22" s="146">
        <f>[3]Sayfa1!$N19</f>
        <v>33</v>
      </c>
      <c r="E22" s="122" t="str">
        <f>[3]Sayfa1!$B19</f>
        <v>FRACAS-GDM-018</v>
      </c>
      <c r="F22" s="123">
        <f>[3]Sayfa1!$E19</f>
        <v>45209</v>
      </c>
      <c r="G22" s="124">
        <f>[3]Sayfa1!$F19</f>
        <v>45209</v>
      </c>
      <c r="H22" s="119" t="str">
        <f>[3]Sayfa1!$I19</f>
        <v>Depo/Depot</v>
      </c>
      <c r="I22" s="125" t="str">
        <f>IF([3]Sayfa1!$K19="SSH","Notified by Bozankaya","Notified by Customer")</f>
        <v>Notified by Customer</v>
      </c>
      <c r="J22" s="119" t="e">
        <f>VLOOKUP([3]Sayfa1!$AU19,#REF!,2,FALSE)</f>
        <v>#REF!</v>
      </c>
      <c r="K22" s="119" t="str">
        <f>[3]Sayfa1!$V19</f>
        <v>IFE</v>
      </c>
      <c r="L22" s="126" t="str">
        <f t="shared" si="0"/>
        <v>GDM7X4-FRACAS-GDM-018</v>
      </c>
      <c r="M22" s="127" t="str">
        <f>[3]Sayfa1!$L19</f>
        <v>MC2 28.kapı ayarsızlık var. Hassas kenarlar birbirini tam karşılamadığı için aralarında boşluk oluşuyor.</v>
      </c>
      <c r="N22" s="128" t="str">
        <f>[3]Sayfa1!$J19</f>
        <v>C-Uyarı, sürüş devamlılığı</v>
      </c>
      <c r="O22" s="128" t="str">
        <f>[3]Sayfa1!$P19</f>
        <v>C(Sisteme etki etmeyen arıza)</v>
      </c>
      <c r="P22" s="128" t="str">
        <f>[3]Sayfa1!$Q19</f>
        <v>N.A(Yaralanma yok)</v>
      </c>
      <c r="Q22" s="129" t="str" cm="1">
        <f t="array" ref="Q22">_xlfn.IFS([3]Sayfa1!$R19="Bozankaya","Bozankaya",[3]Sayfa1!$R19="İşletme","Customer",[3]Sayfa1!$R19="Tedarikçi","Equipment Supplier")</f>
        <v>Bozankaya</v>
      </c>
      <c r="R22" s="130" t="str">
        <f>[3]Sayfa1!$M19</f>
        <v>Tamir süreci başlatıldı. Kalite bölümüne NCR oluşturuldu</v>
      </c>
      <c r="S22" s="147">
        <f>[3]Sayfa1!$AB19</f>
        <v>0</v>
      </c>
      <c r="T22" s="147">
        <f>[3]Sayfa1!$AA19</f>
        <v>0</v>
      </c>
      <c r="U22" s="131">
        <f>[3]Sayfa1!$AN19</f>
        <v>2</v>
      </c>
      <c r="V22" s="132">
        <f>[3]Sayfa1!$T19</f>
        <v>45209</v>
      </c>
      <c r="W22" s="133">
        <f>[3]Sayfa1!$U19</f>
        <v>45209</v>
      </c>
      <c r="X22" s="134">
        <f t="shared" si="1"/>
        <v>45209</v>
      </c>
      <c r="Y22" s="123" t="str">
        <f>[3]Sayfa1!$AQ19</f>
        <v/>
      </c>
      <c r="Z22" s="135">
        <f>[3]Sayfa1!$AR19</f>
        <v>0</v>
      </c>
      <c r="AA22" s="134">
        <f t="shared" si="2"/>
        <v>0</v>
      </c>
      <c r="AB22" s="136">
        <f t="shared" si="3"/>
        <v>0</v>
      </c>
      <c r="AC22" s="137" t="str">
        <f t="shared" si="4"/>
        <v/>
      </c>
      <c r="AD22" s="135">
        <f t="shared" si="5"/>
        <v>0</v>
      </c>
      <c r="AE22" s="138">
        <f t="shared" si="6"/>
        <v>0</v>
      </c>
      <c r="AF22" s="139" t="str">
        <f>[3]Sayfa1!$AP19</f>
        <v>(I) İlk defa karşılaşılan arıza</v>
      </c>
      <c r="AG22" s="128" t="str">
        <f>IF([3]Sayfa1!$P19="C(Sisteme etki etmeyen arıza)","Bu Arıza Aracın Servise Verilmesine Engel Değil","Bu Arıza Aracın Servise Verilmesine Engel")</f>
        <v>Bu Arıza Aracın Servise Verilmesine Engel Değil</v>
      </c>
      <c r="AH22" s="140">
        <f>[3]Sayfa1!$AC19</f>
        <v>0</v>
      </c>
      <c r="AI22" s="137"/>
      <c r="AJ22" s="137"/>
      <c r="AK22" s="138">
        <f t="shared" si="7"/>
        <v>0</v>
      </c>
      <c r="AL22" s="136">
        <f t="shared" si="8"/>
        <v>0</v>
      </c>
      <c r="AM22" s="136">
        <f t="shared" si="9"/>
        <v>0</v>
      </c>
      <c r="AN22" s="141" t="str">
        <f t="shared" si="10"/>
        <v>IFE</v>
      </c>
      <c r="AO22" s="141">
        <f>[3]Sayfa1!$X19</f>
        <v>0</v>
      </c>
      <c r="AP22" s="141">
        <f>[3]Sayfa1!$Z19</f>
        <v>0</v>
      </c>
      <c r="AQ22" s="122">
        <f>[3]Sayfa1!$W19</f>
        <v>0</v>
      </c>
      <c r="AR22" s="142">
        <f>[3]Sayfa1!$Y19</f>
        <v>0</v>
      </c>
      <c r="AS22" s="143">
        <f>[3]Sayfa1!$AD19</f>
        <v>0</v>
      </c>
      <c r="AT22" s="137">
        <f>[3]Sayfa1!$AE19</f>
        <v>0</v>
      </c>
      <c r="AU22" s="137">
        <f>[3]Sayfa1!$AH19</f>
        <v>0</v>
      </c>
      <c r="AV22" s="144">
        <v>18</v>
      </c>
      <c r="AW22" s="145" t="e">
        <f>U22*AB22*#REF!</f>
        <v>#REF!</v>
      </c>
    </row>
    <row r="23" spans="1:49" ht="101.25" customHeight="1">
      <c r="A23" s="119" t="s">
        <v>57</v>
      </c>
      <c r="B23" s="120" t="str">
        <f>[3]Sayfa1!$G20</f>
        <v>TS#1</v>
      </c>
      <c r="C23" s="121" t="str">
        <f>[3]Sayfa1!$H20</f>
        <v>Mc1</v>
      </c>
      <c r="D23" s="146">
        <f>[3]Sayfa1!$N20</f>
        <v>35</v>
      </c>
      <c r="E23" s="122" t="str">
        <f>[3]Sayfa1!$B20</f>
        <v>FRACAS-GDM-019</v>
      </c>
      <c r="F23" s="123">
        <f>[3]Sayfa1!$E20</f>
        <v>45209</v>
      </c>
      <c r="G23" s="124">
        <f>[3]Sayfa1!$F20</f>
        <v>45209</v>
      </c>
      <c r="H23" s="119" t="str">
        <f>[3]Sayfa1!$I20</f>
        <v>Depo/Depot</v>
      </c>
      <c r="I23" s="125" t="str">
        <f>IF([3]Sayfa1!$K20="SSH","Notified by Bozankaya","Notified by Customer")</f>
        <v>Notified by Customer</v>
      </c>
      <c r="J23" s="119" t="e">
        <f>VLOOKUP([3]Sayfa1!$AU20,#REF!,2,FALSE)</f>
        <v>#REF!</v>
      </c>
      <c r="K23" s="119" t="str">
        <f>[3]Sayfa1!$V20</f>
        <v>Bozankaya</v>
      </c>
      <c r="L23" s="126" t="str">
        <f t="shared" si="0"/>
        <v>GDM7X4-FRACAS-GDM-019</v>
      </c>
      <c r="M23" s="127" t="str">
        <f>[3]Sayfa1!$L20</f>
        <v>Kapı üstü aydınlatmalar çalışmıyor.</v>
      </c>
      <c r="N23" s="128" t="str">
        <f>[3]Sayfa1!$J20</f>
        <v>C-Uyarı, sürüş devamlılığı</v>
      </c>
      <c r="O23" s="128" t="str">
        <f>[3]Sayfa1!$P20</f>
        <v>C(Sisteme etki etmeyen arıza)</v>
      </c>
      <c r="P23" s="128" t="str">
        <f>[3]Sayfa1!$Q20</f>
        <v>N.A(Yaralanma yok)</v>
      </c>
      <c r="Q23" s="129" t="str" cm="1">
        <f t="array" ref="Q23">_xlfn.IFS([3]Sayfa1!$R20="Bozankaya","Bozankaya",[3]Sayfa1!$R20="İşletme","Customer",[3]Sayfa1!$R20="Tedarikçi","Equipment Supplier")</f>
        <v>Bozankaya</v>
      </c>
      <c r="R23" s="130" t="str">
        <f>[3]Sayfa1!$M20</f>
        <v>Tamir süreci başlatıldı. Kalite bölümüne NCR oluşturuldu</v>
      </c>
      <c r="S23" s="147">
        <f>[3]Sayfa1!$AB20</f>
        <v>0</v>
      </c>
      <c r="T23" s="147">
        <f>[3]Sayfa1!$AA20</f>
        <v>0</v>
      </c>
      <c r="U23" s="131">
        <f>[3]Sayfa1!$AN20</f>
        <v>2</v>
      </c>
      <c r="V23" s="132">
        <f>[3]Sayfa1!$T20</f>
        <v>45209</v>
      </c>
      <c r="W23" s="133">
        <f>[3]Sayfa1!$U20</f>
        <v>45209</v>
      </c>
      <c r="X23" s="134">
        <f t="shared" si="1"/>
        <v>45209</v>
      </c>
      <c r="Y23" s="123" t="str">
        <f>[3]Sayfa1!$AQ20</f>
        <v/>
      </c>
      <c r="Z23" s="135">
        <f>[3]Sayfa1!$AR20</f>
        <v>0</v>
      </c>
      <c r="AA23" s="134">
        <f t="shared" si="2"/>
        <v>0</v>
      </c>
      <c r="AB23" s="136">
        <f t="shared" si="3"/>
        <v>0</v>
      </c>
      <c r="AC23" s="137" t="str">
        <f t="shared" si="4"/>
        <v/>
      </c>
      <c r="AD23" s="135">
        <f t="shared" si="5"/>
        <v>0</v>
      </c>
      <c r="AE23" s="138">
        <f t="shared" si="6"/>
        <v>0</v>
      </c>
      <c r="AF23" s="139" t="str">
        <f>[3]Sayfa1!$AP20</f>
        <v>(I) İlk defa karşılaşılan arıza</v>
      </c>
      <c r="AG23" s="128" t="str">
        <f>IF([3]Sayfa1!$P20="C(Sisteme etki etmeyen arıza)","Bu Arıza Aracın Servise Verilmesine Engel Değil","Bu Arıza Aracın Servise Verilmesine Engel")</f>
        <v>Bu Arıza Aracın Servise Verilmesine Engel Değil</v>
      </c>
      <c r="AH23" s="140">
        <f>[3]Sayfa1!$AC20</f>
        <v>0</v>
      </c>
      <c r="AI23" s="137"/>
      <c r="AJ23" s="137"/>
      <c r="AK23" s="138">
        <f t="shared" si="7"/>
        <v>0</v>
      </c>
      <c r="AL23" s="136">
        <f t="shared" si="8"/>
        <v>0</v>
      </c>
      <c r="AM23" s="136">
        <f t="shared" si="9"/>
        <v>0</v>
      </c>
      <c r="AN23" s="141" t="str">
        <f t="shared" si="10"/>
        <v>Bozankaya</v>
      </c>
      <c r="AO23" s="141">
        <f>[3]Sayfa1!$X20</f>
        <v>0</v>
      </c>
      <c r="AP23" s="141">
        <f>[3]Sayfa1!$Z20</f>
        <v>0</v>
      </c>
      <c r="AQ23" s="122">
        <f>[3]Sayfa1!$W20</f>
        <v>0</v>
      </c>
      <c r="AR23" s="142">
        <f>[3]Sayfa1!$Y20</f>
        <v>0</v>
      </c>
      <c r="AS23" s="143">
        <f>[3]Sayfa1!$AD20</f>
        <v>0</v>
      </c>
      <c r="AT23" s="137">
        <f>[3]Sayfa1!$AE20</f>
        <v>0</v>
      </c>
      <c r="AU23" s="137">
        <f>[3]Sayfa1!$AH20</f>
        <v>0</v>
      </c>
      <c r="AV23" s="144">
        <v>19</v>
      </c>
      <c r="AW23" s="145" t="e">
        <f>U23*AB23*#REF!</f>
        <v>#REF!</v>
      </c>
    </row>
    <row r="24" spans="1:49" ht="101.25" customHeight="1">
      <c r="A24" s="119" t="s">
        <v>57</v>
      </c>
      <c r="B24" s="120" t="str">
        <f>[3]Sayfa1!$G21</f>
        <v>TS#1</v>
      </c>
      <c r="C24" s="121" t="str">
        <f>[3]Sayfa1!$H21</f>
        <v>Mc2</v>
      </c>
      <c r="D24" s="146">
        <f>[3]Sayfa1!$N21</f>
        <v>36</v>
      </c>
      <c r="E24" s="122" t="str">
        <f>[3]Sayfa1!$B21</f>
        <v>FRACAS-GDM-020</v>
      </c>
      <c r="F24" s="123">
        <f>[3]Sayfa1!$E21</f>
        <v>45209</v>
      </c>
      <c r="G24" s="124">
        <f>[3]Sayfa1!$F21</f>
        <v>45209</v>
      </c>
      <c r="H24" s="119" t="str">
        <f>[3]Sayfa1!$I21</f>
        <v>Depo/Depot</v>
      </c>
      <c r="I24" s="125" t="str">
        <f>IF([3]Sayfa1!$K21="SSH","Notified by Bozankaya","Notified by Customer")</f>
        <v>Notified by Customer</v>
      </c>
      <c r="J24" s="119" t="e">
        <f>VLOOKUP([3]Sayfa1!$AU21,#REF!,2,FALSE)</f>
        <v>#REF!</v>
      </c>
      <c r="K24" s="119" t="str">
        <f>[3]Sayfa1!$V21</f>
        <v>Bozankaya</v>
      </c>
      <c r="L24" s="126" t="str">
        <f t="shared" si="0"/>
        <v>GDM7X4-FRACAS-GDM-020</v>
      </c>
      <c r="M24" s="127" t="str">
        <f>[3]Sayfa1!$L21</f>
        <v>Kapı üstü aydınlatmalar çalışmıyor</v>
      </c>
      <c r="N24" s="128" t="str">
        <f>[3]Sayfa1!$J21</f>
        <v>C-Uyarı, sürüş devamlılığı</v>
      </c>
      <c r="O24" s="128" t="str">
        <f>[3]Sayfa1!$P21</f>
        <v>C(Sisteme etki etmeyen arıza)</v>
      </c>
      <c r="P24" s="128" t="str">
        <f>[3]Sayfa1!$Q21</f>
        <v>N.A(Yaralanma yok)</v>
      </c>
      <c r="Q24" s="129" t="str" cm="1">
        <f t="array" ref="Q24">_xlfn.IFS([3]Sayfa1!$R21="Bozankaya","Bozankaya",[3]Sayfa1!$R21="İşletme","Customer",[3]Sayfa1!$R21="Tedarikçi","Equipment Supplier")</f>
        <v>Bozankaya</v>
      </c>
      <c r="R24" s="130" t="str">
        <f>[3]Sayfa1!$M21</f>
        <v>Tamir süreci başlatıldı. Kalite bölümüne NCR oluşturuldu</v>
      </c>
      <c r="S24" s="147">
        <f>[3]Sayfa1!$AB21</f>
        <v>0</v>
      </c>
      <c r="T24" s="147">
        <f>[3]Sayfa1!$AA21</f>
        <v>0</v>
      </c>
      <c r="U24" s="131">
        <f>[3]Sayfa1!$AN21</f>
        <v>2</v>
      </c>
      <c r="V24" s="132">
        <f>[3]Sayfa1!$T21</f>
        <v>45209</v>
      </c>
      <c r="W24" s="133">
        <f>[3]Sayfa1!$U21</f>
        <v>45209</v>
      </c>
      <c r="X24" s="134">
        <f t="shared" si="1"/>
        <v>45209</v>
      </c>
      <c r="Y24" s="123" t="str">
        <f>[3]Sayfa1!$AQ21</f>
        <v/>
      </c>
      <c r="Z24" s="135">
        <f>[3]Sayfa1!$AR21</f>
        <v>0</v>
      </c>
      <c r="AA24" s="134">
        <f t="shared" si="2"/>
        <v>0</v>
      </c>
      <c r="AB24" s="136">
        <f t="shared" si="3"/>
        <v>0</v>
      </c>
      <c r="AC24" s="137" t="str">
        <f t="shared" si="4"/>
        <v/>
      </c>
      <c r="AD24" s="135">
        <f t="shared" si="5"/>
        <v>0</v>
      </c>
      <c r="AE24" s="138">
        <f t="shared" si="6"/>
        <v>0</v>
      </c>
      <c r="AF24" s="139" t="str">
        <f>[3]Sayfa1!$AP21</f>
        <v>(I) İlk defa karşılaşılan arıza</v>
      </c>
      <c r="AG24" s="128" t="str">
        <f>IF([3]Sayfa1!$P21="C(Sisteme etki etmeyen arıza)","Bu Arıza Aracın Servise Verilmesine Engel Değil","Bu Arıza Aracın Servise Verilmesine Engel")</f>
        <v>Bu Arıza Aracın Servise Verilmesine Engel Değil</v>
      </c>
      <c r="AH24" s="140">
        <f>[3]Sayfa1!$AC21</f>
        <v>0</v>
      </c>
      <c r="AI24" s="137"/>
      <c r="AJ24" s="137"/>
      <c r="AK24" s="138">
        <f t="shared" si="7"/>
        <v>0</v>
      </c>
      <c r="AL24" s="136">
        <f t="shared" si="8"/>
        <v>0</v>
      </c>
      <c r="AM24" s="136">
        <f t="shared" si="9"/>
        <v>0</v>
      </c>
      <c r="AN24" s="141" t="str">
        <f t="shared" si="10"/>
        <v>Bozankaya</v>
      </c>
      <c r="AO24" s="141">
        <f>[3]Sayfa1!$X21</f>
        <v>0</v>
      </c>
      <c r="AP24" s="141">
        <f>[3]Sayfa1!$Z21</f>
        <v>0</v>
      </c>
      <c r="AQ24" s="122">
        <f>[3]Sayfa1!$W21</f>
        <v>0</v>
      </c>
      <c r="AR24" s="142">
        <f>[3]Sayfa1!$Y21</f>
        <v>0</v>
      </c>
      <c r="AS24" s="143">
        <f>[3]Sayfa1!$AD21</f>
        <v>0</v>
      </c>
      <c r="AT24" s="137">
        <f>[3]Sayfa1!$AE21</f>
        <v>0</v>
      </c>
      <c r="AU24" s="137">
        <f>[3]Sayfa1!$AH21</f>
        <v>0</v>
      </c>
      <c r="AV24" s="144">
        <v>20</v>
      </c>
      <c r="AW24" s="145" t="e">
        <f>U24*AB24*#REF!</f>
        <v>#REF!</v>
      </c>
    </row>
    <row r="25" spans="1:49" ht="101.25" customHeight="1">
      <c r="A25" s="119" t="s">
        <v>57</v>
      </c>
      <c r="B25" s="120" t="str">
        <f>[3]Sayfa1!$G22</f>
        <v>TS#1</v>
      </c>
      <c r="C25" s="121" t="str">
        <f>[3]Sayfa1!$H22</f>
        <v>M</v>
      </c>
      <c r="D25" s="146">
        <f>[3]Sayfa1!$N22</f>
        <v>38</v>
      </c>
      <c r="E25" s="122" t="str">
        <f>[3]Sayfa1!$B22</f>
        <v>FRACAS-GDM-021</v>
      </c>
      <c r="F25" s="123">
        <f>[3]Sayfa1!$E22</f>
        <v>45209</v>
      </c>
      <c r="G25" s="124">
        <f>[3]Sayfa1!$F22</f>
        <v>45209</v>
      </c>
      <c r="H25" s="119" t="str">
        <f>[3]Sayfa1!$I22</f>
        <v>Depo/Depot</v>
      </c>
      <c r="I25" s="125" t="str">
        <f>IF([3]Sayfa1!$K22="SSH","Notified by Bozankaya","Notified by Customer")</f>
        <v>Notified by Customer</v>
      </c>
      <c r="J25" s="119" t="e">
        <f>VLOOKUP([3]Sayfa1!$AU22,#REF!,2,FALSE)</f>
        <v>#REF!</v>
      </c>
      <c r="K25" s="119" t="str">
        <f>[3]Sayfa1!$V22</f>
        <v>Bozankaya</v>
      </c>
      <c r="L25" s="126" t="str">
        <f t="shared" si="0"/>
        <v>GDM7X4-FRACAS-GDM-021</v>
      </c>
      <c r="M25" s="127" t="str">
        <f>[3]Sayfa1!$L22</f>
        <v>Kapı üstü aydınlatmalar çalışmıyor</v>
      </c>
      <c r="N25" s="128" t="str">
        <f>[3]Sayfa1!$J22</f>
        <v>C-Uyarı, sürüş devamlılığı</v>
      </c>
      <c r="O25" s="128" t="str">
        <f>[3]Sayfa1!$P22</f>
        <v>C(Sisteme etki etmeyen arıza)</v>
      </c>
      <c r="P25" s="128" t="str">
        <f>[3]Sayfa1!$Q22</f>
        <v>N.A(Yaralanma yok)</v>
      </c>
      <c r="Q25" s="129" t="str" cm="1">
        <f t="array" ref="Q25">_xlfn.IFS([3]Sayfa1!$R22="Bozankaya","Bozankaya",[3]Sayfa1!$R22="İşletme","Customer",[3]Sayfa1!$R22="Tedarikçi","Equipment Supplier")</f>
        <v>Bozankaya</v>
      </c>
      <c r="R25" s="130" t="str">
        <f>[3]Sayfa1!$M22</f>
        <v>Tamir süreci başlatıldı. Kalite bölümüne NCR oluşturuldu</v>
      </c>
      <c r="S25" s="147">
        <f>[3]Sayfa1!$AB22</f>
        <v>0</v>
      </c>
      <c r="T25" s="147">
        <f>[3]Sayfa1!$AA22</f>
        <v>0</v>
      </c>
      <c r="U25" s="131">
        <f>[3]Sayfa1!$AN22</f>
        <v>2</v>
      </c>
      <c r="V25" s="132">
        <f>[3]Sayfa1!$T22</f>
        <v>45209</v>
      </c>
      <c r="W25" s="133">
        <f>[3]Sayfa1!$U22</f>
        <v>45209</v>
      </c>
      <c r="X25" s="134">
        <f t="shared" si="1"/>
        <v>45209</v>
      </c>
      <c r="Y25" s="123" t="str">
        <f>[3]Sayfa1!$AQ22</f>
        <v/>
      </c>
      <c r="Z25" s="135">
        <f>[3]Sayfa1!$AR22</f>
        <v>0</v>
      </c>
      <c r="AA25" s="134">
        <f t="shared" si="2"/>
        <v>0</v>
      </c>
      <c r="AB25" s="136">
        <f t="shared" si="3"/>
        <v>0</v>
      </c>
      <c r="AC25" s="137" t="str">
        <f t="shared" si="4"/>
        <v/>
      </c>
      <c r="AD25" s="135">
        <f t="shared" si="5"/>
        <v>0</v>
      </c>
      <c r="AE25" s="138">
        <f t="shared" si="6"/>
        <v>0</v>
      </c>
      <c r="AF25" s="139" t="str">
        <f>[3]Sayfa1!$AP22</f>
        <v>(I) İlk defa karşılaşılan arıza</v>
      </c>
      <c r="AG25" s="128" t="str">
        <f>IF([3]Sayfa1!$P22="C(Sisteme etki etmeyen arıza)","Bu Arıza Aracın Servise Verilmesine Engel Değil","Bu Arıza Aracın Servise Verilmesine Engel")</f>
        <v>Bu Arıza Aracın Servise Verilmesine Engel Değil</v>
      </c>
      <c r="AH25" s="140">
        <f>[3]Sayfa1!$AC22</f>
        <v>0</v>
      </c>
      <c r="AI25" s="137"/>
      <c r="AJ25" s="137"/>
      <c r="AK25" s="138">
        <f t="shared" si="7"/>
        <v>0</v>
      </c>
      <c r="AL25" s="136">
        <f t="shared" si="8"/>
        <v>0</v>
      </c>
      <c r="AM25" s="136">
        <f t="shared" si="9"/>
        <v>0</v>
      </c>
      <c r="AN25" s="141" t="str">
        <f t="shared" si="10"/>
        <v>Bozankaya</v>
      </c>
      <c r="AO25" s="141">
        <f>[3]Sayfa1!$X22</f>
        <v>0</v>
      </c>
      <c r="AP25" s="141">
        <f>[3]Sayfa1!$Z22</f>
        <v>0</v>
      </c>
      <c r="AQ25" s="122">
        <f>[3]Sayfa1!$W22</f>
        <v>0</v>
      </c>
      <c r="AR25" s="142">
        <f>[3]Sayfa1!$Y22</f>
        <v>0</v>
      </c>
      <c r="AS25" s="143">
        <f>[3]Sayfa1!$AD22</f>
        <v>0</v>
      </c>
      <c r="AT25" s="137">
        <f>[3]Sayfa1!$AE22</f>
        <v>0</v>
      </c>
      <c r="AU25" s="137">
        <f>[3]Sayfa1!$AH22</f>
        <v>0</v>
      </c>
      <c r="AV25" s="144">
        <v>21</v>
      </c>
      <c r="AW25" s="145" t="e">
        <f>U25*AB25*#REF!</f>
        <v>#REF!</v>
      </c>
    </row>
    <row r="26" spans="1:49" ht="101.25" customHeight="1">
      <c r="A26" s="119" t="s">
        <v>57</v>
      </c>
      <c r="B26" s="120" t="str">
        <f>[3]Sayfa1!$G23</f>
        <v>TS#1</v>
      </c>
      <c r="C26" s="121" t="str">
        <f>[3]Sayfa1!$H23</f>
        <v>T</v>
      </c>
      <c r="D26" s="146">
        <f>[3]Sayfa1!$N23</f>
        <v>39</v>
      </c>
      <c r="E26" s="122" t="str">
        <f>[3]Sayfa1!$B23</f>
        <v>FRACAS-GDM-022</v>
      </c>
      <c r="F26" s="123">
        <f>[3]Sayfa1!$E23</f>
        <v>45209</v>
      </c>
      <c r="G26" s="124">
        <f>[3]Sayfa1!$F23</f>
        <v>45209</v>
      </c>
      <c r="H26" s="119" t="str">
        <f>[3]Sayfa1!$I23</f>
        <v>Depo/Depot</v>
      </c>
      <c r="I26" s="125" t="str">
        <f>IF([3]Sayfa1!$K23="SSH","Notified by Bozankaya","Notified by Customer")</f>
        <v>Notified by Customer</v>
      </c>
      <c r="J26" s="119" t="e">
        <f>VLOOKUP([3]Sayfa1!$AU23,#REF!,2,FALSE)</f>
        <v>#REF!</v>
      </c>
      <c r="K26" s="119" t="str">
        <f>[3]Sayfa1!$V23</f>
        <v>Bozankaya</v>
      </c>
      <c r="L26" s="126" t="str">
        <f t="shared" si="0"/>
        <v>GDM7X4-FRACAS-GDM-022</v>
      </c>
      <c r="M26" s="127" t="str">
        <f>[3]Sayfa1!$L23</f>
        <v>Kapı üstü aydınlatmalar çalışmıyor.</v>
      </c>
      <c r="N26" s="128" t="str">
        <f>[3]Sayfa1!$J23</f>
        <v>C-Uyarı, sürüş devamlılığı</v>
      </c>
      <c r="O26" s="128" t="str">
        <f>[3]Sayfa1!$P23</f>
        <v>C(Sisteme etki etmeyen arıza)</v>
      </c>
      <c r="P26" s="128" t="str">
        <f>[3]Sayfa1!$Q23</f>
        <v>N.A(Yaralanma yok)</v>
      </c>
      <c r="Q26" s="129" t="str" cm="1">
        <f t="array" ref="Q26">_xlfn.IFS([3]Sayfa1!$R23="Bozankaya","Bozankaya",[3]Sayfa1!$R23="İşletme","Customer",[3]Sayfa1!$R23="Tedarikçi","Equipment Supplier")</f>
        <v>Bozankaya</v>
      </c>
      <c r="R26" s="130" t="str">
        <f>[3]Sayfa1!$M23</f>
        <v>Tamir süreci başlatıldı. Kalite bölümüne NCR oluşturuldu</v>
      </c>
      <c r="S26" s="147">
        <f>[3]Sayfa1!$AB23</f>
        <v>0</v>
      </c>
      <c r="T26" s="147">
        <f>[3]Sayfa1!$AA23</f>
        <v>0</v>
      </c>
      <c r="U26" s="131">
        <f>[3]Sayfa1!$AN23</f>
        <v>2</v>
      </c>
      <c r="V26" s="132">
        <f>[3]Sayfa1!$T23</f>
        <v>45209</v>
      </c>
      <c r="W26" s="133">
        <f>[3]Sayfa1!$U23</f>
        <v>45209</v>
      </c>
      <c r="X26" s="134">
        <f t="shared" si="1"/>
        <v>45209</v>
      </c>
      <c r="Y26" s="123" t="str">
        <f>[3]Sayfa1!$AQ23</f>
        <v/>
      </c>
      <c r="Z26" s="135">
        <f>[3]Sayfa1!$AR23</f>
        <v>0</v>
      </c>
      <c r="AA26" s="134">
        <f t="shared" si="2"/>
        <v>0</v>
      </c>
      <c r="AB26" s="136">
        <f t="shared" si="3"/>
        <v>0</v>
      </c>
      <c r="AC26" s="137" t="str">
        <f t="shared" si="4"/>
        <v/>
      </c>
      <c r="AD26" s="135">
        <f t="shared" si="5"/>
        <v>0</v>
      </c>
      <c r="AE26" s="138">
        <f t="shared" si="6"/>
        <v>0</v>
      </c>
      <c r="AF26" s="139" t="str">
        <f>[3]Sayfa1!$AP23</f>
        <v>(I) İlk defa karşılaşılan arıza</v>
      </c>
      <c r="AG26" s="128" t="str">
        <f>IF([3]Sayfa1!$P23="C(Sisteme etki etmeyen arıza)","Bu Arıza Aracın Servise Verilmesine Engel Değil","Bu Arıza Aracın Servise Verilmesine Engel")</f>
        <v>Bu Arıza Aracın Servise Verilmesine Engel Değil</v>
      </c>
      <c r="AH26" s="140">
        <f>[3]Sayfa1!$AC23</f>
        <v>0</v>
      </c>
      <c r="AI26" s="137"/>
      <c r="AJ26" s="137"/>
      <c r="AK26" s="138">
        <f t="shared" si="7"/>
        <v>0</v>
      </c>
      <c r="AL26" s="136">
        <f t="shared" si="8"/>
        <v>0</v>
      </c>
      <c r="AM26" s="136">
        <f t="shared" si="9"/>
        <v>0</v>
      </c>
      <c r="AN26" s="141" t="str">
        <f t="shared" si="10"/>
        <v>Bozankaya</v>
      </c>
      <c r="AO26" s="141">
        <f>[3]Sayfa1!$X23</f>
        <v>0</v>
      </c>
      <c r="AP26" s="141">
        <f>[3]Sayfa1!$Z23</f>
        <v>0</v>
      </c>
      <c r="AQ26" s="122">
        <f>[3]Sayfa1!$W23</f>
        <v>0</v>
      </c>
      <c r="AR26" s="142">
        <f>[3]Sayfa1!$Y23</f>
        <v>0</v>
      </c>
      <c r="AS26" s="143">
        <f>[3]Sayfa1!$AD23</f>
        <v>0</v>
      </c>
      <c r="AT26" s="137">
        <f>[3]Sayfa1!$AE23</f>
        <v>0</v>
      </c>
      <c r="AU26" s="137">
        <f>[3]Sayfa1!$AH23</f>
        <v>0</v>
      </c>
      <c r="AV26" s="144">
        <v>22</v>
      </c>
      <c r="AW26" s="145" t="e">
        <f>U26*AB26*#REF!</f>
        <v>#REF!</v>
      </c>
    </row>
    <row r="27" spans="1:49" ht="101.25" customHeight="1">
      <c r="A27" s="119" t="s">
        <v>57</v>
      </c>
      <c r="B27" s="120" t="str">
        <f>[3]Sayfa1!$G24</f>
        <v>TS#1</v>
      </c>
      <c r="C27" s="121" t="str">
        <f>[3]Sayfa1!$H24</f>
        <v>Mc2</v>
      </c>
      <c r="D27" s="146">
        <f>[3]Sayfa1!$N24</f>
        <v>41</v>
      </c>
      <c r="E27" s="122" t="str">
        <f>[3]Sayfa1!$B24</f>
        <v>FRACAS-GDM-023</v>
      </c>
      <c r="F27" s="123">
        <f>[3]Sayfa1!$E24</f>
        <v>45209</v>
      </c>
      <c r="G27" s="124">
        <f>[3]Sayfa1!$F24</f>
        <v>45209</v>
      </c>
      <c r="H27" s="119" t="str">
        <f>[3]Sayfa1!$I24</f>
        <v>Depo/Depot</v>
      </c>
      <c r="I27" s="125" t="str">
        <f>IF([3]Sayfa1!$K24="SSH","Notified by Bozankaya","Notified by Customer")</f>
        <v>Notified by Customer</v>
      </c>
      <c r="J27" s="119" t="e">
        <f>VLOOKUP([3]Sayfa1!$AU24,#REF!,2,FALSE)</f>
        <v>#REF!</v>
      </c>
      <c r="K27" s="119" t="str">
        <f>[3]Sayfa1!$V24</f>
        <v>Bozankaya</v>
      </c>
      <c r="L27" s="126" t="str">
        <f t="shared" si="0"/>
        <v>GDM7X4-FRACAS-GDM-023</v>
      </c>
      <c r="M27" s="127" t="str">
        <f>[3]Sayfa1!$L24</f>
        <v>KC-F09 sigortasına giriş yapılmamış. NB-F17 ve NB-F15 sigortalarına bilgi ucuna giriş yapılmış. Bundan dolay kapı üstü aydınlatmalar çalışmamaktadır. Çekilen kabloların bir çoğu körleme yapılarak bırakılmıştır.</v>
      </c>
      <c r="N27" s="128" t="str">
        <f>[3]Sayfa1!$J24</f>
        <v>C-Uyarı, sürüş devamlılığı</v>
      </c>
      <c r="O27" s="128" t="str">
        <f>[3]Sayfa1!$P24</f>
        <v>C(Sisteme etki etmeyen arıza)</v>
      </c>
      <c r="P27" s="128" t="str">
        <f>[3]Sayfa1!$Q24</f>
        <v>N.A(Yaralanma yok)</v>
      </c>
      <c r="Q27" s="129" t="str" cm="1">
        <f t="array" ref="Q27">_xlfn.IFS([3]Sayfa1!$R24="Bozankaya","Bozankaya",[3]Sayfa1!$R24="İşletme","Customer",[3]Sayfa1!$R24="Tedarikçi","Equipment Supplier")</f>
        <v>Bozankaya</v>
      </c>
      <c r="R27" s="130" t="str">
        <f>[3]Sayfa1!$M24</f>
        <v>Tamir süreci başlatıldı. Kalite bölümüne NCR oluşturuldu</v>
      </c>
      <c r="S27" s="147">
        <f>[3]Sayfa1!$AB24</f>
        <v>0</v>
      </c>
      <c r="T27" s="147">
        <f>[3]Sayfa1!$AA24</f>
        <v>0</v>
      </c>
      <c r="U27" s="131">
        <f>[3]Sayfa1!$AN24</f>
        <v>2</v>
      </c>
      <c r="V27" s="132">
        <f>[3]Sayfa1!$T24</f>
        <v>45209</v>
      </c>
      <c r="W27" s="133">
        <f>[3]Sayfa1!$U24</f>
        <v>45209</v>
      </c>
      <c r="X27" s="134">
        <f t="shared" si="1"/>
        <v>45209</v>
      </c>
      <c r="Y27" s="123">
        <f>[3]Sayfa1!$AQ24</f>
        <v>45231</v>
      </c>
      <c r="Z27" s="135">
        <f>[3]Sayfa1!$AR24</f>
        <v>45231.581956018519</v>
      </c>
      <c r="AA27" s="134">
        <f t="shared" si="2"/>
        <v>45231.581956018519</v>
      </c>
      <c r="AB27" s="136">
        <f t="shared" si="3"/>
        <v>541.96694444445893</v>
      </c>
      <c r="AC27" s="137">
        <f t="shared" si="4"/>
        <v>45231</v>
      </c>
      <c r="AD27" s="135">
        <f t="shared" si="5"/>
        <v>45231.581956018519</v>
      </c>
      <c r="AE27" s="138">
        <f t="shared" si="6"/>
        <v>45231.581956018519</v>
      </c>
      <c r="AF27" s="139" t="str">
        <f>[3]Sayfa1!$AP24</f>
        <v>(I) İlk defa karşılaşılan arıza</v>
      </c>
      <c r="AG27" s="128" t="str">
        <f>IF([3]Sayfa1!$P24="C(Sisteme etki etmeyen arıza)","Bu Arıza Aracın Servise Verilmesine Engel Değil","Bu Arıza Aracın Servise Verilmesine Engel")</f>
        <v>Bu Arıza Aracın Servise Verilmesine Engel Değil</v>
      </c>
      <c r="AH27" s="140">
        <f>[3]Sayfa1!$AC24</f>
        <v>0</v>
      </c>
      <c r="AI27" s="137"/>
      <c r="AJ27" s="137"/>
      <c r="AK27" s="138">
        <f t="shared" si="7"/>
        <v>0</v>
      </c>
      <c r="AL27" s="136">
        <f t="shared" si="8"/>
        <v>32518.016666667536</v>
      </c>
      <c r="AM27" s="136">
        <f t="shared" si="9"/>
        <v>0</v>
      </c>
      <c r="AN27" s="141" t="str">
        <f t="shared" si="10"/>
        <v>Bozankaya</v>
      </c>
      <c r="AO27" s="141">
        <f>[3]Sayfa1!$X24</f>
        <v>0</v>
      </c>
      <c r="AP27" s="141">
        <f>[3]Sayfa1!$Z24</f>
        <v>0</v>
      </c>
      <c r="AQ27" s="122">
        <f>[3]Sayfa1!$W24</f>
        <v>0</v>
      </c>
      <c r="AR27" s="142">
        <f>[3]Sayfa1!$Y24</f>
        <v>0</v>
      </c>
      <c r="AS27" s="143">
        <f>[3]Sayfa1!$AD24</f>
        <v>0</v>
      </c>
      <c r="AT27" s="137">
        <f>[3]Sayfa1!$AE24</f>
        <v>0</v>
      </c>
      <c r="AU27" s="137">
        <f>[3]Sayfa1!$AH24</f>
        <v>0</v>
      </c>
      <c r="AV27" s="144">
        <v>23</v>
      </c>
      <c r="AW27" s="145" t="e">
        <f>U27*AB27*#REF!</f>
        <v>#REF!</v>
      </c>
    </row>
    <row r="28" spans="1:49" ht="101.25" customHeight="1">
      <c r="A28" s="119" t="s">
        <v>57</v>
      </c>
      <c r="B28" s="120" t="str">
        <f>[3]Sayfa1!$G25</f>
        <v>TS#1</v>
      </c>
      <c r="C28" s="121" t="str">
        <f>[3]Sayfa1!$H25</f>
        <v>Mc2</v>
      </c>
      <c r="D28" s="146">
        <f>[3]Sayfa1!$N25</f>
        <v>42</v>
      </c>
      <c r="E28" s="122" t="str">
        <f>[3]Sayfa1!$B25</f>
        <v>FRACAS-GDM-024</v>
      </c>
      <c r="F28" s="123">
        <f>[3]Sayfa1!$E25</f>
        <v>45211</v>
      </c>
      <c r="G28" s="124">
        <f>[3]Sayfa1!$F25</f>
        <v>45211</v>
      </c>
      <c r="H28" s="119" t="str">
        <f>[3]Sayfa1!$I25</f>
        <v>Depo/Depot</v>
      </c>
      <c r="I28" s="125" t="str">
        <f>IF([3]Sayfa1!$K25="SSH","Notified by Bozankaya","Notified by Customer")</f>
        <v>Notified by Customer</v>
      </c>
      <c r="J28" s="119" t="e">
        <f>VLOOKUP([3]Sayfa1!$AU25,#REF!,2,FALSE)</f>
        <v>#REF!</v>
      </c>
      <c r="K28" s="119" t="str">
        <f>[3]Sayfa1!$V25</f>
        <v>Piton</v>
      </c>
      <c r="L28" s="126" t="str">
        <f t="shared" si="0"/>
        <v>GDM7X4-FRACAS-GDM-024</v>
      </c>
      <c r="M28" s="127" t="str">
        <f>[3]Sayfa1!$L25</f>
        <v>23" reklam ekranı çalışmıyor.</v>
      </c>
      <c r="N28" s="128" t="str">
        <f>[3]Sayfa1!$J25</f>
        <v>C-Uyarı, sürüş devamlılığı</v>
      </c>
      <c r="O28" s="128" t="str">
        <f>[3]Sayfa1!$P25</f>
        <v>C(Sisteme etki etmeyen arıza)</v>
      </c>
      <c r="P28" s="128" t="str">
        <f>[3]Sayfa1!$Q25</f>
        <v>N.A(Yaralanma yok)</v>
      </c>
      <c r="Q28" s="129" t="str" cm="1">
        <f t="array" ref="Q28">_xlfn.IFS([3]Sayfa1!$R25="Bozankaya","Bozankaya",[3]Sayfa1!$R25="İşletme","Customer",[3]Sayfa1!$R25="Tedarikçi","Equipment Supplier")</f>
        <v>Bozankaya</v>
      </c>
      <c r="R28" s="130" t="str">
        <f>[3]Sayfa1!$M25</f>
        <v>Tamir süreci başlatıldı. Kalite bölümüne NCR oluşturuldu</v>
      </c>
      <c r="S28" s="147">
        <f>[3]Sayfa1!$AB25</f>
        <v>0</v>
      </c>
      <c r="T28" s="147">
        <f>[3]Sayfa1!$AA25</f>
        <v>0</v>
      </c>
      <c r="U28" s="131">
        <f>[3]Sayfa1!$AN25</f>
        <v>2</v>
      </c>
      <c r="V28" s="132">
        <f>[3]Sayfa1!$T25</f>
        <v>45211</v>
      </c>
      <c r="W28" s="133">
        <f>[3]Sayfa1!$U25</f>
        <v>45211</v>
      </c>
      <c r="X28" s="134">
        <f t="shared" si="1"/>
        <v>45211</v>
      </c>
      <c r="Y28" s="123">
        <f>[3]Sayfa1!$AQ25</f>
        <v>45219</v>
      </c>
      <c r="Z28" s="135">
        <f>[3]Sayfa1!$AR25</f>
        <v>45219.582187499997</v>
      </c>
      <c r="AA28" s="134">
        <f t="shared" si="2"/>
        <v>45219.582187499997</v>
      </c>
      <c r="AB28" s="136">
        <f t="shared" si="3"/>
        <v>205.97249999991618</v>
      </c>
      <c r="AC28" s="137">
        <f t="shared" si="4"/>
        <v>45219</v>
      </c>
      <c r="AD28" s="135">
        <f t="shared" si="5"/>
        <v>45219.582187499997</v>
      </c>
      <c r="AE28" s="138">
        <f t="shared" si="6"/>
        <v>45219.582187499997</v>
      </c>
      <c r="AF28" s="139" t="str">
        <f>[3]Sayfa1!$AP25</f>
        <v>(I) İlk defa karşılaşılan arıza</v>
      </c>
      <c r="AG28" s="128" t="str">
        <f>IF([3]Sayfa1!$P25="C(Sisteme etki etmeyen arıza)","Bu Arıza Aracın Servise Verilmesine Engel Değil","Bu Arıza Aracın Servise Verilmesine Engel")</f>
        <v>Bu Arıza Aracın Servise Verilmesine Engel Değil</v>
      </c>
      <c r="AH28" s="140">
        <f>[3]Sayfa1!$AC25</f>
        <v>0</v>
      </c>
      <c r="AI28" s="137"/>
      <c r="AJ28" s="137"/>
      <c r="AK28" s="138">
        <f t="shared" si="7"/>
        <v>0</v>
      </c>
      <c r="AL28" s="136">
        <f t="shared" si="8"/>
        <v>12358.349999994971</v>
      </c>
      <c r="AM28" s="136">
        <f t="shared" si="9"/>
        <v>0</v>
      </c>
      <c r="AN28" s="141" t="str">
        <f t="shared" si="10"/>
        <v>Piton</v>
      </c>
      <c r="AO28" s="141">
        <f>[3]Sayfa1!$X25</f>
        <v>0</v>
      </c>
      <c r="AP28" s="141">
        <f>[3]Sayfa1!$Z25</f>
        <v>0</v>
      </c>
      <c r="AQ28" s="122">
        <f>[3]Sayfa1!$W25</f>
        <v>0</v>
      </c>
      <c r="AR28" s="142">
        <f>[3]Sayfa1!$Y25</f>
        <v>0</v>
      </c>
      <c r="AS28" s="143">
        <f>[3]Sayfa1!$AD25</f>
        <v>0</v>
      </c>
      <c r="AT28" s="137">
        <f>[3]Sayfa1!$AE25</f>
        <v>0</v>
      </c>
      <c r="AU28" s="137">
        <f>[3]Sayfa1!$AH25</f>
        <v>0</v>
      </c>
      <c r="AV28" s="144">
        <v>24</v>
      </c>
      <c r="AW28" s="145" t="e">
        <f>U28*AB28*#REF!</f>
        <v>#REF!</v>
      </c>
    </row>
    <row r="29" spans="1:49" ht="101.25" customHeight="1">
      <c r="A29" s="119" t="s">
        <v>57</v>
      </c>
      <c r="B29" s="120" t="str">
        <f>[3]Sayfa1!$G26</f>
        <v>TS#1</v>
      </c>
      <c r="C29" s="121" t="str">
        <f>[3]Sayfa1!$H26</f>
        <v>T</v>
      </c>
      <c r="D29" s="146">
        <f>[3]Sayfa1!$N26</f>
        <v>45</v>
      </c>
      <c r="E29" s="122" t="str">
        <f>[3]Sayfa1!$B26</f>
        <v>FRACAS-GDM-025</v>
      </c>
      <c r="F29" s="123">
        <f>[3]Sayfa1!$E26</f>
        <v>45211</v>
      </c>
      <c r="G29" s="124">
        <f>[3]Sayfa1!$F26</f>
        <v>45211</v>
      </c>
      <c r="H29" s="119" t="str">
        <f>[3]Sayfa1!$I26</f>
        <v>Depo/Depot</v>
      </c>
      <c r="I29" s="125" t="str">
        <f>IF([3]Sayfa1!$K26="SSH","Notified by Bozankaya","Notified by Customer")</f>
        <v>Notified by Customer</v>
      </c>
      <c r="J29" s="119" t="e">
        <f>VLOOKUP([3]Sayfa1!$AU26,#REF!,2,FALSE)</f>
        <v>#REF!</v>
      </c>
      <c r="K29" s="119" t="str">
        <f>[3]Sayfa1!$V26</f>
        <v>Piton</v>
      </c>
      <c r="L29" s="126" t="str">
        <f t="shared" si="0"/>
        <v>GDM7X4-FRACAS-GDM-025</v>
      </c>
      <c r="M29" s="127" t="str">
        <f>[3]Sayfa1!$L26</f>
        <v>23" ekran çalışyor ama renk kayması var.</v>
      </c>
      <c r="N29" s="128" t="str">
        <f>[3]Sayfa1!$J26</f>
        <v>C-Uyarı, sürüş devamlılığı</v>
      </c>
      <c r="O29" s="128" t="str">
        <f>[3]Sayfa1!$P26</f>
        <v>C(Sisteme etki etmeyen arıza)</v>
      </c>
      <c r="P29" s="128" t="str">
        <f>[3]Sayfa1!$Q26</f>
        <v>N.A(Yaralanma yok)</v>
      </c>
      <c r="Q29" s="129" t="str" cm="1">
        <f t="array" ref="Q29">_xlfn.IFS([3]Sayfa1!$R26="Bozankaya","Bozankaya",[3]Sayfa1!$R26="İşletme","Customer",[3]Sayfa1!$R26="Tedarikçi","Equipment Supplier")</f>
        <v>Bozankaya</v>
      </c>
      <c r="R29" s="130" t="str">
        <f>[3]Sayfa1!$M26</f>
        <v>Tamir süreci başlatıldı. Kalite bölümüne NCR oluşturuldu</v>
      </c>
      <c r="S29" s="147">
        <f>[3]Sayfa1!$AB26</f>
        <v>0</v>
      </c>
      <c r="T29" s="147">
        <f>[3]Sayfa1!$AA26</f>
        <v>0</v>
      </c>
      <c r="U29" s="131">
        <f>[3]Sayfa1!$AN26</f>
        <v>2</v>
      </c>
      <c r="V29" s="132">
        <f>[3]Sayfa1!$T26</f>
        <v>45211</v>
      </c>
      <c r="W29" s="133">
        <f>[3]Sayfa1!$U26</f>
        <v>45211</v>
      </c>
      <c r="X29" s="134">
        <f t="shared" si="1"/>
        <v>45211</v>
      </c>
      <c r="Y29" s="123">
        <f>[3]Sayfa1!$AQ26</f>
        <v>45219</v>
      </c>
      <c r="Z29" s="135">
        <f>[3]Sayfa1!$AR26</f>
        <v>45219.582395833335</v>
      </c>
      <c r="AA29" s="134">
        <f t="shared" si="2"/>
        <v>45219.582395833335</v>
      </c>
      <c r="AB29" s="136">
        <f t="shared" si="3"/>
        <v>205.97750000003725</v>
      </c>
      <c r="AC29" s="137">
        <f t="shared" si="4"/>
        <v>45219</v>
      </c>
      <c r="AD29" s="135">
        <f t="shared" si="5"/>
        <v>45219.582395833335</v>
      </c>
      <c r="AE29" s="138">
        <f t="shared" si="6"/>
        <v>45219.582395833335</v>
      </c>
      <c r="AF29" s="139" t="str">
        <f>[3]Sayfa1!$AP26</f>
        <v>(I) İlk defa karşılaşılan arıza</v>
      </c>
      <c r="AG29" s="128" t="str">
        <f>IF([3]Sayfa1!$P26="C(Sisteme etki etmeyen arıza)","Bu Arıza Aracın Servise Verilmesine Engel Değil","Bu Arıza Aracın Servise Verilmesine Engel")</f>
        <v>Bu Arıza Aracın Servise Verilmesine Engel Değil</v>
      </c>
      <c r="AH29" s="140">
        <f>[3]Sayfa1!$AC26</f>
        <v>0</v>
      </c>
      <c r="AI29" s="137"/>
      <c r="AJ29" s="137"/>
      <c r="AK29" s="138">
        <f t="shared" si="7"/>
        <v>0</v>
      </c>
      <c r="AL29" s="136">
        <f t="shared" si="8"/>
        <v>12358.650000002235</v>
      </c>
      <c r="AM29" s="136">
        <f t="shared" si="9"/>
        <v>0</v>
      </c>
      <c r="AN29" s="141" t="str">
        <f t="shared" si="10"/>
        <v>Piton</v>
      </c>
      <c r="AO29" s="141">
        <f>[3]Sayfa1!$X26</f>
        <v>0</v>
      </c>
      <c r="AP29" s="141">
        <f>[3]Sayfa1!$Z26</f>
        <v>0</v>
      </c>
      <c r="AQ29" s="122">
        <f>[3]Sayfa1!$W26</f>
        <v>0</v>
      </c>
      <c r="AR29" s="142">
        <f>[3]Sayfa1!$Y26</f>
        <v>0</v>
      </c>
      <c r="AS29" s="143">
        <f>[3]Sayfa1!$AD26</f>
        <v>0</v>
      </c>
      <c r="AT29" s="137">
        <f>[3]Sayfa1!$AE26</f>
        <v>0</v>
      </c>
      <c r="AU29" s="137">
        <f>[3]Sayfa1!$AH26</f>
        <v>0</v>
      </c>
      <c r="AV29" s="144">
        <v>25</v>
      </c>
      <c r="AW29" s="145" t="e">
        <f>U29*AB29*#REF!</f>
        <v>#REF!</v>
      </c>
    </row>
    <row r="30" spans="1:49" ht="101.25" customHeight="1">
      <c r="A30" s="119" t="s">
        <v>57</v>
      </c>
      <c r="B30" s="120" t="str">
        <f>[3]Sayfa1!$G27</f>
        <v>TS#1</v>
      </c>
      <c r="C30" s="121" t="str">
        <f>[3]Sayfa1!$H27</f>
        <v>Mc1</v>
      </c>
      <c r="D30" s="146">
        <f>[3]Sayfa1!$N27</f>
        <v>47</v>
      </c>
      <c r="E30" s="122" t="str">
        <f>[3]Sayfa1!$B27</f>
        <v>FRACAS-GDM-026</v>
      </c>
      <c r="F30" s="123">
        <f>[3]Sayfa1!$E27</f>
        <v>45211</v>
      </c>
      <c r="G30" s="124">
        <f>[3]Sayfa1!$F27</f>
        <v>45211</v>
      </c>
      <c r="H30" s="119" t="str">
        <f>[3]Sayfa1!$I27</f>
        <v>Depo/Depot</v>
      </c>
      <c r="I30" s="125" t="str">
        <f>IF([3]Sayfa1!$K27="SSH","Notified by Bozankaya","Notified by Customer")</f>
        <v>Notified by Customer</v>
      </c>
      <c r="J30" s="119" t="e">
        <f>VLOOKUP([3]Sayfa1!$AU27,#REF!,2,FALSE)</f>
        <v>#REF!</v>
      </c>
      <c r="K30" s="119" t="str">
        <f>[3]Sayfa1!$V27</f>
        <v>Bozankaya</v>
      </c>
      <c r="L30" s="126" t="str">
        <f t="shared" si="0"/>
        <v>GDM7X4-FRACAS-GDM-026</v>
      </c>
      <c r="M30" s="127" t="str">
        <f>[3]Sayfa1!$L27</f>
        <v>14 Sigorta panelinde aynı sigortadan 2 adet bulunmaktadır.</v>
      </c>
      <c r="N30" s="128" t="str">
        <f>[3]Sayfa1!$J27</f>
        <v>C-Uyarı, sürüş devamlılığı</v>
      </c>
      <c r="O30" s="128" t="str">
        <f>[3]Sayfa1!$P27</f>
        <v>C(Sisteme etki etmeyen arıza)</v>
      </c>
      <c r="P30" s="128" t="str">
        <f>[3]Sayfa1!$Q27</f>
        <v>N.A(Yaralanma yok)</v>
      </c>
      <c r="Q30" s="129" t="str" cm="1">
        <f t="array" ref="Q30">_xlfn.IFS([3]Sayfa1!$R27="Bozankaya","Bozankaya",[3]Sayfa1!$R27="İşletme","Customer",[3]Sayfa1!$R27="Tedarikçi","Equipment Supplier")</f>
        <v>Bozankaya</v>
      </c>
      <c r="R30" s="130" t="str">
        <f>[3]Sayfa1!$M27</f>
        <v>Tamir süreci başlatıldı. Kalite bölümüne NCR oluşturuldu</v>
      </c>
      <c r="S30" s="147">
        <f>[3]Sayfa1!$AB27</f>
        <v>0</v>
      </c>
      <c r="T30" s="147">
        <f>[3]Sayfa1!$AA27</f>
        <v>0</v>
      </c>
      <c r="U30" s="131">
        <f>[3]Sayfa1!$AN27</f>
        <v>2</v>
      </c>
      <c r="V30" s="132">
        <f>[3]Sayfa1!$T27</f>
        <v>45211</v>
      </c>
      <c r="W30" s="133">
        <f>[3]Sayfa1!$U27</f>
        <v>45211</v>
      </c>
      <c r="X30" s="134">
        <f t="shared" si="1"/>
        <v>45211</v>
      </c>
      <c r="Y30" s="123">
        <f>[3]Sayfa1!$AQ27</f>
        <v>45219</v>
      </c>
      <c r="Z30" s="135">
        <f>[3]Sayfa1!$AR27</f>
        <v>45219.582731481481</v>
      </c>
      <c r="AA30" s="134">
        <f t="shared" si="2"/>
        <v>45219.582731481481</v>
      </c>
      <c r="AB30" s="136">
        <f t="shared" si="3"/>
        <v>205.98555555555504</v>
      </c>
      <c r="AC30" s="137">
        <f t="shared" si="4"/>
        <v>45219</v>
      </c>
      <c r="AD30" s="135">
        <f t="shared" si="5"/>
        <v>45219.582731481481</v>
      </c>
      <c r="AE30" s="138">
        <f t="shared" si="6"/>
        <v>45219.582731481481</v>
      </c>
      <c r="AF30" s="139" t="str">
        <f>[3]Sayfa1!$AP27</f>
        <v>(I) İlk defa karşılaşılan arıza</v>
      </c>
      <c r="AG30" s="128" t="str">
        <f>IF([3]Sayfa1!$P27="C(Sisteme etki etmeyen arıza)","Bu Arıza Aracın Servise Verilmesine Engel Değil","Bu Arıza Aracın Servise Verilmesine Engel")</f>
        <v>Bu Arıza Aracın Servise Verilmesine Engel Değil</v>
      </c>
      <c r="AH30" s="140">
        <f>[3]Sayfa1!$AC27</f>
        <v>0</v>
      </c>
      <c r="AI30" s="137"/>
      <c r="AJ30" s="137"/>
      <c r="AK30" s="138">
        <f t="shared" si="7"/>
        <v>0</v>
      </c>
      <c r="AL30" s="136">
        <f t="shared" si="8"/>
        <v>12359.133333333302</v>
      </c>
      <c r="AM30" s="136">
        <f t="shared" si="9"/>
        <v>0</v>
      </c>
      <c r="AN30" s="141" t="str">
        <f t="shared" si="10"/>
        <v>Bozankaya</v>
      </c>
      <c r="AO30" s="141">
        <f>[3]Sayfa1!$X27</f>
        <v>0</v>
      </c>
      <c r="AP30" s="141">
        <f>[3]Sayfa1!$Z27</f>
        <v>0</v>
      </c>
      <c r="AQ30" s="122">
        <f>[3]Sayfa1!$W27</f>
        <v>0</v>
      </c>
      <c r="AR30" s="142">
        <f>[3]Sayfa1!$Y27</f>
        <v>0</v>
      </c>
      <c r="AS30" s="143">
        <f>[3]Sayfa1!$AD27</f>
        <v>0</v>
      </c>
      <c r="AT30" s="137">
        <f>[3]Sayfa1!$AE27</f>
        <v>0</v>
      </c>
      <c r="AU30" s="137">
        <f>[3]Sayfa1!$AH27</f>
        <v>0</v>
      </c>
      <c r="AV30" s="144">
        <v>26</v>
      </c>
      <c r="AW30" s="145" t="e">
        <f>U30*AB30*#REF!</f>
        <v>#REF!</v>
      </c>
    </row>
    <row r="31" spans="1:49" ht="101.25" customHeight="1">
      <c r="A31" s="119" t="s">
        <v>57</v>
      </c>
      <c r="B31" s="120" t="str">
        <f>[3]Sayfa1!$G28</f>
        <v>TS#1</v>
      </c>
      <c r="C31" s="121" t="str">
        <f>[3]Sayfa1!$H28</f>
        <v>Mc1</v>
      </c>
      <c r="D31" s="146">
        <f>[3]Sayfa1!$N28</f>
        <v>49</v>
      </c>
      <c r="E31" s="122" t="str">
        <f>[3]Sayfa1!$B28</f>
        <v>FRACAS-GDM-027</v>
      </c>
      <c r="F31" s="123">
        <f>[3]Sayfa1!$E28</f>
        <v>45211</v>
      </c>
      <c r="G31" s="124">
        <f>[3]Sayfa1!$F28</f>
        <v>45211</v>
      </c>
      <c r="H31" s="119" t="str">
        <f>[3]Sayfa1!$I28</f>
        <v>Depo/Depot</v>
      </c>
      <c r="I31" s="125" t="str">
        <f>IF([3]Sayfa1!$K28="SSH","Notified by Bozankaya","Notified by Customer")</f>
        <v>Notified by Customer</v>
      </c>
      <c r="J31" s="119" t="e">
        <f>VLOOKUP([3]Sayfa1!$AU28,#REF!,2,FALSE)</f>
        <v>#REF!</v>
      </c>
      <c r="K31" s="119" t="str">
        <f>[3]Sayfa1!$V28</f>
        <v>Bozankaya</v>
      </c>
      <c r="L31" s="126" t="str">
        <f t="shared" si="0"/>
        <v>GDM7X4-FRACAS-GDM-027</v>
      </c>
      <c r="M31" s="127" t="str">
        <f>[3]Sayfa1!$L28</f>
        <v>MC1 kabinetindeki Aselsan telsizi çalışmıyor.</v>
      </c>
      <c r="N31" s="128" t="str">
        <f>[3]Sayfa1!$J28</f>
        <v>C-Uyarı, sürüş devamlılığı</v>
      </c>
      <c r="O31" s="128" t="str">
        <f>[3]Sayfa1!$P28</f>
        <v>C(Sisteme etki etmeyen arıza)</v>
      </c>
      <c r="P31" s="128" t="str">
        <f>[3]Sayfa1!$Q28</f>
        <v>N.A(Yaralanma yok)</v>
      </c>
      <c r="Q31" s="129" t="str" cm="1">
        <f t="array" ref="Q31">_xlfn.IFS([3]Sayfa1!$R28="Bozankaya","Bozankaya",[3]Sayfa1!$R28="İşletme","Customer",[3]Sayfa1!$R28="Tedarikçi","Equipment Supplier")</f>
        <v>Bozankaya</v>
      </c>
      <c r="R31" s="130" t="str">
        <f>[3]Sayfa1!$M28</f>
        <v>Tamir süreci başlatıldı. Kalite bölümüne NCR oluşturuldu</v>
      </c>
      <c r="S31" s="147">
        <f>[3]Sayfa1!$AB28</f>
        <v>0</v>
      </c>
      <c r="T31" s="147">
        <f>[3]Sayfa1!$AA28</f>
        <v>0</v>
      </c>
      <c r="U31" s="131">
        <f>[3]Sayfa1!$AN28</f>
        <v>2</v>
      </c>
      <c r="V31" s="132">
        <f>[3]Sayfa1!$T28</f>
        <v>45211</v>
      </c>
      <c r="W31" s="133">
        <f>[3]Sayfa1!$U28</f>
        <v>45211</v>
      </c>
      <c r="X31" s="134">
        <f t="shared" si="1"/>
        <v>45211</v>
      </c>
      <c r="Y31" s="123">
        <f>[3]Sayfa1!$AQ28</f>
        <v>45219</v>
      </c>
      <c r="Z31" s="135">
        <f>[3]Sayfa1!$AR28</f>
        <v>45219.582928240743</v>
      </c>
      <c r="AA31" s="134">
        <f t="shared" si="2"/>
        <v>45219.582928240743</v>
      </c>
      <c r="AB31" s="136">
        <f t="shared" si="3"/>
        <v>205.9902777778334</v>
      </c>
      <c r="AC31" s="137">
        <f t="shared" si="4"/>
        <v>45219</v>
      </c>
      <c r="AD31" s="135">
        <f t="shared" si="5"/>
        <v>45219.582928240743</v>
      </c>
      <c r="AE31" s="138">
        <f t="shared" si="6"/>
        <v>45219.582928240743</v>
      </c>
      <c r="AF31" s="139" t="str">
        <f>[3]Sayfa1!$AP28</f>
        <v>(I) İlk defa karşılaşılan arıza</v>
      </c>
      <c r="AG31" s="128" t="str">
        <f>IF([3]Sayfa1!$P28="C(Sisteme etki etmeyen arıza)","Bu Arıza Aracın Servise Verilmesine Engel Değil","Bu Arıza Aracın Servise Verilmesine Engel")</f>
        <v>Bu Arıza Aracın Servise Verilmesine Engel Değil</v>
      </c>
      <c r="AH31" s="140">
        <f>[3]Sayfa1!$AC28</f>
        <v>0</v>
      </c>
      <c r="AI31" s="137"/>
      <c r="AJ31" s="137"/>
      <c r="AK31" s="138">
        <f t="shared" si="7"/>
        <v>0</v>
      </c>
      <c r="AL31" s="136">
        <f t="shared" si="8"/>
        <v>12359.416666670004</v>
      </c>
      <c r="AM31" s="136">
        <f t="shared" si="9"/>
        <v>0</v>
      </c>
      <c r="AN31" s="141" t="str">
        <f t="shared" si="10"/>
        <v>Bozankaya</v>
      </c>
      <c r="AO31" s="141">
        <f>[3]Sayfa1!$X28</f>
        <v>0</v>
      </c>
      <c r="AP31" s="141">
        <f>[3]Sayfa1!$Z28</f>
        <v>0</v>
      </c>
      <c r="AQ31" s="122">
        <f>[3]Sayfa1!$W28</f>
        <v>0</v>
      </c>
      <c r="AR31" s="142">
        <f>[3]Sayfa1!$Y28</f>
        <v>0</v>
      </c>
      <c r="AS31" s="143">
        <f>[3]Sayfa1!$AD28</f>
        <v>0</v>
      </c>
      <c r="AT31" s="137">
        <f>[3]Sayfa1!$AE28</f>
        <v>0</v>
      </c>
      <c r="AU31" s="137">
        <f>[3]Sayfa1!$AH28</f>
        <v>0</v>
      </c>
      <c r="AV31" s="144">
        <v>27</v>
      </c>
      <c r="AW31" s="145" t="e">
        <f>U31*AB31*#REF!</f>
        <v>#REF!</v>
      </c>
    </row>
    <row r="32" spans="1:49" ht="101.25" customHeight="1">
      <c r="A32" s="119" t="s">
        <v>57</v>
      </c>
      <c r="B32" s="120" t="str">
        <f>[3]Sayfa1!$G29</f>
        <v>TS#1</v>
      </c>
      <c r="C32" s="121" t="str">
        <f>[3]Sayfa1!$H29</f>
        <v>Mc2</v>
      </c>
      <c r="D32" s="146">
        <f>[3]Sayfa1!$N29</f>
        <v>50</v>
      </c>
      <c r="E32" s="122" t="str">
        <f>[3]Sayfa1!$B29</f>
        <v>FRACAS-GDM-028</v>
      </c>
      <c r="F32" s="123">
        <f>[3]Sayfa1!$E29</f>
        <v>45211</v>
      </c>
      <c r="G32" s="124">
        <f>[3]Sayfa1!$F29</f>
        <v>45211</v>
      </c>
      <c r="H32" s="119" t="str">
        <f>[3]Sayfa1!$I29</f>
        <v>Depo/Depot</v>
      </c>
      <c r="I32" s="125" t="str">
        <f>IF([3]Sayfa1!$K29="SSH","Notified by Bozankaya","Notified by Customer")</f>
        <v>Notified by Customer</v>
      </c>
      <c r="J32" s="119" t="e">
        <f>VLOOKUP([3]Sayfa1!$AU29,#REF!,2,FALSE)</f>
        <v>#REF!</v>
      </c>
      <c r="K32" s="119" t="str">
        <f>[3]Sayfa1!$V29</f>
        <v>Bozankaya</v>
      </c>
      <c r="L32" s="126" t="str">
        <f t="shared" si="0"/>
        <v>GDM7X4-FRACAS-GDM-028</v>
      </c>
      <c r="M32" s="127" t="str">
        <f>[3]Sayfa1!$L29</f>
        <v>MC2 Kabinet masasındaki aselsan telsizi çalışmıyor.</v>
      </c>
      <c r="N32" s="128" t="str">
        <f>[3]Sayfa1!$J29</f>
        <v>C-Uyarı, sürüş devamlılığı</v>
      </c>
      <c r="O32" s="128" t="str">
        <f>[3]Sayfa1!$P29</f>
        <v>C(Sisteme etki etmeyen arıza)</v>
      </c>
      <c r="P32" s="128" t="str">
        <f>[3]Sayfa1!$Q29</f>
        <v>N.A(Yaralanma yok)</v>
      </c>
      <c r="Q32" s="129" t="str" cm="1">
        <f t="array" ref="Q32">_xlfn.IFS([3]Sayfa1!$R29="Bozankaya","Bozankaya",[3]Sayfa1!$R29="İşletme","Customer",[3]Sayfa1!$R29="Tedarikçi","Equipment Supplier")</f>
        <v>Bozankaya</v>
      </c>
      <c r="R32" s="130" t="str">
        <f>[3]Sayfa1!$M29</f>
        <v>Tamir süreci başlatıldı. Kalite bölümüne NCR oluşturuldu</v>
      </c>
      <c r="S32" s="147">
        <f>[3]Sayfa1!$AB29</f>
        <v>0</v>
      </c>
      <c r="T32" s="147">
        <f>[3]Sayfa1!$AA29</f>
        <v>0</v>
      </c>
      <c r="U32" s="131">
        <f>[3]Sayfa1!$AN29</f>
        <v>2</v>
      </c>
      <c r="V32" s="132">
        <f>[3]Sayfa1!$T29</f>
        <v>45211</v>
      </c>
      <c r="W32" s="133">
        <f>[3]Sayfa1!$U29</f>
        <v>45211</v>
      </c>
      <c r="X32" s="134">
        <f t="shared" si="1"/>
        <v>45211</v>
      </c>
      <c r="Y32" s="123">
        <f>[3]Sayfa1!$AQ29</f>
        <v>45219</v>
      </c>
      <c r="Z32" s="135">
        <f>[3]Sayfa1!$AR29</f>
        <v>45219.58326388889</v>
      </c>
      <c r="AA32" s="134">
        <f t="shared" si="2"/>
        <v>45219.58326388889</v>
      </c>
      <c r="AB32" s="136">
        <f t="shared" si="3"/>
        <v>205.99833333335118</v>
      </c>
      <c r="AC32" s="137">
        <f t="shared" si="4"/>
        <v>45219</v>
      </c>
      <c r="AD32" s="135">
        <f t="shared" si="5"/>
        <v>45219.58326388889</v>
      </c>
      <c r="AE32" s="138">
        <f t="shared" si="6"/>
        <v>45219.58326388889</v>
      </c>
      <c r="AF32" s="139" t="str">
        <f>[3]Sayfa1!$AP29</f>
        <v>(I) İlk defa karşılaşılan arıza</v>
      </c>
      <c r="AG32" s="128" t="str">
        <f>IF([3]Sayfa1!$P29="C(Sisteme etki etmeyen arıza)","Bu Arıza Aracın Servise Verilmesine Engel Değil","Bu Arıza Aracın Servise Verilmesine Engel")</f>
        <v>Bu Arıza Aracın Servise Verilmesine Engel Değil</v>
      </c>
      <c r="AH32" s="140">
        <f>[3]Sayfa1!$AC29</f>
        <v>0</v>
      </c>
      <c r="AI32" s="137"/>
      <c r="AJ32" s="137"/>
      <c r="AK32" s="138">
        <f t="shared" si="7"/>
        <v>0</v>
      </c>
      <c r="AL32" s="136">
        <f t="shared" si="8"/>
        <v>12359.900000001071</v>
      </c>
      <c r="AM32" s="136">
        <f t="shared" si="9"/>
        <v>0</v>
      </c>
      <c r="AN32" s="141" t="str">
        <f t="shared" si="10"/>
        <v>Bozankaya</v>
      </c>
      <c r="AO32" s="141">
        <f>[3]Sayfa1!$X29</f>
        <v>0</v>
      </c>
      <c r="AP32" s="141">
        <f>[3]Sayfa1!$Z29</f>
        <v>0</v>
      </c>
      <c r="AQ32" s="122">
        <f>[3]Sayfa1!$W29</f>
        <v>0</v>
      </c>
      <c r="AR32" s="142">
        <f>[3]Sayfa1!$Y29</f>
        <v>0</v>
      </c>
      <c r="AS32" s="143">
        <f>[3]Sayfa1!$AD29</f>
        <v>0</v>
      </c>
      <c r="AT32" s="137">
        <f>[3]Sayfa1!$AE29</f>
        <v>0</v>
      </c>
      <c r="AU32" s="137">
        <f>[3]Sayfa1!$AH29</f>
        <v>0</v>
      </c>
      <c r="AV32" s="144">
        <v>28</v>
      </c>
      <c r="AW32" s="145" t="e">
        <f>U32*AB32*#REF!</f>
        <v>#REF!</v>
      </c>
    </row>
    <row r="33" spans="1:49" ht="101.25" customHeight="1">
      <c r="A33" s="119" t="s">
        <v>57</v>
      </c>
      <c r="B33" s="120" t="str">
        <f>[3]Sayfa1!$G30</f>
        <v>TS#1</v>
      </c>
      <c r="C33" s="121" t="str">
        <f>[3]Sayfa1!$H30</f>
        <v>Mc1</v>
      </c>
      <c r="D33" s="146">
        <f>[3]Sayfa1!$N30</f>
        <v>52</v>
      </c>
      <c r="E33" s="122" t="str">
        <f>[3]Sayfa1!$B30</f>
        <v>FRACAS-GDM-029</v>
      </c>
      <c r="F33" s="123">
        <f>[3]Sayfa1!$E30</f>
        <v>45218</v>
      </c>
      <c r="G33" s="124">
        <f>[3]Sayfa1!$F30</f>
        <v>45218</v>
      </c>
      <c r="H33" s="119" t="str">
        <f>[3]Sayfa1!$I30</f>
        <v>Depo/Depot</v>
      </c>
      <c r="I33" s="125" t="str">
        <f>IF([3]Sayfa1!$K30="SSH","Notified by Bozankaya","Notified by Customer")</f>
        <v>Notified by Customer</v>
      </c>
      <c r="J33" s="119" t="e">
        <f>VLOOKUP([3]Sayfa1!$AU30,#REF!,2,FALSE)</f>
        <v>#REF!</v>
      </c>
      <c r="K33" s="119" t="str">
        <f>[3]Sayfa1!$V30</f>
        <v>IFE</v>
      </c>
      <c r="L33" s="126" t="str">
        <f t="shared" si="0"/>
        <v>GDM7X4-FRACAS-GDM-029</v>
      </c>
      <c r="M33" s="127" t="str">
        <f>[3]Sayfa1!$L30</f>
        <v>4. Kapı switch hatalı ürün montajı yapılmış.</v>
      </c>
      <c r="N33" s="128" t="str">
        <f>[3]Sayfa1!$J30</f>
        <v>C-Uyarı, sürüş devamlılığı</v>
      </c>
      <c r="O33" s="128" t="str">
        <f>[3]Sayfa1!$P30</f>
        <v>C(Sisteme etki etmeyen arıza)</v>
      </c>
      <c r="P33" s="128" t="str">
        <f>[3]Sayfa1!$Q30</f>
        <v>N.A(Yaralanma yok)</v>
      </c>
      <c r="Q33" s="129" t="str" cm="1">
        <f t="array" ref="Q33">_xlfn.IFS([3]Sayfa1!$R30="Bozankaya","Bozankaya",[3]Sayfa1!$R30="İşletme","Customer",[3]Sayfa1!$R30="Tedarikçi","Equipment Supplier")</f>
        <v>Bozankaya</v>
      </c>
      <c r="R33" s="130" t="str">
        <f>[3]Sayfa1!$M30</f>
        <v>Tamir süreci başlatıldı. Kalite bölümüne NCR oluşturuldu</v>
      </c>
      <c r="S33" s="147">
        <f>[3]Sayfa1!$AB30</f>
        <v>0</v>
      </c>
      <c r="T33" s="147">
        <f>[3]Sayfa1!$AA30</f>
        <v>0</v>
      </c>
      <c r="U33" s="131">
        <f>[3]Sayfa1!$AN30</f>
        <v>2</v>
      </c>
      <c r="V33" s="132">
        <f>[3]Sayfa1!$T30</f>
        <v>45218</v>
      </c>
      <c r="W33" s="133">
        <f>[3]Sayfa1!$U30</f>
        <v>45218</v>
      </c>
      <c r="X33" s="134">
        <f t="shared" si="1"/>
        <v>45218</v>
      </c>
      <c r="Y33" s="123">
        <f>[3]Sayfa1!$AQ30</f>
        <v>45219</v>
      </c>
      <c r="Z33" s="135">
        <f>[3]Sayfa1!$AR30</f>
        <v>45219.583449074074</v>
      </c>
      <c r="AA33" s="134">
        <f t="shared" si="2"/>
        <v>45219.583449074074</v>
      </c>
      <c r="AB33" s="136">
        <f t="shared" si="3"/>
        <v>38.002777777786832</v>
      </c>
      <c r="AC33" s="137">
        <f t="shared" si="4"/>
        <v>45219</v>
      </c>
      <c r="AD33" s="135">
        <f t="shared" si="5"/>
        <v>45219.583449074074</v>
      </c>
      <c r="AE33" s="138">
        <f t="shared" si="6"/>
        <v>45219.583449074074</v>
      </c>
      <c r="AF33" s="139" t="str">
        <f>[3]Sayfa1!$AP30</f>
        <v>(I) İlk defa karşılaşılan arıza</v>
      </c>
      <c r="AG33" s="128" t="str">
        <f>IF([3]Sayfa1!$P30="C(Sisteme etki etmeyen arıza)","Bu Arıza Aracın Servise Verilmesine Engel Değil","Bu Arıza Aracın Servise Verilmesine Engel")</f>
        <v>Bu Arıza Aracın Servise Verilmesine Engel Değil</v>
      </c>
      <c r="AH33" s="140">
        <f>[3]Sayfa1!$AC30</f>
        <v>0</v>
      </c>
      <c r="AI33" s="137"/>
      <c r="AJ33" s="137"/>
      <c r="AK33" s="138">
        <f t="shared" si="7"/>
        <v>0</v>
      </c>
      <c r="AL33" s="136">
        <f t="shared" si="8"/>
        <v>2280.1666666672099</v>
      </c>
      <c r="AM33" s="136">
        <f t="shared" si="9"/>
        <v>0</v>
      </c>
      <c r="AN33" s="141" t="str">
        <f t="shared" si="10"/>
        <v>IFE</v>
      </c>
      <c r="AO33" s="141">
        <f>[3]Sayfa1!$X30</f>
        <v>0</v>
      </c>
      <c r="AP33" s="141">
        <f>[3]Sayfa1!$Z30</f>
        <v>0</v>
      </c>
      <c r="AQ33" s="122">
        <f>[3]Sayfa1!$W30</f>
        <v>0</v>
      </c>
      <c r="AR33" s="142">
        <f>[3]Sayfa1!$Y30</f>
        <v>0</v>
      </c>
      <c r="AS33" s="143">
        <f>[3]Sayfa1!$AD30</f>
        <v>0</v>
      </c>
      <c r="AT33" s="137">
        <f>[3]Sayfa1!$AE30</f>
        <v>0</v>
      </c>
      <c r="AU33" s="137">
        <f>[3]Sayfa1!$AH30</f>
        <v>0</v>
      </c>
      <c r="AV33" s="144">
        <v>29</v>
      </c>
      <c r="AW33" s="145" t="e">
        <f>U33*AB33*#REF!</f>
        <v>#REF!</v>
      </c>
    </row>
    <row r="34" spans="1:49" ht="101.25" customHeight="1">
      <c r="A34" s="119" t="s">
        <v>57</v>
      </c>
      <c r="B34" s="120" t="str">
        <f>[3]Sayfa1!$G31</f>
        <v>TS#1</v>
      </c>
      <c r="C34" s="121" t="str">
        <f>[3]Sayfa1!$H31</f>
        <v>T</v>
      </c>
      <c r="D34" s="146">
        <f>[3]Sayfa1!$N31</f>
        <v>58</v>
      </c>
      <c r="E34" s="122" t="str">
        <f>[3]Sayfa1!$B31</f>
        <v>FRACAS-GDM-030</v>
      </c>
      <c r="F34" s="123">
        <f>[3]Sayfa1!$E31</f>
        <v>45222</v>
      </c>
      <c r="G34" s="124">
        <f>[3]Sayfa1!$F31</f>
        <v>45222</v>
      </c>
      <c r="H34" s="119" t="str">
        <f>[3]Sayfa1!$I31</f>
        <v>Depo/Depot</v>
      </c>
      <c r="I34" s="125" t="str">
        <f>IF([3]Sayfa1!$K31="SSH","Notified by Bozankaya","Notified by Customer")</f>
        <v>Notified by Customer</v>
      </c>
      <c r="J34" s="119" t="e">
        <f>VLOOKUP([3]Sayfa1!$AU31,#REF!,2,FALSE)</f>
        <v>#REF!</v>
      </c>
      <c r="K34" s="119" t="str">
        <f>[3]Sayfa1!$V31</f>
        <v>Piton</v>
      </c>
      <c r="L34" s="126" t="str">
        <f t="shared" si="0"/>
        <v>GDM7X4-FRACAS-GDM-030</v>
      </c>
      <c r="M34" s="127" t="str">
        <f>[3]Sayfa1!$L31</f>
        <v>5den 6 ya geçerken haberleşme sağlanamıyor. T modülün MC2 tarafına çalışmıyor.</v>
      </c>
      <c r="N34" s="128" t="str">
        <f>[3]Sayfa1!$J31</f>
        <v>C-Uyarı, sürüş devamlılığı</v>
      </c>
      <c r="O34" s="128" t="str">
        <f>[3]Sayfa1!$P31</f>
        <v>C(Sisteme etki etmeyen arıza)</v>
      </c>
      <c r="P34" s="128" t="str">
        <f>[3]Sayfa1!$Q31</f>
        <v>N.A(Yaralanma yok)</v>
      </c>
      <c r="Q34" s="129" t="str" cm="1">
        <f t="array" ref="Q34">_xlfn.IFS([3]Sayfa1!$R31="Bozankaya","Bozankaya",[3]Sayfa1!$R31="İşletme","Customer",[3]Sayfa1!$R31="Tedarikçi","Equipment Supplier")</f>
        <v>Bozankaya</v>
      </c>
      <c r="R34" s="130" t="str">
        <f>[3]Sayfa1!$M31</f>
        <v>Tamir süreci başlatıldı. Kalite bölümüne NCR oluşturuldu</v>
      </c>
      <c r="S34" s="147">
        <f>[3]Sayfa1!$AB31</f>
        <v>0</v>
      </c>
      <c r="T34" s="147">
        <f>[3]Sayfa1!$AA31</f>
        <v>0</v>
      </c>
      <c r="U34" s="131">
        <f>[3]Sayfa1!$AN31</f>
        <v>2</v>
      </c>
      <c r="V34" s="132">
        <f>[3]Sayfa1!$T31</f>
        <v>45222</v>
      </c>
      <c r="W34" s="133">
        <f>[3]Sayfa1!$U31</f>
        <v>45222</v>
      </c>
      <c r="X34" s="134">
        <f t="shared" si="1"/>
        <v>45222</v>
      </c>
      <c r="Y34" s="123">
        <f>[3]Sayfa1!$AQ31</f>
        <v>45233</v>
      </c>
      <c r="Z34" s="135">
        <f>[3]Sayfa1!$AR31</f>
        <v>45233.583611111113</v>
      </c>
      <c r="AA34" s="134">
        <f t="shared" si="2"/>
        <v>45233.583611111113</v>
      </c>
      <c r="AB34" s="136">
        <f t="shared" si="3"/>
        <v>278.00666666671168</v>
      </c>
      <c r="AC34" s="137">
        <f t="shared" si="4"/>
        <v>45233</v>
      </c>
      <c r="AD34" s="135">
        <f t="shared" si="5"/>
        <v>45233.583611111113</v>
      </c>
      <c r="AE34" s="138">
        <f t="shared" si="6"/>
        <v>45233.583611111113</v>
      </c>
      <c r="AF34" s="139" t="str">
        <f>[3]Sayfa1!$AP31</f>
        <v>(I) İlk defa karşılaşılan arıza</v>
      </c>
      <c r="AG34" s="128" t="str">
        <f>IF([3]Sayfa1!$P31="C(Sisteme etki etmeyen arıza)","Bu Arıza Aracın Servise Verilmesine Engel Değil","Bu Arıza Aracın Servise Verilmesine Engel")</f>
        <v>Bu Arıza Aracın Servise Verilmesine Engel Değil</v>
      </c>
      <c r="AH34" s="140">
        <f>[3]Sayfa1!$AC31</f>
        <v>0</v>
      </c>
      <c r="AI34" s="137"/>
      <c r="AJ34" s="137"/>
      <c r="AK34" s="138">
        <f t="shared" si="7"/>
        <v>0</v>
      </c>
      <c r="AL34" s="136">
        <f t="shared" si="8"/>
        <v>16680.400000002701</v>
      </c>
      <c r="AM34" s="136">
        <f t="shared" si="9"/>
        <v>0</v>
      </c>
      <c r="AN34" s="141" t="str">
        <f t="shared" si="10"/>
        <v>Piton</v>
      </c>
      <c r="AO34" s="141">
        <f>[3]Sayfa1!$X31</f>
        <v>0</v>
      </c>
      <c r="AP34" s="141">
        <f>[3]Sayfa1!$Z31</f>
        <v>0</v>
      </c>
      <c r="AQ34" s="122">
        <f>[3]Sayfa1!$W31</f>
        <v>0</v>
      </c>
      <c r="AR34" s="142">
        <f>[3]Sayfa1!$Y31</f>
        <v>0</v>
      </c>
      <c r="AS34" s="143">
        <f>[3]Sayfa1!$AD31</f>
        <v>0</v>
      </c>
      <c r="AT34" s="137">
        <f>[3]Sayfa1!$AE31</f>
        <v>0</v>
      </c>
      <c r="AU34" s="137">
        <f>[3]Sayfa1!$AH31</f>
        <v>0</v>
      </c>
      <c r="AV34" s="144">
        <v>30</v>
      </c>
      <c r="AW34" s="145" t="e">
        <f>U34*AB34*#REF!</f>
        <v>#REF!</v>
      </c>
    </row>
    <row r="35" spans="1:49" ht="101.25" customHeight="1">
      <c r="A35" s="119" t="s">
        <v>57</v>
      </c>
      <c r="B35" s="120" t="str">
        <f>[3]Sayfa1!$G32</f>
        <v>TS#1</v>
      </c>
      <c r="C35" s="121" t="str">
        <f>[3]Sayfa1!$H32</f>
        <v>Mc1</v>
      </c>
      <c r="D35" s="146">
        <f>[3]Sayfa1!$N32</f>
        <v>67</v>
      </c>
      <c r="E35" s="122" t="str">
        <f>[3]Sayfa1!$B32</f>
        <v>FRACAS-GDM-031</v>
      </c>
      <c r="F35" s="123">
        <f>[3]Sayfa1!$E32</f>
        <v>45224</v>
      </c>
      <c r="G35" s="124">
        <f>[3]Sayfa1!$F32</f>
        <v>45224</v>
      </c>
      <c r="H35" s="119" t="str">
        <f>[3]Sayfa1!$I32</f>
        <v>Depo/Depot</v>
      </c>
      <c r="I35" s="125" t="str">
        <f>IF([3]Sayfa1!$K32="SSH","Notified by Bozankaya","Notified by Customer")</f>
        <v>Notified by Customer</v>
      </c>
      <c r="J35" s="119" t="e">
        <f>VLOOKUP([3]Sayfa1!$AU32,#REF!,2,FALSE)</f>
        <v>#REF!</v>
      </c>
      <c r="K35" s="119" t="str">
        <f>[3]Sayfa1!$V32</f>
        <v>Piton</v>
      </c>
      <c r="L35" s="126" t="str">
        <f t="shared" si="0"/>
        <v>GDM7X4-FRACAS-GDM-031</v>
      </c>
      <c r="M35" s="127" t="str">
        <f>[3]Sayfa1!$L32</f>
        <v>Piton ekibinin papiscu cihazının VGA - HDMI çeviricinin besleme kablosu eksikti.</v>
      </c>
      <c r="N35" s="128" t="str">
        <f>[3]Sayfa1!$J32</f>
        <v>C-Uyarı, sürüş devamlılığı</v>
      </c>
      <c r="O35" s="128" t="str">
        <f>[3]Sayfa1!$P32</f>
        <v>C(Sisteme etki etmeyen arıza)</v>
      </c>
      <c r="P35" s="128" t="str">
        <f>[3]Sayfa1!$Q32</f>
        <v>N.A(Yaralanma yok)</v>
      </c>
      <c r="Q35" s="129" t="str" cm="1">
        <f t="array" ref="Q35">_xlfn.IFS([3]Sayfa1!$R32="Bozankaya","Bozankaya",[3]Sayfa1!$R32="İşletme","Customer",[3]Sayfa1!$R32="Tedarikçi","Equipment Supplier")</f>
        <v>Bozankaya</v>
      </c>
      <c r="R35" s="130" t="str">
        <f>[3]Sayfa1!$M32</f>
        <v>Tamir süreci başlatıldı. Kalite bölümüne NCR oluşturuldu</v>
      </c>
      <c r="S35" s="147">
        <f>[3]Sayfa1!$AB32</f>
        <v>0</v>
      </c>
      <c r="T35" s="147">
        <f>[3]Sayfa1!$AA32</f>
        <v>0</v>
      </c>
      <c r="U35" s="131">
        <f>[3]Sayfa1!$AN32</f>
        <v>2</v>
      </c>
      <c r="V35" s="132">
        <f>[3]Sayfa1!$T32</f>
        <v>45224</v>
      </c>
      <c r="W35" s="133">
        <f>[3]Sayfa1!$U32</f>
        <v>45224</v>
      </c>
      <c r="X35" s="134">
        <f t="shared" si="1"/>
        <v>45224</v>
      </c>
      <c r="Y35" s="123">
        <f>[3]Sayfa1!$AQ32</f>
        <v>45226</v>
      </c>
      <c r="Z35" s="135">
        <f>[3]Sayfa1!$AR32</f>
        <v>45226.583819444444</v>
      </c>
      <c r="AA35" s="134">
        <f t="shared" si="2"/>
        <v>45226.583819444444</v>
      </c>
      <c r="AB35" s="136">
        <f t="shared" si="3"/>
        <v>62.01166666665813</v>
      </c>
      <c r="AC35" s="137">
        <f t="shared" si="4"/>
        <v>45226</v>
      </c>
      <c r="AD35" s="135">
        <f t="shared" si="5"/>
        <v>45226.583819444444</v>
      </c>
      <c r="AE35" s="138">
        <f t="shared" si="6"/>
        <v>45226.583819444444</v>
      </c>
      <c r="AF35" s="139" t="str">
        <f>[3]Sayfa1!$AP32</f>
        <v>(I) İlk defa karşılaşılan arıza</v>
      </c>
      <c r="AG35" s="128" t="str">
        <f>IF([3]Sayfa1!$P32="C(Sisteme etki etmeyen arıza)","Bu Arıza Aracın Servise Verilmesine Engel Değil","Bu Arıza Aracın Servise Verilmesine Engel")</f>
        <v>Bu Arıza Aracın Servise Verilmesine Engel Değil</v>
      </c>
      <c r="AH35" s="140">
        <f>[3]Sayfa1!$AC32</f>
        <v>0</v>
      </c>
      <c r="AI35" s="137"/>
      <c r="AJ35" s="137"/>
      <c r="AK35" s="138">
        <f t="shared" si="7"/>
        <v>0</v>
      </c>
      <c r="AL35" s="136">
        <f t="shared" si="8"/>
        <v>3720.6999999994878</v>
      </c>
      <c r="AM35" s="136">
        <f t="shared" si="9"/>
        <v>0</v>
      </c>
      <c r="AN35" s="141" t="str">
        <f t="shared" si="10"/>
        <v>Piton</v>
      </c>
      <c r="AO35" s="141">
        <f>[3]Sayfa1!$X32</f>
        <v>0</v>
      </c>
      <c r="AP35" s="141">
        <f>[3]Sayfa1!$Z32</f>
        <v>0</v>
      </c>
      <c r="AQ35" s="122">
        <f>[3]Sayfa1!$W32</f>
        <v>0</v>
      </c>
      <c r="AR35" s="142">
        <f>[3]Sayfa1!$Y32</f>
        <v>0</v>
      </c>
      <c r="AS35" s="143">
        <f>[3]Sayfa1!$AD32</f>
        <v>0</v>
      </c>
      <c r="AT35" s="137">
        <f>[3]Sayfa1!$AE32</f>
        <v>0</v>
      </c>
      <c r="AU35" s="137">
        <f>[3]Sayfa1!$AH32</f>
        <v>0</v>
      </c>
      <c r="AV35" s="144">
        <v>31</v>
      </c>
      <c r="AW35" s="145" t="e">
        <f>U35*AB35*#REF!</f>
        <v>#REF!</v>
      </c>
    </row>
    <row r="36" spans="1:49" ht="101.25" customHeight="1">
      <c r="A36" s="119" t="s">
        <v>57</v>
      </c>
      <c r="B36" s="120" t="str">
        <f>[3]Sayfa1!$G33</f>
        <v>TS#1</v>
      </c>
      <c r="C36" s="121" t="str">
        <f>[3]Sayfa1!$H33</f>
        <v>Mc2</v>
      </c>
      <c r="D36" s="146">
        <f>[3]Sayfa1!$N33</f>
        <v>69</v>
      </c>
      <c r="E36" s="122" t="str">
        <f>[3]Sayfa1!$B33</f>
        <v>FRACAS-GDM-032</v>
      </c>
      <c r="F36" s="123">
        <f>[3]Sayfa1!$E33</f>
        <v>45224</v>
      </c>
      <c r="G36" s="124">
        <f>[3]Sayfa1!$F33</f>
        <v>45224</v>
      </c>
      <c r="H36" s="119" t="str">
        <f>[3]Sayfa1!$I33</f>
        <v>Depo/Depot</v>
      </c>
      <c r="I36" s="125" t="str">
        <f>IF([3]Sayfa1!$K33="SSH","Notified by Bozankaya","Notified by Customer")</f>
        <v>Notified by Customer</v>
      </c>
      <c r="J36" s="119" t="e">
        <f>VLOOKUP([3]Sayfa1!$AU33,#REF!,2,FALSE)</f>
        <v>#REF!</v>
      </c>
      <c r="K36" s="119" t="str">
        <f>[3]Sayfa1!$V33</f>
        <v>Piton</v>
      </c>
      <c r="L36" s="126" t="str">
        <f t="shared" si="0"/>
        <v>GDM7X4-FRACAS-GDM-032</v>
      </c>
      <c r="M36" s="127" t="str">
        <f>[3]Sayfa1!$L33</f>
        <v>Doğru besleme yapılmasına rağmen cihaz düşük voltaj uyarısı vermektedir.</v>
      </c>
      <c r="N36" s="128" t="str">
        <f>[3]Sayfa1!$J33</f>
        <v>C-Uyarı, sürüş devamlılığı</v>
      </c>
      <c r="O36" s="128" t="str">
        <f>[3]Sayfa1!$P33</f>
        <v>C(Sisteme etki etmeyen arıza)</v>
      </c>
      <c r="P36" s="128" t="str">
        <f>[3]Sayfa1!$Q33</f>
        <v>N.A(Yaralanma yok)</v>
      </c>
      <c r="Q36" s="129" t="str" cm="1">
        <f t="array" ref="Q36">_xlfn.IFS([3]Sayfa1!$R33="Bozankaya","Bozankaya",[3]Sayfa1!$R33="İşletme","Customer",[3]Sayfa1!$R33="Tedarikçi","Equipment Supplier")</f>
        <v>Bozankaya</v>
      </c>
      <c r="R36" s="130" t="str">
        <f>[3]Sayfa1!$M33</f>
        <v>Tamir süreci başlatıldı. Kalite bölümüne NCR oluşturuldu</v>
      </c>
      <c r="S36" s="147">
        <f>[3]Sayfa1!$AB33</f>
        <v>0</v>
      </c>
      <c r="T36" s="147">
        <f>[3]Sayfa1!$AA33</f>
        <v>0</v>
      </c>
      <c r="U36" s="131">
        <f>[3]Sayfa1!$AN33</f>
        <v>2</v>
      </c>
      <c r="V36" s="132">
        <f>[3]Sayfa1!$T33</f>
        <v>45224</v>
      </c>
      <c r="W36" s="133">
        <f>[3]Sayfa1!$U33</f>
        <v>45224</v>
      </c>
      <c r="X36" s="134">
        <f t="shared" si="1"/>
        <v>45224</v>
      </c>
      <c r="Y36" s="123">
        <f>[3]Sayfa1!$AQ33</f>
        <v>45233</v>
      </c>
      <c r="Z36" s="135">
        <f>[3]Sayfa1!$AR33</f>
        <v>45233.584004629629</v>
      </c>
      <c r="AA36" s="134">
        <f t="shared" si="2"/>
        <v>45233.584004629629</v>
      </c>
      <c r="AB36" s="136">
        <f t="shared" si="3"/>
        <v>230.01611111109378</v>
      </c>
      <c r="AC36" s="137">
        <f t="shared" si="4"/>
        <v>45233</v>
      </c>
      <c r="AD36" s="135">
        <f t="shared" si="5"/>
        <v>45233.584004629629</v>
      </c>
      <c r="AE36" s="138">
        <f t="shared" si="6"/>
        <v>45233.584004629629</v>
      </c>
      <c r="AF36" s="139" t="str">
        <f>[3]Sayfa1!$AP33</f>
        <v>(I) İlk defa karşılaşılan arıza</v>
      </c>
      <c r="AG36" s="128" t="str">
        <f>IF([3]Sayfa1!$P33="C(Sisteme etki etmeyen arıza)","Bu Arıza Aracın Servise Verilmesine Engel Değil","Bu Arıza Aracın Servise Verilmesine Engel")</f>
        <v>Bu Arıza Aracın Servise Verilmesine Engel Değil</v>
      </c>
      <c r="AH36" s="140">
        <f>[3]Sayfa1!$AC33</f>
        <v>0</v>
      </c>
      <c r="AI36" s="137"/>
      <c r="AJ36" s="137"/>
      <c r="AK36" s="138">
        <f t="shared" si="7"/>
        <v>0</v>
      </c>
      <c r="AL36" s="136">
        <f t="shared" si="8"/>
        <v>13800.966666665627</v>
      </c>
      <c r="AM36" s="136">
        <f t="shared" si="9"/>
        <v>0</v>
      </c>
      <c r="AN36" s="141" t="str">
        <f t="shared" si="10"/>
        <v>Piton</v>
      </c>
      <c r="AO36" s="141">
        <f>[3]Sayfa1!$X33</f>
        <v>0</v>
      </c>
      <c r="AP36" s="141">
        <f>[3]Sayfa1!$Z33</f>
        <v>0</v>
      </c>
      <c r="AQ36" s="122">
        <f>[3]Sayfa1!$W33</f>
        <v>0</v>
      </c>
      <c r="AR36" s="142">
        <f>[3]Sayfa1!$Y33</f>
        <v>0</v>
      </c>
      <c r="AS36" s="143">
        <f>[3]Sayfa1!$AD33</f>
        <v>0</v>
      </c>
      <c r="AT36" s="137">
        <f>[3]Sayfa1!$AE33</f>
        <v>0</v>
      </c>
      <c r="AU36" s="137">
        <f>[3]Sayfa1!$AH33</f>
        <v>0</v>
      </c>
      <c r="AV36" s="144">
        <v>32</v>
      </c>
      <c r="AW36" s="145" t="e">
        <f>U36*AB36*#REF!</f>
        <v>#REF!</v>
      </c>
    </row>
    <row r="37" spans="1:49" ht="101.25" customHeight="1">
      <c r="A37" s="119" t="s">
        <v>57</v>
      </c>
      <c r="B37" s="120" t="str">
        <f>[3]Sayfa1!$G34</f>
        <v>TS#1</v>
      </c>
      <c r="C37" s="121" t="str">
        <f>[3]Sayfa1!$H34</f>
        <v>Mc1</v>
      </c>
      <c r="D37" s="146">
        <f>[3]Sayfa1!$N34</f>
        <v>70</v>
      </c>
      <c r="E37" s="122" t="str">
        <f>[3]Sayfa1!$B34</f>
        <v>FRACAS-GDM-033</v>
      </c>
      <c r="F37" s="123">
        <f>[3]Sayfa1!$E34</f>
        <v>45230</v>
      </c>
      <c r="G37" s="124">
        <f>[3]Sayfa1!$F34</f>
        <v>45230</v>
      </c>
      <c r="H37" s="119" t="str">
        <f>[3]Sayfa1!$I34</f>
        <v>Depo/Depot</v>
      </c>
      <c r="I37" s="125" t="str">
        <f>IF([3]Sayfa1!$K34="SSH","Notified by Bozankaya","Notified by Customer")</f>
        <v>Notified by Customer</v>
      </c>
      <c r="J37" s="119" t="e">
        <f>VLOOKUP([3]Sayfa1!$AU34,#REF!,2,FALSE)</f>
        <v>#REF!</v>
      </c>
      <c r="K37" s="119" t="str">
        <f>[3]Sayfa1!$V34</f>
        <v>Piton</v>
      </c>
      <c r="L37" s="126" t="str">
        <f t="shared" si="0"/>
        <v>GDM7X4-FRACAS-GDM-033</v>
      </c>
      <c r="M37" s="127" t="str">
        <f>[3]Sayfa1!$L34</f>
        <v>Ön camdan yansıyan, güzergah LED ekranı, front kamerada rayların görünmesini engelliyor.</v>
      </c>
      <c r="N37" s="128" t="str">
        <f>[3]Sayfa1!$J34</f>
        <v>C-Uyarı, sürüş devamlılığı</v>
      </c>
      <c r="O37" s="128" t="str">
        <f>[3]Sayfa1!$P34</f>
        <v>C(Sisteme etki etmeyen arıza)</v>
      </c>
      <c r="P37" s="128" t="str">
        <f>[3]Sayfa1!$Q34</f>
        <v>N.A(Yaralanma yok)</v>
      </c>
      <c r="Q37" s="129" t="str" cm="1">
        <f t="array" ref="Q37">_xlfn.IFS([3]Sayfa1!$R34="Bozankaya","Bozankaya",[3]Sayfa1!$R34="İşletme","Customer",[3]Sayfa1!$R34="Tedarikçi","Equipment Supplier")</f>
        <v>Bozankaya</v>
      </c>
      <c r="R37" s="130" t="str">
        <f>[3]Sayfa1!$M34</f>
        <v>Tamir süreci başlatıldı. Kalite bölümüne NCR oluşturuldu</v>
      </c>
      <c r="S37" s="147">
        <f>[3]Sayfa1!$AB34</f>
        <v>0</v>
      </c>
      <c r="T37" s="147">
        <f>[3]Sayfa1!$AA34</f>
        <v>0</v>
      </c>
      <c r="U37" s="131">
        <f>[3]Sayfa1!$AN34</f>
        <v>2</v>
      </c>
      <c r="V37" s="132">
        <f>[3]Sayfa1!$T34</f>
        <v>45230</v>
      </c>
      <c r="W37" s="133">
        <f>[3]Sayfa1!$U34</f>
        <v>45230</v>
      </c>
      <c r="X37" s="134">
        <f t="shared" si="1"/>
        <v>45230</v>
      </c>
      <c r="Y37" s="123" t="str">
        <f>[3]Sayfa1!$AQ34</f>
        <v/>
      </c>
      <c r="Z37" s="135">
        <f>[3]Sayfa1!$AR34</f>
        <v>0</v>
      </c>
      <c r="AA37" s="134">
        <f t="shared" si="2"/>
        <v>0</v>
      </c>
      <c r="AB37" s="136">
        <f t="shared" si="3"/>
        <v>0</v>
      </c>
      <c r="AC37" s="137" t="str">
        <f t="shared" si="4"/>
        <v/>
      </c>
      <c r="AD37" s="135">
        <f t="shared" si="5"/>
        <v>0</v>
      </c>
      <c r="AE37" s="138">
        <f t="shared" si="6"/>
        <v>0</v>
      </c>
      <c r="AF37" s="139" t="str">
        <f>[3]Sayfa1!$AP34</f>
        <v>(I) İlk defa karşılaşılan arıza</v>
      </c>
      <c r="AG37" s="128" t="str">
        <f>IF([3]Sayfa1!$P34="C(Sisteme etki etmeyen arıza)","Bu Arıza Aracın Servise Verilmesine Engel Değil","Bu Arıza Aracın Servise Verilmesine Engel")</f>
        <v>Bu Arıza Aracın Servise Verilmesine Engel Değil</v>
      </c>
      <c r="AH37" s="140" t="str">
        <f>[3]Sayfa1!$AC34</f>
        <v>41-HBR-23-002</v>
      </c>
      <c r="AI37" s="137"/>
      <c r="AJ37" s="137"/>
      <c r="AK37" s="138">
        <f t="shared" si="7"/>
        <v>0</v>
      </c>
      <c r="AL37" s="136">
        <f t="shared" si="8"/>
        <v>0</v>
      </c>
      <c r="AM37" s="136">
        <f t="shared" si="9"/>
        <v>0</v>
      </c>
      <c r="AN37" s="141" t="str">
        <f t="shared" si="10"/>
        <v>Piton</v>
      </c>
      <c r="AO37" s="141">
        <f>[3]Sayfa1!$X34</f>
        <v>0</v>
      </c>
      <c r="AP37" s="141">
        <f>[3]Sayfa1!$Z34</f>
        <v>0</v>
      </c>
      <c r="AQ37" s="122">
        <f>[3]Sayfa1!$W34</f>
        <v>0</v>
      </c>
      <c r="AR37" s="142">
        <f>[3]Sayfa1!$Y34</f>
        <v>0</v>
      </c>
      <c r="AS37" s="143">
        <f>[3]Sayfa1!$AD34</f>
        <v>0</v>
      </c>
      <c r="AT37" s="137">
        <f>[3]Sayfa1!$AE34</f>
        <v>0</v>
      </c>
      <c r="AU37" s="137">
        <f>[3]Sayfa1!$AH34</f>
        <v>0</v>
      </c>
      <c r="AV37" s="144">
        <v>33</v>
      </c>
      <c r="AW37" s="145" t="e">
        <f>U37*AB37*#REF!</f>
        <v>#REF!</v>
      </c>
    </row>
    <row r="38" spans="1:49" ht="101.25" customHeight="1">
      <c r="A38" s="119" t="s">
        <v>57</v>
      </c>
      <c r="B38" s="120" t="str">
        <f>[3]Sayfa1!$G35</f>
        <v>TS#1</v>
      </c>
      <c r="C38" s="121" t="str">
        <f>[3]Sayfa1!$H35</f>
        <v>T</v>
      </c>
      <c r="D38" s="146">
        <f>[3]Sayfa1!$N35</f>
        <v>73</v>
      </c>
      <c r="E38" s="122" t="str">
        <f>[3]Sayfa1!$B35</f>
        <v>FRACAS-GDM-034</v>
      </c>
      <c r="F38" s="123">
        <f>[3]Sayfa1!$E35</f>
        <v>45230</v>
      </c>
      <c r="G38" s="124">
        <f>[3]Sayfa1!$F35</f>
        <v>45230</v>
      </c>
      <c r="H38" s="119" t="str">
        <f>[3]Sayfa1!$I35</f>
        <v>Depo/Depot</v>
      </c>
      <c r="I38" s="125" t="str">
        <f>IF([3]Sayfa1!$K35="SSH","Notified by Bozankaya","Notified by Customer")</f>
        <v>Notified by Customer</v>
      </c>
      <c r="J38" s="119" t="e">
        <f>VLOOKUP([3]Sayfa1!$AU35,#REF!,2,FALSE)</f>
        <v>#REF!</v>
      </c>
      <c r="K38" s="119" t="str">
        <f>[3]Sayfa1!$V35</f>
        <v>Piton</v>
      </c>
      <c r="L38" s="126" t="str">
        <f t="shared" si="0"/>
        <v>GDM7X4-FRACAS-GDM-034</v>
      </c>
      <c r="M38" s="127" t="str">
        <f>[3]Sayfa1!$L35</f>
        <v>Mc2 vagonundaki ön Güzergah LED panelinde master karttan çıkan kablolar sırasıyla güzergah LED panellere giriş çıkış yapılarak Mc1 vagon ön güzergah LED paneline kadar CAT7 kabloya M12/8pin bağlantısında ekranlara giriş yapılırken pinlerin doğru oturmamasından kaynaklı haberleşme hataları olmaktadır.</v>
      </c>
      <c r="N38" s="128" t="str">
        <f>[3]Sayfa1!$J35</f>
        <v>C-Uyarı, sürüş devamlılığı</v>
      </c>
      <c r="O38" s="128" t="str">
        <f>[3]Sayfa1!$P35</f>
        <v>C(Sisteme etki etmeyen arıza)</v>
      </c>
      <c r="P38" s="128" t="str">
        <f>[3]Sayfa1!$Q35</f>
        <v>N.A(Yaralanma yok)</v>
      </c>
      <c r="Q38" s="129" t="str" cm="1">
        <f t="array" ref="Q38">_xlfn.IFS([3]Sayfa1!$R35="Bozankaya","Bozankaya",[3]Sayfa1!$R35="İşletme","Customer",[3]Sayfa1!$R35="Tedarikçi","Equipment Supplier")</f>
        <v>Bozankaya</v>
      </c>
      <c r="R38" s="130" t="str">
        <f>[3]Sayfa1!$M35</f>
        <v>Tamir süreci başlatıldı. Kalite bölümüne NCR oluşturuldu</v>
      </c>
      <c r="S38" s="147">
        <f>[3]Sayfa1!$AB35</f>
        <v>0</v>
      </c>
      <c r="T38" s="147">
        <f>[3]Sayfa1!$AA35</f>
        <v>0</v>
      </c>
      <c r="U38" s="131">
        <f>[3]Sayfa1!$AN35</f>
        <v>2</v>
      </c>
      <c r="V38" s="132">
        <f>[3]Sayfa1!$T35</f>
        <v>45230</v>
      </c>
      <c r="W38" s="133">
        <f>[3]Sayfa1!$U35</f>
        <v>45230</v>
      </c>
      <c r="X38" s="134">
        <f t="shared" si="1"/>
        <v>45230</v>
      </c>
      <c r="Y38" s="123">
        <f>[3]Sayfa1!$AQ35</f>
        <v>45231</v>
      </c>
      <c r="Z38" s="135">
        <f>[3]Sayfa1!$AR35</f>
        <v>45231.584201388891</v>
      </c>
      <c r="AA38" s="134">
        <f t="shared" si="2"/>
        <v>45231.584201388891</v>
      </c>
      <c r="AB38" s="136">
        <f t="shared" si="3"/>
        <v>38.020833333372138</v>
      </c>
      <c r="AC38" s="137">
        <f t="shared" si="4"/>
        <v>45231</v>
      </c>
      <c r="AD38" s="135">
        <f t="shared" si="5"/>
        <v>45231.584201388891</v>
      </c>
      <c r="AE38" s="138">
        <f t="shared" si="6"/>
        <v>45231.584201388891</v>
      </c>
      <c r="AF38" s="139" t="str">
        <f>[3]Sayfa1!$AP35</f>
        <v>(I) İlk defa karşılaşılan arıza</v>
      </c>
      <c r="AG38" s="128" t="str">
        <f>IF([3]Sayfa1!$P35="C(Sisteme etki etmeyen arıza)","Bu Arıza Aracın Servise Verilmesine Engel Değil","Bu Arıza Aracın Servise Verilmesine Engel")</f>
        <v>Bu Arıza Aracın Servise Verilmesine Engel Değil</v>
      </c>
      <c r="AH38" s="140">
        <f>[3]Sayfa1!$AC35</f>
        <v>0</v>
      </c>
      <c r="AI38" s="137"/>
      <c r="AJ38" s="137"/>
      <c r="AK38" s="138">
        <f t="shared" si="7"/>
        <v>0</v>
      </c>
      <c r="AL38" s="136">
        <f t="shared" si="8"/>
        <v>2281.2500000023283</v>
      </c>
      <c r="AM38" s="136">
        <f t="shared" si="9"/>
        <v>0</v>
      </c>
      <c r="AN38" s="141" t="str">
        <f t="shared" si="10"/>
        <v>Piton</v>
      </c>
      <c r="AO38" s="141">
        <f>[3]Sayfa1!$X35</f>
        <v>0</v>
      </c>
      <c r="AP38" s="141">
        <f>[3]Sayfa1!$Z35</f>
        <v>0</v>
      </c>
      <c r="AQ38" s="122">
        <f>[3]Sayfa1!$W35</f>
        <v>0</v>
      </c>
      <c r="AR38" s="142">
        <f>[3]Sayfa1!$Y35</f>
        <v>0</v>
      </c>
      <c r="AS38" s="143">
        <f>[3]Sayfa1!$AD35</f>
        <v>0</v>
      </c>
      <c r="AT38" s="137">
        <f>[3]Sayfa1!$AE35</f>
        <v>0</v>
      </c>
      <c r="AU38" s="137">
        <f>[3]Sayfa1!$AH35</f>
        <v>0</v>
      </c>
      <c r="AV38" s="144">
        <v>34</v>
      </c>
      <c r="AW38" s="145" t="e">
        <f>U38*AB38*#REF!</f>
        <v>#REF!</v>
      </c>
    </row>
    <row r="39" spans="1:49" ht="101.25" customHeight="1">
      <c r="A39" s="119" t="s">
        <v>57</v>
      </c>
      <c r="B39" s="120" t="str">
        <f>[3]Sayfa1!$G36</f>
        <v>TS#1</v>
      </c>
      <c r="C39" s="121" t="str">
        <f>[3]Sayfa1!$H36</f>
        <v>Mc2</v>
      </c>
      <c r="D39" s="146">
        <f>[3]Sayfa1!$N36</f>
        <v>75</v>
      </c>
      <c r="E39" s="122" t="str">
        <f>[3]Sayfa1!$B36</f>
        <v>FRACAS-GDM-035</v>
      </c>
      <c r="F39" s="123">
        <f>[3]Sayfa1!$E36</f>
        <v>45231</v>
      </c>
      <c r="G39" s="124">
        <f>[3]Sayfa1!$F36</f>
        <v>45231</v>
      </c>
      <c r="H39" s="119" t="str">
        <f>[3]Sayfa1!$I36</f>
        <v>Depo/Depot</v>
      </c>
      <c r="I39" s="125" t="str">
        <f>IF([3]Sayfa1!$K36="SSH","Notified by Bozankaya","Notified by Customer")</f>
        <v>Notified by Customer</v>
      </c>
      <c r="J39" s="119" t="e">
        <f>VLOOKUP([3]Sayfa1!$AU36,#REF!,2,FALSE)</f>
        <v>#REF!</v>
      </c>
      <c r="K39" s="119" t="str">
        <f>[3]Sayfa1!$V36</f>
        <v>Bozankaya</v>
      </c>
      <c r="L39" s="126" t="str">
        <f t="shared" si="0"/>
        <v>GDM7X4-FRACAS-GDM-035</v>
      </c>
      <c r="M39" s="127" t="str">
        <f>[3]Sayfa1!$L36</f>
        <v>Aselsan telsizinin 4 civatasından 1 tanesinin arkasındaki somun ekik olduğu tespit edilmiştir.</v>
      </c>
      <c r="N39" s="128" t="str">
        <f>[3]Sayfa1!$J36</f>
        <v>C-Uyarı, sürüş devamlılığı</v>
      </c>
      <c r="O39" s="128" t="str">
        <f>[3]Sayfa1!$P36</f>
        <v>C(Sisteme etki etmeyen arıza)</v>
      </c>
      <c r="P39" s="128" t="str">
        <f>[3]Sayfa1!$Q36</f>
        <v>N.A(Yaralanma yok)</v>
      </c>
      <c r="Q39" s="129" t="str" cm="1">
        <f t="array" ref="Q39">_xlfn.IFS([3]Sayfa1!$R36="Bozankaya","Bozankaya",[3]Sayfa1!$R36="İşletme","Customer",[3]Sayfa1!$R36="Tedarikçi","Equipment Supplier")</f>
        <v>Bozankaya</v>
      </c>
      <c r="R39" s="130" t="str">
        <f>[3]Sayfa1!$M36</f>
        <v>Tamir süreci başlatıldı. Kalite bölümüne NCR oluşturuldu</v>
      </c>
      <c r="S39" s="147">
        <f>[3]Sayfa1!$AB36</f>
        <v>0</v>
      </c>
      <c r="T39" s="147">
        <f>[3]Sayfa1!$AA36</f>
        <v>0</v>
      </c>
      <c r="U39" s="131">
        <f>[3]Sayfa1!$AN36</f>
        <v>2</v>
      </c>
      <c r="V39" s="132">
        <f>[3]Sayfa1!$T36</f>
        <v>45231</v>
      </c>
      <c r="W39" s="133">
        <f>[3]Sayfa1!$U36</f>
        <v>45231</v>
      </c>
      <c r="X39" s="134">
        <f t="shared" si="1"/>
        <v>45231</v>
      </c>
      <c r="Y39" s="123">
        <f>[3]Sayfa1!$AQ36</f>
        <v>45233</v>
      </c>
      <c r="Z39" s="135">
        <f>[3]Sayfa1!$AR36</f>
        <v>45233.584363425929</v>
      </c>
      <c r="AA39" s="134">
        <f t="shared" si="2"/>
        <v>45233.584363425929</v>
      </c>
      <c r="AB39" s="136">
        <f t="shared" si="3"/>
        <v>62.024722222296987</v>
      </c>
      <c r="AC39" s="137">
        <f t="shared" si="4"/>
        <v>45233</v>
      </c>
      <c r="AD39" s="135">
        <f t="shared" si="5"/>
        <v>45233.584363425929</v>
      </c>
      <c r="AE39" s="138">
        <f t="shared" si="6"/>
        <v>45233.584363425929</v>
      </c>
      <c r="AF39" s="139" t="str">
        <f>[3]Sayfa1!$AP36</f>
        <v>(I) İlk defa karşılaşılan arıza</v>
      </c>
      <c r="AG39" s="128" t="str">
        <f>IF([3]Sayfa1!$P36="C(Sisteme etki etmeyen arıza)","Bu Arıza Aracın Servise Verilmesine Engel Değil","Bu Arıza Aracın Servise Verilmesine Engel")</f>
        <v>Bu Arıza Aracın Servise Verilmesine Engel Değil</v>
      </c>
      <c r="AH39" s="140">
        <f>[3]Sayfa1!$AC36</f>
        <v>0</v>
      </c>
      <c r="AI39" s="137"/>
      <c r="AJ39" s="137"/>
      <c r="AK39" s="138">
        <f t="shared" si="7"/>
        <v>0</v>
      </c>
      <c r="AL39" s="136">
        <f t="shared" si="8"/>
        <v>3721.4833333378192</v>
      </c>
      <c r="AM39" s="136">
        <f t="shared" si="9"/>
        <v>0</v>
      </c>
      <c r="AN39" s="141" t="str">
        <f t="shared" si="10"/>
        <v>Bozankaya</v>
      </c>
      <c r="AO39" s="141">
        <f>[3]Sayfa1!$X36</f>
        <v>0</v>
      </c>
      <c r="AP39" s="141">
        <f>[3]Sayfa1!$Z36</f>
        <v>0</v>
      </c>
      <c r="AQ39" s="122">
        <f>[3]Sayfa1!$W36</f>
        <v>0</v>
      </c>
      <c r="AR39" s="142">
        <f>[3]Sayfa1!$Y36</f>
        <v>0</v>
      </c>
      <c r="AS39" s="143">
        <f>[3]Sayfa1!$AD36</f>
        <v>0</v>
      </c>
      <c r="AT39" s="137">
        <f>[3]Sayfa1!$AE36</f>
        <v>0</v>
      </c>
      <c r="AU39" s="137">
        <f>[3]Sayfa1!$AH36</f>
        <v>0</v>
      </c>
      <c r="AV39" s="144">
        <v>35</v>
      </c>
      <c r="AW39" s="145" t="e">
        <f>U39*AB39*#REF!</f>
        <v>#REF!</v>
      </c>
    </row>
    <row r="40" spans="1:49" ht="101.25" customHeight="1">
      <c r="A40" s="119" t="s">
        <v>57</v>
      </c>
      <c r="B40" s="120" t="str">
        <f>[3]Sayfa1!$G37</f>
        <v>TS#1</v>
      </c>
      <c r="C40" s="121" t="str">
        <f>[3]Sayfa1!$H37</f>
        <v>Mc2</v>
      </c>
      <c r="D40" s="146">
        <f>[3]Sayfa1!$N37</f>
        <v>78</v>
      </c>
      <c r="E40" s="122" t="str">
        <f>[3]Sayfa1!$B37</f>
        <v>FRACAS-GDM-036</v>
      </c>
      <c r="F40" s="123">
        <f>[3]Sayfa1!$E37</f>
        <v>45231</v>
      </c>
      <c r="G40" s="124">
        <f>[3]Sayfa1!$F37</f>
        <v>45231</v>
      </c>
      <c r="H40" s="119" t="str">
        <f>[3]Sayfa1!$I37</f>
        <v>Depo/Depot</v>
      </c>
      <c r="I40" s="125" t="str">
        <f>IF([3]Sayfa1!$K37="SSH","Notified by Bozankaya","Notified by Customer")</f>
        <v>Notified by Customer</v>
      </c>
      <c r="J40" s="119" t="e">
        <f>VLOOKUP([3]Sayfa1!$AU37,#REF!,2,FALSE)</f>
        <v>#REF!</v>
      </c>
      <c r="K40" s="119" t="str">
        <f>[3]Sayfa1!$V37</f>
        <v>Bozankaya</v>
      </c>
      <c r="L40" s="126" t="str">
        <f t="shared" si="0"/>
        <v>GDM7X4-FRACAS-GDM-036</v>
      </c>
      <c r="M40" s="127" t="str">
        <f>[3]Sayfa1!$L37</f>
        <v>Aselsan anteninin alt kısmında nem tespit edilmiştir. Conta ile antenin krom saç kısmı ıslaklık mevcuttur.</v>
      </c>
      <c r="N40" s="128" t="str">
        <f>[3]Sayfa1!$J37</f>
        <v>C-Uyarı, sürüş devamlılığı</v>
      </c>
      <c r="O40" s="128" t="str">
        <f>[3]Sayfa1!$P37</f>
        <v>C(Sisteme etki etmeyen arıza)</v>
      </c>
      <c r="P40" s="128" t="str">
        <f>[3]Sayfa1!$Q37</f>
        <v>N.A(Yaralanma yok)</v>
      </c>
      <c r="Q40" s="129" t="str" cm="1">
        <f t="array" ref="Q40">_xlfn.IFS([3]Sayfa1!$R37="Bozankaya","Bozankaya",[3]Sayfa1!$R37="İşletme","Customer",[3]Sayfa1!$R37="Tedarikçi","Equipment Supplier")</f>
        <v>Bozankaya</v>
      </c>
      <c r="R40" s="130" t="str">
        <f>[3]Sayfa1!$M37</f>
        <v>Tamir süreci başlatıldı. Kalite bölümüne NCR oluşturuldu</v>
      </c>
      <c r="S40" s="147">
        <f>[3]Sayfa1!$AB37</f>
        <v>0</v>
      </c>
      <c r="T40" s="147">
        <f>[3]Sayfa1!$AA37</f>
        <v>0</v>
      </c>
      <c r="U40" s="131">
        <f>[3]Sayfa1!$AN37</f>
        <v>2</v>
      </c>
      <c r="V40" s="132">
        <f>[3]Sayfa1!$T37</f>
        <v>45231</v>
      </c>
      <c r="W40" s="133">
        <f>[3]Sayfa1!$U37</f>
        <v>45231</v>
      </c>
      <c r="X40" s="134">
        <f t="shared" si="1"/>
        <v>45231</v>
      </c>
      <c r="Y40" s="123">
        <f>[3]Sayfa1!$AQ37</f>
        <v>45232</v>
      </c>
      <c r="Z40" s="135">
        <f>[3]Sayfa1!$AR37</f>
        <v>45232.584652777776</v>
      </c>
      <c r="AA40" s="134">
        <f t="shared" si="2"/>
        <v>45232.584652777776</v>
      </c>
      <c r="AB40" s="136">
        <f t="shared" si="3"/>
        <v>38.031666666618548</v>
      </c>
      <c r="AC40" s="137">
        <f t="shared" si="4"/>
        <v>45232</v>
      </c>
      <c r="AD40" s="135">
        <f t="shared" si="5"/>
        <v>45232.584652777776</v>
      </c>
      <c r="AE40" s="138">
        <f t="shared" si="6"/>
        <v>45232.584652777776</v>
      </c>
      <c r="AF40" s="139" t="str">
        <f>[3]Sayfa1!$AP37</f>
        <v>(I) İlk defa karşılaşılan arıza</v>
      </c>
      <c r="AG40" s="128" t="str">
        <f>IF([3]Sayfa1!$P37="C(Sisteme etki etmeyen arıza)","Bu Arıza Aracın Servise Verilmesine Engel Değil","Bu Arıza Aracın Servise Verilmesine Engel")</f>
        <v>Bu Arıza Aracın Servise Verilmesine Engel Değil</v>
      </c>
      <c r="AH40" s="140">
        <f>[3]Sayfa1!$AC37</f>
        <v>0</v>
      </c>
      <c r="AI40" s="137"/>
      <c r="AJ40" s="137"/>
      <c r="AK40" s="138">
        <f t="shared" si="7"/>
        <v>0</v>
      </c>
      <c r="AL40" s="136">
        <f t="shared" si="8"/>
        <v>2281.8999999971129</v>
      </c>
      <c r="AM40" s="136">
        <f t="shared" si="9"/>
        <v>0</v>
      </c>
      <c r="AN40" s="141" t="str">
        <f t="shared" si="10"/>
        <v>Bozankaya</v>
      </c>
      <c r="AO40" s="141">
        <f>[3]Sayfa1!$X37</f>
        <v>0</v>
      </c>
      <c r="AP40" s="141">
        <f>[3]Sayfa1!$Z37</f>
        <v>0</v>
      </c>
      <c r="AQ40" s="122">
        <f>[3]Sayfa1!$W37</f>
        <v>0</v>
      </c>
      <c r="AR40" s="142">
        <f>[3]Sayfa1!$Y37</f>
        <v>0</v>
      </c>
      <c r="AS40" s="143">
        <f>[3]Sayfa1!$AD37</f>
        <v>0</v>
      </c>
      <c r="AT40" s="137" t="str">
        <f>[3]Sayfa1!$AE37</f>
        <v/>
      </c>
      <c r="AU40" s="137">
        <f>[3]Sayfa1!$AH37</f>
        <v>45233</v>
      </c>
      <c r="AV40" s="144">
        <v>36</v>
      </c>
      <c r="AW40" s="145" t="e">
        <f>U40*AB40*#REF!</f>
        <v>#REF!</v>
      </c>
    </row>
    <row r="41" spans="1:49" ht="101.25" customHeight="1">
      <c r="A41" s="119" t="s">
        <v>57</v>
      </c>
      <c r="B41" s="120" t="str">
        <f>[3]Sayfa1!$G38</f>
        <v>TS#1</v>
      </c>
      <c r="C41" s="121" t="str">
        <f>[3]Sayfa1!$H38</f>
        <v>T</v>
      </c>
      <c r="D41" s="146">
        <f>[3]Sayfa1!$N38</f>
        <v>79</v>
      </c>
      <c r="E41" s="122" t="str">
        <f>[3]Sayfa1!$B38</f>
        <v>FRACAS-GDM-037</v>
      </c>
      <c r="F41" s="123">
        <f>[3]Sayfa1!$E38</f>
        <v>45231</v>
      </c>
      <c r="G41" s="124">
        <f>[3]Sayfa1!$F38</f>
        <v>45231</v>
      </c>
      <c r="H41" s="119" t="str">
        <f>[3]Sayfa1!$I38</f>
        <v>Depo/Depot</v>
      </c>
      <c r="I41" s="125" t="str">
        <f>IF([3]Sayfa1!$K38="SSH","Notified by Bozankaya","Notified by Customer")</f>
        <v>Notified by Customer</v>
      </c>
      <c r="J41" s="119" t="e">
        <f>VLOOKUP([3]Sayfa1!$AU38,#REF!,2,FALSE)</f>
        <v>#REF!</v>
      </c>
      <c r="K41" s="119" t="str">
        <f>[3]Sayfa1!$V38</f>
        <v>ABB</v>
      </c>
      <c r="L41" s="126" t="str">
        <f t="shared" si="0"/>
        <v>GDM7X4-FRACAS-GDM-037</v>
      </c>
      <c r="M41" s="127" t="str">
        <f>[3]Sayfa1!$L38</f>
        <v>LVSG kutusunun civataları her açılış ve kapanışta sorun çıkarmatadır. Civataların sıyırıyor, diş kaptırıyor ve diş aşınması oluyor. Bunun sonucun da kapak kapanmakta zorluk yaşanmaktadır.</v>
      </c>
      <c r="N41" s="128" t="str">
        <f>[3]Sayfa1!$J38</f>
        <v>C-Uyarı, sürüş devamlılığı</v>
      </c>
      <c r="O41" s="128" t="str">
        <f>[3]Sayfa1!$P38</f>
        <v>C(Sisteme etki etmeyen arıza)</v>
      </c>
      <c r="P41" s="128" t="str">
        <f>[3]Sayfa1!$Q38</f>
        <v>N.A(Yaralanma yok)</v>
      </c>
      <c r="Q41" s="129" t="str" cm="1">
        <f t="array" ref="Q41">_xlfn.IFS([3]Sayfa1!$R38="Bozankaya","Bozankaya",[3]Sayfa1!$R38="İşletme","Customer",[3]Sayfa1!$R38="Tedarikçi","Equipment Supplier")</f>
        <v>Bozankaya</v>
      </c>
      <c r="R41" s="130" t="str">
        <f>[3]Sayfa1!$M38</f>
        <v>Tamir süreci başlatıldı. Kalite bölümüne NCR oluşturuldu</v>
      </c>
      <c r="S41" s="147">
        <f>[3]Sayfa1!$AB38</f>
        <v>0</v>
      </c>
      <c r="T41" s="147">
        <f>[3]Sayfa1!$AA38</f>
        <v>0</v>
      </c>
      <c r="U41" s="131">
        <f>[3]Sayfa1!$AN38</f>
        <v>2</v>
      </c>
      <c r="V41" s="132">
        <f>[3]Sayfa1!$T38</f>
        <v>45231</v>
      </c>
      <c r="W41" s="133">
        <f>[3]Sayfa1!$U38</f>
        <v>45231</v>
      </c>
      <c r="X41" s="134">
        <f t="shared" si="1"/>
        <v>45231</v>
      </c>
      <c r="Y41" s="123" t="str">
        <f>[3]Sayfa1!$AQ38</f>
        <v/>
      </c>
      <c r="Z41" s="135">
        <f>[3]Sayfa1!$AR38</f>
        <v>0</v>
      </c>
      <c r="AA41" s="134">
        <f t="shared" si="2"/>
        <v>0</v>
      </c>
      <c r="AB41" s="136">
        <f t="shared" si="3"/>
        <v>0</v>
      </c>
      <c r="AC41" s="137" t="str">
        <f t="shared" si="4"/>
        <v/>
      </c>
      <c r="AD41" s="135">
        <f t="shared" si="5"/>
        <v>0</v>
      </c>
      <c r="AE41" s="138">
        <f t="shared" si="6"/>
        <v>0</v>
      </c>
      <c r="AF41" s="139" t="str">
        <f>[3]Sayfa1!$AP38</f>
        <v>(I) İlk defa karşılaşılan arıza</v>
      </c>
      <c r="AG41" s="128" t="str">
        <f>IF([3]Sayfa1!$P38="C(Sisteme etki etmeyen arıza)","Bu Arıza Aracın Servise Verilmesine Engel Değil","Bu Arıza Aracın Servise Verilmesine Engel")</f>
        <v>Bu Arıza Aracın Servise Verilmesine Engel Değil</v>
      </c>
      <c r="AH41" s="140">
        <f>[3]Sayfa1!$AC38</f>
        <v>0</v>
      </c>
      <c r="AI41" s="137"/>
      <c r="AJ41" s="137"/>
      <c r="AK41" s="138">
        <f t="shared" si="7"/>
        <v>0</v>
      </c>
      <c r="AL41" s="136">
        <f t="shared" si="8"/>
        <v>0</v>
      </c>
      <c r="AM41" s="136">
        <f t="shared" si="9"/>
        <v>0</v>
      </c>
      <c r="AN41" s="141" t="str">
        <f t="shared" si="10"/>
        <v>ABB</v>
      </c>
      <c r="AO41" s="141">
        <f>[3]Sayfa1!$X38</f>
        <v>0</v>
      </c>
      <c r="AP41" s="141">
        <f>[3]Sayfa1!$Z38</f>
        <v>0</v>
      </c>
      <c r="AQ41" s="122">
        <f>[3]Sayfa1!$W38</f>
        <v>0</v>
      </c>
      <c r="AR41" s="142">
        <f>[3]Sayfa1!$Y38</f>
        <v>0</v>
      </c>
      <c r="AS41" s="143">
        <f>[3]Sayfa1!$AD38</f>
        <v>0</v>
      </c>
      <c r="AT41" s="137">
        <f>[3]Sayfa1!$AE38</f>
        <v>0</v>
      </c>
      <c r="AU41" s="137">
        <f>[3]Sayfa1!$AH38</f>
        <v>0</v>
      </c>
      <c r="AV41" s="144">
        <v>37</v>
      </c>
      <c r="AW41" s="145" t="e">
        <f>U41*AB41*#REF!</f>
        <v>#REF!</v>
      </c>
    </row>
    <row r="42" spans="1:49" ht="101.25" customHeight="1">
      <c r="A42" s="119" t="s">
        <v>57</v>
      </c>
      <c r="B42" s="120" t="str">
        <f>[3]Sayfa1!$G39</f>
        <v>TS#1</v>
      </c>
      <c r="C42" s="121" t="str">
        <f>[3]Sayfa1!$H39</f>
        <v>T</v>
      </c>
      <c r="D42" s="146">
        <f>[3]Sayfa1!$N39</f>
        <v>82</v>
      </c>
      <c r="E42" s="122" t="str">
        <f>[3]Sayfa1!$B39</f>
        <v>FRACAS-GDM-038</v>
      </c>
      <c r="F42" s="123">
        <f>[3]Sayfa1!$E39</f>
        <v>45231</v>
      </c>
      <c r="G42" s="124">
        <f>[3]Sayfa1!$F39</f>
        <v>45231</v>
      </c>
      <c r="H42" s="119" t="str">
        <f>[3]Sayfa1!$I39</f>
        <v>Depo/Depot</v>
      </c>
      <c r="I42" s="125" t="str">
        <f>IF([3]Sayfa1!$K39="SSH","Notified by Bozankaya","Notified by Customer")</f>
        <v>Notified by Customer</v>
      </c>
      <c r="J42" s="119" t="e">
        <f>VLOOKUP([3]Sayfa1!$AU39,#REF!,2,FALSE)</f>
        <v>#REF!</v>
      </c>
      <c r="K42" s="119" t="str">
        <f>[3]Sayfa1!$V39</f>
        <v>ABB</v>
      </c>
      <c r="L42" s="126" t="str">
        <f t="shared" si="0"/>
        <v>GDM7X4-FRACAS-GDM-038</v>
      </c>
      <c r="M42" s="127" t="str">
        <f>[3]Sayfa1!$L39</f>
        <v>LVSG kapağının switch tam olarak basmamaktadır. Kapağın altındaki switch basması gerek alan küçük yapıldığından kapak aşağı kaymaktadır.</v>
      </c>
      <c r="N42" s="128" t="str">
        <f>[3]Sayfa1!$J39</f>
        <v>C-Uyarı, sürüş devamlılığı</v>
      </c>
      <c r="O42" s="128" t="str">
        <f>[3]Sayfa1!$P39</f>
        <v>C(Sisteme etki etmeyen arıza)</v>
      </c>
      <c r="P42" s="128" t="str">
        <f>[3]Sayfa1!$Q39</f>
        <v>N.A(Yaralanma yok)</v>
      </c>
      <c r="Q42" s="129" t="str" cm="1">
        <f t="array" ref="Q42">_xlfn.IFS([3]Sayfa1!$R39="Bozankaya","Bozankaya",[3]Sayfa1!$R39="İşletme","Customer",[3]Sayfa1!$R39="Tedarikçi","Equipment Supplier")</f>
        <v>Bozankaya</v>
      </c>
      <c r="R42" s="130" t="str">
        <f>[3]Sayfa1!$M39</f>
        <v>Tamir süreci başlatıldı. Kalite bölümüne NCR oluşturuldu</v>
      </c>
      <c r="S42" s="147">
        <f>[3]Sayfa1!$AB39</f>
        <v>0</v>
      </c>
      <c r="T42" s="147">
        <f>[3]Sayfa1!$AA39</f>
        <v>0</v>
      </c>
      <c r="U42" s="131">
        <f>[3]Sayfa1!$AN39</f>
        <v>2</v>
      </c>
      <c r="V42" s="132">
        <f>[3]Sayfa1!$T39</f>
        <v>45231</v>
      </c>
      <c r="W42" s="133">
        <f>[3]Sayfa1!$U39</f>
        <v>45231</v>
      </c>
      <c r="X42" s="134">
        <f t="shared" si="1"/>
        <v>45231</v>
      </c>
      <c r="Y42" s="123" t="str">
        <f>[3]Sayfa1!$AQ39</f>
        <v/>
      </c>
      <c r="Z42" s="135">
        <f>[3]Sayfa1!$AR39</f>
        <v>0</v>
      </c>
      <c r="AA42" s="134">
        <f t="shared" si="2"/>
        <v>0</v>
      </c>
      <c r="AB42" s="136">
        <f t="shared" si="3"/>
        <v>0</v>
      </c>
      <c r="AC42" s="137" t="str">
        <f t="shared" si="4"/>
        <v/>
      </c>
      <c r="AD42" s="135">
        <f t="shared" si="5"/>
        <v>0</v>
      </c>
      <c r="AE42" s="138">
        <f t="shared" si="6"/>
        <v>0</v>
      </c>
      <c r="AF42" s="139" t="str">
        <f>[3]Sayfa1!$AP39</f>
        <v>(I) İlk defa karşılaşılan arıza</v>
      </c>
      <c r="AG42" s="128" t="str">
        <f>IF([3]Sayfa1!$P39="C(Sisteme etki etmeyen arıza)","Bu Arıza Aracın Servise Verilmesine Engel Değil","Bu Arıza Aracın Servise Verilmesine Engel")</f>
        <v>Bu Arıza Aracın Servise Verilmesine Engel Değil</v>
      </c>
      <c r="AH42" s="140">
        <f>[3]Sayfa1!$AC39</f>
        <v>0</v>
      </c>
      <c r="AI42" s="137"/>
      <c r="AJ42" s="137"/>
      <c r="AK42" s="138">
        <f t="shared" si="7"/>
        <v>0</v>
      </c>
      <c r="AL42" s="136">
        <f t="shared" si="8"/>
        <v>0</v>
      </c>
      <c r="AM42" s="136">
        <f t="shared" si="9"/>
        <v>0</v>
      </c>
      <c r="AN42" s="141" t="str">
        <f t="shared" si="10"/>
        <v>ABB</v>
      </c>
      <c r="AO42" s="141">
        <f>[3]Sayfa1!$X39</f>
        <v>0</v>
      </c>
      <c r="AP42" s="141">
        <f>[3]Sayfa1!$Z39</f>
        <v>0</v>
      </c>
      <c r="AQ42" s="122">
        <f>[3]Sayfa1!$W39</f>
        <v>0</v>
      </c>
      <c r="AR42" s="142">
        <f>[3]Sayfa1!$Y39</f>
        <v>0</v>
      </c>
      <c r="AS42" s="143">
        <f>[3]Sayfa1!$AD39</f>
        <v>0</v>
      </c>
      <c r="AT42" s="137">
        <f>[3]Sayfa1!$AE39</f>
        <v>0</v>
      </c>
      <c r="AU42" s="137">
        <f>[3]Sayfa1!$AH39</f>
        <v>0</v>
      </c>
      <c r="AV42" s="144">
        <v>38</v>
      </c>
      <c r="AW42" s="145" t="e">
        <f>U42*AB42*#REF!</f>
        <v>#REF!</v>
      </c>
    </row>
    <row r="43" spans="1:49" ht="101.25" customHeight="1">
      <c r="A43" s="119" t="s">
        <v>57</v>
      </c>
      <c r="B43" s="120" t="str">
        <f>[3]Sayfa1!$G40</f>
        <v>TS#1</v>
      </c>
      <c r="C43" s="121" t="str">
        <f>[3]Sayfa1!$H40</f>
        <v>Mc1</v>
      </c>
      <c r="D43" s="146">
        <f>[3]Sayfa1!$N40</f>
        <v>83</v>
      </c>
      <c r="E43" s="122" t="str">
        <f>[3]Sayfa1!$B40</f>
        <v>FRACAS-GDM-039</v>
      </c>
      <c r="F43" s="123">
        <f>[3]Sayfa1!$E40</f>
        <v>45232</v>
      </c>
      <c r="G43" s="124">
        <f>[3]Sayfa1!$F40</f>
        <v>45232</v>
      </c>
      <c r="H43" s="119" t="str">
        <f>[3]Sayfa1!$I40</f>
        <v>Depo/Depot</v>
      </c>
      <c r="I43" s="125" t="str">
        <f>IF([3]Sayfa1!$K40="SSH","Notified by Bozankaya","Notified by Customer")</f>
        <v>Notified by Customer</v>
      </c>
      <c r="J43" s="119" t="e">
        <f>VLOOKUP([3]Sayfa1!$AU40,#REF!,2,FALSE)</f>
        <v>#REF!</v>
      </c>
      <c r="K43" s="119" t="str">
        <f>[3]Sayfa1!$V40</f>
        <v>Bozankaya</v>
      </c>
      <c r="L43" s="126" t="str">
        <f t="shared" si="0"/>
        <v>GDM7X4-FRACAS-GDM-039</v>
      </c>
      <c r="M43" s="127" t="str">
        <f>[3]Sayfa1!$L40</f>
        <v>Bakım anahtarı çalışmıyor.</v>
      </c>
      <c r="N43" s="128" t="str">
        <f>[3]Sayfa1!$J40</f>
        <v>C-Uyarı, sürüş devamlılığı</v>
      </c>
      <c r="O43" s="128" t="str">
        <f>[3]Sayfa1!$P40</f>
        <v>C(Sisteme etki etmeyen arıza)</v>
      </c>
      <c r="P43" s="128" t="str">
        <f>[3]Sayfa1!$Q40</f>
        <v>N.A(Yaralanma yok)</v>
      </c>
      <c r="Q43" s="129" t="str" cm="1">
        <f t="array" ref="Q43">_xlfn.IFS([3]Sayfa1!$R40="Bozankaya","Bozankaya",[3]Sayfa1!$R40="İşletme","Customer",[3]Sayfa1!$R40="Tedarikçi","Equipment Supplier")</f>
        <v>Bozankaya</v>
      </c>
      <c r="R43" s="130" t="str">
        <f>[3]Sayfa1!$M40</f>
        <v>Tamir süreci başlatıldı. Kalite bölümüne NCR oluşturuldu</v>
      </c>
      <c r="S43" s="147">
        <f>[3]Sayfa1!$AB40</f>
        <v>0</v>
      </c>
      <c r="T43" s="147">
        <f>[3]Sayfa1!$AA40</f>
        <v>0</v>
      </c>
      <c r="U43" s="131">
        <f>[3]Sayfa1!$AN40</f>
        <v>2</v>
      </c>
      <c r="V43" s="132">
        <f>[3]Sayfa1!$T40</f>
        <v>45232</v>
      </c>
      <c r="W43" s="133">
        <f>[3]Sayfa1!$U40</f>
        <v>45232</v>
      </c>
      <c r="X43" s="134">
        <f t="shared" si="1"/>
        <v>45232</v>
      </c>
      <c r="Y43" s="123">
        <f>[3]Sayfa1!$AQ40</f>
        <v>45238</v>
      </c>
      <c r="Z43" s="135">
        <f>[3]Sayfa1!$AR40</f>
        <v>45238.585104166668</v>
      </c>
      <c r="AA43" s="134">
        <f t="shared" si="2"/>
        <v>45238.585104166668</v>
      </c>
      <c r="AB43" s="136">
        <f t="shared" si="3"/>
        <v>158.04250000003958</v>
      </c>
      <c r="AC43" s="137">
        <f t="shared" si="4"/>
        <v>45238</v>
      </c>
      <c r="AD43" s="135">
        <f t="shared" si="5"/>
        <v>45238.585104166668</v>
      </c>
      <c r="AE43" s="138">
        <f t="shared" si="6"/>
        <v>45238.585104166668</v>
      </c>
      <c r="AF43" s="139" t="str">
        <f>[3]Sayfa1!$AP40</f>
        <v>(I) İlk defa karşılaşılan arıza</v>
      </c>
      <c r="AG43" s="128" t="str">
        <f>IF([3]Sayfa1!$P40="C(Sisteme etki etmeyen arıza)","Bu Arıza Aracın Servise Verilmesine Engel Değil","Bu Arıza Aracın Servise Verilmesine Engel")</f>
        <v>Bu Arıza Aracın Servise Verilmesine Engel Değil</v>
      </c>
      <c r="AH43" s="140">
        <f>[3]Sayfa1!$AC40</f>
        <v>0</v>
      </c>
      <c r="AI43" s="137"/>
      <c r="AJ43" s="137"/>
      <c r="AK43" s="138">
        <f t="shared" si="7"/>
        <v>0</v>
      </c>
      <c r="AL43" s="136">
        <f t="shared" si="8"/>
        <v>9482.5500000023749</v>
      </c>
      <c r="AM43" s="136">
        <f t="shared" si="9"/>
        <v>0</v>
      </c>
      <c r="AN43" s="141" t="str">
        <f t="shared" si="10"/>
        <v>Bozankaya</v>
      </c>
      <c r="AO43" s="141">
        <f>[3]Sayfa1!$X40</f>
        <v>0</v>
      </c>
      <c r="AP43" s="141">
        <f>[3]Sayfa1!$Z40</f>
        <v>0</v>
      </c>
      <c r="AQ43" s="122">
        <f>[3]Sayfa1!$W40</f>
        <v>0</v>
      </c>
      <c r="AR43" s="142">
        <f>[3]Sayfa1!$Y40</f>
        <v>0</v>
      </c>
      <c r="AS43" s="143">
        <f>[3]Sayfa1!$AD40</f>
        <v>0</v>
      </c>
      <c r="AT43" s="137">
        <f>[3]Sayfa1!$AE40</f>
        <v>0</v>
      </c>
      <c r="AU43" s="137">
        <f>[3]Sayfa1!$AH40</f>
        <v>0</v>
      </c>
      <c r="AV43" s="144">
        <v>39</v>
      </c>
      <c r="AW43" s="145" t="e">
        <f>U43*AB43*#REF!</f>
        <v>#REF!</v>
      </c>
    </row>
    <row r="44" spans="1:49" ht="101.25" customHeight="1">
      <c r="A44" s="119" t="s">
        <v>57</v>
      </c>
      <c r="B44" s="120" t="str">
        <f>[3]Sayfa1!$G41</f>
        <v>TS#2</v>
      </c>
      <c r="C44" s="121" t="str">
        <f>[3]Sayfa1!$H41</f>
        <v>Mc2</v>
      </c>
      <c r="D44" s="146">
        <f>[3]Sayfa1!$N41</f>
        <v>0</v>
      </c>
      <c r="E44" s="122" t="str">
        <f>[3]Sayfa1!$B41</f>
        <v>FRACAS-GDM-040</v>
      </c>
      <c r="F44" s="123">
        <f>[3]Sayfa1!$E41</f>
        <v>45233</v>
      </c>
      <c r="G44" s="124">
        <f>[3]Sayfa1!$F41</f>
        <v>45233</v>
      </c>
      <c r="H44" s="119" t="str">
        <f>[3]Sayfa1!$I41</f>
        <v>Depo/Depot</v>
      </c>
      <c r="I44" s="125" t="str">
        <f>IF([3]Sayfa1!$K41="SSH","Notified by Bozankaya","Notified by Customer")</f>
        <v>Notified by Customer</v>
      </c>
      <c r="J44" s="119" t="e">
        <f>VLOOKUP([3]Sayfa1!$AU41,#REF!,2,FALSE)</f>
        <v>#REF!</v>
      </c>
      <c r="K44" s="119" t="str">
        <f>[3]Sayfa1!$V41</f>
        <v>Bozankaya</v>
      </c>
      <c r="L44" s="126" t="str">
        <f t="shared" si="0"/>
        <v>GDM7X4-FRACAS-GDM-040</v>
      </c>
      <c r="M44" s="127" t="str">
        <f>[3]Sayfa1!$L41</f>
        <v>Jumper sabitleme braketinin 1 adet vidası eksik</v>
      </c>
      <c r="N44" s="128" t="str">
        <f>[3]Sayfa1!$J41</f>
        <v>C-Uyarı, sürüş devamlılığı</v>
      </c>
      <c r="O44" s="128" t="str">
        <f>[3]Sayfa1!$P41</f>
        <v>C(Sisteme etki etmeyen arıza)</v>
      </c>
      <c r="P44" s="128" t="str">
        <f>[3]Sayfa1!$Q41</f>
        <v>N.A(Yaralanma yok)</v>
      </c>
      <c r="Q44" s="129" t="str" cm="1">
        <f t="array" ref="Q44">_xlfn.IFS([3]Sayfa1!$R41="Bozankaya","Bozankaya",[3]Sayfa1!$R41="İşletme","Customer",[3]Sayfa1!$R41="Tedarikçi","Equipment Supplier")</f>
        <v>Bozankaya</v>
      </c>
      <c r="R44" s="130" t="str">
        <f>[3]Sayfa1!$M41</f>
        <v>Tamir süreci başlatıldı. Kalite bölümüne NCR oluşturuldu</v>
      </c>
      <c r="S44" s="147">
        <f>[3]Sayfa1!$AB41</f>
        <v>0</v>
      </c>
      <c r="T44" s="147">
        <f>[3]Sayfa1!$AA41</f>
        <v>0</v>
      </c>
      <c r="U44" s="131">
        <f>[3]Sayfa1!$AN41</f>
        <v>2</v>
      </c>
      <c r="V44" s="132">
        <f>[3]Sayfa1!$T41</f>
        <v>45233</v>
      </c>
      <c r="W44" s="133">
        <f>[3]Sayfa1!$U41</f>
        <v>45233</v>
      </c>
      <c r="X44" s="134">
        <f t="shared" si="1"/>
        <v>45233</v>
      </c>
      <c r="Y44" s="123" t="str">
        <f>[3]Sayfa1!$AQ41</f>
        <v/>
      </c>
      <c r="Z44" s="135">
        <f>[3]Sayfa1!$AR41</f>
        <v>0</v>
      </c>
      <c r="AA44" s="134">
        <f t="shared" si="2"/>
        <v>0</v>
      </c>
      <c r="AB44" s="136">
        <f t="shared" si="3"/>
        <v>0</v>
      </c>
      <c r="AC44" s="137" t="str">
        <f t="shared" si="4"/>
        <v/>
      </c>
      <c r="AD44" s="135">
        <f t="shared" si="5"/>
        <v>0</v>
      </c>
      <c r="AE44" s="138">
        <f t="shared" si="6"/>
        <v>0</v>
      </c>
      <c r="AF44" s="139" t="str">
        <f>[3]Sayfa1!$AP41</f>
        <v>(I) İlk defa karşılaşılan arıza</v>
      </c>
      <c r="AG44" s="128" t="str">
        <f>IF([3]Sayfa1!$P41="C(Sisteme etki etmeyen arıza)","Bu Arıza Aracın Servise Verilmesine Engel Değil","Bu Arıza Aracın Servise Verilmesine Engel")</f>
        <v>Bu Arıza Aracın Servise Verilmesine Engel Değil</v>
      </c>
      <c r="AH44" s="140">
        <f>[3]Sayfa1!$AC41</f>
        <v>0</v>
      </c>
      <c r="AI44" s="137"/>
      <c r="AJ44" s="137"/>
      <c r="AK44" s="138">
        <f t="shared" si="7"/>
        <v>0</v>
      </c>
      <c r="AL44" s="136">
        <f t="shared" si="8"/>
        <v>0</v>
      </c>
      <c r="AM44" s="136">
        <f t="shared" si="9"/>
        <v>0</v>
      </c>
      <c r="AN44" s="141" t="str">
        <f t="shared" si="10"/>
        <v>Bozankaya</v>
      </c>
      <c r="AO44" s="141">
        <f>[3]Sayfa1!$X41</f>
        <v>0</v>
      </c>
      <c r="AP44" s="141">
        <f>[3]Sayfa1!$Z41</f>
        <v>0</v>
      </c>
      <c r="AQ44" s="122">
        <f>[3]Sayfa1!$W41</f>
        <v>0</v>
      </c>
      <c r="AR44" s="142">
        <f>[3]Sayfa1!$Y41</f>
        <v>0</v>
      </c>
      <c r="AS44" s="143">
        <f>[3]Sayfa1!$AD41</f>
        <v>0</v>
      </c>
      <c r="AT44" s="137">
        <f>[3]Sayfa1!$AE41</f>
        <v>0</v>
      </c>
      <c r="AU44" s="137">
        <f>[3]Sayfa1!$AH41</f>
        <v>0</v>
      </c>
      <c r="AV44" s="144">
        <v>40</v>
      </c>
      <c r="AW44" s="145" t="e">
        <f>U44*AB44*#REF!</f>
        <v>#REF!</v>
      </c>
    </row>
    <row r="45" spans="1:49" ht="101.25" customHeight="1">
      <c r="A45" s="119" t="s">
        <v>57</v>
      </c>
      <c r="B45" s="120" t="str">
        <f>[3]Sayfa1!$G42</f>
        <v>TS#2</v>
      </c>
      <c r="C45" s="121" t="str">
        <f>[3]Sayfa1!$H42</f>
        <v>T</v>
      </c>
      <c r="D45" s="146">
        <f>[3]Sayfa1!$N42</f>
        <v>0</v>
      </c>
      <c r="E45" s="122" t="str">
        <f>[3]Sayfa1!$B42</f>
        <v>FRACAS-GDM-041</v>
      </c>
      <c r="F45" s="123">
        <f>[3]Sayfa1!$E42</f>
        <v>45233</v>
      </c>
      <c r="G45" s="124">
        <f>[3]Sayfa1!$F42</f>
        <v>45233</v>
      </c>
      <c r="H45" s="119" t="str">
        <f>[3]Sayfa1!$I42</f>
        <v>Depo/Depot</v>
      </c>
      <c r="I45" s="125" t="str">
        <f>IF([3]Sayfa1!$K42="SSH","Notified by Bozankaya","Notified by Customer")</f>
        <v>Notified by Customer</v>
      </c>
      <c r="J45" s="119" t="e">
        <f>VLOOKUP([3]Sayfa1!$AU42,#REF!,2,FALSE)</f>
        <v>#REF!</v>
      </c>
      <c r="K45" s="119" t="str">
        <f>[3]Sayfa1!$V42</f>
        <v>Bozankaya</v>
      </c>
      <c r="L45" s="126" t="str">
        <f t="shared" si="0"/>
        <v>GDM7X4-FRACAS-GDM-041</v>
      </c>
      <c r="M45" s="127" t="str">
        <f>[3]Sayfa1!$L42</f>
        <v>Jumper sabitleme braketinin 6 adet vidası eksik.</v>
      </c>
      <c r="N45" s="128" t="str">
        <f>[3]Sayfa1!$J42</f>
        <v>C-Uyarı, sürüş devamlılığı</v>
      </c>
      <c r="O45" s="128" t="str">
        <f>[3]Sayfa1!$P42</f>
        <v>C(Sisteme etki etmeyen arıza)</v>
      </c>
      <c r="P45" s="128" t="str">
        <f>[3]Sayfa1!$Q42</f>
        <v>N.A(Yaralanma yok)</v>
      </c>
      <c r="Q45" s="129" t="str" cm="1">
        <f t="array" ref="Q45">_xlfn.IFS([3]Sayfa1!$R42="Bozankaya","Bozankaya",[3]Sayfa1!$R42="İşletme","Customer",[3]Sayfa1!$R42="Tedarikçi","Equipment Supplier")</f>
        <v>Bozankaya</v>
      </c>
      <c r="R45" s="130" t="str">
        <f>[3]Sayfa1!$M42</f>
        <v>Tamir süreci başlatıldı. Kalite bölümüne NCR oluşturuldu</v>
      </c>
      <c r="S45" s="147">
        <f>[3]Sayfa1!$AB42</f>
        <v>0</v>
      </c>
      <c r="T45" s="147">
        <f>[3]Sayfa1!$AA42</f>
        <v>0</v>
      </c>
      <c r="U45" s="131">
        <f>[3]Sayfa1!$AN42</f>
        <v>2</v>
      </c>
      <c r="V45" s="132">
        <f>[3]Sayfa1!$T42</f>
        <v>45233</v>
      </c>
      <c r="W45" s="133">
        <f>[3]Sayfa1!$U42</f>
        <v>45233</v>
      </c>
      <c r="X45" s="134">
        <f t="shared" si="1"/>
        <v>45233</v>
      </c>
      <c r="Y45" s="123">
        <f>[3]Sayfa1!$AQ42</f>
        <v>45289</v>
      </c>
      <c r="Z45" s="135">
        <f>[3]Sayfa1!$AR42</f>
        <v>45289.585451388892</v>
      </c>
      <c r="AA45" s="134">
        <f t="shared" si="2"/>
        <v>45289.585451388892</v>
      </c>
      <c r="AB45" s="136">
        <f t="shared" si="3"/>
        <v>1358.0508333334001</v>
      </c>
      <c r="AC45" s="137">
        <f t="shared" si="4"/>
        <v>45289</v>
      </c>
      <c r="AD45" s="135">
        <f t="shared" si="5"/>
        <v>45289.585451388892</v>
      </c>
      <c r="AE45" s="138">
        <f t="shared" si="6"/>
        <v>45289.585451388892</v>
      </c>
      <c r="AF45" s="139" t="str">
        <f>[3]Sayfa1!$AP42</f>
        <v>(I) İlk defa karşılaşılan arıza</v>
      </c>
      <c r="AG45" s="128" t="str">
        <f>IF([3]Sayfa1!$P42="C(Sisteme etki etmeyen arıza)","Bu Arıza Aracın Servise Verilmesine Engel Değil","Bu Arıza Aracın Servise Verilmesine Engel")</f>
        <v>Bu Arıza Aracın Servise Verilmesine Engel Değil</v>
      </c>
      <c r="AH45" s="140">
        <f>[3]Sayfa1!$AC42</f>
        <v>0</v>
      </c>
      <c r="AI45" s="137"/>
      <c r="AJ45" s="137"/>
      <c r="AK45" s="138">
        <f t="shared" si="7"/>
        <v>0</v>
      </c>
      <c r="AL45" s="136">
        <f t="shared" si="8"/>
        <v>81483.050000004005</v>
      </c>
      <c r="AM45" s="136">
        <f t="shared" si="9"/>
        <v>0</v>
      </c>
      <c r="AN45" s="141" t="str">
        <f t="shared" si="10"/>
        <v>Bozankaya</v>
      </c>
      <c r="AO45" s="141">
        <f>[3]Sayfa1!$X42</f>
        <v>0</v>
      </c>
      <c r="AP45" s="141">
        <f>[3]Sayfa1!$Z42</f>
        <v>0</v>
      </c>
      <c r="AQ45" s="122">
        <f>[3]Sayfa1!$W42</f>
        <v>0</v>
      </c>
      <c r="AR45" s="142">
        <f>[3]Sayfa1!$Y42</f>
        <v>0</v>
      </c>
      <c r="AS45" s="143">
        <f>[3]Sayfa1!$AD42</f>
        <v>0</v>
      </c>
      <c r="AT45" s="137">
        <f>[3]Sayfa1!$AE42</f>
        <v>0</v>
      </c>
      <c r="AU45" s="137">
        <f>[3]Sayfa1!$AH42</f>
        <v>0</v>
      </c>
      <c r="AV45" s="144">
        <v>41</v>
      </c>
      <c r="AW45" s="145" t="e">
        <f>U45*AB45*#REF!</f>
        <v>#REF!</v>
      </c>
    </row>
    <row r="46" spans="1:49" ht="101.25" customHeight="1">
      <c r="A46" s="119" t="s">
        <v>57</v>
      </c>
      <c r="B46" s="120" t="str">
        <f>[3]Sayfa1!$G43</f>
        <v>TS#2</v>
      </c>
      <c r="C46" s="121" t="str">
        <f>[3]Sayfa1!$H43</f>
        <v>Mc2</v>
      </c>
      <c r="D46" s="146">
        <f>[3]Sayfa1!$N43</f>
        <v>0</v>
      </c>
      <c r="E46" s="122" t="str">
        <f>[3]Sayfa1!$B43</f>
        <v>FRACAS-GDM-042</v>
      </c>
      <c r="F46" s="123">
        <f>[3]Sayfa1!$E43</f>
        <v>45233</v>
      </c>
      <c r="G46" s="124">
        <f>[3]Sayfa1!$F43</f>
        <v>45233</v>
      </c>
      <c r="H46" s="119" t="str">
        <f>[3]Sayfa1!$I43</f>
        <v>Depo/Depot</v>
      </c>
      <c r="I46" s="125" t="str">
        <f>IF([3]Sayfa1!$K43="SSH","Notified by Bozankaya","Notified by Customer")</f>
        <v>Notified by Customer</v>
      </c>
      <c r="J46" s="119" t="e">
        <f>VLOOKUP([3]Sayfa1!$AU43,#REF!,2,FALSE)</f>
        <v>#REF!</v>
      </c>
      <c r="K46" s="119" t="str">
        <f>[3]Sayfa1!$V43</f>
        <v>Bozankaya</v>
      </c>
      <c r="L46" s="126" t="str">
        <f t="shared" si="0"/>
        <v>GDM7X4-FRACAS-GDM-042</v>
      </c>
      <c r="M46" s="127" t="str">
        <f>[3]Sayfa1!$L43</f>
        <v>Tutunma barlarının montajı yapılmamıştır.</v>
      </c>
      <c r="N46" s="128" t="str">
        <f>[3]Sayfa1!$J43</f>
        <v>C-Uyarı, sürüş devamlılığı</v>
      </c>
      <c r="O46" s="128" t="str">
        <f>[3]Sayfa1!$P43</f>
        <v>C(Sisteme etki etmeyen arıza)</v>
      </c>
      <c r="P46" s="128" t="str">
        <f>[3]Sayfa1!$Q43</f>
        <v>N.A(Yaralanma yok)</v>
      </c>
      <c r="Q46" s="129" t="str" cm="1">
        <f t="array" ref="Q46">_xlfn.IFS([3]Sayfa1!$R43="Bozankaya","Bozankaya",[3]Sayfa1!$R43="İşletme","Customer",[3]Sayfa1!$R43="Tedarikçi","Equipment Supplier")</f>
        <v>Bozankaya</v>
      </c>
      <c r="R46" s="130" t="str">
        <f>[3]Sayfa1!$M43</f>
        <v>Tamir süreci başlatıldı. Kalite bölümüne NCR oluşturuldu</v>
      </c>
      <c r="S46" s="147">
        <f>[3]Sayfa1!$AB43</f>
        <v>0</v>
      </c>
      <c r="T46" s="147">
        <f>[3]Sayfa1!$AA43</f>
        <v>0</v>
      </c>
      <c r="U46" s="131">
        <f>[3]Sayfa1!$AN43</f>
        <v>2</v>
      </c>
      <c r="V46" s="132">
        <f>[3]Sayfa1!$T43</f>
        <v>45233</v>
      </c>
      <c r="W46" s="133">
        <f>[3]Sayfa1!$U43</f>
        <v>45233</v>
      </c>
      <c r="X46" s="134">
        <f t="shared" si="1"/>
        <v>45233</v>
      </c>
      <c r="Y46" s="123" t="str">
        <f>[3]Sayfa1!$AQ43</f>
        <v/>
      </c>
      <c r="Z46" s="135">
        <f>[3]Sayfa1!$AR43</f>
        <v>0</v>
      </c>
      <c r="AA46" s="134">
        <f t="shared" si="2"/>
        <v>0</v>
      </c>
      <c r="AB46" s="136">
        <f t="shared" si="3"/>
        <v>0</v>
      </c>
      <c r="AC46" s="137" t="str">
        <f t="shared" si="4"/>
        <v/>
      </c>
      <c r="AD46" s="135">
        <f t="shared" si="5"/>
        <v>0</v>
      </c>
      <c r="AE46" s="138">
        <f t="shared" si="6"/>
        <v>0</v>
      </c>
      <c r="AF46" s="139" t="str">
        <f>[3]Sayfa1!$AP43</f>
        <v>(I) İlk defa karşılaşılan arıza</v>
      </c>
      <c r="AG46" s="128" t="str">
        <f>IF([3]Sayfa1!$P43="C(Sisteme etki etmeyen arıza)","Bu Arıza Aracın Servise Verilmesine Engel Değil","Bu Arıza Aracın Servise Verilmesine Engel")</f>
        <v>Bu Arıza Aracın Servise Verilmesine Engel Değil</v>
      </c>
      <c r="AH46" s="140">
        <f>[3]Sayfa1!$AC43</f>
        <v>0</v>
      </c>
      <c r="AI46" s="137"/>
      <c r="AJ46" s="137"/>
      <c r="AK46" s="138">
        <f t="shared" si="7"/>
        <v>0</v>
      </c>
      <c r="AL46" s="136">
        <f t="shared" si="8"/>
        <v>0</v>
      </c>
      <c r="AM46" s="136">
        <f t="shared" si="9"/>
        <v>0</v>
      </c>
      <c r="AN46" s="141" t="str">
        <f t="shared" si="10"/>
        <v>Bozankaya</v>
      </c>
      <c r="AO46" s="141">
        <f>[3]Sayfa1!$X43</f>
        <v>0</v>
      </c>
      <c r="AP46" s="141">
        <f>[3]Sayfa1!$Z43</f>
        <v>0</v>
      </c>
      <c r="AQ46" s="122">
        <f>[3]Sayfa1!$W43</f>
        <v>0</v>
      </c>
      <c r="AR46" s="142">
        <f>[3]Sayfa1!$Y43</f>
        <v>0</v>
      </c>
      <c r="AS46" s="143">
        <f>[3]Sayfa1!$AD43</f>
        <v>0</v>
      </c>
      <c r="AT46" s="137">
        <f>[3]Sayfa1!$AE43</f>
        <v>0</v>
      </c>
      <c r="AU46" s="137">
        <f>[3]Sayfa1!$AH43</f>
        <v>0</v>
      </c>
      <c r="AV46" s="144">
        <v>42</v>
      </c>
      <c r="AW46" s="145" t="e">
        <f>U46*AB46*#REF!</f>
        <v>#REF!</v>
      </c>
    </row>
    <row r="47" spans="1:49" ht="101.25" customHeight="1">
      <c r="A47" s="119" t="s">
        <v>57</v>
      </c>
      <c r="B47" s="120" t="str">
        <f>[3]Sayfa1!$G44</f>
        <v>TS#2</v>
      </c>
      <c r="C47" s="121" t="str">
        <f>[3]Sayfa1!$H44</f>
        <v>Mc2</v>
      </c>
      <c r="D47" s="146">
        <f>[3]Sayfa1!$N44</f>
        <v>0</v>
      </c>
      <c r="E47" s="122" t="str">
        <f>[3]Sayfa1!$B44</f>
        <v>FRACAS-GDM-043</v>
      </c>
      <c r="F47" s="123">
        <f>[3]Sayfa1!$E44</f>
        <v>45233</v>
      </c>
      <c r="G47" s="124">
        <f>[3]Sayfa1!$F44</f>
        <v>45233</v>
      </c>
      <c r="H47" s="119" t="str">
        <f>[3]Sayfa1!$I44</f>
        <v>Depo/Depot</v>
      </c>
      <c r="I47" s="125" t="str">
        <f>IF([3]Sayfa1!$K44="SSH","Notified by Bozankaya","Notified by Customer")</f>
        <v>Notified by Customer</v>
      </c>
      <c r="J47" s="119" t="e">
        <f>VLOOKUP([3]Sayfa1!$AU44,#REF!,2,FALSE)</f>
        <v>#REF!</v>
      </c>
      <c r="K47" s="119" t="str">
        <f>[3]Sayfa1!$V44</f>
        <v>Bozankaya</v>
      </c>
      <c r="L47" s="126" t="str">
        <f t="shared" si="0"/>
        <v>GDM7X4-FRACAS-GDM-043</v>
      </c>
      <c r="M47" s="127" t="str">
        <f>[3]Sayfa1!$L44</f>
        <v>Yangın tüpü montajı yapılmamıştır.</v>
      </c>
      <c r="N47" s="128" t="str">
        <f>[3]Sayfa1!$J44</f>
        <v>C-Uyarı, sürüş devamlılığı</v>
      </c>
      <c r="O47" s="128" t="str">
        <f>[3]Sayfa1!$P44</f>
        <v>C(Sisteme etki etmeyen arıza)</v>
      </c>
      <c r="P47" s="128" t="str">
        <f>[3]Sayfa1!$Q44</f>
        <v>N.A(Yaralanma yok)</v>
      </c>
      <c r="Q47" s="129" t="str" cm="1">
        <f t="array" ref="Q47">_xlfn.IFS([3]Sayfa1!$R44="Bozankaya","Bozankaya",[3]Sayfa1!$R44="İşletme","Customer",[3]Sayfa1!$R44="Tedarikçi","Equipment Supplier")</f>
        <v>Bozankaya</v>
      </c>
      <c r="R47" s="130" t="str">
        <f>[3]Sayfa1!$M44</f>
        <v>Tamir süreci başlatıldı. Kalite bölümüne NCR oluşturuldu</v>
      </c>
      <c r="S47" s="147">
        <f>[3]Sayfa1!$AB44</f>
        <v>0</v>
      </c>
      <c r="T47" s="147">
        <f>[3]Sayfa1!$AA44</f>
        <v>0</v>
      </c>
      <c r="U47" s="131">
        <f>[3]Sayfa1!$AN44</f>
        <v>2</v>
      </c>
      <c r="V47" s="132">
        <f>[3]Sayfa1!$T44</f>
        <v>45233</v>
      </c>
      <c r="W47" s="133">
        <f>[3]Sayfa1!$U44</f>
        <v>45233</v>
      </c>
      <c r="X47" s="134">
        <f t="shared" si="1"/>
        <v>45233</v>
      </c>
      <c r="Y47" s="123" t="str">
        <f>[3]Sayfa1!$AQ44</f>
        <v/>
      </c>
      <c r="Z47" s="135">
        <f>[3]Sayfa1!$AR44</f>
        <v>0</v>
      </c>
      <c r="AA47" s="134">
        <f t="shared" si="2"/>
        <v>0</v>
      </c>
      <c r="AB47" s="136">
        <f t="shared" si="3"/>
        <v>0</v>
      </c>
      <c r="AC47" s="137" t="str">
        <f t="shared" si="4"/>
        <v/>
      </c>
      <c r="AD47" s="135">
        <f t="shared" si="5"/>
        <v>0</v>
      </c>
      <c r="AE47" s="138">
        <f t="shared" si="6"/>
        <v>0</v>
      </c>
      <c r="AF47" s="139" t="str">
        <f>[3]Sayfa1!$AP44</f>
        <v>(I) İlk defa karşılaşılan arıza</v>
      </c>
      <c r="AG47" s="128" t="str">
        <f>IF([3]Sayfa1!$P44="C(Sisteme etki etmeyen arıza)","Bu Arıza Aracın Servise Verilmesine Engel Değil","Bu Arıza Aracın Servise Verilmesine Engel")</f>
        <v>Bu Arıza Aracın Servise Verilmesine Engel Değil</v>
      </c>
      <c r="AH47" s="140">
        <f>[3]Sayfa1!$AC44</f>
        <v>0</v>
      </c>
      <c r="AI47" s="137"/>
      <c r="AJ47" s="137"/>
      <c r="AK47" s="138">
        <f t="shared" si="7"/>
        <v>0</v>
      </c>
      <c r="AL47" s="136">
        <f t="shared" si="8"/>
        <v>0</v>
      </c>
      <c r="AM47" s="136">
        <f t="shared" si="9"/>
        <v>0</v>
      </c>
      <c r="AN47" s="141" t="str">
        <f t="shared" si="10"/>
        <v>Bozankaya</v>
      </c>
      <c r="AO47" s="141">
        <f>[3]Sayfa1!$X44</f>
        <v>0</v>
      </c>
      <c r="AP47" s="141">
        <f>[3]Sayfa1!$Z44</f>
        <v>0</v>
      </c>
      <c r="AQ47" s="122">
        <f>[3]Sayfa1!$W44</f>
        <v>0</v>
      </c>
      <c r="AR47" s="142">
        <f>[3]Sayfa1!$Y44</f>
        <v>0</v>
      </c>
      <c r="AS47" s="143">
        <f>[3]Sayfa1!$AD44</f>
        <v>0</v>
      </c>
      <c r="AT47" s="137">
        <f>[3]Sayfa1!$AE44</f>
        <v>0</v>
      </c>
      <c r="AU47" s="137">
        <f>[3]Sayfa1!$AH44</f>
        <v>0</v>
      </c>
      <c r="AV47" s="144">
        <v>43</v>
      </c>
      <c r="AW47" s="145" t="e">
        <f>U47*AB47*#REF!</f>
        <v>#REF!</v>
      </c>
    </row>
    <row r="48" spans="1:49" ht="101.25" customHeight="1">
      <c r="A48" s="119" t="s">
        <v>57</v>
      </c>
      <c r="B48" s="120" t="str">
        <f>[3]Sayfa1!$G45</f>
        <v>TS#2</v>
      </c>
      <c r="C48" s="121" t="str">
        <f>[3]Sayfa1!$H45</f>
        <v>Mc2</v>
      </c>
      <c r="D48" s="146">
        <f>[3]Sayfa1!$N45</f>
        <v>0</v>
      </c>
      <c r="E48" s="122" t="str">
        <f>[3]Sayfa1!$B45</f>
        <v>FRACAS-GDM-044</v>
      </c>
      <c r="F48" s="123">
        <f>[3]Sayfa1!$E45</f>
        <v>45233</v>
      </c>
      <c r="G48" s="124">
        <f>[3]Sayfa1!$F45</f>
        <v>45233</v>
      </c>
      <c r="H48" s="119" t="str">
        <f>[3]Sayfa1!$I45</f>
        <v>Depo/Depot</v>
      </c>
      <c r="I48" s="125" t="str">
        <f>IF([3]Sayfa1!$K45="SSH","Notified by Bozankaya","Notified by Customer")</f>
        <v>Notified by Customer</v>
      </c>
      <c r="J48" s="119" t="e">
        <f>VLOOKUP([3]Sayfa1!$AU45,#REF!,2,FALSE)</f>
        <v>#REF!</v>
      </c>
      <c r="K48" s="119" t="str">
        <f>[3]Sayfa1!$V45</f>
        <v>Piton</v>
      </c>
      <c r="L48" s="126" t="str">
        <f t="shared" si="0"/>
        <v>GDM7X4-FRACAS-GDM-044</v>
      </c>
      <c r="M48" s="127" t="str">
        <f>[3]Sayfa1!$L45</f>
        <v>Ekran sabit değil ve koruma jelatini sökülmemiş.</v>
      </c>
      <c r="N48" s="128" t="str">
        <f>[3]Sayfa1!$J45</f>
        <v>C-Uyarı, sürüş devamlılığı</v>
      </c>
      <c r="O48" s="128" t="str">
        <f>[3]Sayfa1!$P45</f>
        <v>C(Sisteme etki etmeyen arıza)</v>
      </c>
      <c r="P48" s="128" t="str">
        <f>[3]Sayfa1!$Q45</f>
        <v>N.A(Yaralanma yok)</v>
      </c>
      <c r="Q48" s="129" t="str" cm="1">
        <f t="array" ref="Q48">_xlfn.IFS([3]Sayfa1!$R45="Bozankaya","Bozankaya",[3]Sayfa1!$R45="İşletme","Customer",[3]Sayfa1!$R45="Tedarikçi","Equipment Supplier")</f>
        <v>Bozankaya</v>
      </c>
      <c r="R48" s="130" t="str">
        <f>[3]Sayfa1!$M45</f>
        <v>Tamir süreci başlatıldı. Kalite bölümüne NCR oluşturuldu</v>
      </c>
      <c r="S48" s="147">
        <f>[3]Sayfa1!$AB45</f>
        <v>0</v>
      </c>
      <c r="T48" s="147">
        <f>[3]Sayfa1!$AA45</f>
        <v>0</v>
      </c>
      <c r="U48" s="131">
        <f>[3]Sayfa1!$AN45</f>
        <v>2</v>
      </c>
      <c r="V48" s="132">
        <f>[3]Sayfa1!$T45</f>
        <v>45233</v>
      </c>
      <c r="W48" s="133">
        <f>[3]Sayfa1!$U45</f>
        <v>45233</v>
      </c>
      <c r="X48" s="134">
        <f t="shared" si="1"/>
        <v>45233</v>
      </c>
      <c r="Y48" s="123" t="str">
        <f>[3]Sayfa1!$AQ45</f>
        <v/>
      </c>
      <c r="Z48" s="135">
        <f>[3]Sayfa1!$AR45</f>
        <v>0</v>
      </c>
      <c r="AA48" s="134">
        <f t="shared" si="2"/>
        <v>0</v>
      </c>
      <c r="AB48" s="136">
        <f t="shared" si="3"/>
        <v>0</v>
      </c>
      <c r="AC48" s="137" t="str">
        <f t="shared" si="4"/>
        <v/>
      </c>
      <c r="AD48" s="135">
        <f t="shared" si="5"/>
        <v>0</v>
      </c>
      <c r="AE48" s="138">
        <f t="shared" si="6"/>
        <v>0</v>
      </c>
      <c r="AF48" s="139" t="str">
        <f>[3]Sayfa1!$AP45</f>
        <v>(I) İlk defa karşılaşılan arıza</v>
      </c>
      <c r="AG48" s="128" t="str">
        <f>IF([3]Sayfa1!$P45="C(Sisteme etki etmeyen arıza)","Bu Arıza Aracın Servise Verilmesine Engel Değil","Bu Arıza Aracın Servise Verilmesine Engel")</f>
        <v>Bu Arıza Aracın Servise Verilmesine Engel Değil</v>
      </c>
      <c r="AH48" s="140">
        <f>[3]Sayfa1!$AC45</f>
        <v>0</v>
      </c>
      <c r="AI48" s="137"/>
      <c r="AJ48" s="137"/>
      <c r="AK48" s="138">
        <f t="shared" si="7"/>
        <v>0</v>
      </c>
      <c r="AL48" s="136">
        <f t="shared" si="8"/>
        <v>0</v>
      </c>
      <c r="AM48" s="136">
        <f t="shared" si="9"/>
        <v>0</v>
      </c>
      <c r="AN48" s="141" t="str">
        <f t="shared" si="10"/>
        <v>Piton</v>
      </c>
      <c r="AO48" s="141">
        <f>[3]Sayfa1!$X45</f>
        <v>0</v>
      </c>
      <c r="AP48" s="141">
        <f>[3]Sayfa1!$Z45</f>
        <v>0</v>
      </c>
      <c r="AQ48" s="122">
        <f>[3]Sayfa1!$W45</f>
        <v>0</v>
      </c>
      <c r="AR48" s="142">
        <f>[3]Sayfa1!$Y45</f>
        <v>0</v>
      </c>
      <c r="AS48" s="143">
        <f>[3]Sayfa1!$AD45</f>
        <v>0</v>
      </c>
      <c r="AT48" s="137">
        <f>[3]Sayfa1!$AE45</f>
        <v>0</v>
      </c>
      <c r="AU48" s="137">
        <f>[3]Sayfa1!$AH45</f>
        <v>0</v>
      </c>
      <c r="AV48" s="144">
        <v>44</v>
      </c>
      <c r="AW48" s="145" t="e">
        <f>U48*AB48*#REF!</f>
        <v>#REF!</v>
      </c>
    </row>
    <row r="49" spans="1:49" ht="101.25" customHeight="1">
      <c r="A49" s="119" t="s">
        <v>57</v>
      </c>
      <c r="B49" s="120" t="str">
        <f>[3]Sayfa1!$G46</f>
        <v>TS#2</v>
      </c>
      <c r="C49" s="121" t="str">
        <f>[3]Sayfa1!$H46</f>
        <v>T</v>
      </c>
      <c r="D49" s="146">
        <f>[3]Sayfa1!$N46</f>
        <v>0</v>
      </c>
      <c r="E49" s="122" t="str">
        <f>[3]Sayfa1!$B46</f>
        <v>FRACAS-GDM-045</v>
      </c>
      <c r="F49" s="123">
        <f>[3]Sayfa1!$E46</f>
        <v>45233</v>
      </c>
      <c r="G49" s="124">
        <f>[3]Sayfa1!$F46</f>
        <v>45233</v>
      </c>
      <c r="H49" s="119" t="str">
        <f>[3]Sayfa1!$I46</f>
        <v>Depo/Depot</v>
      </c>
      <c r="I49" s="125" t="str">
        <f>IF([3]Sayfa1!$K46="SSH","Notified by Bozankaya","Notified by Customer")</f>
        <v>Notified by Customer</v>
      </c>
      <c r="J49" s="119" t="e">
        <f>VLOOKUP([3]Sayfa1!$AU46,#REF!,2,FALSE)</f>
        <v>#REF!</v>
      </c>
      <c r="K49" s="119" t="str">
        <f>[3]Sayfa1!$V46</f>
        <v>Bozankaya</v>
      </c>
      <c r="L49" s="126" t="str">
        <f t="shared" si="0"/>
        <v>GDM7X4-FRACAS-GDM-045</v>
      </c>
      <c r="M49" s="127" t="str">
        <f>[3]Sayfa1!$L46</f>
        <v>Dikey tutunma barı eksik</v>
      </c>
      <c r="N49" s="128" t="str">
        <f>[3]Sayfa1!$J46</f>
        <v>C-Uyarı, sürüş devamlılığı</v>
      </c>
      <c r="O49" s="128" t="str">
        <f>[3]Sayfa1!$P46</f>
        <v>C(Sisteme etki etmeyen arıza)</v>
      </c>
      <c r="P49" s="128" t="str">
        <f>[3]Sayfa1!$Q46</f>
        <v>N.A(Yaralanma yok)</v>
      </c>
      <c r="Q49" s="129" t="str" cm="1">
        <f t="array" ref="Q49">_xlfn.IFS([3]Sayfa1!$R46="Bozankaya","Bozankaya",[3]Sayfa1!$R46="İşletme","Customer",[3]Sayfa1!$R46="Tedarikçi","Equipment Supplier")</f>
        <v>Bozankaya</v>
      </c>
      <c r="R49" s="130" t="str">
        <f>[3]Sayfa1!$M46</f>
        <v>Tamir süreci başlatıldı. Kalite bölümüne NCR oluşturuldu</v>
      </c>
      <c r="S49" s="147">
        <f>[3]Sayfa1!$AB46</f>
        <v>0</v>
      </c>
      <c r="T49" s="147">
        <f>[3]Sayfa1!$AA46</f>
        <v>0</v>
      </c>
      <c r="U49" s="131">
        <f>[3]Sayfa1!$AN46</f>
        <v>2</v>
      </c>
      <c r="V49" s="132">
        <f>[3]Sayfa1!$T46</f>
        <v>45233</v>
      </c>
      <c r="W49" s="133">
        <f>[3]Sayfa1!$U46</f>
        <v>45233</v>
      </c>
      <c r="X49" s="134">
        <f t="shared" si="1"/>
        <v>45233</v>
      </c>
      <c r="Y49" s="123" t="str">
        <f>[3]Sayfa1!$AQ46</f>
        <v/>
      </c>
      <c r="Z49" s="135">
        <f>[3]Sayfa1!$AR46</f>
        <v>0</v>
      </c>
      <c r="AA49" s="134">
        <f t="shared" si="2"/>
        <v>0</v>
      </c>
      <c r="AB49" s="136">
        <f t="shared" si="3"/>
        <v>0</v>
      </c>
      <c r="AC49" s="137" t="str">
        <f t="shared" si="4"/>
        <v/>
      </c>
      <c r="AD49" s="135">
        <f t="shared" si="5"/>
        <v>0</v>
      </c>
      <c r="AE49" s="138">
        <f t="shared" si="6"/>
        <v>0</v>
      </c>
      <c r="AF49" s="139" t="str">
        <f>[3]Sayfa1!$AP46</f>
        <v>(I) İlk defa karşılaşılan arıza</v>
      </c>
      <c r="AG49" s="128" t="str">
        <f>IF([3]Sayfa1!$P46="C(Sisteme etki etmeyen arıza)","Bu Arıza Aracın Servise Verilmesine Engel Değil","Bu Arıza Aracın Servise Verilmesine Engel")</f>
        <v>Bu Arıza Aracın Servise Verilmesine Engel Değil</v>
      </c>
      <c r="AH49" s="140">
        <f>[3]Sayfa1!$AC46</f>
        <v>0</v>
      </c>
      <c r="AI49" s="137"/>
      <c r="AJ49" s="137"/>
      <c r="AK49" s="138">
        <f t="shared" si="7"/>
        <v>0</v>
      </c>
      <c r="AL49" s="136">
        <f t="shared" si="8"/>
        <v>0</v>
      </c>
      <c r="AM49" s="136">
        <f t="shared" si="9"/>
        <v>0</v>
      </c>
      <c r="AN49" s="141" t="str">
        <f t="shared" si="10"/>
        <v>Bozankaya</v>
      </c>
      <c r="AO49" s="141">
        <f>[3]Sayfa1!$X46</f>
        <v>0</v>
      </c>
      <c r="AP49" s="141">
        <f>[3]Sayfa1!$Z46</f>
        <v>0</v>
      </c>
      <c r="AQ49" s="122">
        <f>[3]Sayfa1!$W46</f>
        <v>0</v>
      </c>
      <c r="AR49" s="142">
        <f>[3]Sayfa1!$Y46</f>
        <v>0</v>
      </c>
      <c r="AS49" s="143">
        <f>[3]Sayfa1!$AD46</f>
        <v>0</v>
      </c>
      <c r="AT49" s="137">
        <f>[3]Sayfa1!$AE46</f>
        <v>0</v>
      </c>
      <c r="AU49" s="137">
        <f>[3]Sayfa1!$AH46</f>
        <v>0</v>
      </c>
      <c r="AV49" s="144">
        <v>45</v>
      </c>
      <c r="AW49" s="145" t="e">
        <f>U49*AB49*#REF!</f>
        <v>#REF!</v>
      </c>
    </row>
    <row r="50" spans="1:49" ht="101.25" customHeight="1">
      <c r="A50" s="119" t="s">
        <v>57</v>
      </c>
      <c r="B50" s="120" t="str">
        <f>[3]Sayfa1!$G47</f>
        <v>TS#2</v>
      </c>
      <c r="C50" s="121" t="str">
        <f>[3]Sayfa1!$H47</f>
        <v>T</v>
      </c>
      <c r="D50" s="146">
        <f>[3]Sayfa1!$N47</f>
        <v>0</v>
      </c>
      <c r="E50" s="122" t="str">
        <f>[3]Sayfa1!$B47</f>
        <v>FRACAS-GDM-046</v>
      </c>
      <c r="F50" s="123">
        <f>[3]Sayfa1!$E47</f>
        <v>45233</v>
      </c>
      <c r="G50" s="124">
        <f>[3]Sayfa1!$F47</f>
        <v>45233</v>
      </c>
      <c r="H50" s="119" t="str">
        <f>[3]Sayfa1!$I47</f>
        <v>Depo/Depot</v>
      </c>
      <c r="I50" s="125" t="str">
        <f>IF([3]Sayfa1!$K47="SSH","Notified by Bozankaya","Notified by Customer")</f>
        <v>Notified by Customer</v>
      </c>
      <c r="J50" s="119" t="e">
        <f>VLOOKUP([3]Sayfa1!$AU47,#REF!,2,FALSE)</f>
        <v>#REF!</v>
      </c>
      <c r="K50" s="119" t="str">
        <f>[3]Sayfa1!$V47</f>
        <v>Bozankaya</v>
      </c>
      <c r="L50" s="126" t="str">
        <f t="shared" si="0"/>
        <v>GDM7X4-FRACAS-GDM-046</v>
      </c>
      <c r="M50" s="127" t="str">
        <f>[3]Sayfa1!$L47</f>
        <v>Tutunma barı eksik</v>
      </c>
      <c r="N50" s="128" t="str">
        <f>[3]Sayfa1!$J47</f>
        <v>C-Uyarı, sürüş devamlılığı</v>
      </c>
      <c r="O50" s="128" t="str">
        <f>[3]Sayfa1!$P47</f>
        <v>C(Sisteme etki etmeyen arıza)</v>
      </c>
      <c r="P50" s="128" t="str">
        <f>[3]Sayfa1!$Q47</f>
        <v>N.A(Yaralanma yok)</v>
      </c>
      <c r="Q50" s="129" t="str" cm="1">
        <f t="array" ref="Q50">_xlfn.IFS([3]Sayfa1!$R47="Bozankaya","Bozankaya",[3]Sayfa1!$R47="İşletme","Customer",[3]Sayfa1!$R47="Tedarikçi","Equipment Supplier")</f>
        <v>Bozankaya</v>
      </c>
      <c r="R50" s="130" t="str">
        <f>[3]Sayfa1!$M47</f>
        <v>Tamir süreci başlatıldı. Kalite bölümüne NCR oluşturuldu</v>
      </c>
      <c r="S50" s="147">
        <f>[3]Sayfa1!$AB47</f>
        <v>0</v>
      </c>
      <c r="T50" s="147">
        <f>[3]Sayfa1!$AA47</f>
        <v>0</v>
      </c>
      <c r="U50" s="131">
        <f>[3]Sayfa1!$AN47</f>
        <v>2</v>
      </c>
      <c r="V50" s="132">
        <f>[3]Sayfa1!$T47</f>
        <v>45233</v>
      </c>
      <c r="W50" s="133">
        <f>[3]Sayfa1!$U47</f>
        <v>45233</v>
      </c>
      <c r="X50" s="134">
        <f t="shared" si="1"/>
        <v>45233</v>
      </c>
      <c r="Y50" s="123" t="str">
        <f>[3]Sayfa1!$AQ47</f>
        <v/>
      </c>
      <c r="Z50" s="135">
        <f>[3]Sayfa1!$AR47</f>
        <v>0</v>
      </c>
      <c r="AA50" s="134">
        <f t="shared" si="2"/>
        <v>0</v>
      </c>
      <c r="AB50" s="136">
        <f t="shared" si="3"/>
        <v>0</v>
      </c>
      <c r="AC50" s="137" t="str">
        <f t="shared" si="4"/>
        <v/>
      </c>
      <c r="AD50" s="135">
        <f t="shared" si="5"/>
        <v>0</v>
      </c>
      <c r="AE50" s="138">
        <f t="shared" si="6"/>
        <v>0</v>
      </c>
      <c r="AF50" s="139" t="str">
        <f>[3]Sayfa1!$AP47</f>
        <v>(I) İlk defa karşılaşılan arıza</v>
      </c>
      <c r="AG50" s="128" t="str">
        <f>IF([3]Sayfa1!$P47="C(Sisteme etki etmeyen arıza)","Bu Arıza Aracın Servise Verilmesine Engel Değil","Bu Arıza Aracın Servise Verilmesine Engel")</f>
        <v>Bu Arıza Aracın Servise Verilmesine Engel Değil</v>
      </c>
      <c r="AH50" s="140">
        <f>[3]Sayfa1!$AC47</f>
        <v>0</v>
      </c>
      <c r="AI50" s="137"/>
      <c r="AJ50" s="137"/>
      <c r="AK50" s="138">
        <f t="shared" si="7"/>
        <v>0</v>
      </c>
      <c r="AL50" s="136">
        <f t="shared" si="8"/>
        <v>0</v>
      </c>
      <c r="AM50" s="136">
        <f t="shared" si="9"/>
        <v>0</v>
      </c>
      <c r="AN50" s="141" t="str">
        <f t="shared" si="10"/>
        <v>Bozankaya</v>
      </c>
      <c r="AO50" s="141">
        <f>[3]Sayfa1!$X47</f>
        <v>0</v>
      </c>
      <c r="AP50" s="141">
        <f>[3]Sayfa1!$Z47</f>
        <v>0</v>
      </c>
      <c r="AQ50" s="122">
        <f>[3]Sayfa1!$W47</f>
        <v>0</v>
      </c>
      <c r="AR50" s="142">
        <f>[3]Sayfa1!$Y47</f>
        <v>0</v>
      </c>
      <c r="AS50" s="143">
        <f>[3]Sayfa1!$AD47</f>
        <v>0</v>
      </c>
      <c r="AT50" s="137">
        <f>[3]Sayfa1!$AE47</f>
        <v>0</v>
      </c>
      <c r="AU50" s="137">
        <f>[3]Sayfa1!$AH47</f>
        <v>0</v>
      </c>
      <c r="AV50" s="144">
        <v>46</v>
      </c>
      <c r="AW50" s="145" t="e">
        <f>U50*AB50*#REF!</f>
        <v>#REF!</v>
      </c>
    </row>
    <row r="51" spans="1:49" ht="101.25" customHeight="1">
      <c r="A51" s="119" t="s">
        <v>57</v>
      </c>
      <c r="B51" s="120" t="str">
        <f>[3]Sayfa1!$G48</f>
        <v>TS#1</v>
      </c>
      <c r="C51" s="121" t="str">
        <f>[3]Sayfa1!$H48</f>
        <v>Mc1</v>
      </c>
      <c r="D51" s="146">
        <f>[3]Sayfa1!$N48</f>
        <v>101</v>
      </c>
      <c r="E51" s="122" t="str">
        <f>[3]Sayfa1!$B48</f>
        <v>FRACAS-GDM-047</v>
      </c>
      <c r="F51" s="123">
        <f>[3]Sayfa1!$E48</f>
        <v>45240</v>
      </c>
      <c r="G51" s="124">
        <f>[3]Sayfa1!$F48</f>
        <v>45240</v>
      </c>
      <c r="H51" s="119" t="str">
        <f>[3]Sayfa1!$I48</f>
        <v>Depo/Depot</v>
      </c>
      <c r="I51" s="125" t="str">
        <f>IF([3]Sayfa1!$K48="SSH","Notified by Bozankaya","Notified by Customer")</f>
        <v>Notified by Customer</v>
      </c>
      <c r="J51" s="119" t="e">
        <f>VLOOKUP([3]Sayfa1!$AU48,#REF!,2,FALSE)</f>
        <v>#REF!</v>
      </c>
      <c r="K51" s="119" t="str">
        <f>[3]Sayfa1!$V48</f>
        <v>Bozankaya</v>
      </c>
      <c r="L51" s="126" t="str">
        <f t="shared" si="0"/>
        <v>GDM7X4-FRACAS-GDM-047</v>
      </c>
      <c r="M51" s="127" t="str">
        <f>[3]Sayfa1!$L48</f>
        <v>JG-K03 rölesi tasarım tarafından tekrar düzenlenerek röle değişimi yapacaktır. Cam rezistansı röleyi bozmaktadır.</v>
      </c>
      <c r="N51" s="128" t="str">
        <f>[3]Sayfa1!$J48</f>
        <v>C-Uyarı, sürüş devamlılığı</v>
      </c>
      <c r="O51" s="128" t="str">
        <f>[3]Sayfa1!$P48</f>
        <v>C(Sisteme etki etmeyen arıza)</v>
      </c>
      <c r="P51" s="128" t="str">
        <f>[3]Sayfa1!$Q48</f>
        <v>N.A(Yaralanma yok)</v>
      </c>
      <c r="Q51" s="129" t="str" cm="1">
        <f t="array" ref="Q51">_xlfn.IFS([3]Sayfa1!$R48="Bozankaya","Bozankaya",[3]Sayfa1!$R48="İşletme","Customer",[3]Sayfa1!$R48="Tedarikçi","Equipment Supplier")</f>
        <v>Bozankaya</v>
      </c>
      <c r="R51" s="130" t="str">
        <f>[3]Sayfa1!$M48</f>
        <v>Tamir süreci başlatıldı. Kalite bölümüne NCR oluşturuldu</v>
      </c>
      <c r="S51" s="147">
        <f>[3]Sayfa1!$AB48</f>
        <v>0</v>
      </c>
      <c r="T51" s="147">
        <f>[3]Sayfa1!$AA48</f>
        <v>0</v>
      </c>
      <c r="U51" s="131">
        <f>[3]Sayfa1!$AN48</f>
        <v>2</v>
      </c>
      <c r="V51" s="132">
        <f>[3]Sayfa1!$T48</f>
        <v>45240</v>
      </c>
      <c r="W51" s="133">
        <f>[3]Sayfa1!$U48</f>
        <v>45240</v>
      </c>
      <c r="X51" s="134">
        <f t="shared" si="1"/>
        <v>45240</v>
      </c>
      <c r="Y51" s="123" t="str">
        <f>[3]Sayfa1!$AQ48</f>
        <v/>
      </c>
      <c r="Z51" s="135">
        <f>[3]Sayfa1!$AR48</f>
        <v>0</v>
      </c>
      <c r="AA51" s="134">
        <f t="shared" si="2"/>
        <v>0</v>
      </c>
      <c r="AB51" s="136">
        <f t="shared" si="3"/>
        <v>0</v>
      </c>
      <c r="AC51" s="137" t="str">
        <f t="shared" si="4"/>
        <v/>
      </c>
      <c r="AD51" s="135">
        <f t="shared" si="5"/>
        <v>0</v>
      </c>
      <c r="AE51" s="138">
        <f t="shared" si="6"/>
        <v>0</v>
      </c>
      <c r="AF51" s="139" t="str">
        <f>[3]Sayfa1!$AP48</f>
        <v>(I) İlk defa karşılaşılan arıza</v>
      </c>
      <c r="AG51" s="128" t="str">
        <f>IF([3]Sayfa1!$P48="C(Sisteme etki etmeyen arıza)","Bu Arıza Aracın Servise Verilmesine Engel Değil","Bu Arıza Aracın Servise Verilmesine Engel")</f>
        <v>Bu Arıza Aracın Servise Verilmesine Engel Değil</v>
      </c>
      <c r="AH51" s="140">
        <f>[3]Sayfa1!$AC48</f>
        <v>0</v>
      </c>
      <c r="AI51" s="137"/>
      <c r="AJ51" s="137"/>
      <c r="AK51" s="138">
        <f t="shared" si="7"/>
        <v>0</v>
      </c>
      <c r="AL51" s="136">
        <f t="shared" si="8"/>
        <v>0</v>
      </c>
      <c r="AM51" s="136">
        <f t="shared" si="9"/>
        <v>0</v>
      </c>
      <c r="AN51" s="141" t="str">
        <f t="shared" si="10"/>
        <v>Bozankaya</v>
      </c>
      <c r="AO51" s="141">
        <f>[3]Sayfa1!$X48</f>
        <v>0</v>
      </c>
      <c r="AP51" s="141">
        <f>[3]Sayfa1!$Z48</f>
        <v>0</v>
      </c>
      <c r="AQ51" s="122">
        <f>[3]Sayfa1!$W48</f>
        <v>0</v>
      </c>
      <c r="AR51" s="142">
        <f>[3]Sayfa1!$Y48</f>
        <v>0</v>
      </c>
      <c r="AS51" s="143">
        <f>[3]Sayfa1!$AD48</f>
        <v>0</v>
      </c>
      <c r="AT51" s="137">
        <f>[3]Sayfa1!$AE48</f>
        <v>0</v>
      </c>
      <c r="AU51" s="137">
        <f>[3]Sayfa1!$AH48</f>
        <v>0</v>
      </c>
      <c r="AV51" s="144">
        <v>47</v>
      </c>
      <c r="AW51" s="145" t="e">
        <f>U51*AB51*#REF!</f>
        <v>#REF!</v>
      </c>
    </row>
    <row r="52" spans="1:49" ht="101.25" customHeight="1">
      <c r="A52" s="119" t="s">
        <v>57</v>
      </c>
      <c r="B52" s="120" t="str">
        <f>[3]Sayfa1!$G49</f>
        <v>TS#1</v>
      </c>
      <c r="C52" s="121" t="str">
        <f>[3]Sayfa1!$H49</f>
        <v>Mc1</v>
      </c>
      <c r="D52" s="146">
        <f>[3]Sayfa1!$N49</f>
        <v>104</v>
      </c>
      <c r="E52" s="122" t="str">
        <f>[3]Sayfa1!$B49</f>
        <v>FRACAS-GDM-048</v>
      </c>
      <c r="F52" s="123">
        <f>[3]Sayfa1!$E49</f>
        <v>45240</v>
      </c>
      <c r="G52" s="124">
        <f>[3]Sayfa1!$F49</f>
        <v>45240</v>
      </c>
      <c r="H52" s="119" t="str">
        <f>[3]Sayfa1!$I49</f>
        <v>Depo/Depot</v>
      </c>
      <c r="I52" s="125" t="str">
        <f>IF([3]Sayfa1!$K49="SSH","Notified by Bozankaya","Notified by Customer")</f>
        <v>Notified by Customer</v>
      </c>
      <c r="J52" s="119" t="e">
        <f>VLOOKUP([3]Sayfa1!$AU49,#REF!,2,FALSE)</f>
        <v>#REF!</v>
      </c>
      <c r="K52" s="119" t="str">
        <f>[3]Sayfa1!$V49</f>
        <v>Bozankaya</v>
      </c>
      <c r="L52" s="126" t="str">
        <f t="shared" si="0"/>
        <v>GDM7X4-FRACAS-GDM-048</v>
      </c>
      <c r="M52" s="127" t="str">
        <f>[3]Sayfa1!$L49</f>
        <v>Tüm kapıların eşiğindeki sarı bantlar eksik</v>
      </c>
      <c r="N52" s="128" t="str">
        <f>[3]Sayfa1!$J49</f>
        <v>C-Uyarı, sürüş devamlılığı</v>
      </c>
      <c r="O52" s="128" t="str">
        <f>[3]Sayfa1!$P49</f>
        <v>C(Sisteme etki etmeyen arıza)</v>
      </c>
      <c r="P52" s="128" t="str">
        <f>[3]Sayfa1!$Q49</f>
        <v>N.A(Yaralanma yok)</v>
      </c>
      <c r="Q52" s="129" t="str" cm="1">
        <f t="array" ref="Q52">_xlfn.IFS([3]Sayfa1!$R49="Bozankaya","Bozankaya",[3]Sayfa1!$R49="İşletme","Customer",[3]Sayfa1!$R49="Tedarikçi","Equipment Supplier")</f>
        <v>Bozankaya</v>
      </c>
      <c r="R52" s="130" t="str">
        <f>[3]Sayfa1!$M49</f>
        <v>Tamir süreci başlatıldı. Kalite bölümüne NCR oluşturuldu</v>
      </c>
      <c r="S52" s="147">
        <f>[3]Sayfa1!$AB49</f>
        <v>0</v>
      </c>
      <c r="T52" s="147">
        <f>[3]Sayfa1!$AA49</f>
        <v>0</v>
      </c>
      <c r="U52" s="131">
        <f>[3]Sayfa1!$AN49</f>
        <v>2</v>
      </c>
      <c r="V52" s="132">
        <f>[3]Sayfa1!$T49</f>
        <v>45240</v>
      </c>
      <c r="W52" s="133">
        <f>[3]Sayfa1!$U49</f>
        <v>45240</v>
      </c>
      <c r="X52" s="134">
        <f t="shared" si="1"/>
        <v>45240</v>
      </c>
      <c r="Y52" s="123" t="str">
        <f>[3]Sayfa1!$AQ49</f>
        <v/>
      </c>
      <c r="Z52" s="135">
        <f>[3]Sayfa1!$AR49</f>
        <v>0</v>
      </c>
      <c r="AA52" s="134">
        <f t="shared" si="2"/>
        <v>0</v>
      </c>
      <c r="AB52" s="136">
        <f t="shared" si="3"/>
        <v>0</v>
      </c>
      <c r="AC52" s="137" t="str">
        <f t="shared" si="4"/>
        <v/>
      </c>
      <c r="AD52" s="135">
        <f t="shared" si="5"/>
        <v>0</v>
      </c>
      <c r="AE52" s="138">
        <f t="shared" si="6"/>
        <v>0</v>
      </c>
      <c r="AF52" s="139" t="str">
        <f>[3]Sayfa1!$AP49</f>
        <v>(I) İlk defa karşılaşılan arıza</v>
      </c>
      <c r="AG52" s="128" t="str">
        <f>IF([3]Sayfa1!$P49="C(Sisteme etki etmeyen arıza)","Bu Arıza Aracın Servise Verilmesine Engel Değil","Bu Arıza Aracın Servise Verilmesine Engel")</f>
        <v>Bu Arıza Aracın Servise Verilmesine Engel Değil</v>
      </c>
      <c r="AH52" s="140">
        <f>[3]Sayfa1!$AC49</f>
        <v>0</v>
      </c>
      <c r="AI52" s="137"/>
      <c r="AJ52" s="137"/>
      <c r="AK52" s="138">
        <f t="shared" si="7"/>
        <v>0</v>
      </c>
      <c r="AL52" s="136">
        <f t="shared" si="8"/>
        <v>0</v>
      </c>
      <c r="AM52" s="136">
        <f t="shared" si="9"/>
        <v>0</v>
      </c>
      <c r="AN52" s="141" t="str">
        <f t="shared" si="10"/>
        <v>Bozankaya</v>
      </c>
      <c r="AO52" s="141">
        <f>[3]Sayfa1!$X49</f>
        <v>0</v>
      </c>
      <c r="AP52" s="141">
        <f>[3]Sayfa1!$Z49</f>
        <v>0</v>
      </c>
      <c r="AQ52" s="122">
        <f>[3]Sayfa1!$W49</f>
        <v>0</v>
      </c>
      <c r="AR52" s="142">
        <f>[3]Sayfa1!$Y49</f>
        <v>0</v>
      </c>
      <c r="AS52" s="143">
        <f>[3]Sayfa1!$AD49</f>
        <v>0</v>
      </c>
      <c r="AT52" s="137">
        <f>[3]Sayfa1!$AE49</f>
        <v>0</v>
      </c>
      <c r="AU52" s="137">
        <f>[3]Sayfa1!$AH49</f>
        <v>0</v>
      </c>
      <c r="AV52" s="144">
        <v>48</v>
      </c>
      <c r="AW52" s="145" t="e">
        <f>U52*AB52*#REF!</f>
        <v>#REF!</v>
      </c>
    </row>
    <row r="53" spans="1:49" ht="101.25" customHeight="1">
      <c r="A53" s="119" t="s">
        <v>57</v>
      </c>
      <c r="B53" s="120" t="str">
        <f>[3]Sayfa1!$G50</f>
        <v>TS#1</v>
      </c>
      <c r="C53" s="121" t="str">
        <f>[3]Sayfa1!$H50</f>
        <v>M</v>
      </c>
      <c r="D53" s="146">
        <f>[3]Sayfa1!$N50</f>
        <v>107</v>
      </c>
      <c r="E53" s="122" t="str">
        <f>[3]Sayfa1!$B50</f>
        <v>FRACAS-GDM-049</v>
      </c>
      <c r="F53" s="123">
        <f>[3]Sayfa1!$E50</f>
        <v>45240</v>
      </c>
      <c r="G53" s="124">
        <f>[3]Sayfa1!$F50</f>
        <v>45240</v>
      </c>
      <c r="H53" s="119" t="str">
        <f>[3]Sayfa1!$I50</f>
        <v>Depo/Depot</v>
      </c>
      <c r="I53" s="125" t="str">
        <f>IF([3]Sayfa1!$K50="SSH","Notified by Bozankaya","Notified by Customer")</f>
        <v>Notified by Customer</v>
      </c>
      <c r="J53" s="119" t="e">
        <f>VLOOKUP([3]Sayfa1!$AU50,#REF!,2,FALSE)</f>
        <v>#REF!</v>
      </c>
      <c r="K53" s="119" t="str">
        <f>[3]Sayfa1!$V50</f>
        <v>Bozankaya</v>
      </c>
      <c r="L53" s="126" t="str">
        <f t="shared" si="0"/>
        <v>GDM7X4-FRACAS-GDM-049</v>
      </c>
      <c r="M53" s="127" t="str">
        <f>[3]Sayfa1!$L50</f>
        <v>Tüm kapıların eşiğindeki sarı bant eksik</v>
      </c>
      <c r="N53" s="128" t="str">
        <f>[3]Sayfa1!$J50</f>
        <v>C-Uyarı, sürüş devamlılığı</v>
      </c>
      <c r="O53" s="128" t="str">
        <f>[3]Sayfa1!$P50</f>
        <v>C(Sisteme etki etmeyen arıza)</v>
      </c>
      <c r="P53" s="128" t="str">
        <f>[3]Sayfa1!$Q50</f>
        <v>N.A(Yaralanma yok)</v>
      </c>
      <c r="Q53" s="129" t="str" cm="1">
        <f t="array" ref="Q53">_xlfn.IFS([3]Sayfa1!$R50="Bozankaya","Bozankaya",[3]Sayfa1!$R50="İşletme","Customer",[3]Sayfa1!$R50="Tedarikçi","Equipment Supplier")</f>
        <v>Bozankaya</v>
      </c>
      <c r="R53" s="130" t="str">
        <f>[3]Sayfa1!$M50</f>
        <v>Tamir süreci başlatıldı. Kalite bölümüne NCR oluşturuldu</v>
      </c>
      <c r="S53" s="147">
        <f>[3]Sayfa1!$AB50</f>
        <v>0</v>
      </c>
      <c r="T53" s="147">
        <f>[3]Sayfa1!$AA50</f>
        <v>0</v>
      </c>
      <c r="U53" s="131">
        <f>[3]Sayfa1!$AN50</f>
        <v>2</v>
      </c>
      <c r="V53" s="132">
        <f>[3]Sayfa1!$T50</f>
        <v>45240</v>
      </c>
      <c r="W53" s="133">
        <f>[3]Sayfa1!$U50</f>
        <v>45240</v>
      </c>
      <c r="X53" s="134">
        <f t="shared" si="1"/>
        <v>45240</v>
      </c>
      <c r="Y53" s="123" t="str">
        <f>[3]Sayfa1!$AQ50</f>
        <v/>
      </c>
      <c r="Z53" s="135">
        <f>[3]Sayfa1!$AR50</f>
        <v>0</v>
      </c>
      <c r="AA53" s="134">
        <f t="shared" si="2"/>
        <v>0</v>
      </c>
      <c r="AB53" s="136">
        <f t="shared" si="3"/>
        <v>0</v>
      </c>
      <c r="AC53" s="137" t="str">
        <f t="shared" si="4"/>
        <v/>
      </c>
      <c r="AD53" s="135">
        <f t="shared" si="5"/>
        <v>0</v>
      </c>
      <c r="AE53" s="138">
        <f t="shared" si="6"/>
        <v>0</v>
      </c>
      <c r="AF53" s="139" t="str">
        <f>[3]Sayfa1!$AP50</f>
        <v>(I) İlk defa karşılaşılan arıza</v>
      </c>
      <c r="AG53" s="128" t="str">
        <f>IF([3]Sayfa1!$P50="C(Sisteme etki etmeyen arıza)","Bu Arıza Aracın Servise Verilmesine Engel Değil","Bu Arıza Aracın Servise Verilmesine Engel")</f>
        <v>Bu Arıza Aracın Servise Verilmesine Engel Değil</v>
      </c>
      <c r="AH53" s="140">
        <f>[3]Sayfa1!$AC50</f>
        <v>0</v>
      </c>
      <c r="AI53" s="137"/>
      <c r="AJ53" s="137"/>
      <c r="AK53" s="138">
        <f t="shared" si="7"/>
        <v>0</v>
      </c>
      <c r="AL53" s="136">
        <f t="shared" si="8"/>
        <v>0</v>
      </c>
      <c r="AM53" s="136">
        <f t="shared" si="9"/>
        <v>0</v>
      </c>
      <c r="AN53" s="141" t="str">
        <f t="shared" si="10"/>
        <v>Bozankaya</v>
      </c>
      <c r="AO53" s="141">
        <f>[3]Sayfa1!$X50</f>
        <v>0</v>
      </c>
      <c r="AP53" s="141">
        <f>[3]Sayfa1!$Z50</f>
        <v>0</v>
      </c>
      <c r="AQ53" s="122">
        <f>[3]Sayfa1!$W50</f>
        <v>0</v>
      </c>
      <c r="AR53" s="142">
        <f>[3]Sayfa1!$Y50</f>
        <v>0</v>
      </c>
      <c r="AS53" s="143">
        <f>[3]Sayfa1!$AD50</f>
        <v>0</v>
      </c>
      <c r="AT53" s="137">
        <f>[3]Sayfa1!$AE50</f>
        <v>0</v>
      </c>
      <c r="AU53" s="137">
        <f>[3]Sayfa1!$AH50</f>
        <v>0</v>
      </c>
      <c r="AV53" s="144">
        <v>49</v>
      </c>
      <c r="AW53" s="145" t="e">
        <f>U53*AB53*#REF!</f>
        <v>#REF!</v>
      </c>
    </row>
    <row r="54" spans="1:49" ht="101.25" customHeight="1">
      <c r="A54" s="119" t="s">
        <v>57</v>
      </c>
      <c r="B54" s="120" t="str">
        <f>[3]Sayfa1!$G51</f>
        <v>TS#1</v>
      </c>
      <c r="C54" s="121" t="str">
        <f>[3]Sayfa1!$H51</f>
        <v>T</v>
      </c>
      <c r="D54" s="146">
        <f>[3]Sayfa1!$N51</f>
        <v>117</v>
      </c>
      <c r="E54" s="122" t="str">
        <f>[3]Sayfa1!$B51</f>
        <v>FRACAS-GDM-050</v>
      </c>
      <c r="F54" s="123">
        <f>[3]Sayfa1!$E51</f>
        <v>45240</v>
      </c>
      <c r="G54" s="124">
        <f>[3]Sayfa1!$F51</f>
        <v>45240</v>
      </c>
      <c r="H54" s="119" t="str">
        <f>[3]Sayfa1!$I51</f>
        <v>Depo/Depot</v>
      </c>
      <c r="I54" s="125" t="str">
        <f>IF([3]Sayfa1!$K51="SSH","Notified by Bozankaya","Notified by Customer")</f>
        <v>Notified by Customer</v>
      </c>
      <c r="J54" s="119" t="e">
        <f>VLOOKUP([3]Sayfa1!$AU51,#REF!,2,FALSE)</f>
        <v>#REF!</v>
      </c>
      <c r="K54" s="119" t="str">
        <f>[3]Sayfa1!$V51</f>
        <v>Bozankaya</v>
      </c>
      <c r="L54" s="126" t="str">
        <f t="shared" si="0"/>
        <v>GDM7X4-FRACAS-GDM-050</v>
      </c>
      <c r="M54" s="127" t="str">
        <f>[3]Sayfa1!$L51</f>
        <v>Tüm kapıların eşiğindeki sarı bant eksik</v>
      </c>
      <c r="N54" s="128" t="str">
        <f>[3]Sayfa1!$J51</f>
        <v>C-Uyarı, sürüş devamlılığı</v>
      </c>
      <c r="O54" s="128" t="str">
        <f>[3]Sayfa1!$P51</f>
        <v>C(Sisteme etki etmeyen arıza)</v>
      </c>
      <c r="P54" s="128" t="str">
        <f>[3]Sayfa1!$Q51</f>
        <v>N.A(Yaralanma yok)</v>
      </c>
      <c r="Q54" s="129" t="str" cm="1">
        <f t="array" ref="Q54">_xlfn.IFS([3]Sayfa1!$R51="Bozankaya","Bozankaya",[3]Sayfa1!$R51="İşletme","Customer",[3]Sayfa1!$R51="Tedarikçi","Equipment Supplier")</f>
        <v>Bozankaya</v>
      </c>
      <c r="R54" s="130" t="str">
        <f>[3]Sayfa1!$M51</f>
        <v>Tamir süreci başlatıldı. Kalite bölümüne NCR oluşturuldu</v>
      </c>
      <c r="S54" s="147">
        <f>[3]Sayfa1!$AB51</f>
        <v>0</v>
      </c>
      <c r="T54" s="147">
        <f>[3]Sayfa1!$AA51</f>
        <v>0</v>
      </c>
      <c r="U54" s="131">
        <f>[3]Sayfa1!$AN51</f>
        <v>2</v>
      </c>
      <c r="V54" s="132">
        <f>[3]Sayfa1!$T51</f>
        <v>45240</v>
      </c>
      <c r="W54" s="133">
        <f>[3]Sayfa1!$U51</f>
        <v>45240</v>
      </c>
      <c r="X54" s="134">
        <f t="shared" si="1"/>
        <v>45240</v>
      </c>
      <c r="Y54" s="123" t="str">
        <f>[3]Sayfa1!$AQ51</f>
        <v/>
      </c>
      <c r="Z54" s="135">
        <f>[3]Sayfa1!$AR51</f>
        <v>0</v>
      </c>
      <c r="AA54" s="134">
        <f t="shared" si="2"/>
        <v>0</v>
      </c>
      <c r="AB54" s="136">
        <f t="shared" si="3"/>
        <v>0</v>
      </c>
      <c r="AC54" s="137" t="str">
        <f t="shared" si="4"/>
        <v/>
      </c>
      <c r="AD54" s="135">
        <f t="shared" si="5"/>
        <v>0</v>
      </c>
      <c r="AE54" s="138">
        <f t="shared" si="6"/>
        <v>0</v>
      </c>
      <c r="AF54" s="139" t="str">
        <f>[3]Sayfa1!$AP51</f>
        <v>(I) İlk defa karşılaşılan arıza</v>
      </c>
      <c r="AG54" s="128" t="str">
        <f>IF([3]Sayfa1!$P51="C(Sisteme etki etmeyen arıza)","Bu Arıza Aracın Servise Verilmesine Engel Değil","Bu Arıza Aracın Servise Verilmesine Engel")</f>
        <v>Bu Arıza Aracın Servise Verilmesine Engel Değil</v>
      </c>
      <c r="AH54" s="140">
        <f>[3]Sayfa1!$AC51</f>
        <v>0</v>
      </c>
      <c r="AI54" s="137"/>
      <c r="AJ54" s="137"/>
      <c r="AK54" s="138">
        <f t="shared" si="7"/>
        <v>0</v>
      </c>
      <c r="AL54" s="136">
        <f t="shared" si="8"/>
        <v>0</v>
      </c>
      <c r="AM54" s="136">
        <f t="shared" si="9"/>
        <v>0</v>
      </c>
      <c r="AN54" s="141" t="str">
        <f t="shared" si="10"/>
        <v>Bozankaya</v>
      </c>
      <c r="AO54" s="141">
        <f>[3]Sayfa1!$X51</f>
        <v>0</v>
      </c>
      <c r="AP54" s="141">
        <f>[3]Sayfa1!$Z51</f>
        <v>0</v>
      </c>
      <c r="AQ54" s="122">
        <f>[3]Sayfa1!$W51</f>
        <v>0</v>
      </c>
      <c r="AR54" s="142">
        <f>[3]Sayfa1!$Y51</f>
        <v>0</v>
      </c>
      <c r="AS54" s="143">
        <f>[3]Sayfa1!$AD51</f>
        <v>0</v>
      </c>
      <c r="AT54" s="137">
        <f>[3]Sayfa1!$AE51</f>
        <v>0</v>
      </c>
      <c r="AU54" s="137">
        <f>[3]Sayfa1!$AH51</f>
        <v>0</v>
      </c>
      <c r="AV54" s="144">
        <v>50</v>
      </c>
      <c r="AW54" s="145" t="e">
        <f>U54*AB54*#REF!</f>
        <v>#REF!</v>
      </c>
    </row>
    <row r="55" spans="1:49" ht="101.25" customHeight="1">
      <c r="A55" s="119" t="s">
        <v>57</v>
      </c>
      <c r="B55" s="120" t="str">
        <f>[3]Sayfa1!$G52</f>
        <v>TS#1</v>
      </c>
      <c r="C55" s="121" t="str">
        <f>[3]Sayfa1!$H52</f>
        <v>Mc1</v>
      </c>
      <c r="D55" s="146">
        <f>[3]Sayfa1!$N52</f>
        <v>119</v>
      </c>
      <c r="E55" s="122" t="str">
        <f>[3]Sayfa1!$B52</f>
        <v>FRACAS-GDM-051</v>
      </c>
      <c r="F55" s="123">
        <f>[3]Sayfa1!$E52</f>
        <v>45247</v>
      </c>
      <c r="G55" s="124">
        <f>[3]Sayfa1!$F52</f>
        <v>45247</v>
      </c>
      <c r="H55" s="119" t="str">
        <f>[3]Sayfa1!$I52</f>
        <v>Depo/Depot</v>
      </c>
      <c r="I55" s="125" t="str">
        <f>IF([3]Sayfa1!$K52="SSH","Notified by Bozankaya","Notified by Customer")</f>
        <v>Notified by Customer</v>
      </c>
      <c r="J55" s="119" t="e">
        <f>VLOOKUP([3]Sayfa1!$AU52,#REF!,2,FALSE)</f>
        <v>#REF!</v>
      </c>
      <c r="K55" s="119" t="str">
        <f>[3]Sayfa1!$V52</f>
        <v>ABB</v>
      </c>
      <c r="L55" s="126" t="str">
        <f t="shared" si="0"/>
        <v>GDM7X4-FRACAS-GDM-051</v>
      </c>
      <c r="M55" s="127" t="str">
        <f>[3]Sayfa1!$L52</f>
        <v>TCU1, TCU2 VE TCU3 ilk kakışta çalışıyor. Belli bir süre sonra TCU1 tek başkışna çalışıyor.</v>
      </c>
      <c r="N55" s="128" t="str">
        <f>[3]Sayfa1!$J52</f>
        <v>C-Uyarı, sürüş devamlılığı</v>
      </c>
      <c r="O55" s="128" t="str">
        <f>[3]Sayfa1!$P52</f>
        <v>C(Sisteme etki etmeyen arıza)</v>
      </c>
      <c r="P55" s="128" t="str">
        <f>[3]Sayfa1!$Q52</f>
        <v>N.A(Yaralanma yok)</v>
      </c>
      <c r="Q55" s="129" t="str" cm="1">
        <f t="array" ref="Q55">_xlfn.IFS([3]Sayfa1!$R52="Bozankaya","Bozankaya",[3]Sayfa1!$R52="İşletme","Customer",[3]Sayfa1!$R52="Tedarikçi","Equipment Supplier")</f>
        <v>Bozankaya</v>
      </c>
      <c r="R55" s="130" t="str">
        <f>[3]Sayfa1!$M52</f>
        <v>Tamir süreci başlatıldı. Kalite bölümüne NCR oluşturuldu</v>
      </c>
      <c r="S55" s="147">
        <f>[3]Sayfa1!$AB52</f>
        <v>0</v>
      </c>
      <c r="T55" s="147">
        <f>[3]Sayfa1!$AA52</f>
        <v>0</v>
      </c>
      <c r="U55" s="131">
        <f>[3]Sayfa1!$AN52</f>
        <v>2</v>
      </c>
      <c r="V55" s="132">
        <f>[3]Sayfa1!$T52</f>
        <v>45247</v>
      </c>
      <c r="W55" s="133">
        <f>[3]Sayfa1!$U52</f>
        <v>45247</v>
      </c>
      <c r="X55" s="134">
        <f t="shared" si="1"/>
        <v>45247</v>
      </c>
      <c r="Y55" s="123">
        <f>[3]Sayfa1!$AQ52</f>
        <v>45324</v>
      </c>
      <c r="Z55" s="135">
        <f>[3]Sayfa1!$AR52</f>
        <v>45324.585798611108</v>
      </c>
      <c r="AA55" s="134">
        <f t="shared" si="2"/>
        <v>45324.585798611108</v>
      </c>
      <c r="AB55" s="136">
        <f t="shared" si="3"/>
        <v>1862.059166666586</v>
      </c>
      <c r="AC55" s="137">
        <f t="shared" si="4"/>
        <v>45324</v>
      </c>
      <c r="AD55" s="135">
        <f t="shared" si="5"/>
        <v>45324.585798611108</v>
      </c>
      <c r="AE55" s="138">
        <f t="shared" si="6"/>
        <v>45324.585798611108</v>
      </c>
      <c r="AF55" s="139" t="str">
        <f>[3]Sayfa1!$AP52</f>
        <v>(I) İlk defa karşılaşılan arıza</v>
      </c>
      <c r="AG55" s="128" t="str">
        <f>IF([3]Sayfa1!$P52="C(Sisteme etki etmeyen arıza)","Bu Arıza Aracın Servise Verilmesine Engel Değil","Bu Arıza Aracın Servise Verilmesine Engel")</f>
        <v>Bu Arıza Aracın Servise Verilmesine Engel Değil</v>
      </c>
      <c r="AH55" s="140">
        <f>[3]Sayfa1!$AC52</f>
        <v>0</v>
      </c>
      <c r="AI55" s="137"/>
      <c r="AJ55" s="137"/>
      <c r="AK55" s="138">
        <f t="shared" si="7"/>
        <v>0</v>
      </c>
      <c r="AL55" s="136">
        <f t="shared" si="8"/>
        <v>111723.54999999516</v>
      </c>
      <c r="AM55" s="136">
        <f t="shared" si="9"/>
        <v>0</v>
      </c>
      <c r="AN55" s="141" t="str">
        <f t="shared" si="10"/>
        <v>ABB</v>
      </c>
      <c r="AO55" s="141">
        <f>[3]Sayfa1!$X52</f>
        <v>0</v>
      </c>
      <c r="AP55" s="141">
        <f>[3]Sayfa1!$Z52</f>
        <v>0</v>
      </c>
      <c r="AQ55" s="122">
        <f>[3]Sayfa1!$W52</f>
        <v>0</v>
      </c>
      <c r="AR55" s="142">
        <f>[3]Sayfa1!$Y52</f>
        <v>0</v>
      </c>
      <c r="AS55" s="143">
        <f>[3]Sayfa1!$AD52</f>
        <v>0</v>
      </c>
      <c r="AT55" s="137" t="str">
        <f>[3]Sayfa1!$AE52</f>
        <v/>
      </c>
      <c r="AU55" s="137">
        <f>[3]Sayfa1!$AH52</f>
        <v>45260</v>
      </c>
      <c r="AV55" s="144">
        <v>51</v>
      </c>
      <c r="AW55" s="145" t="e">
        <f>U55*AB55*#REF!</f>
        <v>#REF!</v>
      </c>
    </row>
    <row r="56" spans="1:49" ht="101.25" customHeight="1">
      <c r="A56" s="119" t="s">
        <v>57</v>
      </c>
      <c r="B56" s="120" t="str">
        <f>[3]Sayfa1!$G53</f>
        <v>TS#2</v>
      </c>
      <c r="C56" s="121" t="str">
        <f>[3]Sayfa1!$H53</f>
        <v>Mc1</v>
      </c>
      <c r="D56" s="146">
        <f>[3]Sayfa1!$N53</f>
        <v>0</v>
      </c>
      <c r="E56" s="122" t="str">
        <f>[3]Sayfa1!$B53</f>
        <v>FRACAS-GDM-052</v>
      </c>
      <c r="F56" s="123">
        <f>[3]Sayfa1!$E53</f>
        <v>45247</v>
      </c>
      <c r="G56" s="124">
        <f>[3]Sayfa1!$F53</f>
        <v>45247</v>
      </c>
      <c r="H56" s="119" t="str">
        <f>[3]Sayfa1!$I53</f>
        <v>Depo/Depot</v>
      </c>
      <c r="I56" s="125" t="str">
        <f>IF([3]Sayfa1!$K53="SSH","Notified by Bozankaya","Notified by Customer")</f>
        <v>Notified by Customer</v>
      </c>
      <c r="J56" s="119" t="e">
        <f>VLOOKUP([3]Sayfa1!$AU53,#REF!,2,FALSE)</f>
        <v>#REF!</v>
      </c>
      <c r="K56" s="119" t="str">
        <f>[3]Sayfa1!$V53</f>
        <v>Bozankaya</v>
      </c>
      <c r="L56" s="126" t="str">
        <f t="shared" si="0"/>
        <v>GDM7X4-FRACAS-GDM-052</v>
      </c>
      <c r="M56" s="127" t="str">
        <f>[3]Sayfa1!$L53</f>
        <v>Havalandırma menfezleri ters montaj yapılmış. Bundan dolayı aracın su almaktadır.</v>
      </c>
      <c r="N56" s="128" t="str">
        <f>[3]Sayfa1!$J53</f>
        <v>C-Uyarı, sürüş devamlılığı</v>
      </c>
      <c r="O56" s="128" t="str">
        <f>[3]Sayfa1!$P53</f>
        <v>C(Sisteme etki etmeyen arıza)</v>
      </c>
      <c r="P56" s="128" t="str">
        <f>[3]Sayfa1!$Q53</f>
        <v>N.A(Yaralanma yok)</v>
      </c>
      <c r="Q56" s="129" t="str" cm="1">
        <f t="array" ref="Q56">_xlfn.IFS([3]Sayfa1!$R53="Bozankaya","Bozankaya",[3]Sayfa1!$R53="İşletme","Customer",[3]Sayfa1!$R53="Tedarikçi","Equipment Supplier")</f>
        <v>Bozankaya</v>
      </c>
      <c r="R56" s="130" t="str">
        <f>[3]Sayfa1!$M53</f>
        <v>Tamir süreci başlatıldı. Kalite bölümüne NCR oluşturuldu</v>
      </c>
      <c r="S56" s="147">
        <f>[3]Sayfa1!$AB53</f>
        <v>0</v>
      </c>
      <c r="T56" s="147">
        <f>[3]Sayfa1!$AA53</f>
        <v>0</v>
      </c>
      <c r="U56" s="131">
        <f>[3]Sayfa1!$AN53</f>
        <v>2</v>
      </c>
      <c r="V56" s="132">
        <f>[3]Sayfa1!$T53</f>
        <v>45247</v>
      </c>
      <c r="W56" s="133">
        <f>[3]Sayfa1!$U53</f>
        <v>45247</v>
      </c>
      <c r="X56" s="134">
        <f t="shared" si="1"/>
        <v>45247</v>
      </c>
      <c r="Y56" s="123">
        <f>[3]Sayfa1!$AQ53</f>
        <v>45270</v>
      </c>
      <c r="Z56" s="135">
        <f>[3]Sayfa1!$AR53</f>
        <v>45270.5859375</v>
      </c>
      <c r="AA56" s="134">
        <f t="shared" si="2"/>
        <v>45270.5859375</v>
      </c>
      <c r="AB56" s="136">
        <f t="shared" si="3"/>
        <v>566.0625</v>
      </c>
      <c r="AC56" s="137">
        <f t="shared" si="4"/>
        <v>45270</v>
      </c>
      <c r="AD56" s="135">
        <f t="shared" si="5"/>
        <v>45270.5859375</v>
      </c>
      <c r="AE56" s="138">
        <f t="shared" si="6"/>
        <v>45270.5859375</v>
      </c>
      <c r="AF56" s="139" t="str">
        <f>[3]Sayfa1!$AP53</f>
        <v>(I) İlk defa karşılaşılan arıza</v>
      </c>
      <c r="AG56" s="128" t="str">
        <f>IF([3]Sayfa1!$P53="C(Sisteme etki etmeyen arıza)","Bu Arıza Aracın Servise Verilmesine Engel Değil","Bu Arıza Aracın Servise Verilmesine Engel")</f>
        <v>Bu Arıza Aracın Servise Verilmesine Engel Değil</v>
      </c>
      <c r="AH56" s="140">
        <f>[3]Sayfa1!$AC53</f>
        <v>0</v>
      </c>
      <c r="AI56" s="137"/>
      <c r="AJ56" s="137"/>
      <c r="AK56" s="138">
        <f t="shared" si="7"/>
        <v>0</v>
      </c>
      <c r="AL56" s="136">
        <f t="shared" si="8"/>
        <v>33963.75</v>
      </c>
      <c r="AM56" s="136">
        <f t="shared" si="9"/>
        <v>0</v>
      </c>
      <c r="AN56" s="141" t="str">
        <f t="shared" si="10"/>
        <v>Bozankaya</v>
      </c>
      <c r="AO56" s="141">
        <f>[3]Sayfa1!$X53</f>
        <v>0</v>
      </c>
      <c r="AP56" s="141">
        <f>[3]Sayfa1!$Z53</f>
        <v>0</v>
      </c>
      <c r="AQ56" s="122">
        <f>[3]Sayfa1!$W53</f>
        <v>0</v>
      </c>
      <c r="AR56" s="142">
        <f>[3]Sayfa1!$Y53</f>
        <v>0</v>
      </c>
      <c r="AS56" s="143">
        <f>[3]Sayfa1!$AD53</f>
        <v>0</v>
      </c>
      <c r="AT56" s="137" t="str">
        <f>[3]Sayfa1!$AE53</f>
        <v/>
      </c>
      <c r="AU56" s="137">
        <f>[3]Sayfa1!$AH53</f>
        <v>45305</v>
      </c>
      <c r="AV56" s="144">
        <v>52</v>
      </c>
      <c r="AW56" s="145" t="e">
        <f>U56*AB56*#REF!</f>
        <v>#REF!</v>
      </c>
    </row>
    <row r="57" spans="1:49" ht="101.25" customHeight="1">
      <c r="A57" s="119" t="s">
        <v>57</v>
      </c>
      <c r="B57" s="120" t="str">
        <f>[3]Sayfa1!$G54</f>
        <v>TS#2</v>
      </c>
      <c r="C57" s="121" t="str">
        <f>[3]Sayfa1!$H54</f>
        <v>M</v>
      </c>
      <c r="D57" s="146">
        <f>[3]Sayfa1!$N54</f>
        <v>0</v>
      </c>
      <c r="E57" s="122" t="str">
        <f>[3]Sayfa1!$B54</f>
        <v>FRACAS-GDM-053</v>
      </c>
      <c r="F57" s="123">
        <f>[3]Sayfa1!$E54</f>
        <v>45247</v>
      </c>
      <c r="G57" s="124">
        <f>[3]Sayfa1!$F54</f>
        <v>45247</v>
      </c>
      <c r="H57" s="119" t="str">
        <f>[3]Sayfa1!$I54</f>
        <v>Depo/Depot</v>
      </c>
      <c r="I57" s="125" t="str">
        <f>IF([3]Sayfa1!$K54="SSH","Notified by Bozankaya","Notified by Customer")</f>
        <v>Notified by Customer</v>
      </c>
      <c r="J57" s="119" t="e">
        <f>VLOOKUP([3]Sayfa1!$AU54,#REF!,2,FALSE)</f>
        <v>#REF!</v>
      </c>
      <c r="K57" s="119" t="str">
        <f>[3]Sayfa1!$V54</f>
        <v>Bozankaya</v>
      </c>
      <c r="L57" s="126" t="str">
        <f t="shared" si="0"/>
        <v>GDM7X4-FRACAS-GDM-053</v>
      </c>
      <c r="M57" s="127" t="str">
        <f>[3]Sayfa1!$L54</f>
        <v>Havalandırma menfezleri ters montaj yapılmış. Bundan dolayı aracın su almaktadır</v>
      </c>
      <c r="N57" s="128" t="str">
        <f>[3]Sayfa1!$J54</f>
        <v>C-Uyarı, sürüş devamlılığı</v>
      </c>
      <c r="O57" s="128" t="str">
        <f>[3]Sayfa1!$P54</f>
        <v>C(Sisteme etki etmeyen arıza)</v>
      </c>
      <c r="P57" s="128" t="str">
        <f>[3]Sayfa1!$Q54</f>
        <v>N.A(Yaralanma yok)</v>
      </c>
      <c r="Q57" s="129" t="str" cm="1">
        <f t="array" ref="Q57">_xlfn.IFS([3]Sayfa1!$R54="Bozankaya","Bozankaya",[3]Sayfa1!$R54="İşletme","Customer",[3]Sayfa1!$R54="Tedarikçi","Equipment Supplier")</f>
        <v>Bozankaya</v>
      </c>
      <c r="R57" s="130" t="str">
        <f>[3]Sayfa1!$M54</f>
        <v>Tamir süreci başlatıldı. Kalite bölümüne NCR oluşturuldu</v>
      </c>
      <c r="S57" s="147">
        <f>[3]Sayfa1!$AB54</f>
        <v>0</v>
      </c>
      <c r="T57" s="147">
        <f>[3]Sayfa1!$AA54</f>
        <v>0</v>
      </c>
      <c r="U57" s="131">
        <f>[3]Sayfa1!$AN54</f>
        <v>2</v>
      </c>
      <c r="V57" s="132">
        <f>[3]Sayfa1!$T54</f>
        <v>45270</v>
      </c>
      <c r="W57" s="133">
        <f>[3]Sayfa1!$U54</f>
        <v>45270</v>
      </c>
      <c r="X57" s="134">
        <f t="shared" si="1"/>
        <v>45270</v>
      </c>
      <c r="Y57" s="123">
        <f>[3]Sayfa1!$AQ54</f>
        <v>45270</v>
      </c>
      <c r="Z57" s="135">
        <f>[3]Sayfa1!$AR54</f>
        <v>45270.586180555554</v>
      </c>
      <c r="AA57" s="134">
        <f t="shared" si="2"/>
        <v>45270.586180555554</v>
      </c>
      <c r="AB57" s="136">
        <f t="shared" si="3"/>
        <v>14.068333333299961</v>
      </c>
      <c r="AC57" s="137">
        <f t="shared" si="4"/>
        <v>45270</v>
      </c>
      <c r="AD57" s="135">
        <f t="shared" si="5"/>
        <v>45270.586180555554</v>
      </c>
      <c r="AE57" s="138">
        <f t="shared" si="6"/>
        <v>45270.586180555554</v>
      </c>
      <c r="AF57" s="139" t="str">
        <f>[3]Sayfa1!$AP54</f>
        <v>(I) İlk defa karşılaşılan arıza</v>
      </c>
      <c r="AG57" s="128" t="str">
        <f>IF([3]Sayfa1!$P54="C(Sisteme etki etmeyen arıza)","Bu Arıza Aracın Servise Verilmesine Engel Değil","Bu Arıza Aracın Servise Verilmesine Engel")</f>
        <v>Bu Arıza Aracın Servise Verilmesine Engel Değil</v>
      </c>
      <c r="AH57" s="140">
        <f>[3]Sayfa1!$AC54</f>
        <v>0</v>
      </c>
      <c r="AI57" s="137"/>
      <c r="AJ57" s="137"/>
      <c r="AK57" s="138">
        <f t="shared" si="7"/>
        <v>0</v>
      </c>
      <c r="AL57" s="136">
        <f t="shared" si="8"/>
        <v>844.09999999799766</v>
      </c>
      <c r="AM57" s="136">
        <f t="shared" si="9"/>
        <v>0</v>
      </c>
      <c r="AN57" s="141" t="str">
        <f t="shared" si="10"/>
        <v>Bozankaya</v>
      </c>
      <c r="AO57" s="141">
        <f>[3]Sayfa1!$X54</f>
        <v>0</v>
      </c>
      <c r="AP57" s="141">
        <f>[3]Sayfa1!$Z54</f>
        <v>0</v>
      </c>
      <c r="AQ57" s="122">
        <f>[3]Sayfa1!$W54</f>
        <v>0</v>
      </c>
      <c r="AR57" s="142">
        <f>[3]Sayfa1!$Y54</f>
        <v>0</v>
      </c>
      <c r="AS57" s="143">
        <f>[3]Sayfa1!$AD54</f>
        <v>0</v>
      </c>
      <c r="AT57" s="137" t="str">
        <f>[3]Sayfa1!$AE54</f>
        <v/>
      </c>
      <c r="AU57" s="137" t="str">
        <f>[3]Sayfa1!$AH54</f>
        <v/>
      </c>
      <c r="AV57" s="144">
        <v>53</v>
      </c>
      <c r="AW57" s="145" t="e">
        <f>U57*AB57*#REF!</f>
        <v>#REF!</v>
      </c>
    </row>
    <row r="58" spans="1:49" ht="101.25" customHeight="1">
      <c r="A58" s="119" t="s">
        <v>57</v>
      </c>
      <c r="B58" s="120" t="str">
        <f>[3]Sayfa1!$G55</f>
        <v>TS#2</v>
      </c>
      <c r="C58" s="121" t="str">
        <f>[3]Sayfa1!$H55</f>
        <v>T</v>
      </c>
      <c r="D58" s="146">
        <f>[3]Sayfa1!$N55</f>
        <v>0</v>
      </c>
      <c r="E58" s="122" t="str">
        <f>[3]Sayfa1!$B55</f>
        <v>FRACAS-GDM-054</v>
      </c>
      <c r="F58" s="123">
        <f>[3]Sayfa1!$E55</f>
        <v>45247</v>
      </c>
      <c r="G58" s="124">
        <f>[3]Sayfa1!$F55</f>
        <v>45247</v>
      </c>
      <c r="H58" s="119" t="str">
        <f>[3]Sayfa1!$I55</f>
        <v>Depo/Depot</v>
      </c>
      <c r="I58" s="125" t="str">
        <f>IF([3]Sayfa1!$K55="SSH","Notified by Bozankaya","Notified by Customer")</f>
        <v>Notified by Customer</v>
      </c>
      <c r="J58" s="119" t="e">
        <f>VLOOKUP([3]Sayfa1!$AU55,#REF!,2,FALSE)</f>
        <v>#REF!</v>
      </c>
      <c r="K58" s="119" t="str">
        <f>[3]Sayfa1!$V55</f>
        <v>Bozankaya</v>
      </c>
      <c r="L58" s="126" t="str">
        <f t="shared" si="0"/>
        <v>GDM7X4-FRACAS-GDM-054</v>
      </c>
      <c r="M58" s="127" t="str">
        <f>[3]Sayfa1!$L55</f>
        <v>Havalandırma menfezleri ters montaj yapılmış. Bundan dolayı aracın su almaktadır</v>
      </c>
      <c r="N58" s="128" t="str">
        <f>[3]Sayfa1!$J55</f>
        <v>C-Uyarı, sürüş devamlılığı</v>
      </c>
      <c r="O58" s="128" t="str">
        <f>[3]Sayfa1!$P55</f>
        <v>C(Sisteme etki etmeyen arıza)</v>
      </c>
      <c r="P58" s="128" t="str">
        <f>[3]Sayfa1!$Q55</f>
        <v>N.A(Yaralanma yok)</v>
      </c>
      <c r="Q58" s="129" t="str" cm="1">
        <f t="array" ref="Q58">_xlfn.IFS([3]Sayfa1!$R55="Bozankaya","Bozankaya",[3]Sayfa1!$R55="İşletme","Customer",[3]Sayfa1!$R55="Tedarikçi","Equipment Supplier")</f>
        <v>Bozankaya</v>
      </c>
      <c r="R58" s="130" t="str">
        <f>[3]Sayfa1!$M55</f>
        <v>Tamir süreci başlatıldı. Kalite bölümüne NCR oluşturuldu</v>
      </c>
      <c r="S58" s="147">
        <f>[3]Sayfa1!$AB55</f>
        <v>0</v>
      </c>
      <c r="T58" s="147">
        <f>[3]Sayfa1!$AA55</f>
        <v>0</v>
      </c>
      <c r="U58" s="131">
        <f>[3]Sayfa1!$AN55</f>
        <v>2</v>
      </c>
      <c r="V58" s="132">
        <f>[3]Sayfa1!$T55</f>
        <v>45247</v>
      </c>
      <c r="W58" s="133">
        <f>[3]Sayfa1!$U55</f>
        <v>45247</v>
      </c>
      <c r="X58" s="134">
        <f t="shared" si="1"/>
        <v>45247</v>
      </c>
      <c r="Y58" s="123">
        <f>[3]Sayfa1!$AQ55</f>
        <v>45270</v>
      </c>
      <c r="Z58" s="135">
        <f>[3]Sayfa1!$AR55</f>
        <v>45270.586284722223</v>
      </c>
      <c r="AA58" s="134">
        <f t="shared" si="2"/>
        <v>45270.586284722223</v>
      </c>
      <c r="AB58" s="136">
        <f t="shared" si="3"/>
        <v>566.0708333333605</v>
      </c>
      <c r="AC58" s="137">
        <f t="shared" si="4"/>
        <v>45270</v>
      </c>
      <c r="AD58" s="135">
        <f t="shared" si="5"/>
        <v>45270.586284722223</v>
      </c>
      <c r="AE58" s="138">
        <f t="shared" si="6"/>
        <v>45270.586284722223</v>
      </c>
      <c r="AF58" s="139" t="str">
        <f>[3]Sayfa1!$AP55</f>
        <v>(I) İlk defa karşılaşılan arıza</v>
      </c>
      <c r="AG58" s="128" t="str">
        <f>IF([3]Sayfa1!$P55="C(Sisteme etki etmeyen arıza)","Bu Arıza Aracın Servise Verilmesine Engel Değil","Bu Arıza Aracın Servise Verilmesine Engel")</f>
        <v>Bu Arıza Aracın Servise Verilmesine Engel Değil</v>
      </c>
      <c r="AH58" s="140">
        <f>[3]Sayfa1!$AC55</f>
        <v>0</v>
      </c>
      <c r="AI58" s="137"/>
      <c r="AJ58" s="137"/>
      <c r="AK58" s="138">
        <f t="shared" si="7"/>
        <v>0</v>
      </c>
      <c r="AL58" s="136">
        <f t="shared" si="8"/>
        <v>33964.25000000163</v>
      </c>
      <c r="AM58" s="136">
        <f t="shared" si="9"/>
        <v>0</v>
      </c>
      <c r="AN58" s="141" t="str">
        <f t="shared" si="10"/>
        <v>Bozankaya</v>
      </c>
      <c r="AO58" s="141">
        <f>[3]Sayfa1!$X55</f>
        <v>0</v>
      </c>
      <c r="AP58" s="141">
        <f>[3]Sayfa1!$Z55</f>
        <v>0</v>
      </c>
      <c r="AQ58" s="122">
        <f>[3]Sayfa1!$W55</f>
        <v>0</v>
      </c>
      <c r="AR58" s="142">
        <f>[3]Sayfa1!$Y55</f>
        <v>0</v>
      </c>
      <c r="AS58" s="143">
        <f>[3]Sayfa1!$AD55</f>
        <v>0</v>
      </c>
      <c r="AT58" s="137">
        <f>[3]Sayfa1!$AE55</f>
        <v>0</v>
      </c>
      <c r="AU58" s="137">
        <f>[3]Sayfa1!$AH55</f>
        <v>0</v>
      </c>
      <c r="AV58" s="144">
        <v>54</v>
      </c>
      <c r="AW58" s="145" t="e">
        <f>U58*AB58*#REF!</f>
        <v>#REF!</v>
      </c>
    </row>
    <row r="59" spans="1:49" ht="101.25" customHeight="1">
      <c r="A59" s="119" t="s">
        <v>57</v>
      </c>
      <c r="B59" s="120" t="str">
        <f>[3]Sayfa1!$G56</f>
        <v>TS#2</v>
      </c>
      <c r="C59" s="121" t="str">
        <f>[3]Sayfa1!$H56</f>
        <v>Mc2</v>
      </c>
      <c r="D59" s="146">
        <f>[3]Sayfa1!$N56</f>
        <v>0</v>
      </c>
      <c r="E59" s="122" t="str">
        <f>[3]Sayfa1!$B56</f>
        <v>FRACAS-GDM-055</v>
      </c>
      <c r="F59" s="123">
        <f>[3]Sayfa1!$E56</f>
        <v>45247</v>
      </c>
      <c r="G59" s="124">
        <f>[3]Sayfa1!$F56</f>
        <v>45247</v>
      </c>
      <c r="H59" s="119" t="str">
        <f>[3]Sayfa1!$I56</f>
        <v>Depo/Depot</v>
      </c>
      <c r="I59" s="125" t="str">
        <f>IF([3]Sayfa1!$K56="SSH","Notified by Bozankaya","Notified by Customer")</f>
        <v>Notified by Customer</v>
      </c>
      <c r="J59" s="119" t="e">
        <f>VLOOKUP([3]Sayfa1!$AU56,#REF!,2,FALSE)</f>
        <v>#REF!</v>
      </c>
      <c r="K59" s="119" t="str">
        <f>[3]Sayfa1!$V56</f>
        <v>Bozankaya</v>
      </c>
      <c r="L59" s="126" t="str">
        <f t="shared" si="0"/>
        <v>GDM7X4-FRACAS-GDM-055</v>
      </c>
      <c r="M59" s="127" t="str">
        <f>[3]Sayfa1!$L56</f>
        <v>Havalandırma menfezleri ters montaj yapılmış. Bundan dolayı aracın su almaktadır</v>
      </c>
      <c r="N59" s="128" t="str">
        <f>[3]Sayfa1!$J56</f>
        <v>C-Uyarı, sürüş devamlılığı</v>
      </c>
      <c r="O59" s="128" t="str">
        <f>[3]Sayfa1!$P56</f>
        <v>C(Sisteme etki etmeyen arıza)</v>
      </c>
      <c r="P59" s="128" t="str">
        <f>[3]Sayfa1!$Q56</f>
        <v>N.A(Yaralanma yok)</v>
      </c>
      <c r="Q59" s="129" t="str" cm="1">
        <f t="array" ref="Q59">_xlfn.IFS([3]Sayfa1!$R56="Bozankaya","Bozankaya",[3]Sayfa1!$R56="İşletme","Customer",[3]Sayfa1!$R56="Tedarikçi","Equipment Supplier")</f>
        <v>Bozankaya</v>
      </c>
      <c r="R59" s="130" t="str">
        <f>[3]Sayfa1!$M56</f>
        <v>Tamir süreci başlatıldı. Kalite bölümüne NCR oluşturuldu</v>
      </c>
      <c r="S59" s="147">
        <f>[3]Sayfa1!$AB56</f>
        <v>0</v>
      </c>
      <c r="T59" s="147">
        <f>[3]Sayfa1!$AA56</f>
        <v>0</v>
      </c>
      <c r="U59" s="131">
        <f>[3]Sayfa1!$AN56</f>
        <v>2</v>
      </c>
      <c r="V59" s="132">
        <f>[3]Sayfa1!$T56</f>
        <v>45247</v>
      </c>
      <c r="W59" s="133">
        <f>[3]Sayfa1!$U56</f>
        <v>45247</v>
      </c>
      <c r="X59" s="134">
        <f t="shared" si="1"/>
        <v>45247</v>
      </c>
      <c r="Y59" s="123">
        <f>[3]Sayfa1!$AQ56</f>
        <v>45270</v>
      </c>
      <c r="Z59" s="135">
        <f>[3]Sayfa1!$AR56</f>
        <v>45270.586493055554</v>
      </c>
      <c r="AA59" s="134">
        <f t="shared" si="2"/>
        <v>45270.586493055554</v>
      </c>
      <c r="AB59" s="136">
        <f t="shared" si="3"/>
        <v>566.07583333330695</v>
      </c>
      <c r="AC59" s="137">
        <f t="shared" si="4"/>
        <v>45270</v>
      </c>
      <c r="AD59" s="135">
        <f t="shared" si="5"/>
        <v>45270.586493055554</v>
      </c>
      <c r="AE59" s="138">
        <f t="shared" si="6"/>
        <v>45270.586493055554</v>
      </c>
      <c r="AF59" s="139" t="str">
        <f>[3]Sayfa1!$AP56</f>
        <v>(I) İlk defa karşılaşılan arıza</v>
      </c>
      <c r="AG59" s="128" t="str">
        <f>IF([3]Sayfa1!$P56="C(Sisteme etki etmeyen arıza)","Bu Arıza Aracın Servise Verilmesine Engel Değil","Bu Arıza Aracın Servise Verilmesine Engel")</f>
        <v>Bu Arıza Aracın Servise Verilmesine Engel Değil</v>
      </c>
      <c r="AH59" s="140">
        <f>[3]Sayfa1!$AC56</f>
        <v>0</v>
      </c>
      <c r="AI59" s="137"/>
      <c r="AJ59" s="137"/>
      <c r="AK59" s="138">
        <f t="shared" si="7"/>
        <v>0</v>
      </c>
      <c r="AL59" s="136">
        <f t="shared" si="8"/>
        <v>33964.549999998417</v>
      </c>
      <c r="AM59" s="136">
        <f t="shared" si="9"/>
        <v>0</v>
      </c>
      <c r="AN59" s="141" t="str">
        <f t="shared" si="10"/>
        <v>Bozankaya</v>
      </c>
      <c r="AO59" s="141">
        <f>[3]Sayfa1!$X56</f>
        <v>0</v>
      </c>
      <c r="AP59" s="141">
        <f>[3]Sayfa1!$Z56</f>
        <v>0</v>
      </c>
      <c r="AQ59" s="122">
        <f>[3]Sayfa1!$W56</f>
        <v>0</v>
      </c>
      <c r="AR59" s="142">
        <f>[3]Sayfa1!$Y56</f>
        <v>0</v>
      </c>
      <c r="AS59" s="143">
        <f>[3]Sayfa1!$AD56</f>
        <v>0</v>
      </c>
      <c r="AT59" s="137" t="str">
        <f>[3]Sayfa1!$AE56</f>
        <v/>
      </c>
      <c r="AU59" s="137">
        <f>[3]Sayfa1!$AH56</f>
        <v>45270</v>
      </c>
      <c r="AV59" s="144">
        <v>55</v>
      </c>
      <c r="AW59" s="145" t="e">
        <f>U59*AB59*#REF!</f>
        <v>#REF!</v>
      </c>
    </row>
    <row r="60" spans="1:49" ht="101.25" customHeight="1">
      <c r="A60" s="119" t="s">
        <v>57</v>
      </c>
      <c r="B60" s="120" t="str">
        <f>[3]Sayfa1!$G57</f>
        <v>TS#3</v>
      </c>
      <c r="C60" s="121" t="str">
        <f>[3]Sayfa1!$H57</f>
        <v>M</v>
      </c>
      <c r="D60" s="146">
        <f>[3]Sayfa1!$N57</f>
        <v>0</v>
      </c>
      <c r="E60" s="122" t="str">
        <f>[3]Sayfa1!$B57</f>
        <v>FRACAS-GDM-056</v>
      </c>
      <c r="F60" s="123">
        <f>[3]Sayfa1!$E57</f>
        <v>45272</v>
      </c>
      <c r="G60" s="124">
        <f>[3]Sayfa1!$F57</f>
        <v>45272</v>
      </c>
      <c r="H60" s="119" t="str">
        <f>[3]Sayfa1!$I57</f>
        <v>Depo/Depot</v>
      </c>
      <c r="I60" s="125" t="str">
        <f>IF([3]Sayfa1!$K57="SSH","Notified by Bozankaya","Notified by Customer")</f>
        <v>Notified by Customer</v>
      </c>
      <c r="J60" s="119" t="e">
        <f>VLOOKUP([3]Sayfa1!$AU57,#REF!,2,FALSE)</f>
        <v>#REF!</v>
      </c>
      <c r="K60" s="119" t="str">
        <f>[3]Sayfa1!$V57</f>
        <v>Bozankaya</v>
      </c>
      <c r="L60" s="126" t="str">
        <f t="shared" si="0"/>
        <v>GDM7X4-FRACAS-GDM-056</v>
      </c>
      <c r="M60" s="127" t="str">
        <f>[3]Sayfa1!$L57</f>
        <v>Jumper sabitleme braketi yamuk</v>
      </c>
      <c r="N60" s="128" t="str">
        <f>[3]Sayfa1!$J57</f>
        <v>C-Uyarı, sürüş devamlılığı</v>
      </c>
      <c r="O60" s="128" t="str">
        <f>[3]Sayfa1!$P57</f>
        <v>C(Sisteme etki etmeyen arıza)</v>
      </c>
      <c r="P60" s="128" t="str">
        <f>[3]Sayfa1!$Q57</f>
        <v>N.A(Yaralanma yok)</v>
      </c>
      <c r="Q60" s="129" t="str" cm="1">
        <f t="array" ref="Q60">_xlfn.IFS([3]Sayfa1!$R57="Bozankaya","Bozankaya",[3]Sayfa1!$R57="İşletme","Customer",[3]Sayfa1!$R57="Tedarikçi","Equipment Supplier")</f>
        <v>Bozankaya</v>
      </c>
      <c r="R60" s="130" t="str">
        <f>[3]Sayfa1!$M57</f>
        <v>Tamir süreci başlatıldı. Kalite bölümüne NCR oluşturuldu</v>
      </c>
      <c r="S60" s="147">
        <f>[3]Sayfa1!$AB57</f>
        <v>0</v>
      </c>
      <c r="T60" s="147">
        <f>[3]Sayfa1!$AA57</f>
        <v>0</v>
      </c>
      <c r="U60" s="131">
        <f>[3]Sayfa1!$AN57</f>
        <v>2</v>
      </c>
      <c r="V60" s="132">
        <f>[3]Sayfa1!$T57</f>
        <v>45272</v>
      </c>
      <c r="W60" s="133">
        <f>[3]Sayfa1!$U57</f>
        <v>45272</v>
      </c>
      <c r="X60" s="134">
        <f t="shared" si="1"/>
        <v>45272</v>
      </c>
      <c r="Y60" s="123">
        <f>[3]Sayfa1!$AQ57</f>
        <v>45329</v>
      </c>
      <c r="Z60" s="135">
        <f>[3]Sayfa1!$AR57</f>
        <v>45329.586678240739</v>
      </c>
      <c r="AA60" s="134">
        <f t="shared" si="2"/>
        <v>45329.586678240739</v>
      </c>
      <c r="AB60" s="136">
        <f t="shared" si="3"/>
        <v>1382.0802777777426</v>
      </c>
      <c r="AC60" s="137">
        <f t="shared" si="4"/>
        <v>45329</v>
      </c>
      <c r="AD60" s="135">
        <f t="shared" si="5"/>
        <v>45329.586678240739</v>
      </c>
      <c r="AE60" s="138">
        <f t="shared" si="6"/>
        <v>45329.586678240739</v>
      </c>
      <c r="AF60" s="139" t="str">
        <f>[3]Sayfa1!$AP57</f>
        <v>(I) İlk defa karşılaşılan arıza</v>
      </c>
      <c r="AG60" s="128" t="str">
        <f>IF([3]Sayfa1!$P57="C(Sisteme etki etmeyen arıza)","Bu Arıza Aracın Servise Verilmesine Engel Değil","Bu Arıza Aracın Servise Verilmesine Engel")</f>
        <v>Bu Arıza Aracın Servise Verilmesine Engel Değil</v>
      </c>
      <c r="AH60" s="140">
        <f>[3]Sayfa1!$AC57</f>
        <v>0</v>
      </c>
      <c r="AI60" s="137"/>
      <c r="AJ60" s="137"/>
      <c r="AK60" s="138">
        <f t="shared" si="7"/>
        <v>0</v>
      </c>
      <c r="AL60" s="136">
        <f t="shared" si="8"/>
        <v>82924.816666664556</v>
      </c>
      <c r="AM60" s="136">
        <f t="shared" si="9"/>
        <v>0</v>
      </c>
      <c r="AN60" s="141" t="str">
        <f t="shared" si="10"/>
        <v>Bozankaya</v>
      </c>
      <c r="AO60" s="141">
        <f>[3]Sayfa1!$X57</f>
        <v>0</v>
      </c>
      <c r="AP60" s="141">
        <f>[3]Sayfa1!$Z57</f>
        <v>0</v>
      </c>
      <c r="AQ60" s="122">
        <f>[3]Sayfa1!$W57</f>
        <v>0</v>
      </c>
      <c r="AR60" s="142">
        <f>[3]Sayfa1!$Y57</f>
        <v>0</v>
      </c>
      <c r="AS60" s="143">
        <f>[3]Sayfa1!$AD57</f>
        <v>0</v>
      </c>
      <c r="AT60" s="137">
        <f>[3]Sayfa1!$AE57</f>
        <v>0</v>
      </c>
      <c r="AU60" s="137">
        <f>[3]Sayfa1!$AH57</f>
        <v>0</v>
      </c>
      <c r="AV60" s="144">
        <v>56</v>
      </c>
      <c r="AW60" s="145" t="e">
        <f>U60*AB60*#REF!</f>
        <v>#REF!</v>
      </c>
    </row>
    <row r="61" spans="1:49" ht="101.25" customHeight="1">
      <c r="A61" s="119" t="s">
        <v>57</v>
      </c>
      <c r="B61" s="120" t="str">
        <f>[3]Sayfa1!$G58</f>
        <v>TS#3</v>
      </c>
      <c r="C61" s="121" t="str">
        <f>[3]Sayfa1!$H58</f>
        <v>Mc1</v>
      </c>
      <c r="D61" s="146">
        <f>[3]Sayfa1!$N58</f>
        <v>0</v>
      </c>
      <c r="E61" s="122" t="str">
        <f>[3]Sayfa1!$B58</f>
        <v>FRACAS-GDM-057</v>
      </c>
      <c r="F61" s="123">
        <f>[3]Sayfa1!$E58</f>
        <v>45272</v>
      </c>
      <c r="G61" s="124">
        <f>[3]Sayfa1!$F58</f>
        <v>45272</v>
      </c>
      <c r="H61" s="119" t="str">
        <f>[3]Sayfa1!$I58</f>
        <v>Depo/Depot</v>
      </c>
      <c r="I61" s="125" t="str">
        <f>IF([3]Sayfa1!$K58="SSH","Notified by Bozankaya","Notified by Customer")</f>
        <v>Notified by Customer</v>
      </c>
      <c r="J61" s="119" t="e">
        <f>VLOOKUP([3]Sayfa1!$AU58,#REF!,2,FALSE)</f>
        <v>#REF!</v>
      </c>
      <c r="K61" s="119" t="str">
        <f>[3]Sayfa1!$V58</f>
        <v>Bozankaya</v>
      </c>
      <c r="L61" s="126" t="str">
        <f t="shared" si="0"/>
        <v>GDM7X4-FRACAS-GDM-057</v>
      </c>
      <c r="M61" s="127" t="str">
        <f>[3]Sayfa1!$L58</f>
        <v>Jumper sabitleme braketlerinin 12 adet eksik vida tespit edilmiştir.</v>
      </c>
      <c r="N61" s="128" t="str">
        <f>[3]Sayfa1!$J58</f>
        <v>C-Uyarı, sürüş devamlılığı</v>
      </c>
      <c r="O61" s="128" t="str">
        <f>[3]Sayfa1!$P58</f>
        <v>C(Sisteme etki etmeyen arıza)</v>
      </c>
      <c r="P61" s="128" t="str">
        <f>[3]Sayfa1!$Q58</f>
        <v>N.A(Yaralanma yok)</v>
      </c>
      <c r="Q61" s="129" t="str" cm="1">
        <f t="array" ref="Q61">_xlfn.IFS([3]Sayfa1!$R58="Bozankaya","Bozankaya",[3]Sayfa1!$R58="İşletme","Customer",[3]Sayfa1!$R58="Tedarikçi","Equipment Supplier")</f>
        <v>Bozankaya</v>
      </c>
      <c r="R61" s="130" t="str">
        <f>[3]Sayfa1!$M58</f>
        <v>Tamir süreci başlatıldı. Kalite bölümüne NCR oluşturuldu</v>
      </c>
      <c r="S61" s="147">
        <f>[3]Sayfa1!$AB58</f>
        <v>0</v>
      </c>
      <c r="T61" s="147">
        <f>[3]Sayfa1!$AA58</f>
        <v>0</v>
      </c>
      <c r="U61" s="131">
        <f>[3]Sayfa1!$AN58</f>
        <v>2</v>
      </c>
      <c r="V61" s="132">
        <f>[3]Sayfa1!$T58</f>
        <v>45272</v>
      </c>
      <c r="W61" s="133">
        <f>[3]Sayfa1!$U58</f>
        <v>45272</v>
      </c>
      <c r="X61" s="134">
        <f t="shared" si="1"/>
        <v>45272</v>
      </c>
      <c r="Y61" s="123">
        <f>[3]Sayfa1!$AQ58</f>
        <v>45329</v>
      </c>
      <c r="Z61" s="135">
        <f>[3]Sayfa1!$AR58</f>
        <v>45329.586782407408</v>
      </c>
      <c r="AA61" s="134">
        <f t="shared" si="2"/>
        <v>45329.586782407408</v>
      </c>
      <c r="AB61" s="136">
        <f t="shared" si="3"/>
        <v>1382.0827777778031</v>
      </c>
      <c r="AC61" s="137">
        <f t="shared" si="4"/>
        <v>45329</v>
      </c>
      <c r="AD61" s="135">
        <f t="shared" si="5"/>
        <v>45329.586782407408</v>
      </c>
      <c r="AE61" s="138">
        <f t="shared" si="6"/>
        <v>45329.586782407408</v>
      </c>
      <c r="AF61" s="139" t="str">
        <f>[3]Sayfa1!$AP58</f>
        <v>(I) İlk defa karşılaşılan arıza</v>
      </c>
      <c r="AG61" s="128" t="str">
        <f>IF([3]Sayfa1!$P58="C(Sisteme etki etmeyen arıza)","Bu Arıza Aracın Servise Verilmesine Engel Değil","Bu Arıza Aracın Servise Verilmesine Engel")</f>
        <v>Bu Arıza Aracın Servise Verilmesine Engel Değil</v>
      </c>
      <c r="AH61" s="140">
        <f>[3]Sayfa1!$AC58</f>
        <v>0</v>
      </c>
      <c r="AI61" s="137"/>
      <c r="AJ61" s="137"/>
      <c r="AK61" s="138">
        <f t="shared" si="7"/>
        <v>0</v>
      </c>
      <c r="AL61" s="136">
        <f t="shared" si="8"/>
        <v>82924.966666668188</v>
      </c>
      <c r="AM61" s="136">
        <f t="shared" si="9"/>
        <v>0</v>
      </c>
      <c r="AN61" s="141" t="str">
        <f t="shared" si="10"/>
        <v>Bozankaya</v>
      </c>
      <c r="AO61" s="141">
        <f>[3]Sayfa1!$X58</f>
        <v>0</v>
      </c>
      <c r="AP61" s="141">
        <f>[3]Sayfa1!$Z58</f>
        <v>0</v>
      </c>
      <c r="AQ61" s="122">
        <f>[3]Sayfa1!$W58</f>
        <v>0</v>
      </c>
      <c r="AR61" s="142">
        <f>[3]Sayfa1!$Y58</f>
        <v>0</v>
      </c>
      <c r="AS61" s="143">
        <f>[3]Sayfa1!$AD58</f>
        <v>0</v>
      </c>
      <c r="AT61" s="137">
        <f>[3]Sayfa1!$AE58</f>
        <v>0</v>
      </c>
      <c r="AU61" s="137">
        <f>[3]Sayfa1!$AH58</f>
        <v>0</v>
      </c>
      <c r="AV61" s="144">
        <v>57</v>
      </c>
      <c r="AW61" s="145" t="e">
        <f>U61*AB61*#REF!</f>
        <v>#REF!</v>
      </c>
    </row>
    <row r="62" spans="1:49" ht="101.25" customHeight="1">
      <c r="A62" s="119" t="s">
        <v>57</v>
      </c>
      <c r="B62" s="120" t="str">
        <f>[3]Sayfa1!$G59</f>
        <v>TS#4</v>
      </c>
      <c r="C62" s="121" t="str">
        <f>[3]Sayfa1!$H59</f>
        <v>M</v>
      </c>
      <c r="D62" s="146">
        <f>[3]Sayfa1!$N59</f>
        <v>0</v>
      </c>
      <c r="E62" s="122" t="str">
        <f>[3]Sayfa1!$B59</f>
        <v>FRACAS-GDM-058</v>
      </c>
      <c r="F62" s="123">
        <f>[3]Sayfa1!$E59</f>
        <v>45272</v>
      </c>
      <c r="G62" s="124">
        <f>[3]Sayfa1!$F59</f>
        <v>45272</v>
      </c>
      <c r="H62" s="119" t="str">
        <f>[3]Sayfa1!$I59</f>
        <v>Depo/Depot</v>
      </c>
      <c r="I62" s="125" t="str">
        <f>IF([3]Sayfa1!$K59="SSH","Notified by Bozankaya","Notified by Customer")</f>
        <v>Notified by Customer</v>
      </c>
      <c r="J62" s="119" t="e">
        <f>VLOOKUP([3]Sayfa1!$AU59,#REF!,2,FALSE)</f>
        <v>#REF!</v>
      </c>
      <c r="K62" s="119" t="str">
        <f>[3]Sayfa1!$V59</f>
        <v>Knorr</v>
      </c>
      <c r="L62" s="126" t="str">
        <f t="shared" si="0"/>
        <v>GDM7X4-FRACAS-GDM-058</v>
      </c>
      <c r="M62" s="127" t="str">
        <f>[3]Sayfa1!$L59</f>
        <v>Fren teli ezilmiş</v>
      </c>
      <c r="N62" s="128" t="str">
        <f>[3]Sayfa1!$J59</f>
        <v>C-Uyarı, sürüş devamlılığı</v>
      </c>
      <c r="O62" s="128" t="str">
        <f>[3]Sayfa1!$P59</f>
        <v>C(Sisteme etki etmeyen arıza)</v>
      </c>
      <c r="P62" s="128" t="str">
        <f>[3]Sayfa1!$Q59</f>
        <v>N.A(Yaralanma yok)</v>
      </c>
      <c r="Q62" s="129" t="str" cm="1">
        <f t="array" ref="Q62">_xlfn.IFS([3]Sayfa1!$R59="Bozankaya","Bozankaya",[3]Sayfa1!$R59="İşletme","Customer",[3]Sayfa1!$R59="Tedarikçi","Equipment Supplier")</f>
        <v>Bozankaya</v>
      </c>
      <c r="R62" s="130" t="str">
        <f>[3]Sayfa1!$M59</f>
        <v>Tamir süreci başlatıldı. Kalite bölümüne NCR oluşturuldu</v>
      </c>
      <c r="S62" s="147">
        <f>[3]Sayfa1!$AB59</f>
        <v>0</v>
      </c>
      <c r="T62" s="147">
        <f>[3]Sayfa1!$AA59</f>
        <v>0</v>
      </c>
      <c r="U62" s="131">
        <f>[3]Sayfa1!$AN59</f>
        <v>2</v>
      </c>
      <c r="V62" s="132">
        <f>[3]Sayfa1!$T59</f>
        <v>45272</v>
      </c>
      <c r="W62" s="133">
        <f>[3]Sayfa1!$U59</f>
        <v>45272</v>
      </c>
      <c r="X62" s="134">
        <f t="shared" si="1"/>
        <v>45272</v>
      </c>
      <c r="Y62" s="123" t="str">
        <f>[3]Sayfa1!$AQ59</f>
        <v/>
      </c>
      <c r="Z62" s="135">
        <f>[3]Sayfa1!$AR59</f>
        <v>0</v>
      </c>
      <c r="AA62" s="134">
        <f t="shared" si="2"/>
        <v>0</v>
      </c>
      <c r="AB62" s="136">
        <f t="shared" si="3"/>
        <v>0</v>
      </c>
      <c r="AC62" s="137" t="str">
        <f t="shared" si="4"/>
        <v/>
      </c>
      <c r="AD62" s="135">
        <f t="shared" si="5"/>
        <v>0</v>
      </c>
      <c r="AE62" s="138">
        <f t="shared" si="6"/>
        <v>0</v>
      </c>
      <c r="AF62" s="139" t="str">
        <f>[3]Sayfa1!$AP59</f>
        <v>(I) İlk defa karşılaşılan arıza</v>
      </c>
      <c r="AG62" s="128" t="str">
        <f>IF([3]Sayfa1!$P59="C(Sisteme etki etmeyen arıza)","Bu Arıza Aracın Servise Verilmesine Engel Değil","Bu Arıza Aracın Servise Verilmesine Engel")</f>
        <v>Bu Arıza Aracın Servise Verilmesine Engel Değil</v>
      </c>
      <c r="AH62" s="140">
        <f>[3]Sayfa1!$AC59</f>
        <v>0</v>
      </c>
      <c r="AI62" s="137"/>
      <c r="AJ62" s="137"/>
      <c r="AK62" s="138">
        <f t="shared" si="7"/>
        <v>0</v>
      </c>
      <c r="AL62" s="136">
        <f t="shared" si="8"/>
        <v>0</v>
      </c>
      <c r="AM62" s="136">
        <f t="shared" si="9"/>
        <v>0</v>
      </c>
      <c r="AN62" s="141" t="str">
        <f t="shared" si="10"/>
        <v>Knorr</v>
      </c>
      <c r="AO62" s="141">
        <f>[3]Sayfa1!$X59</f>
        <v>0</v>
      </c>
      <c r="AP62" s="141">
        <f>[3]Sayfa1!$Z59</f>
        <v>0</v>
      </c>
      <c r="AQ62" s="122">
        <f>[3]Sayfa1!$W59</f>
        <v>0</v>
      </c>
      <c r="AR62" s="142">
        <f>[3]Sayfa1!$Y59</f>
        <v>0</v>
      </c>
      <c r="AS62" s="143">
        <f>[3]Sayfa1!$AD59</f>
        <v>0</v>
      </c>
      <c r="AT62" s="137">
        <f>[3]Sayfa1!$AE59</f>
        <v>0</v>
      </c>
      <c r="AU62" s="137">
        <f>[3]Sayfa1!$AH59</f>
        <v>0</v>
      </c>
      <c r="AV62" s="144">
        <v>58</v>
      </c>
      <c r="AW62" s="145" t="e">
        <f>U62*AB62*#REF!</f>
        <v>#REF!</v>
      </c>
    </row>
    <row r="63" spans="1:49" ht="101.25" customHeight="1">
      <c r="A63" s="119" t="s">
        <v>57</v>
      </c>
      <c r="B63" s="120" t="str">
        <f>[3]Sayfa1!$G60</f>
        <v>TS#4</v>
      </c>
      <c r="C63" s="121" t="str">
        <f>[3]Sayfa1!$H60</f>
        <v>Mc1</v>
      </c>
      <c r="D63" s="146">
        <f>[3]Sayfa1!$N60</f>
        <v>0</v>
      </c>
      <c r="E63" s="122" t="str">
        <f>[3]Sayfa1!$B60</f>
        <v>FRACAS-GDM-059</v>
      </c>
      <c r="F63" s="123">
        <f>[3]Sayfa1!$E60</f>
        <v>45274</v>
      </c>
      <c r="G63" s="124">
        <f>[3]Sayfa1!$F60</f>
        <v>45274</v>
      </c>
      <c r="H63" s="119" t="str">
        <f>[3]Sayfa1!$I60</f>
        <v>Depo/Depot</v>
      </c>
      <c r="I63" s="125" t="str">
        <f>IF([3]Sayfa1!$K60="SSH","Notified by Bozankaya","Notified by Customer")</f>
        <v>Notified by Customer</v>
      </c>
      <c r="J63" s="119" t="e">
        <f>VLOOKUP([3]Sayfa1!$AU60,#REF!,2,FALSE)</f>
        <v>#REF!</v>
      </c>
      <c r="K63" s="119" t="str">
        <f>[3]Sayfa1!$V60</f>
        <v>Bozankaya</v>
      </c>
      <c r="L63" s="126" t="str">
        <f t="shared" si="0"/>
        <v>GDM7X4-FRACAS-GDM-059</v>
      </c>
      <c r="M63" s="127" t="str">
        <f>[3]Sayfa1!$L60</f>
        <v>Montaj yapılırken çorap geçirilmemiş</v>
      </c>
      <c r="N63" s="128" t="str">
        <f>[3]Sayfa1!$J60</f>
        <v>C-Uyarı, sürüş devamlılığı</v>
      </c>
      <c r="O63" s="128" t="str">
        <f>[3]Sayfa1!$P60</f>
        <v>C(Sisteme etki etmeyen arıza)</v>
      </c>
      <c r="P63" s="128" t="str">
        <f>[3]Sayfa1!$Q60</f>
        <v>N.A(Yaralanma yok)</v>
      </c>
      <c r="Q63" s="129" t="str" cm="1">
        <f t="array" ref="Q63">_xlfn.IFS([3]Sayfa1!$R60="Bozankaya","Bozankaya",[3]Sayfa1!$R60="İşletme","Customer",[3]Sayfa1!$R60="Tedarikçi","Equipment Supplier")</f>
        <v>Bozankaya</v>
      </c>
      <c r="R63" s="130" t="str">
        <f>[3]Sayfa1!$M60</f>
        <v>Tamir süreci başlatıldı. Kalite bölümüne NCR oluşturuldu</v>
      </c>
      <c r="S63" s="147">
        <f>[3]Sayfa1!$AB60</f>
        <v>0</v>
      </c>
      <c r="T63" s="147">
        <f>[3]Sayfa1!$AA60</f>
        <v>0</v>
      </c>
      <c r="U63" s="131">
        <f>[3]Sayfa1!$AN60</f>
        <v>2</v>
      </c>
      <c r="V63" s="132">
        <f>[3]Sayfa1!$T60</f>
        <v>45274</v>
      </c>
      <c r="W63" s="133">
        <f>[3]Sayfa1!$U60</f>
        <v>45274</v>
      </c>
      <c r="X63" s="134">
        <f t="shared" si="1"/>
        <v>45274</v>
      </c>
      <c r="Y63" s="123" t="str">
        <f>[3]Sayfa1!$AQ60</f>
        <v/>
      </c>
      <c r="Z63" s="135">
        <f>[3]Sayfa1!$AR60</f>
        <v>0</v>
      </c>
      <c r="AA63" s="134">
        <f t="shared" si="2"/>
        <v>0</v>
      </c>
      <c r="AB63" s="136">
        <f t="shared" si="3"/>
        <v>0</v>
      </c>
      <c r="AC63" s="137" t="str">
        <f t="shared" si="4"/>
        <v/>
      </c>
      <c r="AD63" s="135">
        <f t="shared" si="5"/>
        <v>0</v>
      </c>
      <c r="AE63" s="138">
        <f t="shared" si="6"/>
        <v>0</v>
      </c>
      <c r="AF63" s="139" t="str">
        <f>[3]Sayfa1!$AP60</f>
        <v>(I) İlk defa karşılaşılan arıza</v>
      </c>
      <c r="AG63" s="128" t="str">
        <f>IF([3]Sayfa1!$P60="C(Sisteme etki etmeyen arıza)","Bu Arıza Aracın Servise Verilmesine Engel Değil","Bu Arıza Aracın Servise Verilmesine Engel")</f>
        <v>Bu Arıza Aracın Servise Verilmesine Engel Değil</v>
      </c>
      <c r="AH63" s="140">
        <f>[3]Sayfa1!$AC60</f>
        <v>0</v>
      </c>
      <c r="AI63" s="137"/>
      <c r="AJ63" s="137"/>
      <c r="AK63" s="138">
        <f t="shared" si="7"/>
        <v>0</v>
      </c>
      <c r="AL63" s="136">
        <f t="shared" si="8"/>
        <v>0</v>
      </c>
      <c r="AM63" s="136">
        <f t="shared" si="9"/>
        <v>0</v>
      </c>
      <c r="AN63" s="141" t="str">
        <f t="shared" si="10"/>
        <v>Bozankaya</v>
      </c>
      <c r="AO63" s="141">
        <f>[3]Sayfa1!$X60</f>
        <v>0</v>
      </c>
      <c r="AP63" s="141">
        <f>[3]Sayfa1!$Z60</f>
        <v>0</v>
      </c>
      <c r="AQ63" s="122">
        <f>[3]Sayfa1!$W60</f>
        <v>0</v>
      </c>
      <c r="AR63" s="142">
        <f>[3]Sayfa1!$Y60</f>
        <v>0</v>
      </c>
      <c r="AS63" s="143">
        <f>[3]Sayfa1!$AD60</f>
        <v>0</v>
      </c>
      <c r="AT63" s="137">
        <f>[3]Sayfa1!$AE60</f>
        <v>0</v>
      </c>
      <c r="AU63" s="137">
        <f>[3]Sayfa1!$AH60</f>
        <v>0</v>
      </c>
      <c r="AV63" s="144">
        <v>59</v>
      </c>
      <c r="AW63" s="145" t="e">
        <f>U63*AB63*#REF!</f>
        <v>#REF!</v>
      </c>
    </row>
    <row r="64" spans="1:49" ht="101.25" customHeight="1">
      <c r="A64" s="119" t="s">
        <v>57</v>
      </c>
      <c r="B64" s="120" t="str">
        <f>[3]Sayfa1!$G61</f>
        <v>TS#4</v>
      </c>
      <c r="C64" s="121" t="str">
        <f>[3]Sayfa1!$H61</f>
        <v>Mc1</v>
      </c>
      <c r="D64" s="146">
        <f>[3]Sayfa1!$N61</f>
        <v>0</v>
      </c>
      <c r="E64" s="122" t="str">
        <f>[3]Sayfa1!$B61</f>
        <v>FRACAS-GDM-060</v>
      </c>
      <c r="F64" s="123">
        <f>[3]Sayfa1!$E61</f>
        <v>45274</v>
      </c>
      <c r="G64" s="124">
        <f>[3]Sayfa1!$F61</f>
        <v>45274</v>
      </c>
      <c r="H64" s="119" t="str">
        <f>[3]Sayfa1!$I61</f>
        <v>Depo/Depot</v>
      </c>
      <c r="I64" s="125" t="str">
        <f>IF([3]Sayfa1!$K61="SSH","Notified by Bozankaya","Notified by Customer")</f>
        <v>Notified by Customer</v>
      </c>
      <c r="J64" s="119" t="e">
        <f>VLOOKUP([3]Sayfa1!$AU61,#REF!,2,FALSE)</f>
        <v>#REF!</v>
      </c>
      <c r="K64" s="119" t="str">
        <f>[3]Sayfa1!$V61</f>
        <v>Bozankaya</v>
      </c>
      <c r="L64" s="126" t="str">
        <f t="shared" si="0"/>
        <v>GDM7X4-FRACAS-GDM-060</v>
      </c>
      <c r="M64" s="127" t="str">
        <f>[3]Sayfa1!$L61</f>
        <v>X6 ve x7 montajı yapılmamış</v>
      </c>
      <c r="N64" s="128" t="str">
        <f>[3]Sayfa1!$J61</f>
        <v>C-Uyarı, sürüş devamlılığı</v>
      </c>
      <c r="O64" s="128" t="str">
        <f>[3]Sayfa1!$P61</f>
        <v>C(Sisteme etki etmeyen arıza)</v>
      </c>
      <c r="P64" s="128" t="str">
        <f>[3]Sayfa1!$Q61</f>
        <v>N.A(Yaralanma yok)</v>
      </c>
      <c r="Q64" s="129" t="str" cm="1">
        <f t="array" ref="Q64">_xlfn.IFS([3]Sayfa1!$R61="Bozankaya","Bozankaya",[3]Sayfa1!$R61="İşletme","Customer",[3]Sayfa1!$R61="Tedarikçi","Equipment Supplier")</f>
        <v>Bozankaya</v>
      </c>
      <c r="R64" s="130" t="str">
        <f>[3]Sayfa1!$M61</f>
        <v>Tamir süreci başlatıldı. Kalite bölümüne NCR oluşturuldu</v>
      </c>
      <c r="S64" s="147">
        <f>[3]Sayfa1!$AB61</f>
        <v>0</v>
      </c>
      <c r="T64" s="147">
        <f>[3]Sayfa1!$AA61</f>
        <v>0</v>
      </c>
      <c r="U64" s="131">
        <f>[3]Sayfa1!$AN61</f>
        <v>2</v>
      </c>
      <c r="V64" s="132">
        <f>[3]Sayfa1!$T61</f>
        <v>45274</v>
      </c>
      <c r="W64" s="133">
        <f>[3]Sayfa1!$U61</f>
        <v>45274</v>
      </c>
      <c r="X64" s="134">
        <f t="shared" si="1"/>
        <v>45274</v>
      </c>
      <c r="Y64" s="123" t="str">
        <f>[3]Sayfa1!$AQ61</f>
        <v/>
      </c>
      <c r="Z64" s="135">
        <f>[3]Sayfa1!$AR61</f>
        <v>0</v>
      </c>
      <c r="AA64" s="134">
        <f t="shared" si="2"/>
        <v>0</v>
      </c>
      <c r="AB64" s="136">
        <f t="shared" si="3"/>
        <v>0</v>
      </c>
      <c r="AC64" s="137" t="str">
        <f t="shared" si="4"/>
        <v/>
      </c>
      <c r="AD64" s="135">
        <f t="shared" si="5"/>
        <v>0</v>
      </c>
      <c r="AE64" s="138">
        <f t="shared" si="6"/>
        <v>0</v>
      </c>
      <c r="AF64" s="139" t="str">
        <f>[3]Sayfa1!$AP61</f>
        <v>(I) İlk defa karşılaşılan arıza</v>
      </c>
      <c r="AG64" s="128" t="str">
        <f>IF([3]Sayfa1!$P61="C(Sisteme etki etmeyen arıza)","Bu Arıza Aracın Servise Verilmesine Engel Değil","Bu Arıza Aracın Servise Verilmesine Engel")</f>
        <v>Bu Arıza Aracın Servise Verilmesine Engel Değil</v>
      </c>
      <c r="AH64" s="140">
        <f>[3]Sayfa1!$AC61</f>
        <v>0</v>
      </c>
      <c r="AI64" s="137"/>
      <c r="AJ64" s="137"/>
      <c r="AK64" s="138">
        <f t="shared" si="7"/>
        <v>0</v>
      </c>
      <c r="AL64" s="136">
        <f t="shared" si="8"/>
        <v>0</v>
      </c>
      <c r="AM64" s="136">
        <f t="shared" si="9"/>
        <v>0</v>
      </c>
      <c r="AN64" s="141" t="str">
        <f t="shared" si="10"/>
        <v>Bozankaya</v>
      </c>
      <c r="AO64" s="141">
        <f>[3]Sayfa1!$X61</f>
        <v>0</v>
      </c>
      <c r="AP64" s="141">
        <f>[3]Sayfa1!$Z61</f>
        <v>0</v>
      </c>
      <c r="AQ64" s="122">
        <f>[3]Sayfa1!$W61</f>
        <v>0</v>
      </c>
      <c r="AR64" s="142">
        <f>[3]Sayfa1!$Y61</f>
        <v>0</v>
      </c>
      <c r="AS64" s="143">
        <f>[3]Sayfa1!$AD61</f>
        <v>0</v>
      </c>
      <c r="AT64" s="137">
        <f>[3]Sayfa1!$AE61</f>
        <v>0</v>
      </c>
      <c r="AU64" s="137">
        <f>[3]Sayfa1!$AH61</f>
        <v>0</v>
      </c>
      <c r="AV64" s="144">
        <v>60</v>
      </c>
      <c r="AW64" s="145" t="e">
        <f>U64*AB64*#REF!</f>
        <v>#REF!</v>
      </c>
    </row>
    <row r="65" spans="1:49" ht="101.25" customHeight="1">
      <c r="A65" s="119" t="s">
        <v>57</v>
      </c>
      <c r="B65" s="120" t="str">
        <f>[3]Sayfa1!$G62</f>
        <v>TS#4</v>
      </c>
      <c r="C65" s="121" t="str">
        <f>[3]Sayfa1!$H62</f>
        <v>Mc1</v>
      </c>
      <c r="D65" s="146">
        <f>[3]Sayfa1!$N62</f>
        <v>0</v>
      </c>
      <c r="E65" s="122" t="str">
        <f>[3]Sayfa1!$B62</f>
        <v>FRACAS-GDM-061</v>
      </c>
      <c r="F65" s="123">
        <f>[3]Sayfa1!$E62</f>
        <v>45274</v>
      </c>
      <c r="G65" s="124">
        <f>[3]Sayfa1!$F62</f>
        <v>45274</v>
      </c>
      <c r="H65" s="119" t="str">
        <f>[3]Sayfa1!$I62</f>
        <v>Depo/Depot</v>
      </c>
      <c r="I65" s="125" t="str">
        <f>IF([3]Sayfa1!$K62="SSH","Notified by Bozankaya","Notified by Customer")</f>
        <v>Notified by Customer</v>
      </c>
      <c r="J65" s="119" t="e">
        <f>VLOOKUP([3]Sayfa1!$AU62,#REF!,2,FALSE)</f>
        <v>#REF!</v>
      </c>
      <c r="K65" s="119" t="str">
        <f>[3]Sayfa1!$V62</f>
        <v>Bozankaya</v>
      </c>
      <c r="L65" s="126" t="str">
        <f t="shared" si="0"/>
        <v>GDM7X4-FRACAS-GDM-061</v>
      </c>
      <c r="M65" s="127" t="str">
        <f>[3]Sayfa1!$L62</f>
        <v>Reklam ekranlarının jelatinleri sökülmeden montajı yapılmıştır.</v>
      </c>
      <c r="N65" s="128" t="str">
        <f>[3]Sayfa1!$J62</f>
        <v>C-Uyarı, sürüş devamlılığı</v>
      </c>
      <c r="O65" s="128" t="str">
        <f>[3]Sayfa1!$P62</f>
        <v>C(Sisteme etki etmeyen arıza)</v>
      </c>
      <c r="P65" s="128" t="str">
        <f>[3]Sayfa1!$Q62</f>
        <v>N.A(Yaralanma yok)</v>
      </c>
      <c r="Q65" s="129" t="str" cm="1">
        <f t="array" ref="Q65">_xlfn.IFS([3]Sayfa1!$R62="Bozankaya","Bozankaya",[3]Sayfa1!$R62="İşletme","Customer",[3]Sayfa1!$R62="Tedarikçi","Equipment Supplier")</f>
        <v>Bozankaya</v>
      </c>
      <c r="R65" s="130" t="str">
        <f>[3]Sayfa1!$M62</f>
        <v>Tamir süreci başlatıldı. Kalite bölümüne NCR oluşturuldu</v>
      </c>
      <c r="S65" s="147">
        <f>[3]Sayfa1!$AB62</f>
        <v>0</v>
      </c>
      <c r="T65" s="147">
        <f>[3]Sayfa1!$AA62</f>
        <v>0</v>
      </c>
      <c r="U65" s="131">
        <f>[3]Sayfa1!$AN62</f>
        <v>2</v>
      </c>
      <c r="V65" s="132">
        <f>[3]Sayfa1!$T62</f>
        <v>45274</v>
      </c>
      <c r="W65" s="133">
        <f>[3]Sayfa1!$U62</f>
        <v>45274</v>
      </c>
      <c r="X65" s="134">
        <f t="shared" si="1"/>
        <v>45274</v>
      </c>
      <c r="Y65" s="123" t="str">
        <f>[3]Sayfa1!$AQ62</f>
        <v/>
      </c>
      <c r="Z65" s="135">
        <f>[3]Sayfa1!$AR62</f>
        <v>0</v>
      </c>
      <c r="AA65" s="134">
        <f t="shared" si="2"/>
        <v>0</v>
      </c>
      <c r="AB65" s="136">
        <f t="shared" si="3"/>
        <v>0</v>
      </c>
      <c r="AC65" s="137" t="str">
        <f t="shared" si="4"/>
        <v/>
      </c>
      <c r="AD65" s="135">
        <f t="shared" si="5"/>
        <v>0</v>
      </c>
      <c r="AE65" s="138">
        <f t="shared" si="6"/>
        <v>0</v>
      </c>
      <c r="AF65" s="139" t="str">
        <f>[3]Sayfa1!$AP62</f>
        <v>(I) İlk defa karşılaşılan arıza</v>
      </c>
      <c r="AG65" s="128" t="str">
        <f>IF([3]Sayfa1!$P62="C(Sisteme etki etmeyen arıza)","Bu Arıza Aracın Servise Verilmesine Engel Değil","Bu Arıza Aracın Servise Verilmesine Engel")</f>
        <v>Bu Arıza Aracın Servise Verilmesine Engel Değil</v>
      </c>
      <c r="AH65" s="140">
        <f>[3]Sayfa1!$AC62</f>
        <v>0</v>
      </c>
      <c r="AI65" s="137"/>
      <c r="AJ65" s="137"/>
      <c r="AK65" s="138">
        <f t="shared" si="7"/>
        <v>0</v>
      </c>
      <c r="AL65" s="136">
        <f t="shared" si="8"/>
        <v>0</v>
      </c>
      <c r="AM65" s="136">
        <f t="shared" si="9"/>
        <v>0</v>
      </c>
      <c r="AN65" s="141" t="str">
        <f t="shared" si="10"/>
        <v>Bozankaya</v>
      </c>
      <c r="AO65" s="141">
        <f>[3]Sayfa1!$X62</f>
        <v>0</v>
      </c>
      <c r="AP65" s="141">
        <f>[3]Sayfa1!$Z62</f>
        <v>0</v>
      </c>
      <c r="AQ65" s="122">
        <f>[3]Sayfa1!$W62</f>
        <v>0</v>
      </c>
      <c r="AR65" s="142">
        <f>[3]Sayfa1!$Y62</f>
        <v>0</v>
      </c>
      <c r="AS65" s="143">
        <f>[3]Sayfa1!$AD62</f>
        <v>0</v>
      </c>
      <c r="AT65" s="137">
        <f>[3]Sayfa1!$AE62</f>
        <v>0</v>
      </c>
      <c r="AU65" s="137">
        <f>[3]Sayfa1!$AH62</f>
        <v>0</v>
      </c>
      <c r="AV65" s="144">
        <v>61</v>
      </c>
      <c r="AW65" s="145" t="e">
        <f>U65*AB65*#REF!</f>
        <v>#REF!</v>
      </c>
    </row>
    <row r="66" spans="1:49" ht="101.25" customHeight="1">
      <c r="A66" s="119" t="s">
        <v>57</v>
      </c>
      <c r="B66" s="120" t="str">
        <f>[3]Sayfa1!$G63</f>
        <v>TS#4</v>
      </c>
      <c r="C66" s="121" t="str">
        <f>[3]Sayfa1!$H63</f>
        <v>Mc1</v>
      </c>
      <c r="D66" s="146">
        <f>[3]Sayfa1!$N63</f>
        <v>0</v>
      </c>
      <c r="E66" s="122" t="str">
        <f>[3]Sayfa1!$B63</f>
        <v>FRACAS-GDM-062</v>
      </c>
      <c r="F66" s="123">
        <f>[3]Sayfa1!$E63</f>
        <v>45274</v>
      </c>
      <c r="G66" s="124">
        <f>[3]Sayfa1!$F63</f>
        <v>45274</v>
      </c>
      <c r="H66" s="119" t="str">
        <f>[3]Sayfa1!$I63</f>
        <v>Depo/Depot</v>
      </c>
      <c r="I66" s="125" t="str">
        <f>IF([3]Sayfa1!$K63="SSH","Notified by Bozankaya","Notified by Customer")</f>
        <v>Notified by Customer</v>
      </c>
      <c r="J66" s="119" t="e">
        <f>VLOOKUP([3]Sayfa1!$AU63,#REF!,2,FALSE)</f>
        <v>#REF!</v>
      </c>
      <c r="K66" s="119" t="str">
        <f>[3]Sayfa1!$V63</f>
        <v>Bozankaya</v>
      </c>
      <c r="L66" s="126" t="str">
        <f t="shared" si="0"/>
        <v>GDM7X4-FRACAS-GDM-062</v>
      </c>
      <c r="M66" s="127" t="str">
        <f>[3]Sayfa1!$L63</f>
        <v>Tava kanallarına yapılan kablolama sabitlenmemiştir.</v>
      </c>
      <c r="N66" s="128" t="str">
        <f>[3]Sayfa1!$J63</f>
        <v>C-Uyarı, sürüş devamlılığı</v>
      </c>
      <c r="O66" s="128" t="str">
        <f>[3]Sayfa1!$P63</f>
        <v>C(Sisteme etki etmeyen arıza)</v>
      </c>
      <c r="P66" s="128" t="str">
        <f>[3]Sayfa1!$Q63</f>
        <v>N.A(Yaralanma yok)</v>
      </c>
      <c r="Q66" s="129" t="str" cm="1">
        <f t="array" ref="Q66">_xlfn.IFS([3]Sayfa1!$R63="Bozankaya","Bozankaya",[3]Sayfa1!$R63="İşletme","Customer",[3]Sayfa1!$R63="Tedarikçi","Equipment Supplier")</f>
        <v>Bozankaya</v>
      </c>
      <c r="R66" s="130" t="str">
        <f>[3]Sayfa1!$M63</f>
        <v>Tamir süreci başlatıldı. Kalite bölümüne NCR oluşturuldu</v>
      </c>
      <c r="S66" s="147">
        <f>[3]Sayfa1!$AB63</f>
        <v>0</v>
      </c>
      <c r="T66" s="147">
        <f>[3]Sayfa1!$AA63</f>
        <v>0</v>
      </c>
      <c r="U66" s="131">
        <f>[3]Sayfa1!$AN63</f>
        <v>2</v>
      </c>
      <c r="V66" s="132">
        <f>[3]Sayfa1!$T63</f>
        <v>45274</v>
      </c>
      <c r="W66" s="133">
        <f>[3]Sayfa1!$U63</f>
        <v>45274</v>
      </c>
      <c r="X66" s="134">
        <f t="shared" si="1"/>
        <v>45274</v>
      </c>
      <c r="Y66" s="123" t="str">
        <f>[3]Sayfa1!$AQ63</f>
        <v/>
      </c>
      <c r="Z66" s="135">
        <f>[3]Sayfa1!$AR63</f>
        <v>0</v>
      </c>
      <c r="AA66" s="134">
        <f t="shared" si="2"/>
        <v>0</v>
      </c>
      <c r="AB66" s="136">
        <f t="shared" si="3"/>
        <v>0</v>
      </c>
      <c r="AC66" s="137" t="str">
        <f t="shared" si="4"/>
        <v/>
      </c>
      <c r="AD66" s="135">
        <f t="shared" si="5"/>
        <v>0</v>
      </c>
      <c r="AE66" s="138">
        <f t="shared" si="6"/>
        <v>0</v>
      </c>
      <c r="AF66" s="139" t="str">
        <f>[3]Sayfa1!$AP63</f>
        <v>(I) İlk defa karşılaşılan arıza</v>
      </c>
      <c r="AG66" s="128" t="str">
        <f>IF([3]Sayfa1!$P63="C(Sisteme etki etmeyen arıza)","Bu Arıza Aracın Servise Verilmesine Engel Değil","Bu Arıza Aracın Servise Verilmesine Engel")</f>
        <v>Bu Arıza Aracın Servise Verilmesine Engel Değil</v>
      </c>
      <c r="AH66" s="140">
        <f>[3]Sayfa1!$AC63</f>
        <v>0</v>
      </c>
      <c r="AI66" s="137"/>
      <c r="AJ66" s="137"/>
      <c r="AK66" s="138">
        <f t="shared" si="7"/>
        <v>0</v>
      </c>
      <c r="AL66" s="136">
        <f t="shared" si="8"/>
        <v>0</v>
      </c>
      <c r="AM66" s="136">
        <f t="shared" si="9"/>
        <v>0</v>
      </c>
      <c r="AN66" s="141" t="str">
        <f t="shared" si="10"/>
        <v>Bozankaya</v>
      </c>
      <c r="AO66" s="141">
        <f>[3]Sayfa1!$X63</f>
        <v>0</v>
      </c>
      <c r="AP66" s="141">
        <f>[3]Sayfa1!$Z63</f>
        <v>0</v>
      </c>
      <c r="AQ66" s="122">
        <f>[3]Sayfa1!$W63</f>
        <v>0</v>
      </c>
      <c r="AR66" s="142">
        <f>[3]Sayfa1!$Y63</f>
        <v>0</v>
      </c>
      <c r="AS66" s="143">
        <f>[3]Sayfa1!$AD63</f>
        <v>0</v>
      </c>
      <c r="AT66" s="137">
        <f>[3]Sayfa1!$AE63</f>
        <v>0</v>
      </c>
      <c r="AU66" s="137">
        <f>[3]Sayfa1!$AH63</f>
        <v>0</v>
      </c>
      <c r="AV66" s="144">
        <v>62</v>
      </c>
      <c r="AW66" s="145" t="e">
        <f>U66*AB66*#REF!</f>
        <v>#REF!</v>
      </c>
    </row>
    <row r="67" spans="1:49" ht="101.25" customHeight="1">
      <c r="A67" s="119" t="s">
        <v>57</v>
      </c>
      <c r="B67" s="120" t="str">
        <f>[3]Sayfa1!$G64</f>
        <v>TS#4</v>
      </c>
      <c r="C67" s="121" t="str">
        <f>[3]Sayfa1!$H64</f>
        <v>Mc1</v>
      </c>
      <c r="D67" s="146">
        <f>[3]Sayfa1!$N64</f>
        <v>0</v>
      </c>
      <c r="E67" s="122" t="str">
        <f>[3]Sayfa1!$B64</f>
        <v>FRACAS-GDM-063</v>
      </c>
      <c r="F67" s="123">
        <f>[3]Sayfa1!$E64</f>
        <v>45274</v>
      </c>
      <c r="G67" s="124">
        <f>[3]Sayfa1!$F64</f>
        <v>45274</v>
      </c>
      <c r="H67" s="119" t="str">
        <f>[3]Sayfa1!$I64</f>
        <v>Depo/Depot</v>
      </c>
      <c r="I67" s="125" t="str">
        <f>IF([3]Sayfa1!$K64="SSH","Notified by Bozankaya","Notified by Customer")</f>
        <v>Notified by Customer</v>
      </c>
      <c r="J67" s="119" t="e">
        <f>VLOOKUP([3]Sayfa1!$AU64,#REF!,2,FALSE)</f>
        <v>#REF!</v>
      </c>
      <c r="K67" s="119" t="str">
        <f>[3]Sayfa1!$V64</f>
        <v>Bozankaya</v>
      </c>
      <c r="L67" s="126" t="str">
        <f t="shared" si="0"/>
        <v>GDM7X4-FRACAS-GDM-063</v>
      </c>
      <c r="M67" s="127" t="str">
        <f>[3]Sayfa1!$L64</f>
        <v>X11 kablo çorabının içinde proje çizimi çıkmıştır.</v>
      </c>
      <c r="N67" s="128" t="str">
        <f>[3]Sayfa1!$J64</f>
        <v>C-Uyarı, sürüş devamlılığı</v>
      </c>
      <c r="O67" s="128" t="str">
        <f>[3]Sayfa1!$P64</f>
        <v>C(Sisteme etki etmeyen arıza)</v>
      </c>
      <c r="P67" s="128" t="str">
        <f>[3]Sayfa1!$Q64</f>
        <v>N.A(Yaralanma yok)</v>
      </c>
      <c r="Q67" s="129" t="str" cm="1">
        <f t="array" ref="Q67">_xlfn.IFS([3]Sayfa1!$R64="Bozankaya","Bozankaya",[3]Sayfa1!$R64="İşletme","Customer",[3]Sayfa1!$R64="Tedarikçi","Equipment Supplier")</f>
        <v>Bozankaya</v>
      </c>
      <c r="R67" s="130" t="str">
        <f>[3]Sayfa1!$M64</f>
        <v>Tamir süreci başlatıldı. Kalite bölümüne NCR oluşturuldu</v>
      </c>
      <c r="S67" s="147">
        <f>[3]Sayfa1!$AB64</f>
        <v>0</v>
      </c>
      <c r="T67" s="147">
        <f>[3]Sayfa1!$AA64</f>
        <v>0</v>
      </c>
      <c r="U67" s="131">
        <f>[3]Sayfa1!$AN64</f>
        <v>2</v>
      </c>
      <c r="V67" s="132">
        <f>[3]Sayfa1!$T64</f>
        <v>45274</v>
      </c>
      <c r="W67" s="133">
        <f>[3]Sayfa1!$U64</f>
        <v>45274</v>
      </c>
      <c r="X67" s="134">
        <f t="shared" si="1"/>
        <v>45274</v>
      </c>
      <c r="Y67" s="123">
        <f>[3]Sayfa1!$AQ64</f>
        <v>45329</v>
      </c>
      <c r="Z67" s="135">
        <f>[3]Sayfa1!$AR64</f>
        <v>45329.587175925924</v>
      </c>
      <c r="AA67" s="134">
        <f t="shared" si="2"/>
        <v>45329.587175925924</v>
      </c>
      <c r="AB67" s="136">
        <f t="shared" si="3"/>
        <v>1334.0922222221852</v>
      </c>
      <c r="AC67" s="137">
        <f t="shared" si="4"/>
        <v>45329</v>
      </c>
      <c r="AD67" s="135">
        <f t="shared" si="5"/>
        <v>45329.587175925924</v>
      </c>
      <c r="AE67" s="138">
        <f t="shared" si="6"/>
        <v>45329.587175925924</v>
      </c>
      <c r="AF67" s="139" t="str">
        <f>[3]Sayfa1!$AP64</f>
        <v>(I) İlk defa karşılaşılan arıza</v>
      </c>
      <c r="AG67" s="128" t="str">
        <f>IF([3]Sayfa1!$P64="C(Sisteme etki etmeyen arıza)","Bu Arıza Aracın Servise Verilmesine Engel Değil","Bu Arıza Aracın Servise Verilmesine Engel")</f>
        <v>Bu Arıza Aracın Servise Verilmesine Engel Değil</v>
      </c>
      <c r="AH67" s="140">
        <f>[3]Sayfa1!$AC64</f>
        <v>0</v>
      </c>
      <c r="AI67" s="137"/>
      <c r="AJ67" s="137"/>
      <c r="AK67" s="138">
        <f t="shared" si="7"/>
        <v>0</v>
      </c>
      <c r="AL67" s="136">
        <f t="shared" si="8"/>
        <v>80045.533333331114</v>
      </c>
      <c r="AM67" s="136">
        <f t="shared" si="9"/>
        <v>0</v>
      </c>
      <c r="AN67" s="141" t="str">
        <f t="shared" si="10"/>
        <v>Bozankaya</v>
      </c>
      <c r="AO67" s="141">
        <f>[3]Sayfa1!$X64</f>
        <v>0</v>
      </c>
      <c r="AP67" s="141">
        <f>[3]Sayfa1!$Z64</f>
        <v>0</v>
      </c>
      <c r="AQ67" s="122">
        <f>[3]Sayfa1!$W64</f>
        <v>0</v>
      </c>
      <c r="AR67" s="142">
        <f>[3]Sayfa1!$Y64</f>
        <v>0</v>
      </c>
      <c r="AS67" s="143">
        <f>[3]Sayfa1!$AD64</f>
        <v>0</v>
      </c>
      <c r="AT67" s="137">
        <f>[3]Sayfa1!$AE64</f>
        <v>0</v>
      </c>
      <c r="AU67" s="137">
        <f>[3]Sayfa1!$AH64</f>
        <v>0</v>
      </c>
      <c r="AV67" s="144">
        <v>63</v>
      </c>
      <c r="AW67" s="145" t="e">
        <f>U67*AB67*#REF!</f>
        <v>#REF!</v>
      </c>
    </row>
    <row r="68" spans="1:49" ht="101.25" customHeight="1">
      <c r="A68" s="119" t="s">
        <v>57</v>
      </c>
      <c r="B68" s="120" t="str">
        <f>[3]Sayfa1!$G65</f>
        <v>TS#4</v>
      </c>
      <c r="C68" s="121" t="str">
        <f>[3]Sayfa1!$H65</f>
        <v>Mc1</v>
      </c>
      <c r="D68" s="146">
        <f>[3]Sayfa1!$N65</f>
        <v>0</v>
      </c>
      <c r="E68" s="122" t="str">
        <f>[3]Sayfa1!$B65</f>
        <v>FRACAS-GDM-064</v>
      </c>
      <c r="F68" s="123">
        <f>[3]Sayfa1!$E65</f>
        <v>45274</v>
      </c>
      <c r="G68" s="124">
        <f>[3]Sayfa1!$F65</f>
        <v>45274</v>
      </c>
      <c r="H68" s="119" t="str">
        <f>[3]Sayfa1!$I65</f>
        <v>Depo/Depot</v>
      </c>
      <c r="I68" s="125" t="str">
        <f>IF([3]Sayfa1!$K65="SSH","Notified by Bozankaya","Notified by Customer")</f>
        <v>Notified by Customer</v>
      </c>
      <c r="J68" s="119" t="e">
        <f>VLOOKUP([3]Sayfa1!$AU65,#REF!,2,FALSE)</f>
        <v>#REF!</v>
      </c>
      <c r="K68" s="119" t="str">
        <f>[3]Sayfa1!$V65</f>
        <v>Bozankaya</v>
      </c>
      <c r="L68" s="126" t="str">
        <f t="shared" si="0"/>
        <v>GDM7X4-FRACAS-GDM-064</v>
      </c>
      <c r="M68" s="127" t="str">
        <f>[3]Sayfa1!$L65</f>
        <v>1. kapı x11 kablo sabitleme kelepçesi eksik</v>
      </c>
      <c r="N68" s="128" t="str">
        <f>[3]Sayfa1!$J65</f>
        <v>C-Uyarı, sürüş devamlılığı</v>
      </c>
      <c r="O68" s="128" t="str">
        <f>[3]Sayfa1!$P65</f>
        <v>C(Sisteme etki etmeyen arıza)</v>
      </c>
      <c r="P68" s="128" t="str">
        <f>[3]Sayfa1!$Q65</f>
        <v>N.A(Yaralanma yok)</v>
      </c>
      <c r="Q68" s="129" t="str" cm="1">
        <f t="array" ref="Q68">_xlfn.IFS([3]Sayfa1!$R65="Bozankaya","Bozankaya",[3]Sayfa1!$R65="İşletme","Customer",[3]Sayfa1!$R65="Tedarikçi","Equipment Supplier")</f>
        <v>Bozankaya</v>
      </c>
      <c r="R68" s="130" t="str">
        <f>[3]Sayfa1!$M65</f>
        <v>Tamir süreci başlatıldı. Kalite bölümüne NCR oluşturuldu</v>
      </c>
      <c r="S68" s="147">
        <f>[3]Sayfa1!$AB65</f>
        <v>0</v>
      </c>
      <c r="T68" s="147">
        <f>[3]Sayfa1!$AA65</f>
        <v>0</v>
      </c>
      <c r="U68" s="131">
        <f>[3]Sayfa1!$AN65</f>
        <v>2</v>
      </c>
      <c r="V68" s="132">
        <f>[3]Sayfa1!$T65</f>
        <v>45274</v>
      </c>
      <c r="W68" s="133">
        <f>[3]Sayfa1!$U65</f>
        <v>45274</v>
      </c>
      <c r="X68" s="134">
        <f t="shared" si="1"/>
        <v>45274</v>
      </c>
      <c r="Y68" s="123" t="str">
        <f>[3]Sayfa1!$AQ65</f>
        <v/>
      </c>
      <c r="Z68" s="135">
        <f>[3]Sayfa1!$AR65</f>
        <v>0</v>
      </c>
      <c r="AA68" s="134">
        <f t="shared" si="2"/>
        <v>0</v>
      </c>
      <c r="AB68" s="136">
        <f t="shared" si="3"/>
        <v>0</v>
      </c>
      <c r="AC68" s="137" t="str">
        <f t="shared" si="4"/>
        <v/>
      </c>
      <c r="AD68" s="135">
        <f t="shared" si="5"/>
        <v>0</v>
      </c>
      <c r="AE68" s="138">
        <f t="shared" si="6"/>
        <v>0</v>
      </c>
      <c r="AF68" s="139" t="str">
        <f>[3]Sayfa1!$AP65</f>
        <v>(I) İlk defa karşılaşılan arıza</v>
      </c>
      <c r="AG68" s="128" t="str">
        <f>IF([3]Sayfa1!$P65="C(Sisteme etki etmeyen arıza)","Bu Arıza Aracın Servise Verilmesine Engel Değil","Bu Arıza Aracın Servise Verilmesine Engel")</f>
        <v>Bu Arıza Aracın Servise Verilmesine Engel Değil</v>
      </c>
      <c r="AH68" s="140">
        <f>[3]Sayfa1!$AC65</f>
        <v>0</v>
      </c>
      <c r="AI68" s="137"/>
      <c r="AJ68" s="137"/>
      <c r="AK68" s="138">
        <f t="shared" si="7"/>
        <v>0</v>
      </c>
      <c r="AL68" s="136">
        <f t="shared" si="8"/>
        <v>0</v>
      </c>
      <c r="AM68" s="136">
        <f t="shared" si="9"/>
        <v>0</v>
      </c>
      <c r="AN68" s="141" t="str">
        <f t="shared" si="10"/>
        <v>Bozankaya</v>
      </c>
      <c r="AO68" s="141">
        <f>[3]Sayfa1!$X65</f>
        <v>0</v>
      </c>
      <c r="AP68" s="141">
        <f>[3]Sayfa1!$Z65</f>
        <v>0</v>
      </c>
      <c r="AQ68" s="122">
        <f>[3]Sayfa1!$W65</f>
        <v>0</v>
      </c>
      <c r="AR68" s="142">
        <f>[3]Sayfa1!$Y65</f>
        <v>0</v>
      </c>
      <c r="AS68" s="143">
        <f>[3]Sayfa1!$AD65</f>
        <v>0</v>
      </c>
      <c r="AT68" s="137">
        <f>[3]Sayfa1!$AE65</f>
        <v>0</v>
      </c>
      <c r="AU68" s="137">
        <f>[3]Sayfa1!$AH65</f>
        <v>0</v>
      </c>
      <c r="AV68" s="144">
        <v>64</v>
      </c>
      <c r="AW68" s="145" t="e">
        <f>U68*AB68*#REF!</f>
        <v>#REF!</v>
      </c>
    </row>
    <row r="69" spans="1:49" ht="101.25" customHeight="1">
      <c r="A69" s="119" t="s">
        <v>57</v>
      </c>
      <c r="B69" s="120" t="str">
        <f>[3]Sayfa1!$G66</f>
        <v>TS#4</v>
      </c>
      <c r="C69" s="121" t="str">
        <f>[3]Sayfa1!$H66</f>
        <v>Mc1</v>
      </c>
      <c r="D69" s="146">
        <f>[3]Sayfa1!$N66</f>
        <v>0</v>
      </c>
      <c r="E69" s="122" t="str">
        <f>[3]Sayfa1!$B66</f>
        <v>FRACAS-GDM-065</v>
      </c>
      <c r="F69" s="123">
        <f>[3]Sayfa1!$E66</f>
        <v>45274</v>
      </c>
      <c r="G69" s="124">
        <f>[3]Sayfa1!$F66</f>
        <v>45274</v>
      </c>
      <c r="H69" s="119" t="str">
        <f>[3]Sayfa1!$I66</f>
        <v>Depo/Depot</v>
      </c>
      <c r="I69" s="125" t="str">
        <f>IF([3]Sayfa1!$K66="SSH","Notified by Bozankaya","Notified by Customer")</f>
        <v>Notified by Customer</v>
      </c>
      <c r="J69" s="119" t="e">
        <f>VLOOKUP([3]Sayfa1!$AU66,#REF!,2,FALSE)</f>
        <v>#REF!</v>
      </c>
      <c r="K69" s="119" t="str">
        <f>[3]Sayfa1!$V66</f>
        <v>Bozankaya</v>
      </c>
      <c r="L69" s="126" t="str">
        <f t="shared" si="0"/>
        <v>GDM7X4-FRACAS-GDM-065</v>
      </c>
      <c r="M69" s="127" t="str">
        <f>[3]Sayfa1!$L66</f>
        <v>Kilit mekanizması çiizmektedir.</v>
      </c>
      <c r="N69" s="128" t="str">
        <f>[3]Sayfa1!$J66</f>
        <v>C-Uyarı, sürüş devamlılığı</v>
      </c>
      <c r="O69" s="128" t="str">
        <f>[3]Sayfa1!$P66</f>
        <v>C(Sisteme etki etmeyen arıza)</v>
      </c>
      <c r="P69" s="128" t="str">
        <f>[3]Sayfa1!$Q66</f>
        <v>N.A(Yaralanma yok)</v>
      </c>
      <c r="Q69" s="129" t="str" cm="1">
        <f t="array" ref="Q69">_xlfn.IFS([3]Sayfa1!$R66="Bozankaya","Bozankaya",[3]Sayfa1!$R66="İşletme","Customer",[3]Sayfa1!$R66="Tedarikçi","Equipment Supplier")</f>
        <v>Bozankaya</v>
      </c>
      <c r="R69" s="130" t="str">
        <f>[3]Sayfa1!$M66</f>
        <v>Tamir süreci başlatıldı. Kalite bölümüne NCR oluşturuldu</v>
      </c>
      <c r="S69" s="147">
        <f>[3]Sayfa1!$AB66</f>
        <v>0</v>
      </c>
      <c r="T69" s="147">
        <f>[3]Sayfa1!$AA66</f>
        <v>0</v>
      </c>
      <c r="U69" s="131">
        <f>[3]Sayfa1!$AN66</f>
        <v>2</v>
      </c>
      <c r="V69" s="132">
        <f>[3]Sayfa1!$T66</f>
        <v>45274</v>
      </c>
      <c r="W69" s="133">
        <f>[3]Sayfa1!$U66</f>
        <v>45274</v>
      </c>
      <c r="X69" s="134">
        <f t="shared" si="1"/>
        <v>45274</v>
      </c>
      <c r="Y69" s="123" t="str">
        <f>[3]Sayfa1!$AQ66</f>
        <v/>
      </c>
      <c r="Z69" s="135">
        <f>[3]Sayfa1!$AR66</f>
        <v>0</v>
      </c>
      <c r="AA69" s="134">
        <f t="shared" si="2"/>
        <v>0</v>
      </c>
      <c r="AB69" s="136">
        <f t="shared" si="3"/>
        <v>0</v>
      </c>
      <c r="AC69" s="137" t="str">
        <f t="shared" si="4"/>
        <v/>
      </c>
      <c r="AD69" s="135">
        <f t="shared" si="5"/>
        <v>0</v>
      </c>
      <c r="AE69" s="138">
        <f t="shared" si="6"/>
        <v>0</v>
      </c>
      <c r="AF69" s="139" t="str">
        <f>[3]Sayfa1!$AP66</f>
        <v>(I) İlk defa karşılaşılan arıza</v>
      </c>
      <c r="AG69" s="128" t="str">
        <f>IF([3]Sayfa1!$P66="C(Sisteme etki etmeyen arıza)","Bu Arıza Aracın Servise Verilmesine Engel Değil","Bu Arıza Aracın Servise Verilmesine Engel")</f>
        <v>Bu Arıza Aracın Servise Verilmesine Engel Değil</v>
      </c>
      <c r="AH69" s="140">
        <f>[3]Sayfa1!$AC66</f>
        <v>0</v>
      </c>
      <c r="AI69" s="137"/>
      <c r="AJ69" s="137"/>
      <c r="AK69" s="138">
        <f t="shared" si="7"/>
        <v>0</v>
      </c>
      <c r="AL69" s="136">
        <f t="shared" si="8"/>
        <v>0</v>
      </c>
      <c r="AM69" s="136">
        <f t="shared" si="9"/>
        <v>0</v>
      </c>
      <c r="AN69" s="141" t="str">
        <f t="shared" si="10"/>
        <v>Bozankaya</v>
      </c>
      <c r="AO69" s="141">
        <f>[3]Sayfa1!$X66</f>
        <v>0</v>
      </c>
      <c r="AP69" s="141">
        <f>[3]Sayfa1!$Z66</f>
        <v>0</v>
      </c>
      <c r="AQ69" s="122">
        <f>[3]Sayfa1!$W66</f>
        <v>0</v>
      </c>
      <c r="AR69" s="142">
        <f>[3]Sayfa1!$Y66</f>
        <v>0</v>
      </c>
      <c r="AS69" s="143">
        <f>[3]Sayfa1!$AD66</f>
        <v>0</v>
      </c>
      <c r="AT69" s="137">
        <f>[3]Sayfa1!$AE66</f>
        <v>0</v>
      </c>
      <c r="AU69" s="137">
        <f>[3]Sayfa1!$AH66</f>
        <v>0</v>
      </c>
      <c r="AV69" s="144">
        <v>65</v>
      </c>
      <c r="AW69" s="145" t="e">
        <f>U69*AB69*#REF!</f>
        <v>#REF!</v>
      </c>
    </row>
    <row r="70" spans="1:49" ht="101.25" customHeight="1">
      <c r="A70" s="119" t="s">
        <v>57</v>
      </c>
      <c r="B70" s="120" t="str">
        <f>[3]Sayfa1!$G67</f>
        <v>TS#4</v>
      </c>
      <c r="C70" s="121" t="str">
        <f>[3]Sayfa1!$H67</f>
        <v>Mc1</v>
      </c>
      <c r="D70" s="146">
        <f>[3]Sayfa1!$N67</f>
        <v>0</v>
      </c>
      <c r="E70" s="122" t="str">
        <f>[3]Sayfa1!$B67</f>
        <v>FRACAS-GDM-066</v>
      </c>
      <c r="F70" s="123">
        <f>[3]Sayfa1!$E67</f>
        <v>45274</v>
      </c>
      <c r="G70" s="124">
        <f>[3]Sayfa1!$F67</f>
        <v>45274</v>
      </c>
      <c r="H70" s="119" t="str">
        <f>[3]Sayfa1!$I67</f>
        <v>Depo/Depot</v>
      </c>
      <c r="I70" s="125" t="str">
        <f>IF([3]Sayfa1!$K67="SSH","Notified by Bozankaya","Notified by Customer")</f>
        <v>Notified by Customer</v>
      </c>
      <c r="J70" s="119" t="e">
        <f>VLOOKUP([3]Sayfa1!$AU67,#REF!,2,FALSE)</f>
        <v>#REF!</v>
      </c>
      <c r="K70" s="119" t="str">
        <f>[3]Sayfa1!$V67</f>
        <v>Bozankaya</v>
      </c>
      <c r="L70" s="126" t="str">
        <f t="shared" ref="L70:L133" si="11">A70&amp;"-"&amp;E70</f>
        <v>GDM7X4-FRACAS-GDM-066</v>
      </c>
      <c r="M70" s="127" t="str">
        <f>[3]Sayfa1!$L67</f>
        <v>Yangın tüpü eksik</v>
      </c>
      <c r="N70" s="128" t="str">
        <f>[3]Sayfa1!$J67</f>
        <v>C-Uyarı, sürüş devamlılığı</v>
      </c>
      <c r="O70" s="128" t="str">
        <f>[3]Sayfa1!$P67</f>
        <v>C(Sisteme etki etmeyen arıza)</v>
      </c>
      <c r="P70" s="128" t="str">
        <f>[3]Sayfa1!$Q67</f>
        <v>N.A(Yaralanma yok)</v>
      </c>
      <c r="Q70" s="129" t="str" cm="1">
        <f t="array" ref="Q70">_xlfn.IFS([3]Sayfa1!$R67="Bozankaya","Bozankaya",[3]Sayfa1!$R67="İşletme","Customer",[3]Sayfa1!$R67="Tedarikçi","Equipment Supplier")</f>
        <v>Bozankaya</v>
      </c>
      <c r="R70" s="130" t="str">
        <f>[3]Sayfa1!$M67</f>
        <v>Tamir süreci başlatıldı. Kalite bölümüne NCR oluşturuldu</v>
      </c>
      <c r="S70" s="147">
        <f>[3]Sayfa1!$AB67</f>
        <v>0</v>
      </c>
      <c r="T70" s="147">
        <f>[3]Sayfa1!$AA67</f>
        <v>0</v>
      </c>
      <c r="U70" s="131">
        <f>[3]Sayfa1!$AN67</f>
        <v>2</v>
      </c>
      <c r="V70" s="132">
        <f>[3]Sayfa1!$T67</f>
        <v>45274</v>
      </c>
      <c r="W70" s="133">
        <f>[3]Sayfa1!$U67</f>
        <v>45274</v>
      </c>
      <c r="X70" s="134">
        <f t="shared" ref="X70:X133" si="12">W70</f>
        <v>45274</v>
      </c>
      <c r="Y70" s="123" t="str">
        <f>[3]Sayfa1!$AQ67</f>
        <v/>
      </c>
      <c r="Z70" s="135">
        <f>[3]Sayfa1!$AR67</f>
        <v>0</v>
      </c>
      <c r="AA70" s="134">
        <f t="shared" ref="AA70:AA133" si="13">Z70</f>
        <v>0</v>
      </c>
      <c r="AB70" s="136">
        <f t="shared" ref="AB70:AB133" si="14">IFERROR(IF(Y70-F70&gt;0,(AA70-X70)*24,IF(OR(AND(G70&gt;AR$1,G70&lt;AS$1),AND(G70&gt;AT$1,G70&lt;AU$1)),(AA70-X70)*24,0)),0)</f>
        <v>0</v>
      </c>
      <c r="AC70" s="137" t="str">
        <f t="shared" ref="AC70:AC133" si="15">Y70</f>
        <v/>
      </c>
      <c r="AD70" s="135">
        <f t="shared" ref="AD70:AD133" si="16">Z70</f>
        <v>0</v>
      </c>
      <c r="AE70" s="138">
        <f t="shared" ref="AE70:AE133" si="17">AD70</f>
        <v>0</v>
      </c>
      <c r="AF70" s="139" t="str">
        <f>[3]Sayfa1!$AP67</f>
        <v>(I) İlk defa karşılaşılan arıza</v>
      </c>
      <c r="AG70" s="128" t="str">
        <f>IF([3]Sayfa1!$P67="C(Sisteme etki etmeyen arıza)","Bu Arıza Aracın Servise Verilmesine Engel Değil","Bu Arıza Aracın Servise Verilmesine Engel")</f>
        <v>Bu Arıza Aracın Servise Verilmesine Engel Değil</v>
      </c>
      <c r="AH70" s="140">
        <f>[3]Sayfa1!$AC67</f>
        <v>0</v>
      </c>
      <c r="AI70" s="137"/>
      <c r="AJ70" s="137"/>
      <c r="AK70" s="138">
        <f t="shared" ref="AK70:AK133" si="18">AI70+AJ70</f>
        <v>0</v>
      </c>
      <c r="AL70" s="136">
        <f t="shared" ref="AL70:AL133" si="19">IFERROR(IF(AND(O70&lt;&gt;"D:Arıza Değil",AG70="Bu Arıza Aracın Servise Verilmesine Engel Değil"),IF(Y70-F70&gt;0,(AA70-X70)*24,IF(OR(AND(G70&gt;AR$1,G70&lt;AS$1),AND(G70&gt;AT$1,G70&lt;AU$1)),(AK70-X70)*24,0))*60,AM70),0)</f>
        <v>0</v>
      </c>
      <c r="AM70" s="136">
        <f t="shared" ref="AM70:AM133" si="20">IFERROR(IF(O70&lt;&gt;"C(Sisteme etki etmeyen arıza)",AB70*60,0),0)</f>
        <v>0</v>
      </c>
      <c r="AN70" s="141" t="str">
        <f t="shared" ref="AN70:AN133" si="21">K70</f>
        <v>Bozankaya</v>
      </c>
      <c r="AO70" s="141">
        <f>[3]Sayfa1!$X67</f>
        <v>0</v>
      </c>
      <c r="AP70" s="141">
        <f>[3]Sayfa1!$Z67</f>
        <v>0</v>
      </c>
      <c r="AQ70" s="122">
        <f>[3]Sayfa1!$W67</f>
        <v>0</v>
      </c>
      <c r="AR70" s="142">
        <f>[3]Sayfa1!$Y67</f>
        <v>0</v>
      </c>
      <c r="AS70" s="143">
        <f>[3]Sayfa1!$AD67</f>
        <v>0</v>
      </c>
      <c r="AT70" s="137">
        <f>[3]Sayfa1!$AE67</f>
        <v>0</v>
      </c>
      <c r="AU70" s="137">
        <f>[3]Sayfa1!$AH67</f>
        <v>0</v>
      </c>
      <c r="AV70" s="144">
        <v>66</v>
      </c>
      <c r="AW70" s="145" t="e">
        <f>U70*AB70*#REF!</f>
        <v>#REF!</v>
      </c>
    </row>
    <row r="71" spans="1:49" ht="101.25" customHeight="1">
      <c r="A71" s="119" t="s">
        <v>57</v>
      </c>
      <c r="B71" s="120" t="str">
        <f>[3]Sayfa1!$G68</f>
        <v>TS#4</v>
      </c>
      <c r="C71" s="121" t="str">
        <f>[3]Sayfa1!$H68</f>
        <v>Mc1</v>
      </c>
      <c r="D71" s="146">
        <f>[3]Sayfa1!$N68</f>
        <v>0</v>
      </c>
      <c r="E71" s="122" t="str">
        <f>[3]Sayfa1!$B68</f>
        <v>FRACAS-GDM-067</v>
      </c>
      <c r="F71" s="123">
        <f>[3]Sayfa1!$E68</f>
        <v>45274</v>
      </c>
      <c r="G71" s="124">
        <f>[3]Sayfa1!$F68</f>
        <v>45274</v>
      </c>
      <c r="H71" s="119" t="str">
        <f>[3]Sayfa1!$I68</f>
        <v>Depo/Depot</v>
      </c>
      <c r="I71" s="125" t="str">
        <f>IF([3]Sayfa1!$K68="SSH","Notified by Bozankaya","Notified by Customer")</f>
        <v>Notified by Customer</v>
      </c>
      <c r="J71" s="119" t="e">
        <f>VLOOKUP([3]Sayfa1!$AU68,#REF!,2,FALSE)</f>
        <v>#REF!</v>
      </c>
      <c r="K71" s="119" t="str">
        <f>[3]Sayfa1!$V68</f>
        <v>Piton</v>
      </c>
      <c r="L71" s="126" t="str">
        <f t="shared" si="11"/>
        <v>GDM7X4-FRACAS-GDM-067</v>
      </c>
      <c r="M71" s="127" t="str">
        <f>[3]Sayfa1!$L68</f>
        <v>Kamera ile yangın sensörü yanlış kontak yapılmıştır.</v>
      </c>
      <c r="N71" s="128" t="str">
        <f>[3]Sayfa1!$J68</f>
        <v>C-Uyarı, sürüş devamlılığı</v>
      </c>
      <c r="O71" s="128" t="str">
        <f>[3]Sayfa1!$P68</f>
        <v>C(Sisteme etki etmeyen arıza)</v>
      </c>
      <c r="P71" s="128" t="str">
        <f>[3]Sayfa1!$Q68</f>
        <v>N.A(Yaralanma yok)</v>
      </c>
      <c r="Q71" s="129" t="str" cm="1">
        <f t="array" ref="Q71">_xlfn.IFS([3]Sayfa1!$R68="Bozankaya","Bozankaya",[3]Sayfa1!$R68="İşletme","Customer",[3]Sayfa1!$R68="Tedarikçi","Equipment Supplier")</f>
        <v>Bozankaya</v>
      </c>
      <c r="R71" s="130" t="str">
        <f>[3]Sayfa1!$M68</f>
        <v>Tamir süreci başlatıldı. Kalite bölümüne NCR oluşturuldu</v>
      </c>
      <c r="S71" s="147">
        <f>[3]Sayfa1!$AB68</f>
        <v>0</v>
      </c>
      <c r="T71" s="147">
        <f>[3]Sayfa1!$AA68</f>
        <v>0</v>
      </c>
      <c r="U71" s="131">
        <f>[3]Sayfa1!$AN68</f>
        <v>2</v>
      </c>
      <c r="V71" s="132">
        <f>[3]Sayfa1!$T68</f>
        <v>45274</v>
      </c>
      <c r="W71" s="133">
        <f>[3]Sayfa1!$U68</f>
        <v>45274</v>
      </c>
      <c r="X71" s="134">
        <f t="shared" si="12"/>
        <v>45274</v>
      </c>
      <c r="Y71" s="123" t="str">
        <f>[3]Sayfa1!$AQ68</f>
        <v/>
      </c>
      <c r="Z71" s="135">
        <f>[3]Sayfa1!$AR68</f>
        <v>0</v>
      </c>
      <c r="AA71" s="134">
        <f t="shared" si="13"/>
        <v>0</v>
      </c>
      <c r="AB71" s="136">
        <f t="shared" si="14"/>
        <v>0</v>
      </c>
      <c r="AC71" s="137" t="str">
        <f t="shared" si="15"/>
        <v/>
      </c>
      <c r="AD71" s="135">
        <f t="shared" si="16"/>
        <v>0</v>
      </c>
      <c r="AE71" s="138">
        <f t="shared" si="17"/>
        <v>0</v>
      </c>
      <c r="AF71" s="139" t="str">
        <f>[3]Sayfa1!$AP68</f>
        <v>(I) İlk defa karşılaşılan arıza</v>
      </c>
      <c r="AG71" s="128" t="str">
        <f>IF([3]Sayfa1!$P68="C(Sisteme etki etmeyen arıza)","Bu Arıza Aracın Servise Verilmesine Engel Değil","Bu Arıza Aracın Servise Verilmesine Engel")</f>
        <v>Bu Arıza Aracın Servise Verilmesine Engel Değil</v>
      </c>
      <c r="AH71" s="140">
        <f>[3]Sayfa1!$AC68</f>
        <v>0</v>
      </c>
      <c r="AI71" s="137"/>
      <c r="AJ71" s="137"/>
      <c r="AK71" s="138">
        <f t="shared" si="18"/>
        <v>0</v>
      </c>
      <c r="AL71" s="136">
        <f t="shared" si="19"/>
        <v>0</v>
      </c>
      <c r="AM71" s="136">
        <f t="shared" si="20"/>
        <v>0</v>
      </c>
      <c r="AN71" s="141" t="str">
        <f t="shared" si="21"/>
        <v>Piton</v>
      </c>
      <c r="AO71" s="141">
        <f>[3]Sayfa1!$X68</f>
        <v>0</v>
      </c>
      <c r="AP71" s="141">
        <f>[3]Sayfa1!$Z68</f>
        <v>0</v>
      </c>
      <c r="AQ71" s="122">
        <f>[3]Sayfa1!$W68</f>
        <v>0</v>
      </c>
      <c r="AR71" s="142">
        <f>[3]Sayfa1!$Y68</f>
        <v>0</v>
      </c>
      <c r="AS71" s="143">
        <f>[3]Sayfa1!$AD68</f>
        <v>0</v>
      </c>
      <c r="AT71" s="137">
        <f>[3]Sayfa1!$AE68</f>
        <v>0</v>
      </c>
      <c r="AU71" s="137">
        <f>[3]Sayfa1!$AH68</f>
        <v>0</v>
      </c>
      <c r="AV71" s="144">
        <v>67</v>
      </c>
      <c r="AW71" s="145" t="e">
        <f>U71*AB71*#REF!</f>
        <v>#REF!</v>
      </c>
    </row>
    <row r="72" spans="1:49" ht="101.25" customHeight="1">
      <c r="A72" s="119" t="s">
        <v>57</v>
      </c>
      <c r="B72" s="120" t="str">
        <f>[3]Sayfa1!$G69</f>
        <v>TS#4</v>
      </c>
      <c r="C72" s="121" t="str">
        <f>[3]Sayfa1!$H69</f>
        <v>Mc1</v>
      </c>
      <c r="D72" s="146">
        <f>[3]Sayfa1!$N69</f>
        <v>0</v>
      </c>
      <c r="E72" s="122" t="str">
        <f>[3]Sayfa1!$B69</f>
        <v>FRACAS-GDM-068</v>
      </c>
      <c r="F72" s="123">
        <f>[3]Sayfa1!$E69</f>
        <v>45274</v>
      </c>
      <c r="G72" s="124">
        <f>[3]Sayfa1!$F69</f>
        <v>45274</v>
      </c>
      <c r="H72" s="119" t="str">
        <f>[3]Sayfa1!$I69</f>
        <v>Depo/Depot</v>
      </c>
      <c r="I72" s="125" t="str">
        <f>IF([3]Sayfa1!$K69="SSH","Notified by Bozankaya","Notified by Customer")</f>
        <v>Notified by Customer</v>
      </c>
      <c r="J72" s="119" t="e">
        <f>VLOOKUP([3]Sayfa1!$AU69,#REF!,2,FALSE)</f>
        <v>#REF!</v>
      </c>
      <c r="K72" s="119" t="str">
        <f>[3]Sayfa1!$V69</f>
        <v>Bozankaya</v>
      </c>
      <c r="L72" s="126" t="str">
        <f t="shared" si="11"/>
        <v>GDM7X4-FRACAS-GDM-068</v>
      </c>
      <c r="M72" s="127" t="str">
        <f>[3]Sayfa1!$L69</f>
        <v>Konektör sabitleme vidaları eksik</v>
      </c>
      <c r="N72" s="128" t="str">
        <f>[3]Sayfa1!$J69</f>
        <v>C-Uyarı, sürüş devamlılığı</v>
      </c>
      <c r="O72" s="128" t="str">
        <f>[3]Sayfa1!$P69</f>
        <v>C(Sisteme etki etmeyen arıza)</v>
      </c>
      <c r="P72" s="128" t="str">
        <f>[3]Sayfa1!$Q69</f>
        <v>N.A(Yaralanma yok)</v>
      </c>
      <c r="Q72" s="129" t="str" cm="1">
        <f t="array" ref="Q72">_xlfn.IFS([3]Sayfa1!$R69="Bozankaya","Bozankaya",[3]Sayfa1!$R69="İşletme","Customer",[3]Sayfa1!$R69="Tedarikçi","Equipment Supplier")</f>
        <v>Bozankaya</v>
      </c>
      <c r="R72" s="130" t="str">
        <f>[3]Sayfa1!$M69</f>
        <v>Tamir süreci başlatıldı. Kalite bölümüne NCR oluşturuldu</v>
      </c>
      <c r="S72" s="147">
        <f>[3]Sayfa1!$AB69</f>
        <v>0</v>
      </c>
      <c r="T72" s="147">
        <f>[3]Sayfa1!$AA69</f>
        <v>0</v>
      </c>
      <c r="U72" s="131">
        <f>[3]Sayfa1!$AN69</f>
        <v>2</v>
      </c>
      <c r="V72" s="132">
        <f>[3]Sayfa1!$T69</f>
        <v>45274</v>
      </c>
      <c r="W72" s="133">
        <f>[3]Sayfa1!$U69</f>
        <v>45274</v>
      </c>
      <c r="X72" s="134">
        <f t="shared" si="12"/>
        <v>45274</v>
      </c>
      <c r="Y72" s="123" t="str">
        <f>[3]Sayfa1!$AQ69</f>
        <v/>
      </c>
      <c r="Z72" s="135">
        <f>[3]Sayfa1!$AR69</f>
        <v>0</v>
      </c>
      <c r="AA72" s="134">
        <f t="shared" si="13"/>
        <v>0</v>
      </c>
      <c r="AB72" s="136">
        <f t="shared" si="14"/>
        <v>0</v>
      </c>
      <c r="AC72" s="137" t="str">
        <f t="shared" si="15"/>
        <v/>
      </c>
      <c r="AD72" s="135">
        <f t="shared" si="16"/>
        <v>0</v>
      </c>
      <c r="AE72" s="138">
        <f t="shared" si="17"/>
        <v>0</v>
      </c>
      <c r="AF72" s="139" t="str">
        <f>[3]Sayfa1!$AP69</f>
        <v>(I) İlk defa karşılaşılan arıza</v>
      </c>
      <c r="AG72" s="128" t="str">
        <f>IF([3]Sayfa1!$P69="C(Sisteme etki etmeyen arıza)","Bu Arıza Aracın Servise Verilmesine Engel Değil","Bu Arıza Aracın Servise Verilmesine Engel")</f>
        <v>Bu Arıza Aracın Servise Verilmesine Engel Değil</v>
      </c>
      <c r="AH72" s="140">
        <f>[3]Sayfa1!$AC69</f>
        <v>0</v>
      </c>
      <c r="AI72" s="137"/>
      <c r="AJ72" s="137"/>
      <c r="AK72" s="138">
        <f t="shared" si="18"/>
        <v>0</v>
      </c>
      <c r="AL72" s="136">
        <f t="shared" si="19"/>
        <v>0</v>
      </c>
      <c r="AM72" s="136">
        <f t="shared" si="20"/>
        <v>0</v>
      </c>
      <c r="AN72" s="141" t="str">
        <f t="shared" si="21"/>
        <v>Bozankaya</v>
      </c>
      <c r="AO72" s="141">
        <f>[3]Sayfa1!$X69</f>
        <v>0</v>
      </c>
      <c r="AP72" s="141">
        <f>[3]Sayfa1!$Z69</f>
        <v>0</v>
      </c>
      <c r="AQ72" s="122">
        <f>[3]Sayfa1!$W69</f>
        <v>0</v>
      </c>
      <c r="AR72" s="142">
        <f>[3]Sayfa1!$Y69</f>
        <v>0</v>
      </c>
      <c r="AS72" s="143">
        <f>[3]Sayfa1!$AD69</f>
        <v>0</v>
      </c>
      <c r="AT72" s="137">
        <f>[3]Sayfa1!$AE69</f>
        <v>0</v>
      </c>
      <c r="AU72" s="137">
        <f>[3]Sayfa1!$AH69</f>
        <v>0</v>
      </c>
      <c r="AV72" s="144">
        <v>68</v>
      </c>
      <c r="AW72" s="145" t="e">
        <f>U72*AB72*#REF!</f>
        <v>#REF!</v>
      </c>
    </row>
    <row r="73" spans="1:49" ht="101.25" customHeight="1">
      <c r="A73" s="119" t="s">
        <v>57</v>
      </c>
      <c r="B73" s="120" t="str">
        <f>[3]Sayfa1!$G70</f>
        <v>TS#4</v>
      </c>
      <c r="C73" s="121" t="str">
        <f>[3]Sayfa1!$H70</f>
        <v>M</v>
      </c>
      <c r="D73" s="146">
        <f>[3]Sayfa1!$N70</f>
        <v>0</v>
      </c>
      <c r="E73" s="122" t="str">
        <f>[3]Sayfa1!$B70</f>
        <v>FRACAS-GDM-069</v>
      </c>
      <c r="F73" s="123">
        <f>[3]Sayfa1!$E70</f>
        <v>45274</v>
      </c>
      <c r="G73" s="124">
        <f>[3]Sayfa1!$F70</f>
        <v>45274</v>
      </c>
      <c r="H73" s="119" t="str">
        <f>[3]Sayfa1!$I70</f>
        <v>Depo/Depot</v>
      </c>
      <c r="I73" s="125" t="str">
        <f>IF([3]Sayfa1!$K70="SSH","Notified by Bozankaya","Notified by Customer")</f>
        <v>Notified by Customer</v>
      </c>
      <c r="J73" s="119" t="e">
        <f>VLOOKUP([3]Sayfa1!$AU70,#REF!,2,FALSE)</f>
        <v>#REF!</v>
      </c>
      <c r="K73" s="119" t="str">
        <f>[3]Sayfa1!$V70</f>
        <v>Bozankaya</v>
      </c>
      <c r="L73" s="126" t="str">
        <f t="shared" si="11"/>
        <v>GDM7X4-FRACAS-GDM-069</v>
      </c>
      <c r="M73" s="127" t="str">
        <f>[3]Sayfa1!$L70</f>
        <v>16. Kapı x11 kablo sabitleme kelepçesi eksik</v>
      </c>
      <c r="N73" s="128" t="str">
        <f>[3]Sayfa1!$J70</f>
        <v>C-Uyarı, sürüş devamlılığı</v>
      </c>
      <c r="O73" s="128" t="str">
        <f>[3]Sayfa1!$P70</f>
        <v>C(Sisteme etki etmeyen arıza)</v>
      </c>
      <c r="P73" s="128" t="str">
        <f>[3]Sayfa1!$Q70</f>
        <v>N.A(Yaralanma yok)</v>
      </c>
      <c r="Q73" s="129" t="str" cm="1">
        <f t="array" ref="Q73">_xlfn.IFS([3]Sayfa1!$R70="Bozankaya","Bozankaya",[3]Sayfa1!$R70="İşletme","Customer",[3]Sayfa1!$R70="Tedarikçi","Equipment Supplier")</f>
        <v>Bozankaya</v>
      </c>
      <c r="R73" s="130" t="str">
        <f>[3]Sayfa1!$M70</f>
        <v>Tamir süreci başlatıldı. Kalite bölümüne NCR oluşturuldu</v>
      </c>
      <c r="S73" s="147">
        <f>[3]Sayfa1!$AB70</f>
        <v>0</v>
      </c>
      <c r="T73" s="147">
        <f>[3]Sayfa1!$AA70</f>
        <v>0</v>
      </c>
      <c r="U73" s="131">
        <f>[3]Sayfa1!$AN70</f>
        <v>2</v>
      </c>
      <c r="V73" s="132">
        <f>[3]Sayfa1!$T70</f>
        <v>45274</v>
      </c>
      <c r="W73" s="133">
        <f>[3]Sayfa1!$U70</f>
        <v>45274</v>
      </c>
      <c r="X73" s="134">
        <f t="shared" si="12"/>
        <v>45274</v>
      </c>
      <c r="Y73" s="123" t="str">
        <f>[3]Sayfa1!$AQ70</f>
        <v/>
      </c>
      <c r="Z73" s="135">
        <f>[3]Sayfa1!$AR70</f>
        <v>0</v>
      </c>
      <c r="AA73" s="134">
        <f t="shared" si="13"/>
        <v>0</v>
      </c>
      <c r="AB73" s="136">
        <f t="shared" si="14"/>
        <v>0</v>
      </c>
      <c r="AC73" s="137" t="str">
        <f t="shared" si="15"/>
        <v/>
      </c>
      <c r="AD73" s="135">
        <f t="shared" si="16"/>
        <v>0</v>
      </c>
      <c r="AE73" s="138">
        <f t="shared" si="17"/>
        <v>0</v>
      </c>
      <c r="AF73" s="139" t="str">
        <f>[3]Sayfa1!$AP70</f>
        <v>(I) İlk defa karşılaşılan arıza</v>
      </c>
      <c r="AG73" s="128" t="str">
        <f>IF([3]Sayfa1!$P70="C(Sisteme etki etmeyen arıza)","Bu Arıza Aracın Servise Verilmesine Engel Değil","Bu Arıza Aracın Servise Verilmesine Engel")</f>
        <v>Bu Arıza Aracın Servise Verilmesine Engel Değil</v>
      </c>
      <c r="AH73" s="140">
        <f>[3]Sayfa1!$AC70</f>
        <v>0</v>
      </c>
      <c r="AI73" s="137"/>
      <c r="AJ73" s="137"/>
      <c r="AK73" s="138">
        <f t="shared" si="18"/>
        <v>0</v>
      </c>
      <c r="AL73" s="136">
        <f t="shared" si="19"/>
        <v>0</v>
      </c>
      <c r="AM73" s="136">
        <f t="shared" si="20"/>
        <v>0</v>
      </c>
      <c r="AN73" s="141" t="str">
        <f t="shared" si="21"/>
        <v>Bozankaya</v>
      </c>
      <c r="AO73" s="141">
        <f>[3]Sayfa1!$X70</f>
        <v>0</v>
      </c>
      <c r="AP73" s="141">
        <f>[3]Sayfa1!$Z70</f>
        <v>0</v>
      </c>
      <c r="AQ73" s="122">
        <f>[3]Sayfa1!$W70</f>
        <v>0</v>
      </c>
      <c r="AR73" s="142">
        <f>[3]Sayfa1!$Y70</f>
        <v>0</v>
      </c>
      <c r="AS73" s="143">
        <f>[3]Sayfa1!$AD70</f>
        <v>0</v>
      </c>
      <c r="AT73" s="137">
        <f>[3]Sayfa1!$AE70</f>
        <v>0</v>
      </c>
      <c r="AU73" s="137">
        <f>[3]Sayfa1!$AH70</f>
        <v>0</v>
      </c>
      <c r="AV73" s="144">
        <v>69</v>
      </c>
      <c r="AW73" s="145" t="e">
        <f>U73*AB73*#REF!</f>
        <v>#REF!</v>
      </c>
    </row>
    <row r="74" spans="1:49" ht="101.25" customHeight="1">
      <c r="A74" s="119" t="s">
        <v>57</v>
      </c>
      <c r="B74" s="120" t="str">
        <f>[3]Sayfa1!$G71</f>
        <v>TS#4</v>
      </c>
      <c r="C74" s="121" t="str">
        <f>[3]Sayfa1!$H71</f>
        <v>Mc1</v>
      </c>
      <c r="D74" s="146">
        <f>[3]Sayfa1!$N71</f>
        <v>0</v>
      </c>
      <c r="E74" s="122" t="str">
        <f>[3]Sayfa1!$B71</f>
        <v>FRACAS-GDM-070</v>
      </c>
      <c r="F74" s="123">
        <f>[3]Sayfa1!$E71</f>
        <v>45280</v>
      </c>
      <c r="G74" s="124">
        <f>[3]Sayfa1!$F71</f>
        <v>45280</v>
      </c>
      <c r="H74" s="119" t="str">
        <f>[3]Sayfa1!$I71</f>
        <v>Depo/Depot</v>
      </c>
      <c r="I74" s="125" t="str">
        <f>IF([3]Sayfa1!$K71="SSH","Notified by Bozankaya","Notified by Customer")</f>
        <v>Notified by Customer</v>
      </c>
      <c r="J74" s="119" t="e">
        <f>VLOOKUP([3]Sayfa1!$AU71,#REF!,2,FALSE)</f>
        <v>#REF!</v>
      </c>
      <c r="K74" s="119" t="str">
        <f>[3]Sayfa1!$V71</f>
        <v>Bozankaya</v>
      </c>
      <c r="L74" s="126" t="str">
        <f t="shared" si="11"/>
        <v>GDM7X4-FRACAS-GDM-070</v>
      </c>
      <c r="M74" s="127" t="str">
        <f>[3]Sayfa1!$L71</f>
        <v>Araç sahaya geldiğinde ön cam üstü trim yerinde ayrılmıştı.</v>
      </c>
      <c r="N74" s="128" t="str">
        <f>[3]Sayfa1!$J71</f>
        <v>C-Uyarı, sürüş devamlılığı</v>
      </c>
      <c r="O74" s="128" t="str">
        <f>[3]Sayfa1!$P71</f>
        <v>C(Sisteme etki etmeyen arıza)</v>
      </c>
      <c r="P74" s="128" t="str">
        <f>[3]Sayfa1!$Q71</f>
        <v>N.A(Yaralanma yok)</v>
      </c>
      <c r="Q74" s="129" t="str" cm="1">
        <f t="array" ref="Q74">_xlfn.IFS([3]Sayfa1!$R71="Bozankaya","Bozankaya",[3]Sayfa1!$R71="İşletme","Customer",[3]Sayfa1!$R71="Tedarikçi","Equipment Supplier")</f>
        <v>Bozankaya</v>
      </c>
      <c r="R74" s="130" t="str">
        <f>[3]Sayfa1!$M71</f>
        <v>Tamir süreci başlatıldı. Kalite bölümüne NCR oluşturuldu</v>
      </c>
      <c r="S74" s="147">
        <f>[3]Sayfa1!$AB71</f>
        <v>0</v>
      </c>
      <c r="T74" s="147">
        <f>[3]Sayfa1!$AA71</f>
        <v>0</v>
      </c>
      <c r="U74" s="131">
        <f>[3]Sayfa1!$AN71</f>
        <v>2</v>
      </c>
      <c r="V74" s="132">
        <f>[3]Sayfa1!$T71</f>
        <v>45280</v>
      </c>
      <c r="W74" s="133">
        <f>[3]Sayfa1!$U71</f>
        <v>45280</v>
      </c>
      <c r="X74" s="134">
        <f t="shared" si="12"/>
        <v>45280</v>
      </c>
      <c r="Y74" s="123" t="str">
        <f>[3]Sayfa1!$AQ71</f>
        <v/>
      </c>
      <c r="Z74" s="135">
        <f>[3]Sayfa1!$AR71</f>
        <v>0</v>
      </c>
      <c r="AA74" s="134">
        <f t="shared" si="13"/>
        <v>0</v>
      </c>
      <c r="AB74" s="136">
        <f t="shared" si="14"/>
        <v>0</v>
      </c>
      <c r="AC74" s="137" t="str">
        <f t="shared" si="15"/>
        <v/>
      </c>
      <c r="AD74" s="135">
        <f t="shared" si="16"/>
        <v>0</v>
      </c>
      <c r="AE74" s="138">
        <f t="shared" si="17"/>
        <v>0</v>
      </c>
      <c r="AF74" s="139" t="str">
        <f>[3]Sayfa1!$AP71</f>
        <v>(I) İlk defa karşılaşılan arıza</v>
      </c>
      <c r="AG74" s="128" t="str">
        <f>IF([3]Sayfa1!$P71="C(Sisteme etki etmeyen arıza)","Bu Arıza Aracın Servise Verilmesine Engel Değil","Bu Arıza Aracın Servise Verilmesine Engel")</f>
        <v>Bu Arıza Aracın Servise Verilmesine Engel Değil</v>
      </c>
      <c r="AH74" s="140">
        <f>[3]Sayfa1!$AC71</f>
        <v>0</v>
      </c>
      <c r="AI74" s="137"/>
      <c r="AJ74" s="137"/>
      <c r="AK74" s="138">
        <f t="shared" si="18"/>
        <v>0</v>
      </c>
      <c r="AL74" s="136">
        <f t="shared" si="19"/>
        <v>0</v>
      </c>
      <c r="AM74" s="136">
        <f t="shared" si="20"/>
        <v>0</v>
      </c>
      <c r="AN74" s="141" t="str">
        <f t="shared" si="21"/>
        <v>Bozankaya</v>
      </c>
      <c r="AO74" s="141">
        <f>[3]Sayfa1!$X71</f>
        <v>0</v>
      </c>
      <c r="AP74" s="141">
        <f>[3]Sayfa1!$Z71</f>
        <v>0</v>
      </c>
      <c r="AQ74" s="122">
        <f>[3]Sayfa1!$W71</f>
        <v>0</v>
      </c>
      <c r="AR74" s="142">
        <f>[3]Sayfa1!$Y71</f>
        <v>0</v>
      </c>
      <c r="AS74" s="143">
        <f>[3]Sayfa1!$AD71</f>
        <v>0</v>
      </c>
      <c r="AT74" s="137">
        <f>[3]Sayfa1!$AE71</f>
        <v>0</v>
      </c>
      <c r="AU74" s="137">
        <f>[3]Sayfa1!$AH71</f>
        <v>0</v>
      </c>
      <c r="AV74" s="144">
        <v>70</v>
      </c>
      <c r="AW74" s="145" t="e">
        <f>U74*AB74*#REF!</f>
        <v>#REF!</v>
      </c>
    </row>
    <row r="75" spans="1:49" ht="101.25" customHeight="1">
      <c r="A75" s="119" t="s">
        <v>57</v>
      </c>
      <c r="B75" s="120" t="str">
        <f>[3]Sayfa1!$G72</f>
        <v>TS#4</v>
      </c>
      <c r="C75" s="121" t="str">
        <f>[3]Sayfa1!$H72</f>
        <v>Mc1</v>
      </c>
      <c r="D75" s="146">
        <f>[3]Sayfa1!$N72</f>
        <v>0</v>
      </c>
      <c r="E75" s="122" t="str">
        <f>[3]Sayfa1!$B72</f>
        <v>FRACAS-GDM-071</v>
      </c>
      <c r="F75" s="123">
        <f>[3]Sayfa1!$E72</f>
        <v>45280</v>
      </c>
      <c r="G75" s="124">
        <f>[3]Sayfa1!$F72</f>
        <v>45280</v>
      </c>
      <c r="H75" s="119" t="str">
        <f>[3]Sayfa1!$I72</f>
        <v>Depo/Depot</v>
      </c>
      <c r="I75" s="125" t="str">
        <f>IF([3]Sayfa1!$K72="SSH","Notified by Bozankaya","Notified by Customer")</f>
        <v>Notified by Customer</v>
      </c>
      <c r="J75" s="119" t="e">
        <f>VLOOKUP([3]Sayfa1!$AU72,#REF!,2,FALSE)</f>
        <v>#REF!</v>
      </c>
      <c r="K75" s="119" t="str">
        <f>[3]Sayfa1!$V72</f>
        <v>Bozankaya</v>
      </c>
      <c r="L75" s="126" t="str">
        <f t="shared" si="11"/>
        <v>GDM7X4-FRACAS-GDM-071</v>
      </c>
      <c r="M75" s="127" t="str">
        <f>[3]Sayfa1!$L72</f>
        <v>Yangın tüpü eksik</v>
      </c>
      <c r="N75" s="128" t="str">
        <f>[3]Sayfa1!$J72</f>
        <v>C-Uyarı, sürüş devamlılığı</v>
      </c>
      <c r="O75" s="128" t="str">
        <f>[3]Sayfa1!$P72</f>
        <v>C(Sisteme etki etmeyen arıza)</v>
      </c>
      <c r="P75" s="128" t="str">
        <f>[3]Sayfa1!$Q72</f>
        <v>N.A(Yaralanma yok)</v>
      </c>
      <c r="Q75" s="129" t="str" cm="1">
        <f t="array" ref="Q75">_xlfn.IFS([3]Sayfa1!$R72="Bozankaya","Bozankaya",[3]Sayfa1!$R72="İşletme","Customer",[3]Sayfa1!$R72="Tedarikçi","Equipment Supplier")</f>
        <v>Bozankaya</v>
      </c>
      <c r="R75" s="130" t="str">
        <f>[3]Sayfa1!$M72</f>
        <v>Tamir süreci başlatıldı. Kalite bölümüne NCR oluşturuldu</v>
      </c>
      <c r="S75" s="147">
        <f>[3]Sayfa1!$AB72</f>
        <v>0</v>
      </c>
      <c r="T75" s="147">
        <f>[3]Sayfa1!$AA72</f>
        <v>0</v>
      </c>
      <c r="U75" s="131">
        <f>[3]Sayfa1!$AN72</f>
        <v>2</v>
      </c>
      <c r="V75" s="132">
        <f>[3]Sayfa1!$T72</f>
        <v>45280</v>
      </c>
      <c r="W75" s="133">
        <f>[3]Sayfa1!$U72</f>
        <v>45280</v>
      </c>
      <c r="X75" s="134">
        <f t="shared" si="12"/>
        <v>45280</v>
      </c>
      <c r="Y75" s="123" t="str">
        <f>[3]Sayfa1!$AQ72</f>
        <v/>
      </c>
      <c r="Z75" s="135">
        <f>[3]Sayfa1!$AR72</f>
        <v>0</v>
      </c>
      <c r="AA75" s="134">
        <f t="shared" si="13"/>
        <v>0</v>
      </c>
      <c r="AB75" s="136">
        <f t="shared" si="14"/>
        <v>0</v>
      </c>
      <c r="AC75" s="137" t="str">
        <f t="shared" si="15"/>
        <v/>
      </c>
      <c r="AD75" s="135">
        <f t="shared" si="16"/>
        <v>0</v>
      </c>
      <c r="AE75" s="138">
        <f t="shared" si="17"/>
        <v>0</v>
      </c>
      <c r="AF75" s="139" t="str">
        <f>[3]Sayfa1!$AP72</f>
        <v>(I) İlk defa karşılaşılan arıza</v>
      </c>
      <c r="AG75" s="128" t="str">
        <f>IF([3]Sayfa1!$P72="C(Sisteme etki etmeyen arıza)","Bu Arıza Aracın Servise Verilmesine Engel Değil","Bu Arıza Aracın Servise Verilmesine Engel")</f>
        <v>Bu Arıza Aracın Servise Verilmesine Engel Değil</v>
      </c>
      <c r="AH75" s="140">
        <f>[3]Sayfa1!$AC72</f>
        <v>0</v>
      </c>
      <c r="AI75" s="137"/>
      <c r="AJ75" s="137"/>
      <c r="AK75" s="138">
        <f t="shared" si="18"/>
        <v>0</v>
      </c>
      <c r="AL75" s="136">
        <f t="shared" si="19"/>
        <v>0</v>
      </c>
      <c r="AM75" s="136">
        <f t="shared" si="20"/>
        <v>0</v>
      </c>
      <c r="AN75" s="141" t="str">
        <f t="shared" si="21"/>
        <v>Bozankaya</v>
      </c>
      <c r="AO75" s="141">
        <f>[3]Sayfa1!$X72</f>
        <v>0</v>
      </c>
      <c r="AP75" s="141">
        <f>[3]Sayfa1!$Z72</f>
        <v>0</v>
      </c>
      <c r="AQ75" s="122">
        <f>[3]Sayfa1!$W72</f>
        <v>0</v>
      </c>
      <c r="AR75" s="142">
        <f>[3]Sayfa1!$Y72</f>
        <v>0</v>
      </c>
      <c r="AS75" s="143">
        <f>[3]Sayfa1!$AD72</f>
        <v>0</v>
      </c>
      <c r="AT75" s="137">
        <f>[3]Sayfa1!$AE72</f>
        <v>0</v>
      </c>
      <c r="AU75" s="137">
        <f>[3]Sayfa1!$AH72</f>
        <v>0</v>
      </c>
      <c r="AV75" s="144">
        <v>71</v>
      </c>
      <c r="AW75" s="145" t="e">
        <f>U75*AB75*#REF!</f>
        <v>#REF!</v>
      </c>
    </row>
    <row r="76" spans="1:49" ht="101.25" customHeight="1">
      <c r="A76" s="119" t="s">
        <v>57</v>
      </c>
      <c r="B76" s="120" t="str">
        <f>[3]Sayfa1!$G73</f>
        <v>TS#4</v>
      </c>
      <c r="C76" s="121" t="str">
        <f>[3]Sayfa1!$H73</f>
        <v>Mc1</v>
      </c>
      <c r="D76" s="146">
        <f>[3]Sayfa1!$N73</f>
        <v>0</v>
      </c>
      <c r="E76" s="122" t="str">
        <f>[3]Sayfa1!$B73</f>
        <v>FRACAS-GDM-072</v>
      </c>
      <c r="F76" s="123">
        <f>[3]Sayfa1!$E73</f>
        <v>45280</v>
      </c>
      <c r="G76" s="124">
        <f>[3]Sayfa1!$F73</f>
        <v>45280</v>
      </c>
      <c r="H76" s="119" t="str">
        <f>[3]Sayfa1!$I73</f>
        <v>Depo/Depot</v>
      </c>
      <c r="I76" s="125" t="str">
        <f>IF([3]Sayfa1!$K73="SSH","Notified by Bozankaya","Notified by Customer")</f>
        <v>Notified by Customer</v>
      </c>
      <c r="J76" s="119" t="e">
        <f>VLOOKUP([3]Sayfa1!$AU73,#REF!,2,FALSE)</f>
        <v>#REF!</v>
      </c>
      <c r="K76" s="119" t="str">
        <f>[3]Sayfa1!$V73</f>
        <v>Bozankaya</v>
      </c>
      <c r="L76" s="126" t="str">
        <f t="shared" si="11"/>
        <v>GDM7X4-FRACAS-GDM-072</v>
      </c>
      <c r="M76" s="127" t="str">
        <f>[3]Sayfa1!$L73</f>
        <v>Pano kapağı ile sigorta kapağın birbirine değiyor bunun sonucunda 24V sigortaları ve pano kapağının arkası çizilerek zarar veriyor.</v>
      </c>
      <c r="N76" s="128" t="str">
        <f>[3]Sayfa1!$J73</f>
        <v>C-Uyarı, sürüş devamlılığı</v>
      </c>
      <c r="O76" s="128" t="str">
        <f>[3]Sayfa1!$P73</f>
        <v>C(Sisteme etki etmeyen arıza)</v>
      </c>
      <c r="P76" s="128" t="str">
        <f>[3]Sayfa1!$Q73</f>
        <v>N.A(Yaralanma yok)</v>
      </c>
      <c r="Q76" s="129" t="str" cm="1">
        <f t="array" ref="Q76">_xlfn.IFS([3]Sayfa1!$R73="Bozankaya","Bozankaya",[3]Sayfa1!$R73="İşletme","Customer",[3]Sayfa1!$R73="Tedarikçi","Equipment Supplier")</f>
        <v>Bozankaya</v>
      </c>
      <c r="R76" s="130" t="str">
        <f>[3]Sayfa1!$M73</f>
        <v>Tamir süreci başlatıldı. Kalite bölümüne NCR oluşturuldu</v>
      </c>
      <c r="S76" s="147">
        <f>[3]Sayfa1!$AB73</f>
        <v>0</v>
      </c>
      <c r="T76" s="147">
        <f>[3]Sayfa1!$AA73</f>
        <v>0</v>
      </c>
      <c r="U76" s="131">
        <f>[3]Sayfa1!$AN73</f>
        <v>2</v>
      </c>
      <c r="V76" s="132">
        <f>[3]Sayfa1!$T73</f>
        <v>45280</v>
      </c>
      <c r="W76" s="133">
        <f>[3]Sayfa1!$U73</f>
        <v>45280</v>
      </c>
      <c r="X76" s="134">
        <f t="shared" si="12"/>
        <v>45280</v>
      </c>
      <c r="Y76" s="123" t="str">
        <f>[3]Sayfa1!$AQ73</f>
        <v/>
      </c>
      <c r="Z76" s="135">
        <f>[3]Sayfa1!$AR73</f>
        <v>0</v>
      </c>
      <c r="AA76" s="134">
        <f t="shared" si="13"/>
        <v>0</v>
      </c>
      <c r="AB76" s="136">
        <f t="shared" si="14"/>
        <v>0</v>
      </c>
      <c r="AC76" s="137" t="str">
        <f t="shared" si="15"/>
        <v/>
      </c>
      <c r="AD76" s="135">
        <f t="shared" si="16"/>
        <v>0</v>
      </c>
      <c r="AE76" s="138">
        <f t="shared" si="17"/>
        <v>0</v>
      </c>
      <c r="AF76" s="139" t="str">
        <f>[3]Sayfa1!$AP73</f>
        <v>(I) İlk defa karşılaşılan arıza</v>
      </c>
      <c r="AG76" s="128" t="str">
        <f>IF([3]Sayfa1!$P73="C(Sisteme etki etmeyen arıza)","Bu Arıza Aracın Servise Verilmesine Engel Değil","Bu Arıza Aracın Servise Verilmesine Engel")</f>
        <v>Bu Arıza Aracın Servise Verilmesine Engel Değil</v>
      </c>
      <c r="AH76" s="140">
        <f>[3]Sayfa1!$AC73</f>
        <v>0</v>
      </c>
      <c r="AI76" s="137"/>
      <c r="AJ76" s="137"/>
      <c r="AK76" s="138">
        <f t="shared" si="18"/>
        <v>0</v>
      </c>
      <c r="AL76" s="136">
        <f t="shared" si="19"/>
        <v>0</v>
      </c>
      <c r="AM76" s="136">
        <f t="shared" si="20"/>
        <v>0</v>
      </c>
      <c r="AN76" s="141" t="str">
        <f t="shared" si="21"/>
        <v>Bozankaya</v>
      </c>
      <c r="AO76" s="141">
        <f>[3]Sayfa1!$X73</f>
        <v>0</v>
      </c>
      <c r="AP76" s="141">
        <f>[3]Sayfa1!$Z73</f>
        <v>0</v>
      </c>
      <c r="AQ76" s="122">
        <f>[3]Sayfa1!$W73</f>
        <v>0</v>
      </c>
      <c r="AR76" s="142">
        <f>[3]Sayfa1!$Y73</f>
        <v>0</v>
      </c>
      <c r="AS76" s="143">
        <f>[3]Sayfa1!$AD73</f>
        <v>0</v>
      </c>
      <c r="AT76" s="137">
        <f>[3]Sayfa1!$AE73</f>
        <v>0</v>
      </c>
      <c r="AU76" s="137">
        <f>[3]Sayfa1!$AH73</f>
        <v>0</v>
      </c>
      <c r="AV76" s="144">
        <v>72</v>
      </c>
      <c r="AW76" s="145" t="e">
        <f>U76*AB76*#REF!</f>
        <v>#REF!</v>
      </c>
    </row>
    <row r="77" spans="1:49" ht="101.25" customHeight="1">
      <c r="A77" s="119" t="s">
        <v>57</v>
      </c>
      <c r="B77" s="120" t="str">
        <f>[3]Sayfa1!$G74</f>
        <v>TS#4</v>
      </c>
      <c r="C77" s="121" t="str">
        <f>[3]Sayfa1!$H74</f>
        <v>T</v>
      </c>
      <c r="D77" s="146">
        <f>[3]Sayfa1!$N74</f>
        <v>0</v>
      </c>
      <c r="E77" s="122" t="str">
        <f>[3]Sayfa1!$B74</f>
        <v>FRACAS-GDM-073</v>
      </c>
      <c r="F77" s="123">
        <f>[3]Sayfa1!$E74</f>
        <v>45280</v>
      </c>
      <c r="G77" s="124">
        <f>[3]Sayfa1!$F74</f>
        <v>45280</v>
      </c>
      <c r="H77" s="119" t="str">
        <f>[3]Sayfa1!$I74</f>
        <v>Depo/Depot</v>
      </c>
      <c r="I77" s="125" t="str">
        <f>IF([3]Sayfa1!$K74="SSH","Notified by Bozankaya","Notified by Customer")</f>
        <v>Notified by Customer</v>
      </c>
      <c r="J77" s="119" t="e">
        <f>VLOOKUP([3]Sayfa1!$AU74,#REF!,2,FALSE)</f>
        <v>#REF!</v>
      </c>
      <c r="K77" s="119" t="str">
        <f>[3]Sayfa1!$V74</f>
        <v>Bozankaya</v>
      </c>
      <c r="L77" s="126" t="str">
        <f t="shared" si="11"/>
        <v>GDM7X4-FRACAS-GDM-073</v>
      </c>
      <c r="M77" s="127" t="str">
        <f>[3]Sayfa1!$L74</f>
        <v>24. Kapı x11 konnektör kablo sabitleme montajı yapılmamış.</v>
      </c>
      <c r="N77" s="128" t="str">
        <f>[3]Sayfa1!$J74</f>
        <v>C-Uyarı, sürüş devamlılığı</v>
      </c>
      <c r="O77" s="128" t="str">
        <f>[3]Sayfa1!$P74</f>
        <v>C(Sisteme etki etmeyen arıza)</v>
      </c>
      <c r="P77" s="128" t="str">
        <f>[3]Sayfa1!$Q74</f>
        <v>N.A(Yaralanma yok)</v>
      </c>
      <c r="Q77" s="129" t="str" cm="1">
        <f t="array" ref="Q77">_xlfn.IFS([3]Sayfa1!$R74="Bozankaya","Bozankaya",[3]Sayfa1!$R74="İşletme","Customer",[3]Sayfa1!$R74="Tedarikçi","Equipment Supplier")</f>
        <v>Bozankaya</v>
      </c>
      <c r="R77" s="130" t="str">
        <f>[3]Sayfa1!$M74</f>
        <v>Tamir süreci başlatıldı. Kalite bölümüne NCR oluşturuldu</v>
      </c>
      <c r="S77" s="147">
        <f>[3]Sayfa1!$AB74</f>
        <v>0</v>
      </c>
      <c r="T77" s="147">
        <f>[3]Sayfa1!$AA74</f>
        <v>0</v>
      </c>
      <c r="U77" s="131">
        <f>[3]Sayfa1!$AN74</f>
        <v>2</v>
      </c>
      <c r="V77" s="132">
        <f>[3]Sayfa1!$T74</f>
        <v>45280</v>
      </c>
      <c r="W77" s="133">
        <f>[3]Sayfa1!$U74</f>
        <v>45280</v>
      </c>
      <c r="X77" s="134">
        <f t="shared" si="12"/>
        <v>45280</v>
      </c>
      <c r="Y77" s="123" t="str">
        <f>[3]Sayfa1!$AQ74</f>
        <v/>
      </c>
      <c r="Z77" s="135">
        <f>[3]Sayfa1!$AR74</f>
        <v>0</v>
      </c>
      <c r="AA77" s="134">
        <f t="shared" si="13"/>
        <v>0</v>
      </c>
      <c r="AB77" s="136">
        <f t="shared" si="14"/>
        <v>0</v>
      </c>
      <c r="AC77" s="137" t="str">
        <f t="shared" si="15"/>
        <v/>
      </c>
      <c r="AD77" s="135">
        <f t="shared" si="16"/>
        <v>0</v>
      </c>
      <c r="AE77" s="138">
        <f t="shared" si="17"/>
        <v>0</v>
      </c>
      <c r="AF77" s="139" t="str">
        <f>[3]Sayfa1!$AP74</f>
        <v>(I) İlk defa karşılaşılan arıza</v>
      </c>
      <c r="AG77" s="128" t="str">
        <f>IF([3]Sayfa1!$P74="C(Sisteme etki etmeyen arıza)","Bu Arıza Aracın Servise Verilmesine Engel Değil","Bu Arıza Aracın Servise Verilmesine Engel")</f>
        <v>Bu Arıza Aracın Servise Verilmesine Engel Değil</v>
      </c>
      <c r="AH77" s="140">
        <f>[3]Sayfa1!$AC74</f>
        <v>0</v>
      </c>
      <c r="AI77" s="137"/>
      <c r="AJ77" s="137"/>
      <c r="AK77" s="138">
        <f t="shared" si="18"/>
        <v>0</v>
      </c>
      <c r="AL77" s="136">
        <f t="shared" si="19"/>
        <v>0</v>
      </c>
      <c r="AM77" s="136">
        <f t="shared" si="20"/>
        <v>0</v>
      </c>
      <c r="AN77" s="141" t="str">
        <f t="shared" si="21"/>
        <v>Bozankaya</v>
      </c>
      <c r="AO77" s="141">
        <f>[3]Sayfa1!$X74</f>
        <v>0</v>
      </c>
      <c r="AP77" s="141">
        <f>[3]Sayfa1!$Z74</f>
        <v>0</v>
      </c>
      <c r="AQ77" s="122">
        <f>[3]Sayfa1!$W74</f>
        <v>0</v>
      </c>
      <c r="AR77" s="142">
        <f>[3]Sayfa1!$Y74</f>
        <v>0</v>
      </c>
      <c r="AS77" s="143">
        <f>[3]Sayfa1!$AD74</f>
        <v>0</v>
      </c>
      <c r="AT77" s="137">
        <f>[3]Sayfa1!$AE74</f>
        <v>0</v>
      </c>
      <c r="AU77" s="137">
        <f>[3]Sayfa1!$AH74</f>
        <v>0</v>
      </c>
      <c r="AV77" s="144">
        <v>73</v>
      </c>
      <c r="AW77" s="145" t="e">
        <f>U77*AB77*#REF!</f>
        <v>#REF!</v>
      </c>
    </row>
    <row r="78" spans="1:49" ht="101.25" customHeight="1">
      <c r="A78" s="119" t="s">
        <v>57</v>
      </c>
      <c r="B78" s="120" t="str">
        <f>[3]Sayfa1!$G75</f>
        <v>TS#4</v>
      </c>
      <c r="C78" s="121" t="str">
        <f>[3]Sayfa1!$H75</f>
        <v>T</v>
      </c>
      <c r="D78" s="146">
        <f>[3]Sayfa1!$N75</f>
        <v>0</v>
      </c>
      <c r="E78" s="122" t="str">
        <f>[3]Sayfa1!$B75</f>
        <v>FRACAS-GDM-074</v>
      </c>
      <c r="F78" s="123">
        <f>[3]Sayfa1!$E75</f>
        <v>45280</v>
      </c>
      <c r="G78" s="124">
        <f>[3]Sayfa1!$F75</f>
        <v>45280</v>
      </c>
      <c r="H78" s="119" t="str">
        <f>[3]Sayfa1!$I75</f>
        <v>Depo/Depot</v>
      </c>
      <c r="I78" s="125" t="str">
        <f>IF([3]Sayfa1!$K75="SSH","Notified by Bozankaya","Notified by Customer")</f>
        <v>Notified by Customer</v>
      </c>
      <c r="J78" s="119" t="e">
        <f>VLOOKUP([3]Sayfa1!$AU75,#REF!,2,FALSE)</f>
        <v>#REF!</v>
      </c>
      <c r="K78" s="119" t="str">
        <f>[3]Sayfa1!$V75</f>
        <v>Bozankaya</v>
      </c>
      <c r="L78" s="126" t="str">
        <f t="shared" si="11"/>
        <v>GDM7X4-FRACAS-GDM-074</v>
      </c>
      <c r="M78" s="127" t="str">
        <f>[3]Sayfa1!$L75</f>
        <v>22. Kapı x11 konnektör kablo sabitleme montajı yapılmamış</v>
      </c>
      <c r="N78" s="128" t="str">
        <f>[3]Sayfa1!$J75</f>
        <v>C-Uyarı, sürüş devamlılığı</v>
      </c>
      <c r="O78" s="128" t="str">
        <f>[3]Sayfa1!$P75</f>
        <v>C(Sisteme etki etmeyen arıza)</v>
      </c>
      <c r="P78" s="128" t="str">
        <f>[3]Sayfa1!$Q75</f>
        <v>N.A(Yaralanma yok)</v>
      </c>
      <c r="Q78" s="129" t="str" cm="1">
        <f t="array" ref="Q78">_xlfn.IFS([3]Sayfa1!$R75="Bozankaya","Bozankaya",[3]Sayfa1!$R75="İşletme","Customer",[3]Sayfa1!$R75="Tedarikçi","Equipment Supplier")</f>
        <v>Bozankaya</v>
      </c>
      <c r="R78" s="130" t="str">
        <f>[3]Sayfa1!$M75</f>
        <v>Tamir süreci başlatıldı. Kalite bölümüne NCR oluşturuldu</v>
      </c>
      <c r="S78" s="147">
        <f>[3]Sayfa1!$AB75</f>
        <v>0</v>
      </c>
      <c r="T78" s="147">
        <f>[3]Sayfa1!$AA75</f>
        <v>0</v>
      </c>
      <c r="U78" s="131">
        <f>[3]Sayfa1!$AN75</f>
        <v>2</v>
      </c>
      <c r="V78" s="132">
        <f>[3]Sayfa1!$T75</f>
        <v>45280</v>
      </c>
      <c r="W78" s="133">
        <f>[3]Sayfa1!$U75</f>
        <v>45280</v>
      </c>
      <c r="X78" s="134">
        <f t="shared" si="12"/>
        <v>45280</v>
      </c>
      <c r="Y78" s="123" t="str">
        <f>[3]Sayfa1!$AQ75</f>
        <v/>
      </c>
      <c r="Z78" s="135">
        <f>[3]Sayfa1!$AR75</f>
        <v>0</v>
      </c>
      <c r="AA78" s="134">
        <f t="shared" si="13"/>
        <v>0</v>
      </c>
      <c r="AB78" s="136">
        <f t="shared" si="14"/>
        <v>0</v>
      </c>
      <c r="AC78" s="137" t="str">
        <f t="shared" si="15"/>
        <v/>
      </c>
      <c r="AD78" s="135">
        <f t="shared" si="16"/>
        <v>0</v>
      </c>
      <c r="AE78" s="138">
        <f t="shared" si="17"/>
        <v>0</v>
      </c>
      <c r="AF78" s="139" t="str">
        <f>[3]Sayfa1!$AP75</f>
        <v>(I) İlk defa karşılaşılan arıza</v>
      </c>
      <c r="AG78" s="128" t="str">
        <f>IF([3]Sayfa1!$P75="C(Sisteme etki etmeyen arıza)","Bu Arıza Aracın Servise Verilmesine Engel Değil","Bu Arıza Aracın Servise Verilmesine Engel")</f>
        <v>Bu Arıza Aracın Servise Verilmesine Engel Değil</v>
      </c>
      <c r="AH78" s="140">
        <f>[3]Sayfa1!$AC75</f>
        <v>0</v>
      </c>
      <c r="AI78" s="137"/>
      <c r="AJ78" s="137"/>
      <c r="AK78" s="138">
        <f t="shared" si="18"/>
        <v>0</v>
      </c>
      <c r="AL78" s="136">
        <f t="shared" si="19"/>
        <v>0</v>
      </c>
      <c r="AM78" s="136">
        <f t="shared" si="20"/>
        <v>0</v>
      </c>
      <c r="AN78" s="141" t="str">
        <f t="shared" si="21"/>
        <v>Bozankaya</v>
      </c>
      <c r="AO78" s="141">
        <f>[3]Sayfa1!$X75</f>
        <v>0</v>
      </c>
      <c r="AP78" s="141">
        <f>[3]Sayfa1!$Z75</f>
        <v>0</v>
      </c>
      <c r="AQ78" s="122">
        <f>[3]Sayfa1!$W75</f>
        <v>0</v>
      </c>
      <c r="AR78" s="142">
        <f>[3]Sayfa1!$Y75</f>
        <v>0</v>
      </c>
      <c r="AS78" s="143">
        <f>[3]Sayfa1!$AD75</f>
        <v>0</v>
      </c>
      <c r="AT78" s="137">
        <f>[3]Sayfa1!$AE75</f>
        <v>0</v>
      </c>
      <c r="AU78" s="137">
        <f>[3]Sayfa1!$AH75</f>
        <v>0</v>
      </c>
      <c r="AV78" s="144">
        <v>74</v>
      </c>
      <c r="AW78" s="145" t="e">
        <f>U78*AB78*#REF!</f>
        <v>#REF!</v>
      </c>
    </row>
    <row r="79" spans="1:49" ht="101.25" customHeight="1">
      <c r="A79" s="119" t="s">
        <v>57</v>
      </c>
      <c r="B79" s="120" t="str">
        <f>[3]Sayfa1!$G76</f>
        <v>TS#4</v>
      </c>
      <c r="C79" s="121" t="str">
        <f>[3]Sayfa1!$H76</f>
        <v>T</v>
      </c>
      <c r="D79" s="146">
        <f>[3]Sayfa1!$N76</f>
        <v>0</v>
      </c>
      <c r="E79" s="122" t="str">
        <f>[3]Sayfa1!$B76</f>
        <v>FRACAS-GDM-075</v>
      </c>
      <c r="F79" s="123">
        <f>[3]Sayfa1!$E76</f>
        <v>45280</v>
      </c>
      <c r="G79" s="124">
        <f>[3]Sayfa1!$F76</f>
        <v>45280</v>
      </c>
      <c r="H79" s="119" t="str">
        <f>[3]Sayfa1!$I76</f>
        <v>Depo/Depot</v>
      </c>
      <c r="I79" s="125" t="str">
        <f>IF([3]Sayfa1!$K76="SSH","Notified by Bozankaya","Notified by Customer")</f>
        <v>Notified by Customer</v>
      </c>
      <c r="J79" s="119" t="e">
        <f>VLOOKUP([3]Sayfa1!$AU76,#REF!,2,FALSE)</f>
        <v>#REF!</v>
      </c>
      <c r="K79" s="119" t="str">
        <f>[3]Sayfa1!$V76</f>
        <v>Bozankaya</v>
      </c>
      <c r="L79" s="126" t="str">
        <f t="shared" si="11"/>
        <v>GDM7X4-FRACAS-GDM-075</v>
      </c>
      <c r="M79" s="127" t="str">
        <f>[3]Sayfa1!$L76</f>
        <v>Yangın tüpü eksik</v>
      </c>
      <c r="N79" s="128" t="str">
        <f>[3]Sayfa1!$J76</f>
        <v>C-Uyarı, sürüş devamlılığı</v>
      </c>
      <c r="O79" s="128" t="str">
        <f>[3]Sayfa1!$P76</f>
        <v>C(Sisteme etki etmeyen arıza)</v>
      </c>
      <c r="P79" s="128" t="str">
        <f>[3]Sayfa1!$Q76</f>
        <v>N.A(Yaralanma yok)</v>
      </c>
      <c r="Q79" s="129" t="str" cm="1">
        <f t="array" ref="Q79">_xlfn.IFS([3]Sayfa1!$R76="Bozankaya","Bozankaya",[3]Sayfa1!$R76="İşletme","Customer",[3]Sayfa1!$R76="Tedarikçi","Equipment Supplier")</f>
        <v>Bozankaya</v>
      </c>
      <c r="R79" s="130" t="str">
        <f>[3]Sayfa1!$M76</f>
        <v>Tamir süreci başlatıldı. Kalite bölümüne NCR oluşturuldu</v>
      </c>
      <c r="S79" s="147">
        <f>[3]Sayfa1!$AB76</f>
        <v>0</v>
      </c>
      <c r="T79" s="147">
        <f>[3]Sayfa1!$AA76</f>
        <v>0</v>
      </c>
      <c r="U79" s="131">
        <f>[3]Sayfa1!$AN76</f>
        <v>2</v>
      </c>
      <c r="V79" s="132">
        <f>[3]Sayfa1!$T76</f>
        <v>45280</v>
      </c>
      <c r="W79" s="133">
        <f>[3]Sayfa1!$U76</f>
        <v>45280</v>
      </c>
      <c r="X79" s="134">
        <f t="shared" si="12"/>
        <v>45280</v>
      </c>
      <c r="Y79" s="123" t="str">
        <f>[3]Sayfa1!$AQ76</f>
        <v/>
      </c>
      <c r="Z79" s="135">
        <f>[3]Sayfa1!$AR76</f>
        <v>0</v>
      </c>
      <c r="AA79" s="134">
        <f t="shared" si="13"/>
        <v>0</v>
      </c>
      <c r="AB79" s="136">
        <f t="shared" si="14"/>
        <v>0</v>
      </c>
      <c r="AC79" s="137" t="str">
        <f t="shared" si="15"/>
        <v/>
      </c>
      <c r="AD79" s="135">
        <f t="shared" si="16"/>
        <v>0</v>
      </c>
      <c r="AE79" s="138">
        <f t="shared" si="17"/>
        <v>0</v>
      </c>
      <c r="AF79" s="139" t="str">
        <f>[3]Sayfa1!$AP76</f>
        <v>(I) İlk defa karşılaşılan arıza</v>
      </c>
      <c r="AG79" s="128" t="str">
        <f>IF([3]Sayfa1!$P76="C(Sisteme etki etmeyen arıza)","Bu Arıza Aracın Servise Verilmesine Engel Değil","Bu Arıza Aracın Servise Verilmesine Engel")</f>
        <v>Bu Arıza Aracın Servise Verilmesine Engel Değil</v>
      </c>
      <c r="AH79" s="140">
        <f>[3]Sayfa1!$AC76</f>
        <v>0</v>
      </c>
      <c r="AI79" s="137"/>
      <c r="AJ79" s="137"/>
      <c r="AK79" s="138">
        <f t="shared" si="18"/>
        <v>0</v>
      </c>
      <c r="AL79" s="136">
        <f t="shared" si="19"/>
        <v>0</v>
      </c>
      <c r="AM79" s="136">
        <f t="shared" si="20"/>
        <v>0</v>
      </c>
      <c r="AN79" s="141" t="str">
        <f t="shared" si="21"/>
        <v>Bozankaya</v>
      </c>
      <c r="AO79" s="141">
        <f>[3]Sayfa1!$X76</f>
        <v>0</v>
      </c>
      <c r="AP79" s="141">
        <f>[3]Sayfa1!$Z76</f>
        <v>0</v>
      </c>
      <c r="AQ79" s="122">
        <f>[3]Sayfa1!$W76</f>
        <v>0</v>
      </c>
      <c r="AR79" s="142">
        <f>[3]Sayfa1!$Y76</f>
        <v>0</v>
      </c>
      <c r="AS79" s="143">
        <f>[3]Sayfa1!$AD76</f>
        <v>0</v>
      </c>
      <c r="AT79" s="137">
        <f>[3]Sayfa1!$AE76</f>
        <v>0</v>
      </c>
      <c r="AU79" s="137">
        <f>[3]Sayfa1!$AH76</f>
        <v>0</v>
      </c>
      <c r="AV79" s="144">
        <v>75</v>
      </c>
      <c r="AW79" s="145" t="e">
        <f>U79*AB79*#REF!</f>
        <v>#REF!</v>
      </c>
    </row>
    <row r="80" spans="1:49" ht="101.25" customHeight="1">
      <c r="A80" s="119" t="s">
        <v>57</v>
      </c>
      <c r="B80" s="120" t="str">
        <f>[3]Sayfa1!$G77</f>
        <v>TS#4</v>
      </c>
      <c r="C80" s="121" t="str">
        <f>[3]Sayfa1!$H77</f>
        <v>M</v>
      </c>
      <c r="D80" s="146">
        <f>[3]Sayfa1!$N77</f>
        <v>0</v>
      </c>
      <c r="E80" s="122" t="str">
        <f>[3]Sayfa1!$B77</f>
        <v>FRACAS-GDM-076</v>
      </c>
      <c r="F80" s="123">
        <f>[3]Sayfa1!$E77</f>
        <v>45280</v>
      </c>
      <c r="G80" s="124">
        <f>[3]Sayfa1!$F77</f>
        <v>45280</v>
      </c>
      <c r="H80" s="119" t="str">
        <f>[3]Sayfa1!$I77</f>
        <v>Depo/Depot</v>
      </c>
      <c r="I80" s="125" t="str">
        <f>IF([3]Sayfa1!$K77="SSH","Notified by Bozankaya","Notified by Customer")</f>
        <v>Notified by Customer</v>
      </c>
      <c r="J80" s="119" t="e">
        <f>VLOOKUP([3]Sayfa1!$AU77,#REF!,2,FALSE)</f>
        <v>#REF!</v>
      </c>
      <c r="K80" s="119" t="str">
        <f>[3]Sayfa1!$V77</f>
        <v>IFE</v>
      </c>
      <c r="L80" s="126" t="str">
        <f t="shared" si="11"/>
        <v>GDM7X4-FRACAS-GDM-076</v>
      </c>
      <c r="M80" s="127" t="str">
        <f>[3]Sayfa1!$L77</f>
        <v>10. Kapı x11 konnektörü kablo sabitleme montajı yapılmamış</v>
      </c>
      <c r="N80" s="128" t="str">
        <f>[3]Sayfa1!$J77</f>
        <v>C-Uyarı, sürüş devamlılığı</v>
      </c>
      <c r="O80" s="128" t="str">
        <f>[3]Sayfa1!$P77</f>
        <v>C(Sisteme etki etmeyen arıza)</v>
      </c>
      <c r="P80" s="128" t="str">
        <f>[3]Sayfa1!$Q77</f>
        <v>N.A(Yaralanma yok)</v>
      </c>
      <c r="Q80" s="129" t="str" cm="1">
        <f t="array" ref="Q80">_xlfn.IFS([3]Sayfa1!$R77="Bozankaya","Bozankaya",[3]Sayfa1!$R77="İşletme","Customer",[3]Sayfa1!$R77="Tedarikçi","Equipment Supplier")</f>
        <v>Bozankaya</v>
      </c>
      <c r="R80" s="130" t="str">
        <f>[3]Sayfa1!$M77</f>
        <v>Tamir süreci başlatıldı. Kalite bölümüne NCR oluşturuldu</v>
      </c>
      <c r="S80" s="147">
        <f>[3]Sayfa1!$AB77</f>
        <v>0</v>
      </c>
      <c r="T80" s="147">
        <f>[3]Sayfa1!$AA77</f>
        <v>0</v>
      </c>
      <c r="U80" s="131">
        <f>[3]Sayfa1!$AN77</f>
        <v>2</v>
      </c>
      <c r="V80" s="132">
        <f>[3]Sayfa1!$T77</f>
        <v>45280</v>
      </c>
      <c r="W80" s="133">
        <f>[3]Sayfa1!$U77</f>
        <v>45280</v>
      </c>
      <c r="X80" s="134">
        <f t="shared" si="12"/>
        <v>45280</v>
      </c>
      <c r="Y80" s="123" t="str">
        <f>[3]Sayfa1!$AQ77</f>
        <v/>
      </c>
      <c r="Z80" s="135">
        <f>[3]Sayfa1!$AR77</f>
        <v>0</v>
      </c>
      <c r="AA80" s="134">
        <f t="shared" si="13"/>
        <v>0</v>
      </c>
      <c r="AB80" s="136">
        <f t="shared" si="14"/>
        <v>0</v>
      </c>
      <c r="AC80" s="137" t="str">
        <f t="shared" si="15"/>
        <v/>
      </c>
      <c r="AD80" s="135">
        <f t="shared" si="16"/>
        <v>0</v>
      </c>
      <c r="AE80" s="138">
        <f t="shared" si="17"/>
        <v>0</v>
      </c>
      <c r="AF80" s="139" t="str">
        <f>[3]Sayfa1!$AP77</f>
        <v>(I) İlk defa karşılaşılan arıza</v>
      </c>
      <c r="AG80" s="128" t="str">
        <f>IF([3]Sayfa1!$P77="C(Sisteme etki etmeyen arıza)","Bu Arıza Aracın Servise Verilmesine Engel Değil","Bu Arıza Aracın Servise Verilmesine Engel")</f>
        <v>Bu Arıza Aracın Servise Verilmesine Engel Değil</v>
      </c>
      <c r="AH80" s="140">
        <f>[3]Sayfa1!$AC77</f>
        <v>0</v>
      </c>
      <c r="AI80" s="137"/>
      <c r="AJ80" s="137"/>
      <c r="AK80" s="138">
        <f t="shared" si="18"/>
        <v>0</v>
      </c>
      <c r="AL80" s="136">
        <f t="shared" si="19"/>
        <v>0</v>
      </c>
      <c r="AM80" s="136">
        <f t="shared" si="20"/>
        <v>0</v>
      </c>
      <c r="AN80" s="141" t="str">
        <f t="shared" si="21"/>
        <v>IFE</v>
      </c>
      <c r="AO80" s="141">
        <f>[3]Sayfa1!$X77</f>
        <v>0</v>
      </c>
      <c r="AP80" s="141">
        <f>[3]Sayfa1!$Z77</f>
        <v>0</v>
      </c>
      <c r="AQ80" s="122">
        <f>[3]Sayfa1!$W77</f>
        <v>0</v>
      </c>
      <c r="AR80" s="142">
        <f>[3]Sayfa1!$Y77</f>
        <v>0</v>
      </c>
      <c r="AS80" s="143">
        <f>[3]Sayfa1!$AD77</f>
        <v>0</v>
      </c>
      <c r="AT80" s="137">
        <f>[3]Sayfa1!$AE77</f>
        <v>0</v>
      </c>
      <c r="AU80" s="137">
        <f>[3]Sayfa1!$AH77</f>
        <v>0</v>
      </c>
      <c r="AV80" s="144">
        <v>76</v>
      </c>
      <c r="AW80" s="145" t="e">
        <f>U80*AB80*#REF!</f>
        <v>#REF!</v>
      </c>
    </row>
    <row r="81" spans="1:49" ht="101.25" customHeight="1">
      <c r="A81" s="119" t="s">
        <v>57</v>
      </c>
      <c r="B81" s="120" t="str">
        <f>[3]Sayfa1!$G78</f>
        <v>TS#4</v>
      </c>
      <c r="C81" s="121" t="str">
        <f>[3]Sayfa1!$H78</f>
        <v>Mc2</v>
      </c>
      <c r="D81" s="146">
        <f>[3]Sayfa1!$N78</f>
        <v>0</v>
      </c>
      <c r="E81" s="122" t="str">
        <f>[3]Sayfa1!$B78</f>
        <v>FRACAS-GDM-077</v>
      </c>
      <c r="F81" s="123">
        <f>[3]Sayfa1!$E78</f>
        <v>45280</v>
      </c>
      <c r="G81" s="124">
        <f>[3]Sayfa1!$F78</f>
        <v>45280</v>
      </c>
      <c r="H81" s="119" t="str">
        <f>[3]Sayfa1!$I78</f>
        <v>Depo/Depot</v>
      </c>
      <c r="I81" s="125" t="str">
        <f>IF([3]Sayfa1!$K78="SSH","Notified by Bozankaya","Notified by Customer")</f>
        <v>Notified by Customer</v>
      </c>
      <c r="J81" s="119" t="e">
        <f>VLOOKUP([3]Sayfa1!$AU78,#REF!,2,FALSE)</f>
        <v>#REF!</v>
      </c>
      <c r="K81" s="119" t="str">
        <f>[3]Sayfa1!$V78</f>
        <v>Bozankaya</v>
      </c>
      <c r="L81" s="126" t="str">
        <f t="shared" si="11"/>
        <v>GDM7X4-FRACAS-GDM-077</v>
      </c>
      <c r="M81" s="127" t="str">
        <f>[3]Sayfa1!$L78</f>
        <v>Kilit mekanizması kapin masasını çizmektedir.</v>
      </c>
      <c r="N81" s="128" t="str">
        <f>[3]Sayfa1!$J78</f>
        <v>C-Uyarı, sürüş devamlılığı</v>
      </c>
      <c r="O81" s="128" t="str">
        <f>[3]Sayfa1!$P78</f>
        <v>C(Sisteme etki etmeyen arıza)</v>
      </c>
      <c r="P81" s="128" t="str">
        <f>[3]Sayfa1!$Q78</f>
        <v>N.A(Yaralanma yok)</v>
      </c>
      <c r="Q81" s="129" t="str" cm="1">
        <f t="array" ref="Q81">_xlfn.IFS([3]Sayfa1!$R78="Bozankaya","Bozankaya",[3]Sayfa1!$R78="İşletme","Customer",[3]Sayfa1!$R78="Tedarikçi","Equipment Supplier")</f>
        <v>Bozankaya</v>
      </c>
      <c r="R81" s="130" t="str">
        <f>[3]Sayfa1!$M78</f>
        <v>Tamir süreci başlatıldı. Kalite bölümüne NCR oluşturuldu</v>
      </c>
      <c r="S81" s="147">
        <f>[3]Sayfa1!$AB78</f>
        <v>0</v>
      </c>
      <c r="T81" s="147">
        <f>[3]Sayfa1!$AA78</f>
        <v>0</v>
      </c>
      <c r="U81" s="131">
        <f>[3]Sayfa1!$AN78</f>
        <v>2</v>
      </c>
      <c r="V81" s="132">
        <f>[3]Sayfa1!$T78</f>
        <v>45280</v>
      </c>
      <c r="W81" s="133">
        <f>[3]Sayfa1!$U78</f>
        <v>45280</v>
      </c>
      <c r="X81" s="134">
        <f t="shared" si="12"/>
        <v>45280</v>
      </c>
      <c r="Y81" s="123" t="str">
        <f>[3]Sayfa1!$AQ78</f>
        <v/>
      </c>
      <c r="Z81" s="135">
        <f>[3]Sayfa1!$AR78</f>
        <v>0</v>
      </c>
      <c r="AA81" s="134">
        <f t="shared" si="13"/>
        <v>0</v>
      </c>
      <c r="AB81" s="136">
        <f t="shared" si="14"/>
        <v>0</v>
      </c>
      <c r="AC81" s="137" t="str">
        <f t="shared" si="15"/>
        <v/>
      </c>
      <c r="AD81" s="135">
        <f t="shared" si="16"/>
        <v>0</v>
      </c>
      <c r="AE81" s="138">
        <f t="shared" si="17"/>
        <v>0</v>
      </c>
      <c r="AF81" s="139" t="str">
        <f>[3]Sayfa1!$AP78</f>
        <v>(I) İlk defa karşılaşılan arıza</v>
      </c>
      <c r="AG81" s="128" t="str">
        <f>IF([3]Sayfa1!$P78="C(Sisteme etki etmeyen arıza)","Bu Arıza Aracın Servise Verilmesine Engel Değil","Bu Arıza Aracın Servise Verilmesine Engel")</f>
        <v>Bu Arıza Aracın Servise Verilmesine Engel Değil</v>
      </c>
      <c r="AH81" s="140">
        <f>[3]Sayfa1!$AC78</f>
        <v>0</v>
      </c>
      <c r="AI81" s="137"/>
      <c r="AJ81" s="137"/>
      <c r="AK81" s="138">
        <f t="shared" si="18"/>
        <v>0</v>
      </c>
      <c r="AL81" s="136">
        <f t="shared" si="19"/>
        <v>0</v>
      </c>
      <c r="AM81" s="136">
        <f t="shared" si="20"/>
        <v>0</v>
      </c>
      <c r="AN81" s="141" t="str">
        <f t="shared" si="21"/>
        <v>Bozankaya</v>
      </c>
      <c r="AO81" s="141">
        <f>[3]Sayfa1!$X78</f>
        <v>0</v>
      </c>
      <c r="AP81" s="141">
        <f>[3]Sayfa1!$Z78</f>
        <v>0</v>
      </c>
      <c r="AQ81" s="122">
        <f>[3]Sayfa1!$W78</f>
        <v>0</v>
      </c>
      <c r="AR81" s="142">
        <f>[3]Sayfa1!$Y78</f>
        <v>0</v>
      </c>
      <c r="AS81" s="143">
        <f>[3]Sayfa1!$AD78</f>
        <v>0</v>
      </c>
      <c r="AT81" s="137">
        <f>[3]Sayfa1!$AE78</f>
        <v>0</v>
      </c>
      <c r="AU81" s="137">
        <f>[3]Sayfa1!$AH78</f>
        <v>0</v>
      </c>
      <c r="AV81" s="144">
        <v>77</v>
      </c>
      <c r="AW81" s="145" t="e">
        <f>U81*AB81*#REF!</f>
        <v>#REF!</v>
      </c>
    </row>
    <row r="82" spans="1:49" ht="101.25" customHeight="1">
      <c r="A82" s="119" t="s">
        <v>57</v>
      </c>
      <c r="B82" s="120" t="str">
        <f>[3]Sayfa1!$G79</f>
        <v>TS#1</v>
      </c>
      <c r="C82" s="121" t="str">
        <f>[3]Sayfa1!$H79</f>
        <v>T</v>
      </c>
      <c r="D82" s="146">
        <f>[3]Sayfa1!$N79</f>
        <v>296</v>
      </c>
      <c r="E82" s="122" t="str">
        <f>[3]Sayfa1!$B79</f>
        <v>FRACAS-GDM-078</v>
      </c>
      <c r="F82" s="123">
        <f>[3]Sayfa1!$E79</f>
        <v>45280</v>
      </c>
      <c r="G82" s="124">
        <f>[3]Sayfa1!$F79</f>
        <v>45280</v>
      </c>
      <c r="H82" s="119" t="str">
        <f>[3]Sayfa1!$I79</f>
        <v>Depo/Depot</v>
      </c>
      <c r="I82" s="125" t="str">
        <f>IF([3]Sayfa1!$K79="SSH","Notified by Bozankaya","Notified by Customer")</f>
        <v>Notified by Customer</v>
      </c>
      <c r="J82" s="119" t="e">
        <f>VLOOKUP([3]Sayfa1!$AU79,#REF!,2,FALSE)</f>
        <v>#REF!</v>
      </c>
      <c r="K82" s="119" t="str">
        <f>[3]Sayfa1!$V79</f>
        <v>Bozankaya</v>
      </c>
      <c r="L82" s="126" t="str">
        <f t="shared" si="11"/>
        <v>GDM7X4-FRACAS-GDM-078</v>
      </c>
      <c r="M82" s="127" t="str">
        <f>[3]Sayfa1!$L79</f>
        <v>Trim pano kapağı ile sigorta kapağı birbirine tesası sonucu sigorta kırılmıştır.</v>
      </c>
      <c r="N82" s="128" t="str">
        <f>[3]Sayfa1!$J79</f>
        <v>C-Uyarı, sürüş devamlılığı</v>
      </c>
      <c r="O82" s="128" t="str">
        <f>[3]Sayfa1!$P79</f>
        <v>C(Sisteme etki etmeyen arıza)</v>
      </c>
      <c r="P82" s="128" t="str">
        <f>[3]Sayfa1!$Q79</f>
        <v>N.A(Yaralanma yok)</v>
      </c>
      <c r="Q82" s="129" t="str" cm="1">
        <f t="array" ref="Q82">_xlfn.IFS([3]Sayfa1!$R79="Bozankaya","Bozankaya",[3]Sayfa1!$R79="İşletme","Customer",[3]Sayfa1!$R79="Tedarikçi","Equipment Supplier")</f>
        <v>Bozankaya</v>
      </c>
      <c r="R82" s="130" t="str">
        <f>[3]Sayfa1!$M79</f>
        <v>Tamir süreci başlatıldı. Kalite bölümüne NCR oluşturuldu</v>
      </c>
      <c r="S82" s="147">
        <f>[3]Sayfa1!$AB79</f>
        <v>0</v>
      </c>
      <c r="T82" s="147">
        <f>[3]Sayfa1!$AA79</f>
        <v>0</v>
      </c>
      <c r="U82" s="131">
        <f>[3]Sayfa1!$AN79</f>
        <v>2</v>
      </c>
      <c r="V82" s="132">
        <f>[3]Sayfa1!$T79</f>
        <v>45280</v>
      </c>
      <c r="W82" s="133">
        <f>[3]Sayfa1!$U79</f>
        <v>45280</v>
      </c>
      <c r="X82" s="134">
        <f t="shared" si="12"/>
        <v>45280</v>
      </c>
      <c r="Y82" s="123" t="str">
        <f>[3]Sayfa1!$AQ79</f>
        <v/>
      </c>
      <c r="Z82" s="135">
        <f>[3]Sayfa1!$AR79</f>
        <v>0</v>
      </c>
      <c r="AA82" s="134">
        <f t="shared" si="13"/>
        <v>0</v>
      </c>
      <c r="AB82" s="136">
        <f t="shared" si="14"/>
        <v>0</v>
      </c>
      <c r="AC82" s="137" t="str">
        <f t="shared" si="15"/>
        <v/>
      </c>
      <c r="AD82" s="135">
        <f t="shared" si="16"/>
        <v>0</v>
      </c>
      <c r="AE82" s="138">
        <f t="shared" si="17"/>
        <v>0</v>
      </c>
      <c r="AF82" s="139" t="str">
        <f>[3]Sayfa1!$AP79</f>
        <v>(I) İlk defa karşılaşılan arıza</v>
      </c>
      <c r="AG82" s="128" t="str">
        <f>IF([3]Sayfa1!$P79="C(Sisteme etki etmeyen arıza)","Bu Arıza Aracın Servise Verilmesine Engel Değil","Bu Arıza Aracın Servise Verilmesine Engel")</f>
        <v>Bu Arıza Aracın Servise Verilmesine Engel Değil</v>
      </c>
      <c r="AH82" s="140" t="str">
        <f>[3]Sayfa1!$AC79</f>
        <v>41-HBR-23-005</v>
      </c>
      <c r="AI82" s="137"/>
      <c r="AJ82" s="137"/>
      <c r="AK82" s="138">
        <f t="shared" si="18"/>
        <v>0</v>
      </c>
      <c r="AL82" s="136">
        <f t="shared" si="19"/>
        <v>0</v>
      </c>
      <c r="AM82" s="136">
        <f t="shared" si="20"/>
        <v>0</v>
      </c>
      <c r="AN82" s="141" t="str">
        <f t="shared" si="21"/>
        <v>Bozankaya</v>
      </c>
      <c r="AO82" s="141">
        <f>[3]Sayfa1!$X79</f>
        <v>0</v>
      </c>
      <c r="AP82" s="141">
        <f>[3]Sayfa1!$Z79</f>
        <v>0</v>
      </c>
      <c r="AQ82" s="122">
        <f>[3]Sayfa1!$W79</f>
        <v>0</v>
      </c>
      <c r="AR82" s="142">
        <f>[3]Sayfa1!$Y79</f>
        <v>0</v>
      </c>
      <c r="AS82" s="143">
        <f>[3]Sayfa1!$AD79</f>
        <v>0</v>
      </c>
      <c r="AT82" s="137">
        <f>[3]Sayfa1!$AE79</f>
        <v>0</v>
      </c>
      <c r="AU82" s="137">
        <f>[3]Sayfa1!$AH79</f>
        <v>0</v>
      </c>
      <c r="AV82" s="144">
        <v>78</v>
      </c>
      <c r="AW82" s="145" t="e">
        <f>U82*AB82*#REF!</f>
        <v>#REF!</v>
      </c>
    </row>
    <row r="83" spans="1:49" ht="101.25" customHeight="1">
      <c r="A83" s="119" t="s">
        <v>57</v>
      </c>
      <c r="B83" s="120" t="str">
        <f>[3]Sayfa1!$G80</f>
        <v>TS#1</v>
      </c>
      <c r="C83" s="121" t="str">
        <f>[3]Sayfa1!$H80</f>
        <v>Mc1</v>
      </c>
      <c r="D83" s="146">
        <f>[3]Sayfa1!$N80</f>
        <v>298</v>
      </c>
      <c r="E83" s="122" t="str">
        <f>[3]Sayfa1!$B80</f>
        <v>FRACAS-GDM-079</v>
      </c>
      <c r="F83" s="123">
        <f>[3]Sayfa1!$E80</f>
        <v>45282</v>
      </c>
      <c r="G83" s="124">
        <f>[3]Sayfa1!$F80</f>
        <v>45282</v>
      </c>
      <c r="H83" s="119" t="str">
        <f>[3]Sayfa1!$I80</f>
        <v>Depo/Depot</v>
      </c>
      <c r="I83" s="125" t="str">
        <f>IF([3]Sayfa1!$K80="SSH","Notified by Bozankaya","Notified by Customer")</f>
        <v>Notified by Customer</v>
      </c>
      <c r="J83" s="119" t="e">
        <f>VLOOKUP([3]Sayfa1!$AU80,#REF!,2,FALSE)</f>
        <v>#REF!</v>
      </c>
      <c r="K83" s="119" t="str">
        <f>[3]Sayfa1!$V80</f>
        <v>Bozankaya</v>
      </c>
      <c r="L83" s="126" t="str">
        <f t="shared" si="11"/>
        <v>GDM7X4-FRACAS-GDM-079</v>
      </c>
      <c r="M83" s="127" t="str">
        <f>[3]Sayfa1!$L80</f>
        <v>Tüm aracın tavanındaki klimaların, pantografın ve fren rezistanslarının ayak kısımları boyalı değildir.</v>
      </c>
      <c r="N83" s="128" t="str">
        <f>[3]Sayfa1!$J80</f>
        <v>C-Uyarı, sürüş devamlılığı</v>
      </c>
      <c r="O83" s="128" t="str">
        <f>[3]Sayfa1!$P80</f>
        <v>C(Sisteme etki etmeyen arıza)</v>
      </c>
      <c r="P83" s="128" t="str">
        <f>[3]Sayfa1!$Q80</f>
        <v>N.A(Yaralanma yok)</v>
      </c>
      <c r="Q83" s="129" t="str" cm="1">
        <f t="array" ref="Q83">_xlfn.IFS([3]Sayfa1!$R80="Bozankaya","Bozankaya",[3]Sayfa1!$R80="İşletme","Customer",[3]Sayfa1!$R80="Tedarikçi","Equipment Supplier")</f>
        <v>Bozankaya</v>
      </c>
      <c r="R83" s="130" t="str">
        <f>[3]Sayfa1!$M80</f>
        <v>Tamir süreci başlatıldı. Kalite bölümüne NCR oluşturuldu</v>
      </c>
      <c r="S83" s="147">
        <f>[3]Sayfa1!$AB80</f>
        <v>0</v>
      </c>
      <c r="T83" s="147">
        <f>[3]Sayfa1!$AA80</f>
        <v>0</v>
      </c>
      <c r="U83" s="131">
        <f>[3]Sayfa1!$AN80</f>
        <v>2</v>
      </c>
      <c r="V83" s="132">
        <f>[3]Sayfa1!$T80</f>
        <v>45282</v>
      </c>
      <c r="W83" s="133">
        <f>[3]Sayfa1!$U80</f>
        <v>45282</v>
      </c>
      <c r="X83" s="134">
        <f t="shared" si="12"/>
        <v>45282</v>
      </c>
      <c r="Y83" s="123" t="str">
        <f>[3]Sayfa1!$AQ80</f>
        <v/>
      </c>
      <c r="Z83" s="135">
        <f>[3]Sayfa1!$AR80</f>
        <v>0</v>
      </c>
      <c r="AA83" s="134">
        <f t="shared" si="13"/>
        <v>0</v>
      </c>
      <c r="AB83" s="136">
        <f t="shared" si="14"/>
        <v>0</v>
      </c>
      <c r="AC83" s="137" t="str">
        <f t="shared" si="15"/>
        <v/>
      </c>
      <c r="AD83" s="135">
        <f t="shared" si="16"/>
        <v>0</v>
      </c>
      <c r="AE83" s="138">
        <f t="shared" si="17"/>
        <v>0</v>
      </c>
      <c r="AF83" s="139" t="str">
        <f>[3]Sayfa1!$AP80</f>
        <v>(I) İlk defa karşılaşılan arıza</v>
      </c>
      <c r="AG83" s="128" t="str">
        <f>IF([3]Sayfa1!$P80="C(Sisteme etki etmeyen arıza)","Bu Arıza Aracın Servise Verilmesine Engel Değil","Bu Arıza Aracın Servise Verilmesine Engel")</f>
        <v>Bu Arıza Aracın Servise Verilmesine Engel Değil</v>
      </c>
      <c r="AH83" s="140">
        <f>[3]Sayfa1!$AC80</f>
        <v>0</v>
      </c>
      <c r="AI83" s="137"/>
      <c r="AJ83" s="137"/>
      <c r="AK83" s="138">
        <f t="shared" si="18"/>
        <v>0</v>
      </c>
      <c r="AL83" s="136">
        <f t="shared" si="19"/>
        <v>0</v>
      </c>
      <c r="AM83" s="136">
        <f t="shared" si="20"/>
        <v>0</v>
      </c>
      <c r="AN83" s="141" t="str">
        <f t="shared" si="21"/>
        <v>Bozankaya</v>
      </c>
      <c r="AO83" s="141">
        <f>[3]Sayfa1!$X80</f>
        <v>0</v>
      </c>
      <c r="AP83" s="141">
        <f>[3]Sayfa1!$Z80</f>
        <v>0</v>
      </c>
      <c r="AQ83" s="122">
        <f>[3]Sayfa1!$W80</f>
        <v>0</v>
      </c>
      <c r="AR83" s="142">
        <f>[3]Sayfa1!$Y80</f>
        <v>0</v>
      </c>
      <c r="AS83" s="143">
        <f>[3]Sayfa1!$AD80</f>
        <v>0</v>
      </c>
      <c r="AT83" s="137">
        <f>[3]Sayfa1!$AE80</f>
        <v>0</v>
      </c>
      <c r="AU83" s="137">
        <f>[3]Sayfa1!$AH80</f>
        <v>0</v>
      </c>
      <c r="AV83" s="144">
        <v>79</v>
      </c>
      <c r="AW83" s="145" t="e">
        <f>U83*AB83*#REF!</f>
        <v>#REF!</v>
      </c>
    </row>
    <row r="84" spans="1:49" ht="101.25" customHeight="1">
      <c r="A84" s="119" t="s">
        <v>57</v>
      </c>
      <c r="B84" s="120" t="str">
        <f>[3]Sayfa1!$G81</f>
        <v>TS#4</v>
      </c>
      <c r="C84" s="121" t="str">
        <f>[3]Sayfa1!$H81</f>
        <v>Mc2</v>
      </c>
      <c r="D84" s="146">
        <f>[3]Sayfa1!$N81</f>
        <v>302</v>
      </c>
      <c r="E84" s="122" t="str">
        <f>[3]Sayfa1!$B81</f>
        <v>FRACAS-GDM-080</v>
      </c>
      <c r="F84" s="123">
        <f>[3]Sayfa1!$E81</f>
        <v>45282</v>
      </c>
      <c r="G84" s="124">
        <f>[3]Sayfa1!$F81</f>
        <v>45282</v>
      </c>
      <c r="H84" s="119" t="str">
        <f>[3]Sayfa1!$I81</f>
        <v>Depo/Depot</v>
      </c>
      <c r="I84" s="125" t="str">
        <f>IF([3]Sayfa1!$K81="SSH","Notified by Bozankaya","Notified by Customer")</f>
        <v>Notified by Customer</v>
      </c>
      <c r="J84" s="119" t="e">
        <f>VLOOKUP([3]Sayfa1!$AU81,#REF!,2,FALSE)</f>
        <v>#REF!</v>
      </c>
      <c r="K84" s="119" t="str">
        <f>[3]Sayfa1!$V81</f>
        <v>Yazkar</v>
      </c>
      <c r="L84" s="126" t="str">
        <f t="shared" si="11"/>
        <v>GDM7X4-FRACAS-GDM-080</v>
      </c>
      <c r="M84" s="127" t="str">
        <f>[3]Sayfa1!$L81</f>
        <v>İki Klimanın da koruma saçları hasaralmıştır/eğilmiştir.</v>
      </c>
      <c r="N84" s="128" t="str">
        <f>[3]Sayfa1!$J81</f>
        <v>C-Uyarı, sürüş devamlılığı</v>
      </c>
      <c r="O84" s="128" t="str">
        <f>[3]Sayfa1!$P81</f>
        <v>C(Sisteme etki etmeyen arıza)</v>
      </c>
      <c r="P84" s="128" t="str">
        <f>[3]Sayfa1!$Q81</f>
        <v>N.A(Yaralanma yok)</v>
      </c>
      <c r="Q84" s="129" t="str" cm="1">
        <f t="array" ref="Q84">_xlfn.IFS([3]Sayfa1!$R81="Bozankaya","Bozankaya",[3]Sayfa1!$R81="İşletme","Customer",[3]Sayfa1!$R81="Tedarikçi","Equipment Supplier")</f>
        <v>Bozankaya</v>
      </c>
      <c r="R84" s="130" t="str">
        <f>[3]Sayfa1!$M81</f>
        <v>Tamir süreci başlatıldı. Kalite bölümüne NCR oluşturuldu</v>
      </c>
      <c r="S84" s="147">
        <f>[3]Sayfa1!$AB81</f>
        <v>0</v>
      </c>
      <c r="T84" s="147">
        <f>[3]Sayfa1!$AA81</f>
        <v>0</v>
      </c>
      <c r="U84" s="131">
        <f>[3]Sayfa1!$AN81</f>
        <v>2</v>
      </c>
      <c r="V84" s="132">
        <f>[3]Sayfa1!$T81</f>
        <v>45282</v>
      </c>
      <c r="W84" s="133">
        <f>[3]Sayfa1!$U81</f>
        <v>45282</v>
      </c>
      <c r="X84" s="134">
        <f t="shared" si="12"/>
        <v>45282</v>
      </c>
      <c r="Y84" s="123" t="str">
        <f>[3]Sayfa1!$AQ81</f>
        <v/>
      </c>
      <c r="Z84" s="135">
        <f>[3]Sayfa1!$AR81</f>
        <v>0</v>
      </c>
      <c r="AA84" s="134">
        <f t="shared" si="13"/>
        <v>0</v>
      </c>
      <c r="AB84" s="136">
        <f t="shared" si="14"/>
        <v>0</v>
      </c>
      <c r="AC84" s="137" t="str">
        <f t="shared" si="15"/>
        <v/>
      </c>
      <c r="AD84" s="135">
        <f t="shared" si="16"/>
        <v>0</v>
      </c>
      <c r="AE84" s="138">
        <f t="shared" si="17"/>
        <v>0</v>
      </c>
      <c r="AF84" s="139" t="str">
        <f>[3]Sayfa1!$AP81</f>
        <v>(I) İlk defa karşılaşılan arıza</v>
      </c>
      <c r="AG84" s="128" t="str">
        <f>IF([3]Sayfa1!$P81="C(Sisteme etki etmeyen arıza)","Bu Arıza Aracın Servise Verilmesine Engel Değil","Bu Arıza Aracın Servise Verilmesine Engel")</f>
        <v>Bu Arıza Aracın Servise Verilmesine Engel Değil</v>
      </c>
      <c r="AH84" s="140">
        <f>[3]Sayfa1!$AC81</f>
        <v>0</v>
      </c>
      <c r="AI84" s="137"/>
      <c r="AJ84" s="137"/>
      <c r="AK84" s="138">
        <f t="shared" si="18"/>
        <v>0</v>
      </c>
      <c r="AL84" s="136">
        <f t="shared" si="19"/>
        <v>0</v>
      </c>
      <c r="AM84" s="136">
        <f t="shared" si="20"/>
        <v>0</v>
      </c>
      <c r="AN84" s="141" t="str">
        <f t="shared" si="21"/>
        <v>Yazkar</v>
      </c>
      <c r="AO84" s="141">
        <f>[3]Sayfa1!$X81</f>
        <v>0</v>
      </c>
      <c r="AP84" s="141">
        <f>[3]Sayfa1!$Z81</f>
        <v>0</v>
      </c>
      <c r="AQ84" s="122">
        <f>[3]Sayfa1!$W81</f>
        <v>0</v>
      </c>
      <c r="AR84" s="142">
        <f>[3]Sayfa1!$Y81</f>
        <v>0</v>
      </c>
      <c r="AS84" s="143">
        <f>[3]Sayfa1!$AD81</f>
        <v>0</v>
      </c>
      <c r="AT84" s="137">
        <f>[3]Sayfa1!$AE81</f>
        <v>0</v>
      </c>
      <c r="AU84" s="137">
        <f>[3]Sayfa1!$AH81</f>
        <v>0</v>
      </c>
      <c r="AV84" s="144">
        <v>80</v>
      </c>
      <c r="AW84" s="145" t="e">
        <f>U84*AB84*#REF!</f>
        <v>#REF!</v>
      </c>
    </row>
    <row r="85" spans="1:49" ht="101.25" customHeight="1">
      <c r="A85" s="119" t="s">
        <v>57</v>
      </c>
      <c r="B85" s="120" t="str">
        <f>[3]Sayfa1!$G82</f>
        <v>TS#1</v>
      </c>
      <c r="C85" s="121" t="str">
        <f>[3]Sayfa1!$H82</f>
        <v>Mc1</v>
      </c>
      <c r="D85" s="146">
        <f>[3]Sayfa1!$N82</f>
        <v>306</v>
      </c>
      <c r="E85" s="122" t="str">
        <f>[3]Sayfa1!$B82</f>
        <v>FRACAS-GDM-081</v>
      </c>
      <c r="F85" s="123">
        <f>[3]Sayfa1!$E82</f>
        <v>45308</v>
      </c>
      <c r="G85" s="124">
        <f>[3]Sayfa1!$F82</f>
        <v>45308.870138888888</v>
      </c>
      <c r="H85" s="119" t="str">
        <f>[3]Sayfa1!$I82</f>
        <v>Depo/Depot</v>
      </c>
      <c r="I85" s="125" t="str">
        <f>IF([3]Sayfa1!$K82="SSH","Notified by Bozankaya","Notified by Customer")</f>
        <v>Notified by Customer</v>
      </c>
      <c r="J85" s="119" t="e">
        <f>VLOOKUP([3]Sayfa1!$AU82,#REF!,2,FALSE)</f>
        <v>#REF!</v>
      </c>
      <c r="K85" s="119" t="str">
        <f>[3]Sayfa1!$V82</f>
        <v>Yazkar</v>
      </c>
      <c r="L85" s="126" t="str">
        <f t="shared" si="11"/>
        <v>GDM7X4-FRACAS-GDM-081</v>
      </c>
      <c r="M85" s="127" t="str">
        <f>[3]Sayfa1!$L82</f>
        <v>Koltuk altı ısıtıcı koltuğu el değmeyecek kadar ısıtmakta. Konforu etkileyecek kadar koltuklar ısınıyor ve boyasında matlaşma oluşmuş. En az 3 adette kararma mevcut. Seri no lar: M.022023027,  M.022023010,   M.022023014</v>
      </c>
      <c r="N85" s="128" t="str">
        <f>[3]Sayfa1!$J82</f>
        <v>C-Uyarı, sürüş devamlılığı</v>
      </c>
      <c r="O85" s="128" t="str">
        <f>[3]Sayfa1!$P82</f>
        <v>C(Sisteme etki etmeyen arıza)</v>
      </c>
      <c r="P85" s="128" t="str">
        <f>[3]Sayfa1!$Q82</f>
        <v>N.A(Yaralanma yok)</v>
      </c>
      <c r="Q85" s="129" t="str" cm="1">
        <f t="array" ref="Q85">_xlfn.IFS([3]Sayfa1!$R82="Bozankaya","Bozankaya",[3]Sayfa1!$R82="İşletme","Customer",[3]Sayfa1!$R82="Tedarikçi","Equipment Supplier")</f>
        <v>Bozankaya</v>
      </c>
      <c r="R85" s="130">
        <f>[3]Sayfa1!$M82</f>
        <v>0</v>
      </c>
      <c r="S85" s="147" t="str">
        <f>[3]Sayfa1!$AB82</f>
        <v>Yazılım güncelleme</v>
      </c>
      <c r="T85" s="147" t="str">
        <f>[3]Sayfa1!$AA82</f>
        <v>Evet</v>
      </c>
      <c r="U85" s="131">
        <f>[3]Sayfa1!$AN82</f>
        <v>2</v>
      </c>
      <c r="V85" s="132">
        <f>[3]Sayfa1!$T82</f>
        <v>45309</v>
      </c>
      <c r="W85" s="133">
        <f>[3]Sayfa1!$U82</f>
        <v>45309.413194444445</v>
      </c>
      <c r="X85" s="134">
        <f t="shared" si="12"/>
        <v>45309.413194444445</v>
      </c>
      <c r="Y85" s="123" t="str">
        <f>[3]Sayfa1!$AQ82</f>
        <v/>
      </c>
      <c r="Z85" s="135">
        <f>[3]Sayfa1!$AR82</f>
        <v>0</v>
      </c>
      <c r="AA85" s="134">
        <f t="shared" si="13"/>
        <v>0</v>
      </c>
      <c r="AB85" s="136">
        <f t="shared" si="14"/>
        <v>0</v>
      </c>
      <c r="AC85" s="137" t="str">
        <f t="shared" si="15"/>
        <v/>
      </c>
      <c r="AD85" s="135">
        <f t="shared" si="16"/>
        <v>0</v>
      </c>
      <c r="AE85" s="138">
        <f t="shared" si="17"/>
        <v>0</v>
      </c>
      <c r="AF85" s="139" t="str">
        <f>[3]Sayfa1!$AP82</f>
        <v>(I) İlk defa karşılaşılan arıza</v>
      </c>
      <c r="AG85" s="128" t="str">
        <f>IF([3]Sayfa1!$P82="C(Sisteme etki etmeyen arıza)","Bu Arıza Aracın Servise Verilmesine Engel Değil","Bu Arıza Aracın Servise Verilmesine Engel")</f>
        <v>Bu Arıza Aracın Servise Verilmesine Engel Değil</v>
      </c>
      <c r="AH85" s="140" t="str">
        <f>[3]Sayfa1!$AC82</f>
        <v>41-HBR-23-007</v>
      </c>
      <c r="AI85" s="137"/>
      <c r="AJ85" s="137"/>
      <c r="AK85" s="138">
        <f t="shared" si="18"/>
        <v>0</v>
      </c>
      <c r="AL85" s="136">
        <f t="shared" si="19"/>
        <v>0</v>
      </c>
      <c r="AM85" s="136">
        <f t="shared" si="20"/>
        <v>0</v>
      </c>
      <c r="AN85" s="141" t="str">
        <f t="shared" si="21"/>
        <v>Yazkar</v>
      </c>
      <c r="AO85" s="141" t="str">
        <f>[3]Sayfa1!$X82</f>
        <v>M.022023027 , M.022023010 , M.022023014</v>
      </c>
      <c r="AP85" s="141" t="str">
        <f>[3]Sayfa1!$Z82</f>
        <v>M.022023027</v>
      </c>
      <c r="AQ85" s="122" t="str">
        <f>[3]Sayfa1!$W82</f>
        <v>Koltuk altı ısıtıcı</v>
      </c>
      <c r="AR85" s="142">
        <f>[3]Sayfa1!$Y82</f>
        <v>3</v>
      </c>
      <c r="AS85" s="143">
        <f>[3]Sayfa1!$AD82</f>
        <v>0</v>
      </c>
      <c r="AT85" s="137" t="str">
        <f>[3]Sayfa1!$AE82</f>
        <v/>
      </c>
      <c r="AU85" s="137" t="str">
        <f>[3]Sayfa1!$AH82</f>
        <v/>
      </c>
      <c r="AV85" s="144">
        <v>81</v>
      </c>
      <c r="AW85" s="145" t="e">
        <f>U85*AB85*#REF!</f>
        <v>#REF!</v>
      </c>
    </row>
    <row r="86" spans="1:49" ht="101.25" customHeight="1">
      <c r="A86" s="119" t="s">
        <v>57</v>
      </c>
      <c r="B86" s="120" t="str">
        <f>[3]Sayfa1!$G83</f>
        <v>TS#2</v>
      </c>
      <c r="C86" s="121" t="str">
        <f>[3]Sayfa1!$H83</f>
        <v>Mc2</v>
      </c>
      <c r="D86" s="146">
        <f>[3]Sayfa1!$N83</f>
        <v>310</v>
      </c>
      <c r="E86" s="122" t="str">
        <f>[3]Sayfa1!$B83</f>
        <v>FRACAS-GDM-082</v>
      </c>
      <c r="F86" s="123">
        <f>[3]Sayfa1!$E83</f>
        <v>45315</v>
      </c>
      <c r="G86" s="124">
        <f>[3]Sayfa1!$F83</f>
        <v>45315.5625</v>
      </c>
      <c r="H86" s="119" t="str">
        <f>[3]Sayfa1!$I83</f>
        <v>Depo/Depot</v>
      </c>
      <c r="I86" s="125" t="str">
        <f>IF([3]Sayfa1!$K83="SSH","Notified by Bozankaya","Notified by Customer")</f>
        <v>Notified by Customer</v>
      </c>
      <c r="J86" s="119" t="e">
        <f>VLOOKUP([3]Sayfa1!$AU83,#REF!,2,FALSE)</f>
        <v>#REF!</v>
      </c>
      <c r="K86" s="119" t="str">
        <f>[3]Sayfa1!$V83</f>
        <v>Bozankaya</v>
      </c>
      <c r="L86" s="126" t="str">
        <f t="shared" si="11"/>
        <v>GDM7X4-FRACAS-GDM-082</v>
      </c>
      <c r="M86" s="127" t="str">
        <f>[3]Sayfa1!$L83</f>
        <v>Deray sensörü</v>
      </c>
      <c r="N86" s="128" t="str">
        <f>[3]Sayfa1!$J83</f>
        <v>C-Uyarı, sürüş devamlılığı</v>
      </c>
      <c r="O86" s="128" t="str">
        <f>[3]Sayfa1!$P83</f>
        <v>B(Servisten çekmeye etki eden arızalar)</v>
      </c>
      <c r="P86" s="128" t="str">
        <f>[3]Sayfa1!$Q83</f>
        <v>N.A(Yaralanma yok)</v>
      </c>
      <c r="Q86" s="129" t="str" cm="1">
        <f t="array" ref="Q86">_xlfn.IFS([3]Sayfa1!$R83="Bozankaya","Bozankaya",[3]Sayfa1!$R83="İşletme","Customer",[3]Sayfa1!$R83="Tedarikçi","Equipment Supplier")</f>
        <v>Bozankaya</v>
      </c>
      <c r="R86" s="130" t="str">
        <f>[3]Sayfa1!$M83</f>
        <v>7. Boji Deray sensörü pinleri arası kısa devre olduğu tespit edildi.</v>
      </c>
      <c r="S86" s="147">
        <f>[3]Sayfa1!$AB83</f>
        <v>0</v>
      </c>
      <c r="T86" s="147">
        <f>[3]Sayfa1!$AA83</f>
        <v>0</v>
      </c>
      <c r="U86" s="131">
        <f>[3]Sayfa1!$AN83</f>
        <v>2</v>
      </c>
      <c r="V86" s="132">
        <f>[3]Sayfa1!$T83</f>
        <v>45315</v>
      </c>
      <c r="W86" s="133">
        <f>[3]Sayfa1!$U83</f>
        <v>45315.708333333336</v>
      </c>
      <c r="X86" s="134">
        <f t="shared" si="12"/>
        <v>45315.708333333336</v>
      </c>
      <c r="Y86" s="123">
        <f>[3]Sayfa1!$AQ83</f>
        <v>45316</v>
      </c>
      <c r="Z86" s="135">
        <f>[3]Sayfa1!$AR83</f>
        <v>45316.337754629632</v>
      </c>
      <c r="AA86" s="134">
        <f t="shared" si="13"/>
        <v>45316.337754629632</v>
      </c>
      <c r="AB86" s="136">
        <f t="shared" si="14"/>
        <v>15.10611111111939</v>
      </c>
      <c r="AC86" s="137">
        <f t="shared" si="15"/>
        <v>45316</v>
      </c>
      <c r="AD86" s="135">
        <f t="shared" si="16"/>
        <v>45316.337754629632</v>
      </c>
      <c r="AE86" s="138">
        <f t="shared" si="17"/>
        <v>45316.337754629632</v>
      </c>
      <c r="AF86" s="139" t="str">
        <f>[3]Sayfa1!$AP83</f>
        <v>(I) İlk defa karşılaşılan arıza</v>
      </c>
      <c r="AG86" s="128" t="str">
        <f>IF([3]Sayfa1!$P83="C(Sisteme etki etmeyen arıza)","Bu Arıza Aracın Servise Verilmesine Engel Değil","Bu Arıza Aracın Servise Verilmesine Engel")</f>
        <v>Bu Arıza Aracın Servise Verilmesine Engel</v>
      </c>
      <c r="AH86" s="140" t="str">
        <f>[3]Sayfa1!$AC83</f>
        <v>41-HBR-23-008</v>
      </c>
      <c r="AI86" s="137"/>
      <c r="AJ86" s="137"/>
      <c r="AK86" s="138">
        <f t="shared" si="18"/>
        <v>0</v>
      </c>
      <c r="AL86" s="136">
        <f t="shared" si="19"/>
        <v>906.36666666716337</v>
      </c>
      <c r="AM86" s="136">
        <f t="shared" si="20"/>
        <v>906.36666666716337</v>
      </c>
      <c r="AN86" s="141" t="str">
        <f t="shared" si="21"/>
        <v>Bozankaya</v>
      </c>
      <c r="AO86" s="141" t="str">
        <f>[3]Sayfa1!$X83</f>
        <v>B170-8001</v>
      </c>
      <c r="AP86" s="141" t="str">
        <f>[3]Sayfa1!$Z83</f>
        <v>A1263A5Q2703511</v>
      </c>
      <c r="AQ86" s="122" t="str">
        <f>[3]Sayfa1!$W83</f>
        <v>Deray sensörü</v>
      </c>
      <c r="AR86" s="142">
        <f>[3]Sayfa1!$Y83</f>
        <v>1</v>
      </c>
      <c r="AS86" s="143">
        <f>[3]Sayfa1!$AD83</f>
        <v>0</v>
      </c>
      <c r="AT86" s="137" t="str">
        <f>[3]Sayfa1!$AE83</f>
        <v/>
      </c>
      <c r="AU86" s="137">
        <f>[3]Sayfa1!$AH83</f>
        <v>45316</v>
      </c>
      <c r="AV86" s="144">
        <v>82</v>
      </c>
      <c r="AW86" s="145" t="e">
        <f>U86*AB86*#REF!</f>
        <v>#REF!</v>
      </c>
    </row>
    <row r="87" spans="1:49" ht="101.25" customHeight="1">
      <c r="A87" s="119" t="s">
        <v>57</v>
      </c>
      <c r="B87" s="120" t="str">
        <f>[3]Sayfa1!$G84</f>
        <v>TS#4</v>
      </c>
      <c r="C87" s="121" t="str">
        <f>[3]Sayfa1!$H84</f>
        <v>Mc2</v>
      </c>
      <c r="D87" s="146">
        <f>[3]Sayfa1!$N84</f>
        <v>1</v>
      </c>
      <c r="E87" s="122" t="str">
        <f>[3]Sayfa1!$B84</f>
        <v>FRACAS-GDM-083</v>
      </c>
      <c r="F87" s="123">
        <f>[3]Sayfa1!$E84</f>
        <v>45316</v>
      </c>
      <c r="G87" s="124">
        <f>[3]Sayfa1!$F84</f>
        <v>45316.354166666664</v>
      </c>
      <c r="H87" s="119" t="str">
        <f>[3]Sayfa1!$I84</f>
        <v>Depo/Depot</v>
      </c>
      <c r="I87" s="125" t="str">
        <f>IF([3]Sayfa1!$K84="SSH","Notified by Bozankaya","Notified by Customer")</f>
        <v>Notified by Customer</v>
      </c>
      <c r="J87" s="119" t="e">
        <f>VLOOKUP([3]Sayfa1!$AU84,#REF!,2,FALSE)</f>
        <v>#REF!</v>
      </c>
      <c r="K87" s="119" t="str">
        <f>[3]Sayfa1!$V84</f>
        <v>Bozankaya</v>
      </c>
      <c r="L87" s="126" t="str">
        <f t="shared" si="11"/>
        <v>GDM7X4-FRACAS-GDM-083</v>
      </c>
      <c r="M87" s="127" t="str">
        <f>[3]Sayfa1!$L84</f>
        <v>Graffiti</v>
      </c>
      <c r="N87" s="128" t="str">
        <f>[3]Sayfa1!$J84</f>
        <v>C-Uyarı, sürüş devamlılığı</v>
      </c>
      <c r="O87" s="128" t="str">
        <f>[3]Sayfa1!$P84</f>
        <v>C(Sisteme etki etmeyen arıza)</v>
      </c>
      <c r="P87" s="128" t="str">
        <f>[3]Sayfa1!$Q84</f>
        <v>N.A(Yaralanma yok)</v>
      </c>
      <c r="Q87" s="129" t="str" cm="1">
        <f t="array" ref="Q87">_xlfn.IFS([3]Sayfa1!$R84="Bozankaya","Bozankaya",[3]Sayfa1!$R84="İşletme","Customer",[3]Sayfa1!$R84="Tedarikçi","Equipment Supplier")</f>
        <v>Bozankaya</v>
      </c>
      <c r="R87" s="130" t="str">
        <f>[3]Sayfa1!$M84</f>
        <v>30. Kapı ile 32. Kapı boyunca graffiti yapılmış.</v>
      </c>
      <c r="S87" s="147">
        <f>[3]Sayfa1!$AB84</f>
        <v>0</v>
      </c>
      <c r="T87" s="147">
        <f>[3]Sayfa1!$AA84</f>
        <v>0</v>
      </c>
      <c r="U87" s="131">
        <f>[3]Sayfa1!$AN84</f>
        <v>1</v>
      </c>
      <c r="V87" s="132">
        <f>[3]Sayfa1!$T84</f>
        <v>45316</v>
      </c>
      <c r="W87" s="133">
        <f>[3]Sayfa1!$U84</f>
        <v>45316.364583333336</v>
      </c>
      <c r="X87" s="134">
        <f t="shared" si="12"/>
        <v>45316.364583333336</v>
      </c>
      <c r="Y87" s="123">
        <f>[3]Sayfa1!$AQ84</f>
        <v>45355</v>
      </c>
      <c r="Z87" s="135">
        <f>[3]Sayfa1!$AR84</f>
        <v>45355.723171296297</v>
      </c>
      <c r="AA87" s="134">
        <f t="shared" si="13"/>
        <v>45355.723171296297</v>
      </c>
      <c r="AB87" s="136">
        <f t="shared" si="14"/>
        <v>944.60611111106118</v>
      </c>
      <c r="AC87" s="137">
        <f t="shared" si="15"/>
        <v>45355</v>
      </c>
      <c r="AD87" s="135">
        <f t="shared" si="16"/>
        <v>45355.723171296297</v>
      </c>
      <c r="AE87" s="138">
        <f t="shared" si="17"/>
        <v>45355.723171296297</v>
      </c>
      <c r="AF87" s="139" t="str">
        <f>[3]Sayfa1!$AP84</f>
        <v>(II) Birden fazla karşılaşılan arıza</v>
      </c>
      <c r="AG87" s="128" t="str">
        <f>IF([3]Sayfa1!$P84="C(Sisteme etki etmeyen arıza)","Bu Arıza Aracın Servise Verilmesine Engel Değil","Bu Arıza Aracın Servise Verilmesine Engel")</f>
        <v>Bu Arıza Aracın Servise Verilmesine Engel Değil</v>
      </c>
      <c r="AH87" s="140" t="str">
        <f>[3]Sayfa1!$AC84</f>
        <v>41-HBR-23-031</v>
      </c>
      <c r="AI87" s="137"/>
      <c r="AJ87" s="137"/>
      <c r="AK87" s="138">
        <f t="shared" si="18"/>
        <v>0</v>
      </c>
      <c r="AL87" s="136">
        <f t="shared" si="19"/>
        <v>56676.366666663671</v>
      </c>
      <c r="AM87" s="136">
        <f t="shared" si="20"/>
        <v>0</v>
      </c>
      <c r="AN87" s="141" t="str">
        <f t="shared" si="21"/>
        <v>Bozankaya</v>
      </c>
      <c r="AO87" s="141">
        <f>[3]Sayfa1!$X84</f>
        <v>0</v>
      </c>
      <c r="AP87" s="141">
        <f>[3]Sayfa1!$Z84</f>
        <v>0</v>
      </c>
      <c r="AQ87" s="122">
        <f>[3]Sayfa1!$W84</f>
        <v>0</v>
      </c>
      <c r="AR87" s="142">
        <f>[3]Sayfa1!$Y84</f>
        <v>1</v>
      </c>
      <c r="AS87" s="143">
        <f>[3]Sayfa1!$AD84</f>
        <v>0</v>
      </c>
      <c r="AT87" s="137" t="str">
        <f>[3]Sayfa1!$AE84</f>
        <v/>
      </c>
      <c r="AU87" s="137" t="str">
        <f>[3]Sayfa1!$AH84</f>
        <v/>
      </c>
      <c r="AV87" s="144">
        <v>83</v>
      </c>
      <c r="AW87" s="145" t="e">
        <f>U87*AB87*#REF!</f>
        <v>#REF!</v>
      </c>
    </row>
    <row r="88" spans="1:49" ht="101.25" customHeight="1">
      <c r="A88" s="119" t="s">
        <v>57</v>
      </c>
      <c r="B88" s="120" t="str">
        <f>[3]Sayfa1!$G85</f>
        <v>TS#4</v>
      </c>
      <c r="C88" s="121" t="str">
        <f>[3]Sayfa1!$H85</f>
        <v>Mc2</v>
      </c>
      <c r="D88" s="146">
        <f>[3]Sayfa1!$N85</f>
        <v>1</v>
      </c>
      <c r="E88" s="122" t="str">
        <f>[3]Sayfa1!$B85</f>
        <v>FRACAS-GDM-084</v>
      </c>
      <c r="F88" s="123">
        <f>[3]Sayfa1!$E85</f>
        <v>45316</v>
      </c>
      <c r="G88" s="124">
        <f>[3]Sayfa1!$F85</f>
        <v>45316.354166666664</v>
      </c>
      <c r="H88" s="119" t="str">
        <f>[3]Sayfa1!$I85</f>
        <v>Depo/Depot</v>
      </c>
      <c r="I88" s="125" t="str">
        <f>IF([3]Sayfa1!$K85="SSH","Notified by Bozankaya","Notified by Customer")</f>
        <v>Notified by Customer</v>
      </c>
      <c r="J88" s="119" t="e">
        <f>VLOOKUP([3]Sayfa1!$AU85,#REF!,2,FALSE)</f>
        <v>#REF!</v>
      </c>
      <c r="K88" s="119" t="str">
        <f>[3]Sayfa1!$V85</f>
        <v>Bozankaya</v>
      </c>
      <c r="L88" s="126" t="str">
        <f t="shared" si="11"/>
        <v>GDM7X4-FRACAS-GDM-084</v>
      </c>
      <c r="M88" s="127" t="str">
        <f>[3]Sayfa1!$L85</f>
        <v>Graffiti</v>
      </c>
      <c r="N88" s="128" t="str">
        <f>[3]Sayfa1!$J85</f>
        <v>C-Uyarı, sürüş devamlılığı</v>
      </c>
      <c r="O88" s="128" t="str">
        <f>[3]Sayfa1!$P85</f>
        <v>C(Sisteme etki etmeyen arıza)</v>
      </c>
      <c r="P88" s="128" t="str">
        <f>[3]Sayfa1!$Q85</f>
        <v>N.A(Yaralanma yok)</v>
      </c>
      <c r="Q88" s="129" t="str" cm="1">
        <f t="array" ref="Q88">_xlfn.IFS([3]Sayfa1!$R85="Bozankaya","Bozankaya",[3]Sayfa1!$R85="İşletme","Customer",[3]Sayfa1!$R85="Tedarikçi","Equipment Supplier")</f>
        <v>Bozankaya</v>
      </c>
      <c r="R88" s="130" t="str">
        <f>[3]Sayfa1!$M85</f>
        <v>26. Kapı ile 28. Kapı boyunca Graffiti yapılmıştır.</v>
      </c>
      <c r="S88" s="147">
        <f>[3]Sayfa1!$AB85</f>
        <v>0</v>
      </c>
      <c r="T88" s="147">
        <f>[3]Sayfa1!$AA85</f>
        <v>0</v>
      </c>
      <c r="U88" s="131">
        <f>[3]Sayfa1!$AN85</f>
        <v>1</v>
      </c>
      <c r="V88" s="132">
        <f>[3]Sayfa1!$T85</f>
        <v>45316</v>
      </c>
      <c r="W88" s="133">
        <f>[3]Sayfa1!$U85</f>
        <v>45316.364583333336</v>
      </c>
      <c r="X88" s="134">
        <f t="shared" si="12"/>
        <v>45316.364583333336</v>
      </c>
      <c r="Y88" s="123">
        <f>[3]Sayfa1!$AQ85</f>
        <v>45355</v>
      </c>
      <c r="Z88" s="135">
        <f>[3]Sayfa1!$AR85</f>
        <v>45355.595520833333</v>
      </c>
      <c r="AA88" s="134">
        <f t="shared" si="13"/>
        <v>45355.595520833333</v>
      </c>
      <c r="AB88" s="136">
        <f t="shared" si="14"/>
        <v>941.54249999992317</v>
      </c>
      <c r="AC88" s="137">
        <f t="shared" si="15"/>
        <v>45355</v>
      </c>
      <c r="AD88" s="135">
        <f t="shared" si="16"/>
        <v>45355.595520833333</v>
      </c>
      <c r="AE88" s="138">
        <f t="shared" si="17"/>
        <v>45355.595520833333</v>
      </c>
      <c r="AF88" s="139" t="str">
        <f>[3]Sayfa1!$AP85</f>
        <v>(II) Birden fazla karşılaşılan arıza</v>
      </c>
      <c r="AG88" s="128" t="str">
        <f>IF([3]Sayfa1!$P85="C(Sisteme etki etmeyen arıza)","Bu Arıza Aracın Servise Verilmesine Engel Değil","Bu Arıza Aracın Servise Verilmesine Engel")</f>
        <v>Bu Arıza Aracın Servise Verilmesine Engel Değil</v>
      </c>
      <c r="AH88" s="140" t="str">
        <f>[3]Sayfa1!$AC85</f>
        <v>41-HBR-23-031</v>
      </c>
      <c r="AI88" s="137"/>
      <c r="AJ88" s="137"/>
      <c r="AK88" s="138">
        <f t="shared" si="18"/>
        <v>0</v>
      </c>
      <c r="AL88" s="136">
        <f t="shared" si="19"/>
        <v>56492.54999999539</v>
      </c>
      <c r="AM88" s="136">
        <f t="shared" si="20"/>
        <v>0</v>
      </c>
      <c r="AN88" s="141" t="str">
        <f t="shared" si="21"/>
        <v>Bozankaya</v>
      </c>
      <c r="AO88" s="141">
        <f>[3]Sayfa1!$X85</f>
        <v>0</v>
      </c>
      <c r="AP88" s="141">
        <f>[3]Sayfa1!$Z85</f>
        <v>0</v>
      </c>
      <c r="AQ88" s="122">
        <f>[3]Sayfa1!$W85</f>
        <v>0</v>
      </c>
      <c r="AR88" s="142">
        <f>[3]Sayfa1!$Y85</f>
        <v>1</v>
      </c>
      <c r="AS88" s="143">
        <f>[3]Sayfa1!$AD85</f>
        <v>0</v>
      </c>
      <c r="AT88" s="137" t="str">
        <f>[3]Sayfa1!$AE85</f>
        <v/>
      </c>
      <c r="AU88" s="137" t="str">
        <f>[3]Sayfa1!$AH85</f>
        <v/>
      </c>
      <c r="AV88" s="144">
        <v>84</v>
      </c>
      <c r="AW88" s="145" t="e">
        <f>U88*AB88*#REF!</f>
        <v>#REF!</v>
      </c>
    </row>
    <row r="89" spans="1:49" ht="101.25" customHeight="1">
      <c r="A89" s="119" t="s">
        <v>57</v>
      </c>
      <c r="B89" s="120" t="str">
        <f>[3]Sayfa1!$G86</f>
        <v>TS#2</v>
      </c>
      <c r="C89" s="121" t="str">
        <f>[3]Sayfa1!$H86</f>
        <v>Mc2</v>
      </c>
      <c r="D89" s="146">
        <f>[3]Sayfa1!$N86</f>
        <v>310</v>
      </c>
      <c r="E89" s="122" t="str">
        <f>[3]Sayfa1!$B86</f>
        <v>FRACAS-GDM-085</v>
      </c>
      <c r="F89" s="123">
        <f>[3]Sayfa1!$E86</f>
        <v>45316</v>
      </c>
      <c r="G89" s="124">
        <f>[3]Sayfa1!$F86</f>
        <v>45316.5625</v>
      </c>
      <c r="H89" s="119" t="str">
        <f>[3]Sayfa1!$I86</f>
        <v>Depo/Depot</v>
      </c>
      <c r="I89" s="125" t="str">
        <f>IF([3]Sayfa1!$K86="SSH","Notified by Bozankaya","Notified by Customer")</f>
        <v>Notified by Customer</v>
      </c>
      <c r="J89" s="119" t="e">
        <f>VLOOKUP([3]Sayfa1!$AU86,#REF!,2,FALSE)</f>
        <v>#REF!</v>
      </c>
      <c r="K89" s="119" t="str">
        <f>[3]Sayfa1!$V86</f>
        <v>IFE</v>
      </c>
      <c r="L89" s="126" t="str">
        <f t="shared" si="11"/>
        <v>GDM7X4-FRACAS-GDM-085</v>
      </c>
      <c r="M89" s="127" t="str">
        <f>[3]Sayfa1!$L86</f>
        <v>29. Kapının DCU güç bağlantısı yapılmasına rağmen ışıkları yanmıyor. Yazılım atılmaya çalışıldığında bağlanılamıyor.</v>
      </c>
      <c r="N89" s="128" t="str">
        <f>[3]Sayfa1!$J86</f>
        <v>C-Uyarı, sürüş devamlılığı</v>
      </c>
      <c r="O89" s="128" t="str">
        <f>[3]Sayfa1!$P86</f>
        <v>C(Sisteme etki etmeyen arıza)</v>
      </c>
      <c r="P89" s="128" t="str">
        <f>[3]Sayfa1!$Q86</f>
        <v>N.A(Yaralanma yok)</v>
      </c>
      <c r="Q89" s="129" t="str" cm="1">
        <f t="array" ref="Q89">_xlfn.IFS([3]Sayfa1!$R86="Bozankaya","Bozankaya",[3]Sayfa1!$R86="İşletme","Customer",[3]Sayfa1!$R86="Tedarikçi","Equipment Supplier")</f>
        <v>Bozankaya</v>
      </c>
      <c r="R89" s="130">
        <f>[3]Sayfa1!$M86</f>
        <v>0</v>
      </c>
      <c r="S89" s="147">
        <f>[3]Sayfa1!$AB86</f>
        <v>0</v>
      </c>
      <c r="T89" s="147">
        <f>[3]Sayfa1!$AA86</f>
        <v>0</v>
      </c>
      <c r="U89" s="131">
        <f>[3]Sayfa1!$AN86</f>
        <v>2</v>
      </c>
      <c r="V89" s="132">
        <f>[3]Sayfa1!$T86</f>
        <v>45316</v>
      </c>
      <c r="W89" s="133">
        <f>[3]Sayfa1!$U86</f>
        <v>45316.729166666664</v>
      </c>
      <c r="X89" s="134">
        <f t="shared" si="12"/>
        <v>45316.729166666664</v>
      </c>
      <c r="Y89" s="123">
        <f>[3]Sayfa1!$AQ86</f>
        <v>45317</v>
      </c>
      <c r="Z89" s="135">
        <f>[3]Sayfa1!$AR86</f>
        <v>45317.509236111109</v>
      </c>
      <c r="AA89" s="134">
        <f t="shared" si="13"/>
        <v>45317.509236111109</v>
      </c>
      <c r="AB89" s="136">
        <f t="shared" si="14"/>
        <v>18.721666666679084</v>
      </c>
      <c r="AC89" s="137">
        <f t="shared" si="15"/>
        <v>45317</v>
      </c>
      <c r="AD89" s="135">
        <f t="shared" si="16"/>
        <v>45317.509236111109</v>
      </c>
      <c r="AE89" s="138">
        <f t="shared" si="17"/>
        <v>45317.509236111109</v>
      </c>
      <c r="AF89" s="139" t="str">
        <f>[3]Sayfa1!$AP86</f>
        <v>(I) İlk defa karşılaşılan arıza</v>
      </c>
      <c r="AG89" s="128" t="str">
        <f>IF([3]Sayfa1!$P86="C(Sisteme etki etmeyen arıza)","Bu Arıza Aracın Servise Verilmesine Engel Değil","Bu Arıza Aracın Servise Verilmesine Engel")</f>
        <v>Bu Arıza Aracın Servise Verilmesine Engel Değil</v>
      </c>
      <c r="AH89" s="140" t="str">
        <f>[3]Sayfa1!$AC86</f>
        <v>41-HBR-23-009</v>
      </c>
      <c r="AI89" s="137"/>
      <c r="AJ89" s="137"/>
      <c r="AK89" s="138">
        <f t="shared" si="18"/>
        <v>0</v>
      </c>
      <c r="AL89" s="136">
        <f t="shared" si="19"/>
        <v>1123.3000000007451</v>
      </c>
      <c r="AM89" s="136">
        <f t="shared" si="20"/>
        <v>0</v>
      </c>
      <c r="AN89" s="141" t="str">
        <f t="shared" si="21"/>
        <v>IFE</v>
      </c>
      <c r="AO89" s="141" t="str">
        <f>[3]Sayfa1!$X86</f>
        <v>B170-8001</v>
      </c>
      <c r="AP89" s="141" t="str">
        <f>[3]Sayfa1!$Z86</f>
        <v>4637 1475 0002</v>
      </c>
      <c r="AQ89" s="122" t="str">
        <f>[3]Sayfa1!$W86</f>
        <v>DCU</v>
      </c>
      <c r="AR89" s="142">
        <f>[3]Sayfa1!$Y86</f>
        <v>1</v>
      </c>
      <c r="AS89" s="143">
        <f>[3]Sayfa1!$AD86</f>
        <v>0</v>
      </c>
      <c r="AT89" s="137" t="str">
        <f>[3]Sayfa1!$AE86</f>
        <v/>
      </c>
      <c r="AU89" s="137" t="str">
        <f>[3]Sayfa1!$AH86</f>
        <v/>
      </c>
      <c r="AV89" s="144">
        <v>85</v>
      </c>
      <c r="AW89" s="145" t="e">
        <f>U89*AB89*#REF!</f>
        <v>#REF!</v>
      </c>
    </row>
    <row r="90" spans="1:49" ht="101.25" customHeight="1">
      <c r="A90" s="119" t="s">
        <v>57</v>
      </c>
      <c r="B90" s="120" t="str">
        <f>[3]Sayfa1!$G87</f>
        <v>TS#2</v>
      </c>
      <c r="C90" s="121" t="str">
        <f>[3]Sayfa1!$H87</f>
        <v>Mc2</v>
      </c>
      <c r="D90" s="146">
        <f>[3]Sayfa1!$N87</f>
        <v>313</v>
      </c>
      <c r="E90" s="122" t="str">
        <f>[3]Sayfa1!$B87</f>
        <v>FRACAS-GDM-086</v>
      </c>
      <c r="F90" s="123">
        <f>[3]Sayfa1!$E87</f>
        <v>45316</v>
      </c>
      <c r="G90" s="124">
        <f>[3]Sayfa1!$F87</f>
        <v>45316.666666666664</v>
      </c>
      <c r="H90" s="119" t="str">
        <f>[3]Sayfa1!$I87</f>
        <v>Depo/Depot</v>
      </c>
      <c r="I90" s="125" t="str">
        <f>IF([3]Sayfa1!$K87="SSH","Notified by Bozankaya","Notified by Customer")</f>
        <v>Notified by Customer</v>
      </c>
      <c r="J90" s="119" t="e">
        <f>VLOOKUP([3]Sayfa1!$AU87,#REF!,2,FALSE)</f>
        <v>#REF!</v>
      </c>
      <c r="K90" s="119" t="str">
        <f>[3]Sayfa1!$V87</f>
        <v>Bozankaya</v>
      </c>
      <c r="L90" s="126" t="str">
        <f t="shared" si="11"/>
        <v>GDM7X4-FRACAS-GDM-086</v>
      </c>
      <c r="M90" s="127" t="str">
        <f>[3]Sayfa1!$L87</f>
        <v xml:space="preserve">  + 59 pano MC2 kapak vidaları yüksek tork uygulandığı için sıyırmış olduğu tespit edildi.</v>
      </c>
      <c r="N90" s="128" t="str">
        <f>[3]Sayfa1!$J87</f>
        <v>C-Uyarı, sürüş devamlılığı</v>
      </c>
      <c r="O90" s="128" t="str">
        <f>[3]Sayfa1!$P87</f>
        <v>C(Sisteme etki etmeyen arıza)</v>
      </c>
      <c r="P90" s="128" t="str">
        <f>[3]Sayfa1!$Q87</f>
        <v>N.A(Yaralanma yok)</v>
      </c>
      <c r="Q90" s="129" t="str" cm="1">
        <f t="array" ref="Q90">_xlfn.IFS([3]Sayfa1!$R87="Bozankaya","Bozankaya",[3]Sayfa1!$R87="İşletme","Customer",[3]Sayfa1!$R87="Tedarikçi","Equipment Supplier")</f>
        <v>Bozankaya</v>
      </c>
      <c r="R90" s="130">
        <f>[3]Sayfa1!$M87</f>
        <v>0</v>
      </c>
      <c r="S90" s="147">
        <f>[3]Sayfa1!$AB87</f>
        <v>0</v>
      </c>
      <c r="T90" s="147">
        <f>[3]Sayfa1!$AA87</f>
        <v>0</v>
      </c>
      <c r="U90" s="131">
        <f>[3]Sayfa1!$AN87</f>
        <v>2</v>
      </c>
      <c r="V90" s="132">
        <f>[3]Sayfa1!$T87</f>
        <v>45318</v>
      </c>
      <c r="W90" s="133">
        <f>[3]Sayfa1!$U87</f>
        <v>45318.708333333336</v>
      </c>
      <c r="X90" s="134">
        <f t="shared" si="12"/>
        <v>45318.708333333336</v>
      </c>
      <c r="Y90" s="123">
        <f>[3]Sayfa1!$AQ87</f>
        <v>45318</v>
      </c>
      <c r="Z90" s="135">
        <f>[3]Sayfa1!$AR87</f>
        <v>45318.759421296294</v>
      </c>
      <c r="AA90" s="134">
        <f t="shared" si="13"/>
        <v>45318.759421296294</v>
      </c>
      <c r="AB90" s="136">
        <f t="shared" si="14"/>
        <v>1.2261111109983176</v>
      </c>
      <c r="AC90" s="137">
        <f t="shared" si="15"/>
        <v>45318</v>
      </c>
      <c r="AD90" s="135">
        <f t="shared" si="16"/>
        <v>45318.759421296294</v>
      </c>
      <c r="AE90" s="138">
        <f t="shared" si="17"/>
        <v>45318.759421296294</v>
      </c>
      <c r="AF90" s="139" t="str">
        <f>[3]Sayfa1!$AP87</f>
        <v>(I) İlk defa karşılaşılan arıza</v>
      </c>
      <c r="AG90" s="128" t="str">
        <f>IF([3]Sayfa1!$P87="C(Sisteme etki etmeyen arıza)","Bu Arıza Aracın Servise Verilmesine Engel Değil","Bu Arıza Aracın Servise Verilmesine Engel")</f>
        <v>Bu Arıza Aracın Servise Verilmesine Engel Değil</v>
      </c>
      <c r="AH90" s="140" t="str">
        <f>[3]Sayfa1!$AC87</f>
        <v>41-HBR-23-010</v>
      </c>
      <c r="AI90" s="137"/>
      <c r="AJ90" s="137"/>
      <c r="AK90" s="138">
        <f t="shared" si="18"/>
        <v>0</v>
      </c>
      <c r="AL90" s="136">
        <f t="shared" si="19"/>
        <v>73.566666659899056</v>
      </c>
      <c r="AM90" s="136">
        <f t="shared" si="20"/>
        <v>0</v>
      </c>
      <c r="AN90" s="141" t="str">
        <f t="shared" si="21"/>
        <v>Bozankaya</v>
      </c>
      <c r="AO90" s="141" t="str">
        <f>[3]Sayfa1!$X87</f>
        <v>E955-8010</v>
      </c>
      <c r="AP90" s="141" t="str">
        <f>[3]Sayfa1!$Z87</f>
        <v>0001379</v>
      </c>
      <c r="AQ90" s="122" t="str">
        <f>[3]Sayfa1!$W87</f>
        <v>LHD kablo bağlantı ünitesi SIL2</v>
      </c>
      <c r="AR90" s="142">
        <f>[3]Sayfa1!$Y87</f>
        <v>1</v>
      </c>
      <c r="AS90" s="143">
        <f>[3]Sayfa1!$AD87</f>
        <v>0</v>
      </c>
      <c r="AT90" s="137" t="str">
        <f>[3]Sayfa1!$AE87</f>
        <v/>
      </c>
      <c r="AU90" s="137" t="str">
        <f>[3]Sayfa1!$AH87</f>
        <v/>
      </c>
      <c r="AV90" s="144">
        <v>86</v>
      </c>
      <c r="AW90" s="145" t="e">
        <f>U90*AB90*#REF!</f>
        <v>#REF!</v>
      </c>
    </row>
    <row r="91" spans="1:49" ht="101.25" customHeight="1">
      <c r="A91" s="119" t="s">
        <v>57</v>
      </c>
      <c r="B91" s="120" t="str">
        <f>[3]Sayfa1!$G88</f>
        <v>TS#3</v>
      </c>
      <c r="C91" s="121" t="str">
        <f>[3]Sayfa1!$H88</f>
        <v>Mc2</v>
      </c>
      <c r="D91" s="146">
        <f>[3]Sayfa1!$N88</f>
        <v>1</v>
      </c>
      <c r="E91" s="122" t="str">
        <f>[3]Sayfa1!$B88</f>
        <v>FRACAS-GDM-087</v>
      </c>
      <c r="F91" s="123">
        <f>[3]Sayfa1!$E88</f>
        <v>45324</v>
      </c>
      <c r="G91" s="124">
        <f>[3]Sayfa1!$F88</f>
        <v>45324.364583333336</v>
      </c>
      <c r="H91" s="119" t="str">
        <f>[3]Sayfa1!$I88</f>
        <v>Depo/Depot</v>
      </c>
      <c r="I91" s="125" t="str">
        <f>IF([3]Sayfa1!$K88="SSH","Notified by Bozankaya","Notified by Customer")</f>
        <v>Notified by Customer</v>
      </c>
      <c r="J91" s="119" t="e">
        <f>VLOOKUP([3]Sayfa1!$AU88,#REF!,2,FALSE)</f>
        <v>#REF!</v>
      </c>
      <c r="K91" s="119" t="str">
        <f>[3]Sayfa1!$V88</f>
        <v>Bozankaya</v>
      </c>
      <c r="L91" s="126" t="str">
        <f t="shared" si="11"/>
        <v>GDM7X4-FRACAS-GDM-087</v>
      </c>
      <c r="M91" s="127" t="str">
        <f>[3]Sayfa1!$L88</f>
        <v>Diyotlu Klamens Yanması</v>
      </c>
      <c r="N91" s="128" t="str">
        <f>[3]Sayfa1!$J88</f>
        <v>C-Uyarı, sürüş devamlılığı</v>
      </c>
      <c r="O91" s="128" t="str">
        <f>[3]Sayfa1!$P88</f>
        <v>C(Sisteme etki etmeyen arıza)</v>
      </c>
      <c r="P91" s="128" t="str">
        <f>[3]Sayfa1!$Q88</f>
        <v>N.A(Yaralanma yok)</v>
      </c>
      <c r="Q91" s="129" t="str" cm="1">
        <f t="array" ref="Q91">_xlfn.IFS([3]Sayfa1!$R88="Bozankaya","Bozankaya",[3]Sayfa1!$R88="İşletme","Customer",[3]Sayfa1!$R88="Tedarikçi","Equipment Supplier")</f>
        <v>Bozankaya</v>
      </c>
      <c r="R91" s="130" t="str">
        <f>[3]Sayfa1!$M88</f>
        <v>İvme kolunun fren konumundaki switch yanmasına sebep olan pano içerisindeki diyotlara ters gerilim gelmesi sonucu diyotları yakmış olduğu tespit edildi.</v>
      </c>
      <c r="S91" s="147">
        <f>[3]Sayfa1!$AB88</f>
        <v>0</v>
      </c>
      <c r="T91" s="147">
        <f>[3]Sayfa1!$AA88</f>
        <v>0</v>
      </c>
      <c r="U91" s="131">
        <f>[3]Sayfa1!$AN88</f>
        <v>1</v>
      </c>
      <c r="V91" s="132">
        <f>[3]Sayfa1!$T88</f>
        <v>45324</v>
      </c>
      <c r="W91" s="133">
        <f>[3]Sayfa1!$U88</f>
        <v>45324.4375</v>
      </c>
      <c r="X91" s="134">
        <f t="shared" si="12"/>
        <v>45324.4375</v>
      </c>
      <c r="Y91" s="123">
        <f>[3]Sayfa1!$AQ88</f>
        <v>45324</v>
      </c>
      <c r="Z91" s="135">
        <f>[3]Sayfa1!$AR88</f>
        <v>45324.645833333336</v>
      </c>
      <c r="AA91" s="134">
        <f t="shared" si="13"/>
        <v>45324.645833333336</v>
      </c>
      <c r="AB91" s="136">
        <f t="shared" si="14"/>
        <v>0</v>
      </c>
      <c r="AC91" s="137">
        <f t="shared" si="15"/>
        <v>45324</v>
      </c>
      <c r="AD91" s="135">
        <f t="shared" si="16"/>
        <v>45324.645833333336</v>
      </c>
      <c r="AE91" s="138">
        <f t="shared" si="17"/>
        <v>45324.645833333336</v>
      </c>
      <c r="AF91" s="139" t="str">
        <f>[3]Sayfa1!$AP88</f>
        <v>(I) İlk defa karşılaşılan arıza</v>
      </c>
      <c r="AG91" s="128" t="str">
        <f>IF([3]Sayfa1!$P88="C(Sisteme etki etmeyen arıza)","Bu Arıza Aracın Servise Verilmesine Engel Değil","Bu Arıza Aracın Servise Verilmesine Engel")</f>
        <v>Bu Arıza Aracın Servise Verilmesine Engel Değil</v>
      </c>
      <c r="AH91" s="140">
        <f>[3]Sayfa1!$AC88</f>
        <v>0</v>
      </c>
      <c r="AI91" s="137"/>
      <c r="AJ91" s="137"/>
      <c r="AK91" s="138">
        <f t="shared" si="18"/>
        <v>0</v>
      </c>
      <c r="AL91" s="136">
        <f t="shared" si="19"/>
        <v>0</v>
      </c>
      <c r="AM91" s="136">
        <f t="shared" si="20"/>
        <v>0</v>
      </c>
      <c r="AN91" s="141" t="str">
        <f t="shared" si="21"/>
        <v>Bozankaya</v>
      </c>
      <c r="AO91" s="141" t="str">
        <f>[3]Sayfa1!$X88</f>
        <v>E110-7298</v>
      </c>
      <c r="AP91" s="141">
        <f>[3]Sayfa1!$Z88</f>
        <v>0</v>
      </c>
      <c r="AQ91" s="122" t="str">
        <f>[3]Sayfa1!$W88</f>
        <v>4mm2 dörtlü (diyotlu)</v>
      </c>
      <c r="AR91" s="142">
        <f>[3]Sayfa1!$Y88</f>
        <v>3</v>
      </c>
      <c r="AS91" s="143">
        <f>[3]Sayfa1!$AD88</f>
        <v>0</v>
      </c>
      <c r="AT91" s="137" t="str">
        <f>[3]Sayfa1!$AE88</f>
        <v/>
      </c>
      <c r="AU91" s="137">
        <f>[3]Sayfa1!$AH88</f>
        <v>45324</v>
      </c>
      <c r="AV91" s="144">
        <v>87</v>
      </c>
      <c r="AW91" s="145" t="e">
        <f>U91*AB91*#REF!</f>
        <v>#REF!</v>
      </c>
    </row>
    <row r="92" spans="1:49" ht="101.25" customHeight="1">
      <c r="A92" s="119" t="s">
        <v>57</v>
      </c>
      <c r="B92" s="120" t="str">
        <f>[3]Sayfa1!$G89</f>
        <v>TS#3</v>
      </c>
      <c r="C92" s="121" t="str">
        <f>[3]Sayfa1!$H89</f>
        <v>M , T</v>
      </c>
      <c r="D92" s="146">
        <f>[3]Sayfa1!$N89</f>
        <v>1</v>
      </c>
      <c r="E92" s="122" t="str">
        <f>[3]Sayfa1!$B89</f>
        <v>FRACAS-GDM-088</v>
      </c>
      <c r="F92" s="123">
        <f>[3]Sayfa1!$E89</f>
        <v>45324</v>
      </c>
      <c r="G92" s="124">
        <f>[3]Sayfa1!$F89</f>
        <v>45324.4375</v>
      </c>
      <c r="H92" s="119" t="str">
        <f>[3]Sayfa1!$I89</f>
        <v>Depo/Depot</v>
      </c>
      <c r="I92" s="125" t="str">
        <f>IF([3]Sayfa1!$K89="SSH","Notified by Bozankaya","Notified by Customer")</f>
        <v>Notified by Customer</v>
      </c>
      <c r="J92" s="119" t="e">
        <f>VLOOKUP([3]Sayfa1!$AU89,#REF!,2,FALSE)</f>
        <v>#REF!</v>
      </c>
      <c r="K92" s="119" t="str">
        <f>[3]Sayfa1!$V89</f>
        <v>Bozankaya</v>
      </c>
      <c r="L92" s="126" t="str">
        <f t="shared" si="11"/>
        <v>GDM7X4-FRACAS-GDM-088</v>
      </c>
      <c r="M92" s="127" t="str">
        <f>[3]Sayfa1!$L89</f>
        <v>Jumper Sabitleme Çerçevesi</v>
      </c>
      <c r="N92" s="128" t="str">
        <f>[3]Sayfa1!$J89</f>
        <v>C-Uyarı, sürüş devamlılığı</v>
      </c>
      <c r="O92" s="128" t="str">
        <f>[3]Sayfa1!$P89</f>
        <v>C(Sisteme etki etmeyen arıza)</v>
      </c>
      <c r="P92" s="128" t="str">
        <f>[3]Sayfa1!$Q89</f>
        <v>N.A(Yaralanma yok)</v>
      </c>
      <c r="Q92" s="129" t="str" cm="1">
        <f t="array" ref="Q92">_xlfn.IFS([3]Sayfa1!$R89="Bozankaya","Bozankaya",[3]Sayfa1!$R89="İşletme","Customer",[3]Sayfa1!$R89="Tedarikçi","Equipment Supplier")</f>
        <v>Bozankaya</v>
      </c>
      <c r="R92" s="130" t="str">
        <f>[3]Sayfa1!$M89</f>
        <v>RTC-M vagonuna ait UD-X831 ve RTD-T vagonuna ait UD-X806 jumper bağlantısının yapıldığı, jumper çerçevesinin vidaları dişleri sıyırarak kitlenmiştir.</v>
      </c>
      <c r="S92" s="147" t="str">
        <f>[3]Sayfa1!$AB89</f>
        <v>Ekipman değiştirilecek</v>
      </c>
      <c r="T92" s="147">
        <f>[3]Sayfa1!$AA89</f>
        <v>0</v>
      </c>
      <c r="U92" s="131">
        <f>[3]Sayfa1!$AN89</f>
        <v>2</v>
      </c>
      <c r="V92" s="132">
        <f>[3]Sayfa1!$T89</f>
        <v>45324</v>
      </c>
      <c r="W92" s="133">
        <f>[3]Sayfa1!$U89</f>
        <v>45324.458333333336</v>
      </c>
      <c r="X92" s="134">
        <f t="shared" si="12"/>
        <v>45324.458333333336</v>
      </c>
      <c r="Y92" s="123">
        <f>[3]Sayfa1!$AQ89</f>
        <v>45324</v>
      </c>
      <c r="Z92" s="135">
        <f>[3]Sayfa1!$AR89</f>
        <v>45324.5</v>
      </c>
      <c r="AA92" s="134">
        <f t="shared" si="13"/>
        <v>45324.5</v>
      </c>
      <c r="AB92" s="136">
        <f t="shared" si="14"/>
        <v>0</v>
      </c>
      <c r="AC92" s="137">
        <f t="shared" si="15"/>
        <v>45324</v>
      </c>
      <c r="AD92" s="135">
        <f t="shared" si="16"/>
        <v>45324.5</v>
      </c>
      <c r="AE92" s="138">
        <f t="shared" si="17"/>
        <v>45324.5</v>
      </c>
      <c r="AF92" s="139" t="str">
        <f>[3]Sayfa1!$AP89</f>
        <v>(I) İlk defa karşılaşılan arıza</v>
      </c>
      <c r="AG92" s="128" t="str">
        <f>IF([3]Sayfa1!$P89="C(Sisteme etki etmeyen arıza)","Bu Arıza Aracın Servise Verilmesine Engel Değil","Bu Arıza Aracın Servise Verilmesine Engel")</f>
        <v>Bu Arıza Aracın Servise Verilmesine Engel Değil</v>
      </c>
      <c r="AH92" s="140">
        <f>[3]Sayfa1!$AC89</f>
        <v>0</v>
      </c>
      <c r="AI92" s="137"/>
      <c r="AJ92" s="137"/>
      <c r="AK92" s="138">
        <f t="shared" si="18"/>
        <v>0</v>
      </c>
      <c r="AL92" s="136">
        <f t="shared" si="19"/>
        <v>0</v>
      </c>
      <c r="AM92" s="136">
        <f t="shared" si="20"/>
        <v>0</v>
      </c>
      <c r="AN92" s="141" t="str">
        <f t="shared" si="21"/>
        <v>Bozankaya</v>
      </c>
      <c r="AO92" s="141" t="str">
        <f>[3]Sayfa1!$X89</f>
        <v>E110-8074</v>
      </c>
      <c r="AP92" s="141">
        <f>[3]Sayfa1!$Z89</f>
        <v>0</v>
      </c>
      <c r="AQ92" s="122" t="str">
        <f>[3]Sayfa1!$W89</f>
        <v>Han 24HPR-Mounting Frame</v>
      </c>
      <c r="AR92" s="142">
        <f>[3]Sayfa1!$Y89</f>
        <v>2</v>
      </c>
      <c r="AS92" s="143">
        <f>[3]Sayfa1!$AD89</f>
        <v>0</v>
      </c>
      <c r="AT92" s="137" t="str">
        <f>[3]Sayfa1!$AE89</f>
        <v/>
      </c>
      <c r="AU92" s="137" t="str">
        <f>[3]Sayfa1!$AH89</f>
        <v/>
      </c>
      <c r="AV92" s="144">
        <v>88</v>
      </c>
      <c r="AW92" s="145" t="e">
        <f>U92*AB92*#REF!</f>
        <v>#REF!</v>
      </c>
    </row>
    <row r="93" spans="1:49" ht="101.25" customHeight="1">
      <c r="A93" s="119" t="s">
        <v>57</v>
      </c>
      <c r="B93" s="120" t="str">
        <f>[3]Sayfa1!$G90</f>
        <v>TS#2</v>
      </c>
      <c r="C93" s="121" t="str">
        <f>[3]Sayfa1!$H90</f>
        <v>Mc2</v>
      </c>
      <c r="D93" s="146">
        <f>[3]Sayfa1!$N90</f>
        <v>313</v>
      </c>
      <c r="E93" s="122" t="str">
        <f>[3]Sayfa1!$B90</f>
        <v>FRACAS-GDM-089</v>
      </c>
      <c r="F93" s="123">
        <f>[3]Sayfa1!$E90</f>
        <v>45327</v>
      </c>
      <c r="G93" s="124">
        <f>[3]Sayfa1!$F90</f>
        <v>45327.575694444444</v>
      </c>
      <c r="H93" s="119" t="str">
        <f>[3]Sayfa1!$I90</f>
        <v>Depo/Depot</v>
      </c>
      <c r="I93" s="125" t="str">
        <f>IF([3]Sayfa1!$K90="SSH","Notified by Bozankaya","Notified by Customer")</f>
        <v>Notified by Customer</v>
      </c>
      <c r="J93" s="119" t="e">
        <f>VLOOKUP([3]Sayfa1!$AU90,#REF!,2,FALSE)</f>
        <v>#REF!</v>
      </c>
      <c r="K93" s="119" t="str">
        <f>[3]Sayfa1!$V90</f>
        <v>Bozankaya</v>
      </c>
      <c r="L93" s="126" t="str">
        <f t="shared" si="11"/>
        <v>GDM7X4-FRACAS-GDM-089</v>
      </c>
      <c r="M93" s="127" t="str">
        <f>[3]Sayfa1!$L90</f>
        <v>Kapı üstü aydınlatmalar 22V takılması gerekirken 12V takılmış olduğu tespit edildi.</v>
      </c>
      <c r="N93" s="128" t="str">
        <f>[3]Sayfa1!$J90</f>
        <v>C-Uyarı, sürüş devamlılığı</v>
      </c>
      <c r="O93" s="128" t="str">
        <f>[3]Sayfa1!$P90</f>
        <v>C(Sisteme etki etmeyen arıza)</v>
      </c>
      <c r="P93" s="128" t="str">
        <f>[3]Sayfa1!$Q90</f>
        <v>N.A(Yaralanma yok)</v>
      </c>
      <c r="Q93" s="129" t="str" cm="1">
        <f t="array" ref="Q93">_xlfn.IFS([3]Sayfa1!$R90="Bozankaya","Bozankaya",[3]Sayfa1!$R90="İşletme","Customer",[3]Sayfa1!$R90="Tedarikçi","Equipment Supplier")</f>
        <v>Bozankaya</v>
      </c>
      <c r="R93" s="130">
        <f>[3]Sayfa1!$M90</f>
        <v>0</v>
      </c>
      <c r="S93" s="147">
        <f>[3]Sayfa1!$AB90</f>
        <v>0</v>
      </c>
      <c r="T93" s="147">
        <f>[3]Sayfa1!$AA90</f>
        <v>0</v>
      </c>
      <c r="U93" s="131">
        <f>[3]Sayfa1!$AN90</f>
        <v>0</v>
      </c>
      <c r="V93" s="132">
        <f>[3]Sayfa1!$T90</f>
        <v>45327</v>
      </c>
      <c r="W93" s="133">
        <f>[3]Sayfa1!$U90</f>
        <v>45327.576388888891</v>
      </c>
      <c r="X93" s="134">
        <f t="shared" si="12"/>
        <v>45327.576388888891</v>
      </c>
      <c r="Y93" s="123" t="str">
        <f>[3]Sayfa1!$AQ90</f>
        <v/>
      </c>
      <c r="Z93" s="135">
        <f>[3]Sayfa1!$AR90</f>
        <v>0</v>
      </c>
      <c r="AA93" s="134">
        <f t="shared" si="13"/>
        <v>0</v>
      </c>
      <c r="AB93" s="136">
        <f t="shared" si="14"/>
        <v>0</v>
      </c>
      <c r="AC93" s="137" t="str">
        <f t="shared" si="15"/>
        <v/>
      </c>
      <c r="AD93" s="135">
        <f t="shared" si="16"/>
        <v>0</v>
      </c>
      <c r="AE93" s="138">
        <f t="shared" si="17"/>
        <v>0</v>
      </c>
      <c r="AF93" s="139" t="str">
        <f>[3]Sayfa1!$AP90</f>
        <v>(I) İlk defa karşılaşılan arıza</v>
      </c>
      <c r="AG93" s="128" t="str">
        <f>IF([3]Sayfa1!$P90="C(Sisteme etki etmeyen arıza)","Bu Arıza Aracın Servise Verilmesine Engel Değil","Bu Arıza Aracın Servise Verilmesine Engel")</f>
        <v>Bu Arıza Aracın Servise Verilmesine Engel Değil</v>
      </c>
      <c r="AH93" s="140" t="str">
        <f>[3]Sayfa1!$AC90</f>
        <v>41-HBR-23-012</v>
      </c>
      <c r="AI93" s="137"/>
      <c r="AJ93" s="137"/>
      <c r="AK93" s="138">
        <f t="shared" si="18"/>
        <v>0</v>
      </c>
      <c r="AL93" s="136">
        <f t="shared" si="19"/>
        <v>0</v>
      </c>
      <c r="AM93" s="136">
        <f t="shared" si="20"/>
        <v>0</v>
      </c>
      <c r="AN93" s="141" t="str">
        <f t="shared" si="21"/>
        <v>Bozankaya</v>
      </c>
      <c r="AO93" s="141" t="str">
        <f>[3]Sayfa1!$X90</f>
        <v>E455-8005</v>
      </c>
      <c r="AP93" s="141">
        <f>[3]Sayfa1!$Z90</f>
        <v>0</v>
      </c>
      <c r="AQ93" s="122" t="str">
        <f>[3]Sayfa1!$W90</f>
        <v>Kapı üstü aydınlatma</v>
      </c>
      <c r="AR93" s="142">
        <f>[3]Sayfa1!$Y90</f>
        <v>2</v>
      </c>
      <c r="AS93" s="143">
        <f>[3]Sayfa1!$AD90</f>
        <v>0</v>
      </c>
      <c r="AT93" s="137" t="str">
        <f>[3]Sayfa1!$AE90</f>
        <v/>
      </c>
      <c r="AU93" s="137" t="str">
        <f>[3]Sayfa1!$AH90</f>
        <v/>
      </c>
      <c r="AV93" s="144">
        <v>89</v>
      </c>
      <c r="AW93" s="145" t="e">
        <f>U93*AB93*#REF!</f>
        <v>#REF!</v>
      </c>
    </row>
    <row r="94" spans="1:49" ht="101.25" customHeight="1">
      <c r="A94" s="119" t="s">
        <v>57</v>
      </c>
      <c r="B94" s="120" t="str">
        <f>[3]Sayfa1!$G91</f>
        <v>TS#1</v>
      </c>
      <c r="C94" s="121" t="str">
        <f>[3]Sayfa1!$H91</f>
        <v>Mc1</v>
      </c>
      <c r="D94" s="146">
        <f>[3]Sayfa1!$N91</f>
        <v>315</v>
      </c>
      <c r="E94" s="122" t="str">
        <f>[3]Sayfa1!$B91</f>
        <v>FRACAS-GDM-090</v>
      </c>
      <c r="F94" s="123">
        <f>[3]Sayfa1!$E91</f>
        <v>45327</v>
      </c>
      <c r="G94" s="124">
        <f>[3]Sayfa1!$F91</f>
        <v>45327.6</v>
      </c>
      <c r="H94" s="119" t="str">
        <f>[3]Sayfa1!$I91</f>
        <v>Depo/Depot</v>
      </c>
      <c r="I94" s="125" t="str">
        <f>IF([3]Sayfa1!$K91="SSH","Notified by Bozankaya","Notified by Customer")</f>
        <v>Notified by Customer</v>
      </c>
      <c r="J94" s="119" t="e">
        <f>VLOOKUP([3]Sayfa1!$AU91,#REF!,2,FALSE)</f>
        <v>#REF!</v>
      </c>
      <c r="K94" s="119" t="str">
        <f>[3]Sayfa1!$V91</f>
        <v>Bozankaya</v>
      </c>
      <c r="L94" s="126" t="str">
        <f t="shared" si="11"/>
        <v>GDM7X4-FRACAS-GDM-090</v>
      </c>
      <c r="M94" s="127" t="str">
        <f>[3]Sayfa1!$L91</f>
        <v>Kapı Üstü Aydınlatma arızalı</v>
      </c>
      <c r="N94" s="128" t="str">
        <f>[3]Sayfa1!$J91</f>
        <v>C-Uyarı, sürüş devamlılığı</v>
      </c>
      <c r="O94" s="128" t="str">
        <f>[3]Sayfa1!$P91</f>
        <v>C(Sisteme etki etmeyen arıza)</v>
      </c>
      <c r="P94" s="128" t="str">
        <f>[3]Sayfa1!$Q91</f>
        <v>N.A(Yaralanma yok)</v>
      </c>
      <c r="Q94" s="129" t="str" cm="1">
        <f t="array" ref="Q94">_xlfn.IFS([3]Sayfa1!$R91="Bozankaya","Bozankaya",[3]Sayfa1!$R91="İşletme","Customer",[3]Sayfa1!$R91="Tedarikçi","Equipment Supplier")</f>
        <v>Bozankaya</v>
      </c>
      <c r="R94" s="130" t="str">
        <f>[3]Sayfa1!$M91</f>
        <v>Kapı üstü aydınlatma ledleri GDM-1 aracına ait 18 adet arızalı olduğu tespit edildi.</v>
      </c>
      <c r="S94" s="147">
        <f>[3]Sayfa1!$AB91</f>
        <v>0</v>
      </c>
      <c r="T94" s="147">
        <f>[3]Sayfa1!$AA91</f>
        <v>0</v>
      </c>
      <c r="U94" s="131">
        <f>[3]Sayfa1!$AN91</f>
        <v>0</v>
      </c>
      <c r="V94" s="132">
        <f>[3]Sayfa1!$T91</f>
        <v>45327</v>
      </c>
      <c r="W94" s="133">
        <f>[3]Sayfa1!$U91</f>
        <v>45327.601388888892</v>
      </c>
      <c r="X94" s="134">
        <f t="shared" si="12"/>
        <v>45327.601388888892</v>
      </c>
      <c r="Y94" s="123" t="str">
        <f>[3]Sayfa1!$AQ91</f>
        <v/>
      </c>
      <c r="Z94" s="135">
        <f>[3]Sayfa1!$AR91</f>
        <v>0</v>
      </c>
      <c r="AA94" s="134">
        <f t="shared" si="13"/>
        <v>0</v>
      </c>
      <c r="AB94" s="136">
        <f t="shared" si="14"/>
        <v>0</v>
      </c>
      <c r="AC94" s="137" t="str">
        <f t="shared" si="15"/>
        <v/>
      </c>
      <c r="AD94" s="135">
        <f t="shared" si="16"/>
        <v>0</v>
      </c>
      <c r="AE94" s="138">
        <f t="shared" si="17"/>
        <v>0</v>
      </c>
      <c r="AF94" s="139" t="str">
        <f>[3]Sayfa1!$AP91</f>
        <v>(I) İlk defa karşılaşılan arıza</v>
      </c>
      <c r="AG94" s="128" t="str">
        <f>IF([3]Sayfa1!$P91="C(Sisteme etki etmeyen arıza)","Bu Arıza Aracın Servise Verilmesine Engel Değil","Bu Arıza Aracın Servise Verilmesine Engel")</f>
        <v>Bu Arıza Aracın Servise Verilmesine Engel Değil</v>
      </c>
      <c r="AH94" s="140" t="str">
        <f>[3]Sayfa1!$AC91</f>
        <v>41-HBR-23-011</v>
      </c>
      <c r="AI94" s="137"/>
      <c r="AJ94" s="137"/>
      <c r="AK94" s="138">
        <f t="shared" si="18"/>
        <v>0</v>
      </c>
      <c r="AL94" s="136">
        <f t="shared" si="19"/>
        <v>0</v>
      </c>
      <c r="AM94" s="136">
        <f t="shared" si="20"/>
        <v>0</v>
      </c>
      <c r="AN94" s="141" t="str">
        <f t="shared" si="21"/>
        <v>Bozankaya</v>
      </c>
      <c r="AO94" s="141" t="str">
        <f>[3]Sayfa1!$X91</f>
        <v>E455-8005</v>
      </c>
      <c r="AP94" s="141">
        <f>[3]Sayfa1!$Z91</f>
        <v>0</v>
      </c>
      <c r="AQ94" s="122" t="str">
        <f>[3]Sayfa1!$W91</f>
        <v>Kapı üstü aydınlatma</v>
      </c>
      <c r="AR94" s="142">
        <f>[3]Sayfa1!$Y91</f>
        <v>18</v>
      </c>
      <c r="AS94" s="143">
        <f>[3]Sayfa1!$AD91</f>
        <v>0</v>
      </c>
      <c r="AT94" s="137" t="str">
        <f>[3]Sayfa1!$AE91</f>
        <v/>
      </c>
      <c r="AU94" s="137" t="str">
        <f>[3]Sayfa1!$AH91</f>
        <v/>
      </c>
      <c r="AV94" s="144">
        <v>90</v>
      </c>
      <c r="AW94" s="145" t="e">
        <f>U94*AB94*#REF!</f>
        <v>#REF!</v>
      </c>
    </row>
    <row r="95" spans="1:49" ht="101.25" customHeight="1">
      <c r="A95" s="119" t="s">
        <v>57</v>
      </c>
      <c r="B95" s="120" t="str">
        <f>[3]Sayfa1!$G92</f>
        <v>TS#1</v>
      </c>
      <c r="C95" s="121" t="str">
        <f>[3]Sayfa1!$H92</f>
        <v>M</v>
      </c>
      <c r="D95" s="146">
        <f>[3]Sayfa1!$N92</f>
        <v>319</v>
      </c>
      <c r="E95" s="122" t="str">
        <f>[3]Sayfa1!$B92</f>
        <v>FRACAS-GDM-091</v>
      </c>
      <c r="F95" s="123">
        <f>[3]Sayfa1!$E92</f>
        <v>45327</v>
      </c>
      <c r="G95" s="124">
        <f>[3]Sayfa1!$F92</f>
        <v>45327.697916666664</v>
      </c>
      <c r="H95" s="119" t="str">
        <f>[3]Sayfa1!$I92</f>
        <v>Depo/Depot</v>
      </c>
      <c r="I95" s="125" t="str">
        <f>IF([3]Sayfa1!$K92="SSH","Notified by Bozankaya","Notified by Customer")</f>
        <v>Notified by Customer</v>
      </c>
      <c r="J95" s="119" t="e">
        <f>VLOOKUP([3]Sayfa1!$AU92,#REF!,2,FALSE)</f>
        <v>#REF!</v>
      </c>
      <c r="K95" s="119" t="str">
        <f>[3]Sayfa1!$V92</f>
        <v>Yazkar</v>
      </c>
      <c r="L95" s="126" t="str">
        <f t="shared" si="11"/>
        <v>GDM7X4-FRACAS-GDM-091</v>
      </c>
      <c r="M95" s="127" t="str">
        <f>[3]Sayfa1!$L92</f>
        <v>Klima kontrolcü arızası</v>
      </c>
      <c r="N95" s="128" t="str">
        <f>[3]Sayfa1!$J92</f>
        <v>C-Uyarı, sürüş devamlılığı</v>
      </c>
      <c r="O95" s="128" t="str">
        <f>[3]Sayfa1!$P92</f>
        <v>B(Servisten çekmeye etki eden arızalar)</v>
      </c>
      <c r="P95" s="128" t="str">
        <f>[3]Sayfa1!$Q92</f>
        <v>N.A(Yaralanma yok)</v>
      </c>
      <c r="Q95" s="129" t="str" cm="1">
        <f t="array" ref="Q95">_xlfn.IFS([3]Sayfa1!$R92="Bozankaya","Bozankaya",[3]Sayfa1!$R92="İşletme","Customer",[3]Sayfa1!$R92="Tedarikçi","Equipment Supplier")</f>
        <v>Equipment Supplier</v>
      </c>
      <c r="R95" s="130" t="str">
        <f>[3]Sayfa1!$M92</f>
        <v>05.02.2024 4. Klima 04 nolu klima kontrolcüsünün arızalı olduğu tespit edildi söküldü en kısa sürede yenisi ile değiştirilecek. Eski Seri No:A21547000023 VER:A Medel ile birlikte yazılım ve GUİ çalışması yapıldı.</v>
      </c>
      <c r="S95" s="147">
        <f>[3]Sayfa1!$AB92</f>
        <v>0</v>
      </c>
      <c r="T95" s="147" t="str">
        <f>[3]Sayfa1!$AA92</f>
        <v>Evet</v>
      </c>
      <c r="U95" s="131">
        <f>[3]Sayfa1!$AN92</f>
        <v>1</v>
      </c>
      <c r="V95" s="132">
        <f>[3]Sayfa1!$T92</f>
        <v>45327</v>
      </c>
      <c r="W95" s="133">
        <f>[3]Sayfa1!$U92</f>
        <v>45327.698611111111</v>
      </c>
      <c r="X95" s="134">
        <f t="shared" si="12"/>
        <v>45327.698611111111</v>
      </c>
      <c r="Y95" s="123">
        <f>[3]Sayfa1!$AQ92</f>
        <v>45328</v>
      </c>
      <c r="Z95" s="135">
        <f>[3]Sayfa1!$AR92</f>
        <v>45328.342951388891</v>
      </c>
      <c r="AA95" s="134">
        <f t="shared" si="13"/>
        <v>45328.342951388891</v>
      </c>
      <c r="AB95" s="136">
        <f t="shared" si="14"/>
        <v>15.464166666730307</v>
      </c>
      <c r="AC95" s="137">
        <f t="shared" si="15"/>
        <v>45328</v>
      </c>
      <c r="AD95" s="135">
        <f t="shared" si="16"/>
        <v>45328.342951388891</v>
      </c>
      <c r="AE95" s="138">
        <f t="shared" si="17"/>
        <v>45328.342951388891</v>
      </c>
      <c r="AF95" s="139" t="str">
        <f>[3]Sayfa1!$AP92</f>
        <v>(I) İlk defa karşılaşılan arıza</v>
      </c>
      <c r="AG95" s="128" t="str">
        <f>IF([3]Sayfa1!$P92="C(Sisteme etki etmeyen arıza)","Bu Arıza Aracın Servise Verilmesine Engel Değil","Bu Arıza Aracın Servise Verilmesine Engel")</f>
        <v>Bu Arıza Aracın Servise Verilmesine Engel</v>
      </c>
      <c r="AH95" s="140" t="str">
        <f>[3]Sayfa1!$AC92</f>
        <v>41-HBR-23-013</v>
      </c>
      <c r="AI95" s="137"/>
      <c r="AJ95" s="137"/>
      <c r="AK95" s="138">
        <f t="shared" si="18"/>
        <v>0</v>
      </c>
      <c r="AL95" s="136">
        <f t="shared" si="19"/>
        <v>927.85000000381842</v>
      </c>
      <c r="AM95" s="136">
        <f t="shared" si="20"/>
        <v>927.85000000381842</v>
      </c>
      <c r="AN95" s="141" t="str">
        <f t="shared" si="21"/>
        <v>Yazkar</v>
      </c>
      <c r="AO95" s="141" t="str">
        <f>[3]Sayfa1!$X92</f>
        <v>H500-8001</v>
      </c>
      <c r="AP95" s="141" t="str">
        <f>[3]Sayfa1!$Z92</f>
        <v>A21547000023 VER:A</v>
      </c>
      <c r="AQ95" s="122" t="str">
        <f>[3]Sayfa1!$W92</f>
        <v>Yolcu Klima Ünitesi kontrol cihazı</v>
      </c>
      <c r="AR95" s="142">
        <f>[3]Sayfa1!$Y92</f>
        <v>1</v>
      </c>
      <c r="AS95" s="143">
        <f>[3]Sayfa1!$AD92</f>
        <v>0</v>
      </c>
      <c r="AT95" s="137" t="str">
        <f>[3]Sayfa1!$AE92</f>
        <v/>
      </c>
      <c r="AU95" s="137" t="str">
        <f>[3]Sayfa1!$AH92</f>
        <v/>
      </c>
      <c r="AV95" s="144">
        <v>91</v>
      </c>
      <c r="AW95" s="145" t="e">
        <f>U95*AB95*#REF!</f>
        <v>#REF!</v>
      </c>
    </row>
    <row r="96" spans="1:49" ht="101.25" customHeight="1">
      <c r="A96" s="119" t="s">
        <v>57</v>
      </c>
      <c r="B96" s="120" t="str">
        <f>[3]Sayfa1!$G93</f>
        <v>TS#3</v>
      </c>
      <c r="C96" s="121" t="str">
        <f>[3]Sayfa1!$H93</f>
        <v>Mc2</v>
      </c>
      <c r="D96" s="146">
        <f>[3]Sayfa1!$N93</f>
        <v>1</v>
      </c>
      <c r="E96" s="122" t="str">
        <f>[3]Sayfa1!$B93</f>
        <v>FRACAS-GDM-092</v>
      </c>
      <c r="F96" s="123">
        <f>[3]Sayfa1!$E93</f>
        <v>45328</v>
      </c>
      <c r="G96" s="124">
        <f>[3]Sayfa1!$F93</f>
        <v>45328.381249999999</v>
      </c>
      <c r="H96" s="119" t="str">
        <f>[3]Sayfa1!$I93</f>
        <v>Depo/Depot</v>
      </c>
      <c r="I96" s="125" t="str">
        <f>IF([3]Sayfa1!$K93="SSH","Notified by Bozankaya","Notified by Customer")</f>
        <v>Notified by Customer</v>
      </c>
      <c r="J96" s="119" t="e">
        <f>VLOOKUP([3]Sayfa1!$AU93,#REF!,2,FALSE)</f>
        <v>#REF!</v>
      </c>
      <c r="K96" s="119" t="str">
        <f>[3]Sayfa1!$V93</f>
        <v>Bozankaya</v>
      </c>
      <c r="L96" s="126" t="str">
        <f t="shared" si="11"/>
        <v>GDM7X4-FRACAS-GDM-092</v>
      </c>
      <c r="M96" s="127" t="str">
        <f>[3]Sayfa1!$L93</f>
        <v>İvme kolu arızası</v>
      </c>
      <c r="N96" s="128" t="str">
        <f>[3]Sayfa1!$J93</f>
        <v>A-Sürüşü engeller</v>
      </c>
      <c r="O96" s="128" t="str">
        <f>[3]Sayfa1!$P93</f>
        <v>B(Servisten çekmeye etki eden arızalar)</v>
      </c>
      <c r="P96" s="128" t="str">
        <f>[3]Sayfa1!$Q93</f>
        <v>N.A(Yaralanma yok)</v>
      </c>
      <c r="Q96" s="129" t="str" cm="1">
        <f t="array" ref="Q96">_xlfn.IFS([3]Sayfa1!$R93="Bozankaya","Bozankaya",[3]Sayfa1!$R93="İşletme","Customer",[3]Sayfa1!$R93="Tedarikçi","Equipment Supplier")</f>
        <v>Bozankaya</v>
      </c>
      <c r="R96" s="130" t="str">
        <f>[3]Sayfa1!$M93</f>
        <v>İvme kolunun swicht yandığı tespit edildi.</v>
      </c>
      <c r="S96" s="147">
        <f>[3]Sayfa1!$AB93</f>
        <v>0</v>
      </c>
      <c r="T96" s="147">
        <f>[3]Sayfa1!$AA93</f>
        <v>0</v>
      </c>
      <c r="U96" s="131">
        <f>[3]Sayfa1!$AN93</f>
        <v>1</v>
      </c>
      <c r="V96" s="132">
        <f>[3]Sayfa1!$T93</f>
        <v>45328</v>
      </c>
      <c r="W96" s="133">
        <f>[3]Sayfa1!$U93</f>
        <v>45328.383333333331</v>
      </c>
      <c r="X96" s="134">
        <f t="shared" si="12"/>
        <v>45328.383333333331</v>
      </c>
      <c r="Y96" s="123">
        <f>[3]Sayfa1!$AQ93</f>
        <v>45328</v>
      </c>
      <c r="Z96" s="135">
        <f>[3]Sayfa1!$AR93</f>
        <v>45328.383333333331</v>
      </c>
      <c r="AA96" s="134">
        <f t="shared" si="13"/>
        <v>45328.383333333331</v>
      </c>
      <c r="AB96" s="136">
        <f t="shared" si="14"/>
        <v>0</v>
      </c>
      <c r="AC96" s="137">
        <f t="shared" si="15"/>
        <v>45328</v>
      </c>
      <c r="AD96" s="135">
        <f t="shared" si="16"/>
        <v>45328.383333333331</v>
      </c>
      <c r="AE96" s="138">
        <f t="shared" si="17"/>
        <v>45328.383333333331</v>
      </c>
      <c r="AF96" s="139" t="str">
        <f>[3]Sayfa1!$AP93</f>
        <v>(I) İlk defa karşılaşılan arıza</v>
      </c>
      <c r="AG96" s="128" t="str">
        <f>IF([3]Sayfa1!$P93="C(Sisteme etki etmeyen arıza)","Bu Arıza Aracın Servise Verilmesine Engel Değil","Bu Arıza Aracın Servise Verilmesine Engel")</f>
        <v>Bu Arıza Aracın Servise Verilmesine Engel</v>
      </c>
      <c r="AH96" s="140" t="str">
        <f>[3]Sayfa1!$AC93</f>
        <v>41-HBR-23-014</v>
      </c>
      <c r="AI96" s="137"/>
      <c r="AJ96" s="137"/>
      <c r="AK96" s="138">
        <f t="shared" si="18"/>
        <v>0</v>
      </c>
      <c r="AL96" s="136">
        <f t="shared" si="19"/>
        <v>0</v>
      </c>
      <c r="AM96" s="136">
        <f t="shared" si="20"/>
        <v>0</v>
      </c>
      <c r="AN96" s="141" t="str">
        <f t="shared" si="21"/>
        <v>Bozankaya</v>
      </c>
      <c r="AO96" s="141" t="str">
        <f>[3]Sayfa1!$X93</f>
        <v>E300-8002</v>
      </c>
      <c r="AP96" s="141" t="str">
        <f>[3]Sayfa1!$Z93</f>
        <v>0AU602166</v>
      </c>
      <c r="AQ96" s="122" t="str">
        <f>[3]Sayfa1!$W93</f>
        <v>ANA KONTROLÖR</v>
      </c>
      <c r="AR96" s="142">
        <f>[3]Sayfa1!$Y93</f>
        <v>1</v>
      </c>
      <c r="AS96" s="143">
        <f>[3]Sayfa1!$AD93</f>
        <v>0</v>
      </c>
      <c r="AT96" s="137" t="str">
        <f>[3]Sayfa1!$AE93</f>
        <v/>
      </c>
      <c r="AU96" s="137" t="str">
        <f>[3]Sayfa1!$AH93</f>
        <v/>
      </c>
      <c r="AV96" s="144">
        <v>92</v>
      </c>
      <c r="AW96" s="145" t="e">
        <f>U96*AB96*#REF!</f>
        <v>#REF!</v>
      </c>
    </row>
    <row r="97" spans="1:49" ht="101.25" customHeight="1">
      <c r="A97" s="119" t="s">
        <v>57</v>
      </c>
      <c r="B97" s="120" t="str">
        <f>[3]Sayfa1!$G94</f>
        <v>TS#3</v>
      </c>
      <c r="C97" s="121" t="str">
        <f>[3]Sayfa1!$H94</f>
        <v>Mc2</v>
      </c>
      <c r="D97" s="146">
        <f>[3]Sayfa1!$N94</f>
        <v>1</v>
      </c>
      <c r="E97" s="122" t="str">
        <f>[3]Sayfa1!$B94</f>
        <v>FRACAS-GDM-093</v>
      </c>
      <c r="F97" s="123">
        <f>[3]Sayfa1!$E94</f>
        <v>45328</v>
      </c>
      <c r="G97" s="124">
        <f>[3]Sayfa1!$F94</f>
        <v>45328.384722222225</v>
      </c>
      <c r="H97" s="119" t="str">
        <f>[3]Sayfa1!$I94</f>
        <v>Depo/Depot</v>
      </c>
      <c r="I97" s="125" t="str">
        <f>IF([3]Sayfa1!$K94="SSH","Notified by Bozankaya","Notified by Customer")</f>
        <v>Notified by Customer</v>
      </c>
      <c r="J97" s="119" t="e">
        <f>VLOOKUP([3]Sayfa1!$AU94,#REF!,2,FALSE)</f>
        <v>#REF!</v>
      </c>
      <c r="K97" s="119" t="str">
        <f>[3]Sayfa1!$V94</f>
        <v>Bozankaya</v>
      </c>
      <c r="L97" s="126" t="str">
        <f t="shared" si="11"/>
        <v>GDM7X4-FRACAS-GDM-093</v>
      </c>
      <c r="M97" s="127" t="str">
        <f>[3]Sayfa1!$L94</f>
        <v>Acil fren reset butonu yanık olduğu tespit edildi</v>
      </c>
      <c r="N97" s="128" t="str">
        <f>[3]Sayfa1!$J94</f>
        <v>A-Sürüşü engeller</v>
      </c>
      <c r="O97" s="128" t="str">
        <f>[3]Sayfa1!$P94</f>
        <v>B(Servisten çekmeye etki eden arızalar)</v>
      </c>
      <c r="P97" s="128" t="str">
        <f>[3]Sayfa1!$Q94</f>
        <v>N.A(Yaralanma yok)</v>
      </c>
      <c r="Q97" s="129" t="str" cm="1">
        <f t="array" ref="Q97">_xlfn.IFS([3]Sayfa1!$R94="Bozankaya","Bozankaya",[3]Sayfa1!$R94="İşletme","Customer",[3]Sayfa1!$R94="Tedarikçi","Equipment Supplier")</f>
        <v>Bozankaya</v>
      </c>
      <c r="R97" s="130" t="str">
        <f>[3]Sayfa1!$M94</f>
        <v>Acil fren reset butonu yanık olduğu tespit edildi</v>
      </c>
      <c r="S97" s="147" t="str">
        <f>[3]Sayfa1!$AB94</f>
        <v>Ekipman değiştirilecek</v>
      </c>
      <c r="T97" s="147">
        <f>[3]Sayfa1!$AA94</f>
        <v>0</v>
      </c>
      <c r="U97" s="131">
        <f>[3]Sayfa1!$AN94</f>
        <v>1</v>
      </c>
      <c r="V97" s="132">
        <f>[3]Sayfa1!$T94</f>
        <v>45328</v>
      </c>
      <c r="W97" s="133">
        <f>[3]Sayfa1!$U94</f>
        <v>45328.385416666664</v>
      </c>
      <c r="X97" s="134">
        <f t="shared" si="12"/>
        <v>45328.385416666664</v>
      </c>
      <c r="Y97" s="123">
        <f>[3]Sayfa1!$AQ94</f>
        <v>45328</v>
      </c>
      <c r="Z97" s="135">
        <f>[3]Sayfa1!$AR94</f>
        <v>45328.392361111109</v>
      </c>
      <c r="AA97" s="134">
        <f t="shared" si="13"/>
        <v>45328.392361111109</v>
      </c>
      <c r="AB97" s="136">
        <f t="shared" si="14"/>
        <v>0</v>
      </c>
      <c r="AC97" s="137">
        <f t="shared" si="15"/>
        <v>45328</v>
      </c>
      <c r="AD97" s="135">
        <f t="shared" si="16"/>
        <v>45328.392361111109</v>
      </c>
      <c r="AE97" s="138">
        <f t="shared" si="17"/>
        <v>45328.392361111109</v>
      </c>
      <c r="AF97" s="139" t="str">
        <f>[3]Sayfa1!$AP94</f>
        <v>(I) İlk defa karşılaşılan arıza</v>
      </c>
      <c r="AG97" s="128" t="str">
        <f>IF([3]Sayfa1!$P94="C(Sisteme etki etmeyen arıza)","Bu Arıza Aracın Servise Verilmesine Engel Değil","Bu Arıza Aracın Servise Verilmesine Engel")</f>
        <v>Bu Arıza Aracın Servise Verilmesine Engel</v>
      </c>
      <c r="AH97" s="140" t="str">
        <f>[3]Sayfa1!$AC94</f>
        <v>41-HBR-23-015</v>
      </c>
      <c r="AI97" s="137"/>
      <c r="AJ97" s="137"/>
      <c r="AK97" s="138">
        <f t="shared" si="18"/>
        <v>0</v>
      </c>
      <c r="AL97" s="136">
        <f t="shared" si="19"/>
        <v>0</v>
      </c>
      <c r="AM97" s="136">
        <f t="shared" si="20"/>
        <v>0</v>
      </c>
      <c r="AN97" s="141" t="str">
        <f t="shared" si="21"/>
        <v>Bozankaya</v>
      </c>
      <c r="AO97" s="141" t="str">
        <f>[3]Sayfa1!$X94</f>
        <v>E300-8068</v>
      </c>
      <c r="AP97" s="141" t="str">
        <f>[3]Sayfa1!$Z94</f>
        <v>?</v>
      </c>
      <c r="AQ97" s="122" t="str">
        <f>[3]Sayfa1!$W94</f>
        <v>TURUNCU AYDINLATMALI YAYLI PUSHBUTTON</v>
      </c>
      <c r="AR97" s="142">
        <f>[3]Sayfa1!$Y94</f>
        <v>1</v>
      </c>
      <c r="AS97" s="143">
        <f>[3]Sayfa1!$AD94</f>
        <v>0</v>
      </c>
      <c r="AT97" s="137" t="str">
        <f>[3]Sayfa1!$AE94</f>
        <v/>
      </c>
      <c r="AU97" s="137" t="str">
        <f>[3]Sayfa1!$AH94</f>
        <v/>
      </c>
      <c r="AV97" s="144">
        <v>93</v>
      </c>
      <c r="AW97" s="145" t="e">
        <f>U97*AB97*#REF!</f>
        <v>#REF!</v>
      </c>
    </row>
    <row r="98" spans="1:49" ht="101.25" customHeight="1">
      <c r="A98" s="119" t="s">
        <v>57</v>
      </c>
      <c r="B98" s="120" t="str">
        <f>[3]Sayfa1!$G95</f>
        <v>TS#3</v>
      </c>
      <c r="C98" s="121" t="str">
        <f>[3]Sayfa1!$H95</f>
        <v>Mc1</v>
      </c>
      <c r="D98" s="146">
        <f>[3]Sayfa1!$N95</f>
        <v>1</v>
      </c>
      <c r="E98" s="122" t="str">
        <f>[3]Sayfa1!$B95</f>
        <v>FRACAS-GDM-094</v>
      </c>
      <c r="F98" s="123">
        <f>[3]Sayfa1!$E95</f>
        <v>45328</v>
      </c>
      <c r="G98" s="124">
        <f>[3]Sayfa1!$F95</f>
        <v>45328.386111111111</v>
      </c>
      <c r="H98" s="119" t="str">
        <f>[3]Sayfa1!$I95</f>
        <v>Depo/Depot</v>
      </c>
      <c r="I98" s="125" t="str">
        <f>IF([3]Sayfa1!$K95="SSH","Notified by Bozankaya","Notified by Customer")</f>
        <v>Notified by Customer</v>
      </c>
      <c r="J98" s="119" t="e">
        <f>VLOOKUP([3]Sayfa1!$AU95,#REF!,2,FALSE)</f>
        <v>#REF!</v>
      </c>
      <c r="K98" s="119" t="str">
        <f>[3]Sayfa1!$V95</f>
        <v>Bozankaya</v>
      </c>
      <c r="L98" s="126" t="str">
        <f t="shared" si="11"/>
        <v>GDM7X4-FRACAS-GDM-094</v>
      </c>
      <c r="M98" s="127" t="str">
        <f>[3]Sayfa1!$L95</f>
        <v>Silecek motoru arızası</v>
      </c>
      <c r="N98" s="128" t="str">
        <f>[3]Sayfa1!$J95</f>
        <v>C-Uyarı, sürüş devamlılığı</v>
      </c>
      <c r="O98" s="128" t="str">
        <f>[3]Sayfa1!$P95</f>
        <v>C(Sisteme etki etmeyen arıza)</v>
      </c>
      <c r="P98" s="128" t="str">
        <f>[3]Sayfa1!$Q95</f>
        <v>N.A(Yaralanma yok)</v>
      </c>
      <c r="Q98" s="129" t="str" cm="1">
        <f t="array" ref="Q98">_xlfn.IFS([3]Sayfa1!$R95="Bozankaya","Bozankaya",[3]Sayfa1!$R95="İşletme","Customer",[3]Sayfa1!$R95="Tedarikçi","Equipment Supplier")</f>
        <v>Bozankaya</v>
      </c>
      <c r="R98" s="130" t="str">
        <f>[3]Sayfa1!$M95</f>
        <v>Devreye alınırken çalışmamıştır.</v>
      </c>
      <c r="S98" s="147" t="str">
        <f>[3]Sayfa1!$AB95</f>
        <v>Arıza çözülecek</v>
      </c>
      <c r="T98" s="147">
        <f>[3]Sayfa1!$AA95</f>
        <v>0</v>
      </c>
      <c r="U98" s="131">
        <f>[3]Sayfa1!$AN95</f>
        <v>1</v>
      </c>
      <c r="V98" s="132">
        <f>[3]Sayfa1!$T95</f>
        <v>45328</v>
      </c>
      <c r="W98" s="133">
        <f>[3]Sayfa1!$U95</f>
        <v>45328.386805555558</v>
      </c>
      <c r="X98" s="134">
        <f t="shared" si="12"/>
        <v>45328.386805555558</v>
      </c>
      <c r="Y98" s="123">
        <f>[3]Sayfa1!$AQ95</f>
        <v>45331</v>
      </c>
      <c r="Z98" s="135">
        <f>[3]Sayfa1!$AR95</f>
        <v>45331.391377314816</v>
      </c>
      <c r="AA98" s="134">
        <f t="shared" si="13"/>
        <v>45331.391377314816</v>
      </c>
      <c r="AB98" s="136">
        <f t="shared" si="14"/>
        <v>72.109722222201526</v>
      </c>
      <c r="AC98" s="137">
        <f t="shared" si="15"/>
        <v>45331</v>
      </c>
      <c r="AD98" s="135">
        <f t="shared" si="16"/>
        <v>45331.391377314816</v>
      </c>
      <c r="AE98" s="138">
        <f t="shared" si="17"/>
        <v>45331.391377314816</v>
      </c>
      <c r="AF98" s="139" t="str">
        <f>[3]Sayfa1!$AP95</f>
        <v>(I) İlk defa karşılaşılan arıza</v>
      </c>
      <c r="AG98" s="128" t="str">
        <f>IF([3]Sayfa1!$P95="C(Sisteme etki etmeyen arıza)","Bu Arıza Aracın Servise Verilmesine Engel Değil","Bu Arıza Aracın Servise Verilmesine Engel")</f>
        <v>Bu Arıza Aracın Servise Verilmesine Engel Değil</v>
      </c>
      <c r="AH98" s="140" t="str">
        <f>[3]Sayfa1!$AC95</f>
        <v>41-HBR-23-016</v>
      </c>
      <c r="AI98" s="137"/>
      <c r="AJ98" s="137"/>
      <c r="AK98" s="138">
        <f t="shared" si="18"/>
        <v>0</v>
      </c>
      <c r="AL98" s="136">
        <f t="shared" si="19"/>
        <v>4326.5833333320916</v>
      </c>
      <c r="AM98" s="136">
        <f t="shared" si="20"/>
        <v>0</v>
      </c>
      <c r="AN98" s="141" t="str">
        <f t="shared" si="21"/>
        <v>Bozankaya</v>
      </c>
      <c r="AO98" s="141" t="str">
        <f>[3]Sayfa1!$X95</f>
        <v>M100-0801</v>
      </c>
      <c r="AP98" s="141" t="str">
        <f>[3]Sayfa1!$Z95</f>
        <v>?</v>
      </c>
      <c r="AQ98" s="122" t="str">
        <f>[3]Sayfa1!$W95</f>
        <v>SİLECEK SİSTEMİ MONTAJI</v>
      </c>
      <c r="AR98" s="142">
        <f>[3]Sayfa1!$Y95</f>
        <v>1</v>
      </c>
      <c r="AS98" s="143">
        <f>[3]Sayfa1!$AD95</f>
        <v>0</v>
      </c>
      <c r="AT98" s="137" t="str">
        <f>[3]Sayfa1!$AE95</f>
        <v/>
      </c>
      <c r="AU98" s="137" t="str">
        <f>[3]Sayfa1!$AH95</f>
        <v/>
      </c>
      <c r="AV98" s="144">
        <v>94</v>
      </c>
      <c r="AW98" s="145" t="e">
        <f>U98*AB98*#REF!</f>
        <v>#REF!</v>
      </c>
    </row>
    <row r="99" spans="1:49" ht="101.25" customHeight="1">
      <c r="A99" s="119" t="s">
        <v>57</v>
      </c>
      <c r="B99" s="120" t="str">
        <f>[3]Sayfa1!$G96</f>
        <v>TS#3</v>
      </c>
      <c r="C99" s="121" t="str">
        <f>[3]Sayfa1!$H96</f>
        <v>T</v>
      </c>
      <c r="D99" s="146">
        <f>[3]Sayfa1!$N96</f>
        <v>1</v>
      </c>
      <c r="E99" s="122" t="str">
        <f>[3]Sayfa1!$B96</f>
        <v>FRACAS-GDM-095</v>
      </c>
      <c r="F99" s="123">
        <f>[3]Sayfa1!$E96</f>
        <v>45328</v>
      </c>
      <c r="G99" s="124">
        <f>[3]Sayfa1!$F96</f>
        <v>45328.388888888891</v>
      </c>
      <c r="H99" s="119" t="str">
        <f>[3]Sayfa1!$I96</f>
        <v>Depo/Depot</v>
      </c>
      <c r="I99" s="125" t="str">
        <f>IF([3]Sayfa1!$K96="SSH","Notified by Bozankaya","Notified by Customer")</f>
        <v>Notified by Customer</v>
      </c>
      <c r="J99" s="119" t="e">
        <f>VLOOKUP([3]Sayfa1!$AU96,#REF!,2,FALSE)</f>
        <v>#REF!</v>
      </c>
      <c r="K99" s="119" t="str">
        <f>[3]Sayfa1!$V96</f>
        <v>Bozankaya</v>
      </c>
      <c r="L99" s="126" t="str">
        <f t="shared" si="11"/>
        <v>GDM7X4-FRACAS-GDM-095</v>
      </c>
      <c r="M99" s="127" t="str">
        <f>[3]Sayfa1!$L96</f>
        <v>Pantograf yukarı rölesi</v>
      </c>
      <c r="N99" s="128" t="str">
        <f>[3]Sayfa1!$J96</f>
        <v>C-Uyarı, sürüş devamlılığı</v>
      </c>
      <c r="O99" s="128" t="str">
        <f>[3]Sayfa1!$P96</f>
        <v>B(Servisten çekmeye etki eden arızalar)</v>
      </c>
      <c r="P99" s="128" t="str">
        <f>[3]Sayfa1!$Q96</f>
        <v>N.A(Yaralanma yok)</v>
      </c>
      <c r="Q99" s="129" t="str" cm="1">
        <f t="array" ref="Q99">_xlfn.IFS([3]Sayfa1!$R96="Bozankaya","Bozankaya",[3]Sayfa1!$R96="İşletme","Customer",[3]Sayfa1!$R96="Tedarikçi","Equipment Supplier")</f>
        <v>Bozankaya</v>
      </c>
      <c r="R99" s="130" t="str">
        <f>[3]Sayfa1!$M96</f>
        <v>Pantograf yukarıda bilgi sensör rölesi 24V takılmış(110V olmalı).</v>
      </c>
      <c r="S99" s="147">
        <f>[3]Sayfa1!$AB96</f>
        <v>0</v>
      </c>
      <c r="T99" s="147">
        <f>[3]Sayfa1!$AA96</f>
        <v>0</v>
      </c>
      <c r="U99" s="131">
        <f>[3]Sayfa1!$AN96</f>
        <v>0</v>
      </c>
      <c r="V99" s="132">
        <f>[3]Sayfa1!$T96</f>
        <v>45328</v>
      </c>
      <c r="W99" s="133">
        <f>[3]Sayfa1!$U96</f>
        <v>45328.390972222223</v>
      </c>
      <c r="X99" s="134">
        <f t="shared" si="12"/>
        <v>45328.390972222223</v>
      </c>
      <c r="Y99" s="123" t="str">
        <f>[3]Sayfa1!$AQ96</f>
        <v/>
      </c>
      <c r="Z99" s="135">
        <f>[3]Sayfa1!$AR96</f>
        <v>0</v>
      </c>
      <c r="AA99" s="134">
        <f t="shared" si="13"/>
        <v>0</v>
      </c>
      <c r="AB99" s="136">
        <f t="shared" si="14"/>
        <v>0</v>
      </c>
      <c r="AC99" s="137" t="str">
        <f t="shared" si="15"/>
        <v/>
      </c>
      <c r="AD99" s="135">
        <f t="shared" si="16"/>
        <v>0</v>
      </c>
      <c r="AE99" s="138">
        <f t="shared" si="17"/>
        <v>0</v>
      </c>
      <c r="AF99" s="139" t="str">
        <f>[3]Sayfa1!$AP96</f>
        <v>(I) İlk defa karşılaşılan arıza</v>
      </c>
      <c r="AG99" s="128" t="str">
        <f>IF([3]Sayfa1!$P96="C(Sisteme etki etmeyen arıza)","Bu Arıza Aracın Servise Verilmesine Engel Değil","Bu Arıza Aracın Servise Verilmesine Engel")</f>
        <v>Bu Arıza Aracın Servise Verilmesine Engel</v>
      </c>
      <c r="AH99" s="140" t="str">
        <f>[3]Sayfa1!$AC96</f>
        <v>41-HBR-23-017</v>
      </c>
      <c r="AI99" s="137"/>
      <c r="AJ99" s="137"/>
      <c r="AK99" s="138">
        <f t="shared" si="18"/>
        <v>0</v>
      </c>
      <c r="AL99" s="136">
        <f t="shared" si="19"/>
        <v>0</v>
      </c>
      <c r="AM99" s="136">
        <f t="shared" si="20"/>
        <v>0</v>
      </c>
      <c r="AN99" s="141" t="str">
        <f t="shared" si="21"/>
        <v>Bozankaya</v>
      </c>
      <c r="AO99" s="141" t="str">
        <f>[3]Sayfa1!$X96</f>
        <v>E110-8020</v>
      </c>
      <c r="AP99" s="141">
        <f>[3]Sayfa1!$Z96</f>
        <v>0</v>
      </c>
      <c r="AQ99" s="122" t="str">
        <f>[3]Sayfa1!$W96</f>
        <v>1CO 110V SLİM ROLE</v>
      </c>
      <c r="AR99" s="142">
        <f>[3]Sayfa1!$Y96</f>
        <v>1</v>
      </c>
      <c r="AS99" s="143">
        <f>[3]Sayfa1!$AD96</f>
        <v>0</v>
      </c>
      <c r="AT99" s="137" t="str">
        <f>[3]Sayfa1!$AE96</f>
        <v/>
      </c>
      <c r="AU99" s="137" t="str">
        <f>[3]Sayfa1!$AH96</f>
        <v/>
      </c>
      <c r="AV99" s="144">
        <v>95</v>
      </c>
      <c r="AW99" s="145" t="e">
        <f>U99*AB99*#REF!</f>
        <v>#REF!</v>
      </c>
    </row>
    <row r="100" spans="1:49" ht="101.25" customHeight="1">
      <c r="A100" s="119" t="s">
        <v>57</v>
      </c>
      <c r="B100" s="120" t="str">
        <f>[3]Sayfa1!$G97</f>
        <v>TS#3</v>
      </c>
      <c r="C100" s="121" t="str">
        <f>[3]Sayfa1!$H97</f>
        <v>T</v>
      </c>
      <c r="D100" s="146">
        <f>[3]Sayfa1!$N97</f>
        <v>1</v>
      </c>
      <c r="E100" s="122" t="str">
        <f>[3]Sayfa1!$B97</f>
        <v>FRACAS-GDM-096</v>
      </c>
      <c r="F100" s="123">
        <f>[3]Sayfa1!$E97</f>
        <v>45328</v>
      </c>
      <c r="G100" s="124">
        <f>[3]Sayfa1!$F97</f>
        <v>45328.394444444442</v>
      </c>
      <c r="H100" s="119" t="str">
        <f>[3]Sayfa1!$I97</f>
        <v>Depo/Depot</v>
      </c>
      <c r="I100" s="125" t="str">
        <f>IF([3]Sayfa1!$K97="SSH","Notified by Bozankaya","Notified by Customer")</f>
        <v>Notified by Customer</v>
      </c>
      <c r="J100" s="119" t="e">
        <f>VLOOKUP([3]Sayfa1!$AU97,#REF!,2,FALSE)</f>
        <v>#REF!</v>
      </c>
      <c r="K100" s="119" t="str">
        <f>[3]Sayfa1!$V97</f>
        <v>Bozankaya</v>
      </c>
      <c r="L100" s="126" t="str">
        <f t="shared" si="11"/>
        <v>GDM7X4-FRACAS-GDM-096</v>
      </c>
      <c r="M100" s="127" t="str">
        <f>[3]Sayfa1!$L97</f>
        <v>Pantograf sensörü</v>
      </c>
      <c r="N100" s="128" t="str">
        <f>[3]Sayfa1!$J97</f>
        <v>C-Uyarı, sürüş devamlılığı</v>
      </c>
      <c r="O100" s="128" t="str">
        <f>[3]Sayfa1!$P97</f>
        <v>C(Sisteme etki etmeyen arıza)</v>
      </c>
      <c r="P100" s="128" t="str">
        <f>[3]Sayfa1!$Q97</f>
        <v>N.A(Yaralanma yok)</v>
      </c>
      <c r="Q100" s="129" t="str" cm="1">
        <f t="array" ref="Q100">_xlfn.IFS([3]Sayfa1!$R97="Bozankaya","Bozankaya",[3]Sayfa1!$R97="İşletme","Customer",[3]Sayfa1!$R97="Tedarikçi","Equipment Supplier")</f>
        <v>Bozankaya</v>
      </c>
      <c r="R100" s="130" t="str">
        <f>[3]Sayfa1!$M97</f>
        <v>Pantograf konum sensörü yanık olduğu tespit edildi.</v>
      </c>
      <c r="S100" s="147">
        <f>[3]Sayfa1!$AB97</f>
        <v>0</v>
      </c>
      <c r="T100" s="147">
        <f>[3]Sayfa1!$AA97</f>
        <v>0</v>
      </c>
      <c r="U100" s="131">
        <f>[3]Sayfa1!$AN97</f>
        <v>1</v>
      </c>
      <c r="V100" s="132">
        <f>[3]Sayfa1!$T97</f>
        <v>45328</v>
      </c>
      <c r="W100" s="133">
        <f>[3]Sayfa1!$U97</f>
        <v>45328.395833333336</v>
      </c>
      <c r="X100" s="134">
        <f t="shared" si="12"/>
        <v>45328.395833333336</v>
      </c>
      <c r="Y100" s="123">
        <f>[3]Sayfa1!$AQ97</f>
        <v>45328</v>
      </c>
      <c r="Z100" s="135">
        <f>[3]Sayfa1!$AR97</f>
        <v>45328.395833333336</v>
      </c>
      <c r="AA100" s="134">
        <f t="shared" si="13"/>
        <v>45328.395833333336</v>
      </c>
      <c r="AB100" s="136">
        <f t="shared" si="14"/>
        <v>0</v>
      </c>
      <c r="AC100" s="137">
        <f t="shared" si="15"/>
        <v>45328</v>
      </c>
      <c r="AD100" s="135">
        <f t="shared" si="16"/>
        <v>45328.395833333336</v>
      </c>
      <c r="AE100" s="138">
        <f t="shared" si="17"/>
        <v>45328.395833333336</v>
      </c>
      <c r="AF100" s="139" t="str">
        <f>[3]Sayfa1!$AP97</f>
        <v>(I) İlk defa karşılaşılan arıza</v>
      </c>
      <c r="AG100" s="128" t="str">
        <f>IF([3]Sayfa1!$P97="C(Sisteme etki etmeyen arıza)","Bu Arıza Aracın Servise Verilmesine Engel Değil","Bu Arıza Aracın Servise Verilmesine Engel")</f>
        <v>Bu Arıza Aracın Servise Verilmesine Engel Değil</v>
      </c>
      <c r="AH100" s="140" t="str">
        <f>[3]Sayfa1!$AC97</f>
        <v>41-HBR-23-018</v>
      </c>
      <c r="AI100" s="137"/>
      <c r="AJ100" s="137"/>
      <c r="AK100" s="138">
        <f t="shared" si="18"/>
        <v>0</v>
      </c>
      <c r="AL100" s="136">
        <f t="shared" si="19"/>
        <v>0</v>
      </c>
      <c r="AM100" s="136">
        <f t="shared" si="20"/>
        <v>0</v>
      </c>
      <c r="AN100" s="141" t="str">
        <f t="shared" si="21"/>
        <v>Bozankaya</v>
      </c>
      <c r="AO100" s="141" t="str">
        <f>[3]Sayfa1!$X97</f>
        <v>P710-7116</v>
      </c>
      <c r="AP100" s="141">
        <f>[3]Sayfa1!$Z97</f>
        <v>0</v>
      </c>
      <c r="AQ100" s="122" t="str">
        <f>[3]Sayfa1!$W97</f>
        <v>PANTOGRAF MİKRO KONUM ANAHTARI</v>
      </c>
      <c r="AR100" s="142">
        <f>[3]Sayfa1!$Y97</f>
        <v>1</v>
      </c>
      <c r="AS100" s="143">
        <f>[3]Sayfa1!$AD97</f>
        <v>0</v>
      </c>
      <c r="AT100" s="137" t="str">
        <f>[3]Sayfa1!$AE97</f>
        <v/>
      </c>
      <c r="AU100" s="137" t="str">
        <f>[3]Sayfa1!$AH97</f>
        <v/>
      </c>
      <c r="AV100" s="144">
        <v>96</v>
      </c>
      <c r="AW100" s="145" t="e">
        <f>U100*AB100*#REF!</f>
        <v>#REF!</v>
      </c>
    </row>
    <row r="101" spans="1:49" ht="101.25" customHeight="1">
      <c r="A101" s="119" t="s">
        <v>57</v>
      </c>
      <c r="B101" s="120" t="str">
        <f>[3]Sayfa1!$G98</f>
        <v>TS#3</v>
      </c>
      <c r="C101" s="121" t="str">
        <f>[3]Sayfa1!$H98</f>
        <v>T</v>
      </c>
      <c r="D101" s="146">
        <f>[3]Sayfa1!$N98</f>
        <v>1</v>
      </c>
      <c r="E101" s="122" t="str">
        <f>[3]Sayfa1!$B98</f>
        <v>FRACAS-GDM-097</v>
      </c>
      <c r="F101" s="123">
        <f>[3]Sayfa1!$E98</f>
        <v>45328</v>
      </c>
      <c r="G101" s="124">
        <f>[3]Sayfa1!$F98</f>
        <v>45328.4</v>
      </c>
      <c r="H101" s="119" t="str">
        <f>[3]Sayfa1!$I98</f>
        <v>Depo/Depot</v>
      </c>
      <c r="I101" s="125" t="str">
        <f>IF([3]Sayfa1!$K98="SSH","Notified by Bozankaya","Notified by Customer")</f>
        <v>Notified by Customer</v>
      </c>
      <c r="J101" s="119" t="e">
        <f>VLOOKUP([3]Sayfa1!$AU98,#REF!,2,FALSE)</f>
        <v>#REF!</v>
      </c>
      <c r="K101" s="119" t="str">
        <f>[3]Sayfa1!$V98</f>
        <v>Bozankaya</v>
      </c>
      <c r="L101" s="126" t="str">
        <f t="shared" si="11"/>
        <v>GDM7X4-FRACAS-GDM-097</v>
      </c>
      <c r="M101" s="127" t="str">
        <f>[3]Sayfa1!$L98</f>
        <v>İç aydınlatma</v>
      </c>
      <c r="N101" s="128" t="str">
        <f>[3]Sayfa1!$J98</f>
        <v>C-Uyarı, sürüş devamlılığı</v>
      </c>
      <c r="O101" s="128" t="str">
        <f>[3]Sayfa1!$P98</f>
        <v>C(Sisteme etki etmeyen arıza)</v>
      </c>
      <c r="P101" s="128" t="str">
        <f>[3]Sayfa1!$Q98</f>
        <v>N.A(Yaralanma yok)</v>
      </c>
      <c r="Q101" s="129" t="str" cm="1">
        <f t="array" ref="Q101">_xlfn.IFS([3]Sayfa1!$R98="Bozankaya","Bozankaya",[3]Sayfa1!$R98="İşletme","Customer",[3]Sayfa1!$R98="Tedarikçi","Equipment Supplier")</f>
        <v>Bozankaya</v>
      </c>
      <c r="R101" s="130" t="str">
        <f>[3]Sayfa1!$M98</f>
        <v>Araç içi aydınlatma LEDdriver arızalı olduğu tespit edildi.</v>
      </c>
      <c r="S101" s="147">
        <f>[3]Sayfa1!$AB98</f>
        <v>0</v>
      </c>
      <c r="T101" s="147">
        <f>[3]Sayfa1!$AA98</f>
        <v>0</v>
      </c>
      <c r="U101" s="131">
        <f>[3]Sayfa1!$AN98</f>
        <v>0</v>
      </c>
      <c r="V101" s="132">
        <f>[3]Sayfa1!$T98</f>
        <v>45328</v>
      </c>
      <c r="W101" s="133">
        <f>[3]Sayfa1!$U98</f>
        <v>45328.4</v>
      </c>
      <c r="X101" s="134">
        <f t="shared" si="12"/>
        <v>45328.4</v>
      </c>
      <c r="Y101" s="123" t="str">
        <f>[3]Sayfa1!$AQ98</f>
        <v/>
      </c>
      <c r="Z101" s="135">
        <f>[3]Sayfa1!$AR98</f>
        <v>0</v>
      </c>
      <c r="AA101" s="134">
        <f t="shared" si="13"/>
        <v>0</v>
      </c>
      <c r="AB101" s="136">
        <f t="shared" si="14"/>
        <v>0</v>
      </c>
      <c r="AC101" s="137" t="str">
        <f t="shared" si="15"/>
        <v/>
      </c>
      <c r="AD101" s="135">
        <f t="shared" si="16"/>
        <v>0</v>
      </c>
      <c r="AE101" s="138">
        <f t="shared" si="17"/>
        <v>0</v>
      </c>
      <c r="AF101" s="139" t="str">
        <f>[3]Sayfa1!$AP98</f>
        <v>(I) İlk defa karşılaşılan arıza</v>
      </c>
      <c r="AG101" s="128" t="str">
        <f>IF([3]Sayfa1!$P98="C(Sisteme etki etmeyen arıza)","Bu Arıza Aracın Servise Verilmesine Engel Değil","Bu Arıza Aracın Servise Verilmesine Engel")</f>
        <v>Bu Arıza Aracın Servise Verilmesine Engel Değil</v>
      </c>
      <c r="AH101" s="140" t="str">
        <f>[3]Sayfa1!$AC98</f>
        <v>41-HBR-23-019</v>
      </c>
      <c r="AI101" s="137"/>
      <c r="AJ101" s="137"/>
      <c r="AK101" s="138">
        <f t="shared" si="18"/>
        <v>0</v>
      </c>
      <c r="AL101" s="136">
        <f t="shared" si="19"/>
        <v>0</v>
      </c>
      <c r="AM101" s="136">
        <f t="shared" si="20"/>
        <v>0</v>
      </c>
      <c r="AN101" s="141" t="str">
        <f t="shared" si="21"/>
        <v>Bozankaya</v>
      </c>
      <c r="AO101" s="141" t="str">
        <f>[3]Sayfa1!$X98</f>
        <v>E826-8015</v>
      </c>
      <c r="AP101" s="141" t="str">
        <f>[3]Sayfa1!$Z98</f>
        <v>22.1558 DFC 2022(R1)</v>
      </c>
      <c r="AQ101" s="122" t="str">
        <f>[3]Sayfa1!$W98</f>
        <v>Led driver</v>
      </c>
      <c r="AR101" s="142">
        <f>[3]Sayfa1!$Y98</f>
        <v>1</v>
      </c>
      <c r="AS101" s="143">
        <f>[3]Sayfa1!$AD98</f>
        <v>0</v>
      </c>
      <c r="AT101" s="137" t="str">
        <f>[3]Sayfa1!$AE98</f>
        <v/>
      </c>
      <c r="AU101" s="137" t="str">
        <f>[3]Sayfa1!$AH98</f>
        <v/>
      </c>
      <c r="AV101" s="144">
        <v>97</v>
      </c>
      <c r="AW101" s="145" t="e">
        <f>U101*AB101*#REF!</f>
        <v>#REF!</v>
      </c>
    </row>
    <row r="102" spans="1:49" ht="101.25" customHeight="1">
      <c r="A102" s="119" t="s">
        <v>57</v>
      </c>
      <c r="B102" s="120" t="str">
        <f>[3]Sayfa1!$G99</f>
        <v>TS#3</v>
      </c>
      <c r="C102" s="121" t="str">
        <f>[3]Sayfa1!$H99</f>
        <v>Mc1</v>
      </c>
      <c r="D102" s="146">
        <f>[3]Sayfa1!$N99</f>
        <v>1</v>
      </c>
      <c r="E102" s="122" t="str">
        <f>[3]Sayfa1!$B99</f>
        <v>FRACAS-GDM-098</v>
      </c>
      <c r="F102" s="123">
        <f>[3]Sayfa1!$E99</f>
        <v>45328</v>
      </c>
      <c r="G102" s="124">
        <f>[3]Sayfa1!$F99</f>
        <v>45328.400694444441</v>
      </c>
      <c r="H102" s="119" t="str">
        <f>[3]Sayfa1!$I99</f>
        <v>Depo/Depot</v>
      </c>
      <c r="I102" s="125" t="str">
        <f>IF([3]Sayfa1!$K99="SSH","Notified by Bozankaya","Notified by Customer")</f>
        <v>Notified by Customer</v>
      </c>
      <c r="J102" s="119" t="e">
        <f>VLOOKUP([3]Sayfa1!$AU99,#REF!,2,FALSE)</f>
        <v>#REF!</v>
      </c>
      <c r="K102" s="119" t="str">
        <f>[3]Sayfa1!$V99</f>
        <v>Bozankaya</v>
      </c>
      <c r="L102" s="126" t="str">
        <f t="shared" si="11"/>
        <v>GDM7X4-FRACAS-GDM-098</v>
      </c>
      <c r="M102" s="127" t="str">
        <f>[3]Sayfa1!$L99</f>
        <v>Dashboard pantograf bilgi ledi rengi yanlış</v>
      </c>
      <c r="N102" s="128" t="str">
        <f>[3]Sayfa1!$J99</f>
        <v>C-Uyarı, sürüş devamlılığı</v>
      </c>
      <c r="O102" s="128" t="str">
        <f>[3]Sayfa1!$P99</f>
        <v>C(Sisteme etki etmeyen arıza)</v>
      </c>
      <c r="P102" s="128" t="str">
        <f>[3]Sayfa1!$Q99</f>
        <v>N.A(Yaralanma yok)</v>
      </c>
      <c r="Q102" s="129" t="str" cm="1">
        <f t="array" ref="Q102">_xlfn.IFS([3]Sayfa1!$R99="Bozankaya","Bozankaya",[3]Sayfa1!$R99="İşletme","Customer",[3]Sayfa1!$R99="Tedarikçi","Equipment Supplier")</f>
        <v>Bozankaya</v>
      </c>
      <c r="R102" s="130" t="str">
        <f>[3]Sayfa1!$M99</f>
        <v>Dashboard pantograf aşağıda bilgi ledileri kırmızı olarak montaj edilmiş. Yeşil olması gerekirdi.</v>
      </c>
      <c r="S102" s="147">
        <f>[3]Sayfa1!$AB99</f>
        <v>0</v>
      </c>
      <c r="T102" s="147">
        <f>[3]Sayfa1!$AA99</f>
        <v>0</v>
      </c>
      <c r="U102" s="131">
        <f>[3]Sayfa1!$AN99</f>
        <v>0</v>
      </c>
      <c r="V102" s="132">
        <f>[3]Sayfa1!$T99</f>
        <v>45328</v>
      </c>
      <c r="W102" s="133">
        <f>[3]Sayfa1!$U99</f>
        <v>45328.402777777781</v>
      </c>
      <c r="X102" s="134">
        <f t="shared" si="12"/>
        <v>45328.402777777781</v>
      </c>
      <c r="Y102" s="123" t="str">
        <f>[3]Sayfa1!$AQ99</f>
        <v/>
      </c>
      <c r="Z102" s="135">
        <f>[3]Sayfa1!$AR99</f>
        <v>0</v>
      </c>
      <c r="AA102" s="134">
        <f t="shared" si="13"/>
        <v>0</v>
      </c>
      <c r="AB102" s="136">
        <f t="shared" si="14"/>
        <v>0</v>
      </c>
      <c r="AC102" s="137" t="str">
        <f t="shared" si="15"/>
        <v/>
      </c>
      <c r="AD102" s="135">
        <f t="shared" si="16"/>
        <v>0</v>
      </c>
      <c r="AE102" s="138">
        <f t="shared" si="17"/>
        <v>0</v>
      </c>
      <c r="AF102" s="139" t="str">
        <f>[3]Sayfa1!$AP99</f>
        <v>(I) İlk defa karşılaşılan arıza</v>
      </c>
      <c r="AG102" s="128" t="str">
        <f>IF([3]Sayfa1!$P99="C(Sisteme etki etmeyen arıza)","Bu Arıza Aracın Servise Verilmesine Engel Değil","Bu Arıza Aracın Servise Verilmesine Engel")</f>
        <v>Bu Arıza Aracın Servise Verilmesine Engel Değil</v>
      </c>
      <c r="AH102" s="140" t="str">
        <f>[3]Sayfa1!$AC99</f>
        <v>41-HBR-23-020</v>
      </c>
      <c r="AI102" s="137"/>
      <c r="AJ102" s="137"/>
      <c r="AK102" s="138">
        <f t="shared" si="18"/>
        <v>0</v>
      </c>
      <c r="AL102" s="136">
        <f t="shared" si="19"/>
        <v>0</v>
      </c>
      <c r="AM102" s="136">
        <f t="shared" si="20"/>
        <v>0</v>
      </c>
      <c r="AN102" s="141" t="str">
        <f t="shared" si="21"/>
        <v>Bozankaya</v>
      </c>
      <c r="AO102" s="141" t="str">
        <f>[3]Sayfa1!$X99</f>
        <v>E300-0801</v>
      </c>
      <c r="AP102" s="141">
        <f>[3]Sayfa1!$Z99</f>
        <v>0</v>
      </c>
      <c r="AQ102" s="122" t="str">
        <f>[3]Sayfa1!$W99</f>
        <v>DASHBOARD PANEL MONTAJI</v>
      </c>
      <c r="AR102" s="142">
        <f>[3]Sayfa1!$Y99</f>
        <v>2</v>
      </c>
      <c r="AS102" s="143">
        <f>[3]Sayfa1!$AD99</f>
        <v>0</v>
      </c>
      <c r="AT102" s="137" t="str">
        <f>[3]Sayfa1!$AE99</f>
        <v/>
      </c>
      <c r="AU102" s="137" t="str">
        <f>[3]Sayfa1!$AH99</f>
        <v/>
      </c>
      <c r="AV102" s="144">
        <v>98</v>
      </c>
      <c r="AW102" s="145" t="e">
        <f>U102*AB102*#REF!</f>
        <v>#REF!</v>
      </c>
    </row>
    <row r="103" spans="1:49" ht="101.25" customHeight="1">
      <c r="A103" s="119" t="s">
        <v>57</v>
      </c>
      <c r="B103" s="120" t="str">
        <f>[3]Sayfa1!$G100</f>
        <v>TS#1</v>
      </c>
      <c r="C103" s="121" t="str">
        <f>[3]Sayfa1!$H100</f>
        <v>Mc1</v>
      </c>
      <c r="D103" s="146">
        <f>[3]Sayfa1!$N100</f>
        <v>319</v>
      </c>
      <c r="E103" s="122" t="str">
        <f>[3]Sayfa1!$B100</f>
        <v>FRACAS-GDM-099</v>
      </c>
      <c r="F103" s="123">
        <f>[3]Sayfa1!$E100</f>
        <v>45328</v>
      </c>
      <c r="G103" s="124">
        <f>[3]Sayfa1!$F100</f>
        <v>45328.404861111114</v>
      </c>
      <c r="H103" s="119" t="str">
        <f>[3]Sayfa1!$I100</f>
        <v>Depo/Depot</v>
      </c>
      <c r="I103" s="125" t="str">
        <f>IF([3]Sayfa1!$K100="SSH","Notified by Bozankaya","Notified by Customer")</f>
        <v>Notified by Customer</v>
      </c>
      <c r="J103" s="119" t="e">
        <f>VLOOKUP([3]Sayfa1!$AU100,#REF!,2,FALSE)</f>
        <v>#REF!</v>
      </c>
      <c r="K103" s="119" t="str">
        <f>[3]Sayfa1!$V100</f>
        <v>Bozankaya</v>
      </c>
      <c r="L103" s="126" t="str">
        <f t="shared" si="11"/>
        <v>GDM7X4-FRACAS-GDM-099</v>
      </c>
      <c r="M103" s="127" t="str">
        <f>[3]Sayfa1!$L100</f>
        <v>Dashboard çizilmesi</v>
      </c>
      <c r="N103" s="128" t="str">
        <f>[3]Sayfa1!$J100</f>
        <v>C-Uyarı, sürüş devamlılığı</v>
      </c>
      <c r="O103" s="128" t="str">
        <f>[3]Sayfa1!$P100</f>
        <v>C(Sisteme etki etmeyen arıza)</v>
      </c>
      <c r="P103" s="128" t="str">
        <f>[3]Sayfa1!$Q100</f>
        <v>N.A(Yaralanma yok)</v>
      </c>
      <c r="Q103" s="129" t="str" cm="1">
        <f t="array" ref="Q103">_xlfn.IFS([3]Sayfa1!$R100="Bozankaya","Bozankaya",[3]Sayfa1!$R100="İşletme","Customer",[3]Sayfa1!$R100="Tedarikçi","Equipment Supplier")</f>
        <v>Bozankaya</v>
      </c>
      <c r="R103" s="130" t="str">
        <f>[3]Sayfa1!$M100</f>
        <v xml:space="preserve">Dashboard trim kapağının kilidi dashboard çizilmesine neden olmaktadır.MC1 de. </v>
      </c>
      <c r="S103" s="147">
        <f>[3]Sayfa1!$AB100</f>
        <v>0</v>
      </c>
      <c r="T103" s="147">
        <f>[3]Sayfa1!$AA100</f>
        <v>0</v>
      </c>
      <c r="U103" s="131">
        <f>[3]Sayfa1!$AN100</f>
        <v>0</v>
      </c>
      <c r="V103" s="132">
        <f>[3]Sayfa1!$T100</f>
        <v>45328</v>
      </c>
      <c r="W103" s="133">
        <f>[3]Sayfa1!$U100</f>
        <v>45328.40625</v>
      </c>
      <c r="X103" s="134">
        <f t="shared" si="12"/>
        <v>45328.40625</v>
      </c>
      <c r="Y103" s="123" t="str">
        <f>[3]Sayfa1!$AQ100</f>
        <v/>
      </c>
      <c r="Z103" s="135">
        <f>[3]Sayfa1!$AR100</f>
        <v>0</v>
      </c>
      <c r="AA103" s="134">
        <f t="shared" si="13"/>
        <v>0</v>
      </c>
      <c r="AB103" s="136">
        <f t="shared" si="14"/>
        <v>0</v>
      </c>
      <c r="AC103" s="137" t="str">
        <f t="shared" si="15"/>
        <v/>
      </c>
      <c r="AD103" s="135">
        <f t="shared" si="16"/>
        <v>0</v>
      </c>
      <c r="AE103" s="138">
        <f t="shared" si="17"/>
        <v>0</v>
      </c>
      <c r="AF103" s="139" t="str">
        <f>[3]Sayfa1!$AP100</f>
        <v>(I) İlk defa karşılaşılan arıza</v>
      </c>
      <c r="AG103" s="128" t="str">
        <f>IF([3]Sayfa1!$P100="C(Sisteme etki etmeyen arıza)","Bu Arıza Aracın Servise Verilmesine Engel Değil","Bu Arıza Aracın Servise Verilmesine Engel")</f>
        <v>Bu Arıza Aracın Servise Verilmesine Engel Değil</v>
      </c>
      <c r="AH103" s="140" t="str">
        <f>[3]Sayfa1!$AC100</f>
        <v>41-HBR-23-021</v>
      </c>
      <c r="AI103" s="137"/>
      <c r="AJ103" s="137"/>
      <c r="AK103" s="138">
        <f t="shared" si="18"/>
        <v>0</v>
      </c>
      <c r="AL103" s="136">
        <f t="shared" si="19"/>
        <v>0</v>
      </c>
      <c r="AM103" s="136">
        <f t="shared" si="20"/>
        <v>0</v>
      </c>
      <c r="AN103" s="141" t="str">
        <f t="shared" si="21"/>
        <v>Bozankaya</v>
      </c>
      <c r="AO103" s="141" t="str">
        <f>[3]Sayfa1!$X100</f>
        <v>E300-8063</v>
      </c>
      <c r="AP103" s="141">
        <f>[3]Sayfa1!$Z100</f>
        <v>0</v>
      </c>
      <c r="AQ103" s="122" t="str">
        <f>[3]Sayfa1!$W100</f>
        <v>DASHBOARD ANA PANEL SACI</v>
      </c>
      <c r="AR103" s="142">
        <f>[3]Sayfa1!$Y100</f>
        <v>1</v>
      </c>
      <c r="AS103" s="143">
        <f>[3]Sayfa1!$AD100</f>
        <v>0</v>
      </c>
      <c r="AT103" s="137" t="str">
        <f>[3]Sayfa1!$AE100</f>
        <v/>
      </c>
      <c r="AU103" s="137" t="str">
        <f>[3]Sayfa1!$AH100</f>
        <v/>
      </c>
      <c r="AV103" s="144">
        <v>99</v>
      </c>
      <c r="AW103" s="145" t="e">
        <f>U103*AB103*#REF!</f>
        <v>#REF!</v>
      </c>
    </row>
    <row r="104" spans="1:49" ht="101.25" customHeight="1">
      <c r="A104" s="119" t="s">
        <v>57</v>
      </c>
      <c r="B104" s="120" t="str">
        <f>[3]Sayfa1!$G101</f>
        <v>TS#1</v>
      </c>
      <c r="C104" s="121" t="str">
        <f>[3]Sayfa1!$H101</f>
        <v>Mc1</v>
      </c>
      <c r="D104" s="146">
        <f>[3]Sayfa1!$N101</f>
        <v>319</v>
      </c>
      <c r="E104" s="122" t="str">
        <f>[3]Sayfa1!$B101</f>
        <v>FRACAS-GDM-100</v>
      </c>
      <c r="F104" s="123">
        <f>[3]Sayfa1!$E101</f>
        <v>45328</v>
      </c>
      <c r="G104" s="124">
        <f>[3]Sayfa1!$F101</f>
        <v>45328.40902777778</v>
      </c>
      <c r="H104" s="119" t="str">
        <f>[3]Sayfa1!$I101</f>
        <v>Depo/Depot</v>
      </c>
      <c r="I104" s="125" t="str">
        <f>IF([3]Sayfa1!$K101="SSH","Notified by Bozankaya","Notified by Customer")</f>
        <v>Notified by Customer</v>
      </c>
      <c r="J104" s="119" t="e">
        <f>VLOOKUP([3]Sayfa1!$AU101,#REF!,2,FALSE)</f>
        <v>#REF!</v>
      </c>
      <c r="K104" s="119" t="str">
        <f>[3]Sayfa1!$V101</f>
        <v>Bozankaya</v>
      </c>
      <c r="L104" s="126" t="str">
        <f t="shared" si="11"/>
        <v>GDM7X4-FRACAS-GDM-100</v>
      </c>
      <c r="M104" s="127" t="str">
        <f>[3]Sayfa1!$L101</f>
        <v>Kapı üstü ekran camı yok</v>
      </c>
      <c r="N104" s="128" t="str">
        <f>[3]Sayfa1!$J101</f>
        <v>C-Uyarı, sürüş devamlılığı</v>
      </c>
      <c r="O104" s="128" t="str">
        <f>[3]Sayfa1!$P101</f>
        <v>C(Sisteme etki etmeyen arıza)</v>
      </c>
      <c r="P104" s="128" t="str">
        <f>[3]Sayfa1!$Q101</f>
        <v>N.A(Yaralanma yok)</v>
      </c>
      <c r="Q104" s="129" t="str" cm="1">
        <f t="array" ref="Q104">_xlfn.IFS([3]Sayfa1!$R101="Bozankaya","Bozankaya",[3]Sayfa1!$R101="İşletme","Customer",[3]Sayfa1!$R101="Tedarikçi","Equipment Supplier")</f>
        <v>Bozankaya</v>
      </c>
      <c r="R104" s="130" t="str">
        <f>[3]Sayfa1!$M101</f>
        <v>3 adet kapı üstü ekran camlarının montajı yapılmamıştır. (2. 3. ve 4. Kapılara ait)</v>
      </c>
      <c r="S104" s="147">
        <f>[3]Sayfa1!$AB101</f>
        <v>0</v>
      </c>
      <c r="T104" s="147">
        <f>[3]Sayfa1!$AA101</f>
        <v>0</v>
      </c>
      <c r="U104" s="131">
        <f>[3]Sayfa1!$AN101</f>
        <v>0</v>
      </c>
      <c r="V104" s="132">
        <f>[3]Sayfa1!$T101</f>
        <v>45328</v>
      </c>
      <c r="W104" s="133">
        <f>[3]Sayfa1!$U101</f>
        <v>45328.409722222219</v>
      </c>
      <c r="X104" s="134">
        <f t="shared" si="12"/>
        <v>45328.409722222219</v>
      </c>
      <c r="Y104" s="123" t="str">
        <f>[3]Sayfa1!$AQ101</f>
        <v/>
      </c>
      <c r="Z104" s="135">
        <f>[3]Sayfa1!$AR101</f>
        <v>0</v>
      </c>
      <c r="AA104" s="134">
        <f t="shared" si="13"/>
        <v>0</v>
      </c>
      <c r="AB104" s="136">
        <f t="shared" si="14"/>
        <v>0</v>
      </c>
      <c r="AC104" s="137" t="str">
        <f t="shared" si="15"/>
        <v/>
      </c>
      <c r="AD104" s="135">
        <f t="shared" si="16"/>
        <v>0</v>
      </c>
      <c r="AE104" s="138">
        <f t="shared" si="17"/>
        <v>0</v>
      </c>
      <c r="AF104" s="139" t="str">
        <f>[3]Sayfa1!$AP101</f>
        <v>(II) Birden fazla karşılaşılan arıza</v>
      </c>
      <c r="AG104" s="128" t="str">
        <f>IF([3]Sayfa1!$P101="C(Sisteme etki etmeyen arıza)","Bu Arıza Aracın Servise Verilmesine Engel Değil","Bu Arıza Aracın Servise Verilmesine Engel")</f>
        <v>Bu Arıza Aracın Servise Verilmesine Engel Değil</v>
      </c>
      <c r="AH104" s="140" t="str">
        <f>[3]Sayfa1!$AC101</f>
        <v>41-HBR-23-022</v>
      </c>
      <c r="AI104" s="137"/>
      <c r="AJ104" s="137"/>
      <c r="AK104" s="138">
        <f t="shared" si="18"/>
        <v>0</v>
      </c>
      <c r="AL104" s="136">
        <f t="shared" si="19"/>
        <v>0</v>
      </c>
      <c r="AM104" s="136">
        <f t="shared" si="20"/>
        <v>0</v>
      </c>
      <c r="AN104" s="141" t="str">
        <f t="shared" si="21"/>
        <v>Bozankaya</v>
      </c>
      <c r="AO104" s="141" t="str">
        <f>[3]Sayfa1!$X101</f>
        <v>T546-0805</v>
      </c>
      <c r="AP104" s="141">
        <f>[3]Sayfa1!$Z101</f>
        <v>0</v>
      </c>
      <c r="AQ104" s="122" t="str">
        <f>[3]Sayfa1!$W101</f>
        <v>KAPI ÜSTÜ SERVİS KAPAĞI MONTAJI</v>
      </c>
      <c r="AR104" s="142">
        <f>[3]Sayfa1!$Y101</f>
        <v>3</v>
      </c>
      <c r="AS104" s="143">
        <f>[3]Sayfa1!$AD101</f>
        <v>0</v>
      </c>
      <c r="AT104" s="137" t="str">
        <f>[3]Sayfa1!$AE101</f>
        <v/>
      </c>
      <c r="AU104" s="137" t="str">
        <f>[3]Sayfa1!$AH101</f>
        <v/>
      </c>
      <c r="AV104" s="144">
        <v>100</v>
      </c>
      <c r="AW104" s="145" t="e">
        <f>U104*AB104*#REF!</f>
        <v>#REF!</v>
      </c>
    </row>
    <row r="105" spans="1:49" ht="101.25" customHeight="1">
      <c r="A105" s="119" t="s">
        <v>57</v>
      </c>
      <c r="B105" s="120" t="str">
        <f>[3]Sayfa1!$G102</f>
        <v>TS#1</v>
      </c>
      <c r="C105" s="121" t="str">
        <f>[3]Sayfa1!$H102</f>
        <v>Mc2</v>
      </c>
      <c r="D105" s="146">
        <f>[3]Sayfa1!$N102</f>
        <v>319</v>
      </c>
      <c r="E105" s="122" t="str">
        <f>[3]Sayfa1!$B102</f>
        <v>FRACAS-GDM-101</v>
      </c>
      <c r="F105" s="123">
        <f>[3]Sayfa1!$E102</f>
        <v>45328</v>
      </c>
      <c r="G105" s="124">
        <f>[3]Sayfa1!$F102</f>
        <v>45328.411805555559</v>
      </c>
      <c r="H105" s="119" t="str">
        <f>[3]Sayfa1!$I102</f>
        <v>Depo/Depot</v>
      </c>
      <c r="I105" s="125" t="str">
        <f>IF([3]Sayfa1!$K102="SSH","Notified by Bozankaya","Notified by Customer")</f>
        <v>Notified by Customer</v>
      </c>
      <c r="J105" s="119" t="e">
        <f>VLOOKUP([3]Sayfa1!$AU102,#REF!,2,FALSE)</f>
        <v>#REF!</v>
      </c>
      <c r="K105" s="119" t="str">
        <f>[3]Sayfa1!$V102</f>
        <v>Bozankaya</v>
      </c>
      <c r="L105" s="126" t="str">
        <f t="shared" si="11"/>
        <v>GDM7X4-FRACAS-GDM-101</v>
      </c>
      <c r="M105" s="127" t="str">
        <f>[3]Sayfa1!$L102</f>
        <v>Kapı üstü ekran camı yok</v>
      </c>
      <c r="N105" s="128" t="str">
        <f>[3]Sayfa1!$J102</f>
        <v>C-Uyarı, sürüş devamlılığı</v>
      </c>
      <c r="O105" s="128" t="str">
        <f>[3]Sayfa1!$P102</f>
        <v>C(Sisteme etki etmeyen arıza)</v>
      </c>
      <c r="P105" s="128" t="str">
        <f>[3]Sayfa1!$Q102</f>
        <v>N.A(Yaralanma yok)</v>
      </c>
      <c r="Q105" s="129" t="str" cm="1">
        <f t="array" ref="Q105">_xlfn.IFS([3]Sayfa1!$R102="Bozankaya","Bozankaya",[3]Sayfa1!$R102="İşletme","Customer",[3]Sayfa1!$R102="Tedarikçi","Equipment Supplier")</f>
        <v>Bozankaya</v>
      </c>
      <c r="R105" s="130" t="str">
        <f>[3]Sayfa1!$M102</f>
        <v>Bilgilendirme ekranının cam montajı yapılmamıştır.</v>
      </c>
      <c r="S105" s="147">
        <f>[3]Sayfa1!$AB102</f>
        <v>0</v>
      </c>
      <c r="T105" s="147">
        <f>[3]Sayfa1!$AA102</f>
        <v>0</v>
      </c>
      <c r="U105" s="131">
        <f>[3]Sayfa1!$AN102</f>
        <v>0</v>
      </c>
      <c r="V105" s="132">
        <f>[3]Sayfa1!$T102</f>
        <v>45328</v>
      </c>
      <c r="W105" s="133">
        <f>[3]Sayfa1!$U102</f>
        <v>45328.412499999999</v>
      </c>
      <c r="X105" s="134">
        <f t="shared" si="12"/>
        <v>45328.412499999999</v>
      </c>
      <c r="Y105" s="123" t="str">
        <f>[3]Sayfa1!$AQ102</f>
        <v/>
      </c>
      <c r="Z105" s="135">
        <f>[3]Sayfa1!$AR102</f>
        <v>0</v>
      </c>
      <c r="AA105" s="134">
        <f t="shared" si="13"/>
        <v>0</v>
      </c>
      <c r="AB105" s="136">
        <f t="shared" si="14"/>
        <v>0</v>
      </c>
      <c r="AC105" s="137" t="str">
        <f t="shared" si="15"/>
        <v/>
      </c>
      <c r="AD105" s="135">
        <f t="shared" si="16"/>
        <v>0</v>
      </c>
      <c r="AE105" s="138">
        <f t="shared" si="17"/>
        <v>0</v>
      </c>
      <c r="AF105" s="139" t="str">
        <f>[3]Sayfa1!$AP102</f>
        <v>(I) İlk defa karşılaşılan arıza</v>
      </c>
      <c r="AG105" s="128" t="str">
        <f>IF([3]Sayfa1!$P102="C(Sisteme etki etmeyen arıza)","Bu Arıza Aracın Servise Verilmesine Engel Değil","Bu Arıza Aracın Servise Verilmesine Engel")</f>
        <v>Bu Arıza Aracın Servise Verilmesine Engel Değil</v>
      </c>
      <c r="AH105" s="140" t="str">
        <f>[3]Sayfa1!$AC102</f>
        <v>41-HBR-23-022</v>
      </c>
      <c r="AI105" s="137"/>
      <c r="AJ105" s="137"/>
      <c r="AK105" s="138">
        <f t="shared" si="18"/>
        <v>0</v>
      </c>
      <c r="AL105" s="136">
        <f t="shared" si="19"/>
        <v>0</v>
      </c>
      <c r="AM105" s="136">
        <f t="shared" si="20"/>
        <v>0</v>
      </c>
      <c r="AN105" s="141" t="str">
        <f t="shared" si="21"/>
        <v>Bozankaya</v>
      </c>
      <c r="AO105" s="141" t="str">
        <f>[3]Sayfa1!$X102</f>
        <v>T546-0805</v>
      </c>
      <c r="AP105" s="141">
        <f>[3]Sayfa1!$Z102</f>
        <v>0</v>
      </c>
      <c r="AQ105" s="122" t="str">
        <f>[3]Sayfa1!$W102</f>
        <v>KAPI ÜSTÜ SERVİS KAPAĞI MONTAJI</v>
      </c>
      <c r="AR105" s="142">
        <f>[3]Sayfa1!$Y102</f>
        <v>1</v>
      </c>
      <c r="AS105" s="143">
        <f>[3]Sayfa1!$AD102</f>
        <v>0</v>
      </c>
      <c r="AT105" s="137" t="str">
        <f>[3]Sayfa1!$AE102</f>
        <v/>
      </c>
      <c r="AU105" s="137" t="str">
        <f>[3]Sayfa1!$AH102</f>
        <v/>
      </c>
      <c r="AV105" s="144">
        <v>101</v>
      </c>
      <c r="AW105" s="145" t="e">
        <f>U105*AB105*#REF!</f>
        <v>#REF!</v>
      </c>
    </row>
    <row r="106" spans="1:49" ht="101.25" customHeight="1">
      <c r="A106" s="119" t="s">
        <v>57</v>
      </c>
      <c r="B106" s="120" t="str">
        <f>[3]Sayfa1!$G103</f>
        <v>TS#2</v>
      </c>
      <c r="C106" s="121" t="str">
        <f>[3]Sayfa1!$H103</f>
        <v>Mc1</v>
      </c>
      <c r="D106" s="146">
        <f>[3]Sayfa1!$N103</f>
        <v>1</v>
      </c>
      <c r="E106" s="122" t="str">
        <f>[3]Sayfa1!$B103</f>
        <v>FRACAS-GDM-102</v>
      </c>
      <c r="F106" s="123">
        <f>[3]Sayfa1!$E103</f>
        <v>45328</v>
      </c>
      <c r="G106" s="124">
        <f>[3]Sayfa1!$F103</f>
        <v>45328.415277777778</v>
      </c>
      <c r="H106" s="119" t="str">
        <f>[3]Sayfa1!$I103</f>
        <v>Depo/Depot</v>
      </c>
      <c r="I106" s="125" t="str">
        <f>IF([3]Sayfa1!$K103="SSH","Notified by Bozankaya","Notified by Customer")</f>
        <v>Notified by Customer</v>
      </c>
      <c r="J106" s="119" t="e">
        <f>VLOOKUP([3]Sayfa1!$AU103,#REF!,2,FALSE)</f>
        <v>#REF!</v>
      </c>
      <c r="K106" s="119" t="str">
        <f>[3]Sayfa1!$V103</f>
        <v>Bozankaya</v>
      </c>
      <c r="L106" s="126" t="str">
        <f t="shared" si="11"/>
        <v>GDM7X4-FRACAS-GDM-102</v>
      </c>
      <c r="M106" s="127" t="str">
        <f>[3]Sayfa1!$L103</f>
        <v>Kapı üstü ekran camı kırık</v>
      </c>
      <c r="N106" s="128" t="str">
        <f>[3]Sayfa1!$J103</f>
        <v>C-Uyarı, sürüş devamlılığı</v>
      </c>
      <c r="O106" s="128" t="str">
        <f>[3]Sayfa1!$P103</f>
        <v>C(Sisteme etki etmeyen arıza)</v>
      </c>
      <c r="P106" s="128" t="str">
        <f>[3]Sayfa1!$Q103</f>
        <v>N.A(Yaralanma yok)</v>
      </c>
      <c r="Q106" s="129" t="str" cm="1">
        <f t="array" ref="Q106">_xlfn.IFS([3]Sayfa1!$R103="Bozankaya","Bozankaya",[3]Sayfa1!$R103="İşletme","Customer",[3]Sayfa1!$R103="Tedarikçi","Equipment Supplier")</f>
        <v>Bozankaya</v>
      </c>
      <c r="R106" s="130" t="str">
        <f>[3]Sayfa1!$M103</f>
        <v>4.Kapı üstü ekran camı kırık olduğu tespit edildi.</v>
      </c>
      <c r="S106" s="147">
        <f>[3]Sayfa1!$AB103</f>
        <v>0</v>
      </c>
      <c r="T106" s="147">
        <f>[3]Sayfa1!$AA103</f>
        <v>0</v>
      </c>
      <c r="U106" s="131">
        <f>[3]Sayfa1!$AN103</f>
        <v>0</v>
      </c>
      <c r="V106" s="132">
        <f>[3]Sayfa1!$T103</f>
        <v>45328</v>
      </c>
      <c r="W106" s="133">
        <f>[3]Sayfa1!$U103</f>
        <v>45328.415972222225</v>
      </c>
      <c r="X106" s="134">
        <f t="shared" si="12"/>
        <v>45328.415972222225</v>
      </c>
      <c r="Y106" s="123" t="str">
        <f>[3]Sayfa1!$AQ103</f>
        <v/>
      </c>
      <c r="Z106" s="135">
        <f>[3]Sayfa1!$AR103</f>
        <v>0</v>
      </c>
      <c r="AA106" s="134">
        <f t="shared" si="13"/>
        <v>0</v>
      </c>
      <c r="AB106" s="136">
        <f t="shared" si="14"/>
        <v>0</v>
      </c>
      <c r="AC106" s="137" t="str">
        <f t="shared" si="15"/>
        <v/>
      </c>
      <c r="AD106" s="135">
        <f t="shared" si="16"/>
        <v>0</v>
      </c>
      <c r="AE106" s="138">
        <f t="shared" si="17"/>
        <v>0</v>
      </c>
      <c r="AF106" s="139" t="str">
        <f>[3]Sayfa1!$AP103</f>
        <v>(I) İlk defa karşılaşılan arıza</v>
      </c>
      <c r="AG106" s="128" t="str">
        <f>IF([3]Sayfa1!$P103="C(Sisteme etki etmeyen arıza)","Bu Arıza Aracın Servise Verilmesine Engel Değil","Bu Arıza Aracın Servise Verilmesine Engel")</f>
        <v>Bu Arıza Aracın Servise Verilmesine Engel Değil</v>
      </c>
      <c r="AH106" s="140" t="str">
        <f>[3]Sayfa1!$AC103</f>
        <v>41-HBR-23-023</v>
      </c>
      <c r="AI106" s="137"/>
      <c r="AJ106" s="137"/>
      <c r="AK106" s="138">
        <f t="shared" si="18"/>
        <v>0</v>
      </c>
      <c r="AL106" s="136">
        <f t="shared" si="19"/>
        <v>0</v>
      </c>
      <c r="AM106" s="136">
        <f t="shared" si="20"/>
        <v>0</v>
      </c>
      <c r="AN106" s="141" t="str">
        <f t="shared" si="21"/>
        <v>Bozankaya</v>
      </c>
      <c r="AO106" s="141" t="str">
        <f>[3]Sayfa1!$X103</f>
        <v>T546-8021</v>
      </c>
      <c r="AP106" s="141">
        <f>[3]Sayfa1!$Z103</f>
        <v>0</v>
      </c>
      <c r="AQ106" s="122" t="str">
        <f>[3]Sayfa1!$W103</f>
        <v>DRM CAMI</v>
      </c>
      <c r="AR106" s="142">
        <f>[3]Sayfa1!$Y103</f>
        <v>1</v>
      </c>
      <c r="AS106" s="143">
        <f>[3]Sayfa1!$AD103</f>
        <v>0</v>
      </c>
      <c r="AT106" s="137" t="str">
        <f>[3]Sayfa1!$AE103</f>
        <v/>
      </c>
      <c r="AU106" s="137" t="str">
        <f>[3]Sayfa1!$AH103</f>
        <v/>
      </c>
      <c r="AV106" s="144">
        <v>102</v>
      </c>
      <c r="AW106" s="145" t="e">
        <f>U106*AB106*#REF!</f>
        <v>#REF!</v>
      </c>
    </row>
    <row r="107" spans="1:49" ht="101.25" customHeight="1">
      <c r="A107" s="119" t="s">
        <v>57</v>
      </c>
      <c r="B107" s="120" t="str">
        <f>[3]Sayfa1!$G104</f>
        <v>TS#4</v>
      </c>
      <c r="C107" s="121" t="str">
        <f>[3]Sayfa1!$H104</f>
        <v>Mc1 , Mc2</v>
      </c>
      <c r="D107" s="146">
        <f>[3]Sayfa1!$N104</f>
        <v>1</v>
      </c>
      <c r="E107" s="122" t="str">
        <f>[3]Sayfa1!$B104</f>
        <v>FRACAS-GDM-103</v>
      </c>
      <c r="F107" s="123">
        <f>[3]Sayfa1!$E104</f>
        <v>45328</v>
      </c>
      <c r="G107" s="124">
        <f>[3]Sayfa1!$F104</f>
        <v>45328.429166666669</v>
      </c>
      <c r="H107" s="119" t="str">
        <f>[3]Sayfa1!$I104</f>
        <v>Depo/Depot</v>
      </c>
      <c r="I107" s="125" t="str">
        <f>IF([3]Sayfa1!$K104="SSH","Notified by Bozankaya","Notified by Customer")</f>
        <v>Notified by Customer</v>
      </c>
      <c r="J107" s="119" t="e">
        <f>VLOOKUP([3]Sayfa1!$AU104,#REF!,2,FALSE)</f>
        <v>#REF!</v>
      </c>
      <c r="K107" s="119" t="str">
        <f>[3]Sayfa1!$V104</f>
        <v>Bozankaya</v>
      </c>
      <c r="L107" s="126" t="str">
        <f t="shared" si="11"/>
        <v>GDM7X4-FRACAS-GDM-103</v>
      </c>
      <c r="M107" s="127" t="str">
        <f>[3]Sayfa1!$L104</f>
        <v>Kamera ve yangın sensörü montajı yanış.</v>
      </c>
      <c r="N107" s="128" t="str">
        <f>[3]Sayfa1!$J104</f>
        <v>C-Uyarı, sürüş devamlılığı</v>
      </c>
      <c r="O107" s="128" t="str">
        <f>[3]Sayfa1!$P104</f>
        <v>C(Sisteme etki etmeyen arıza)</v>
      </c>
      <c r="P107" s="128" t="str">
        <f>[3]Sayfa1!$Q104</f>
        <v>N.A(Yaralanma yok)</v>
      </c>
      <c r="Q107" s="129" t="str" cm="1">
        <f t="array" ref="Q107">_xlfn.IFS([3]Sayfa1!$R104="Bozankaya","Bozankaya",[3]Sayfa1!$R104="İşletme","Customer",[3]Sayfa1!$R104="Tedarikçi","Equipment Supplier")</f>
        <v>Bozankaya</v>
      </c>
      <c r="R107" s="130" t="str">
        <f>[3]Sayfa1!$M104</f>
        <v>Kamera ve yangın sensörlerinin yerleri konum olarak yanlış montaj yapılmış olduğu tespit edildi. mc1 ve mc2 de</v>
      </c>
      <c r="S107" s="147">
        <f>[3]Sayfa1!$AB104</f>
        <v>0</v>
      </c>
      <c r="T107" s="147">
        <f>[3]Sayfa1!$AA104</f>
        <v>0</v>
      </c>
      <c r="U107" s="131">
        <f>[3]Sayfa1!$AN104</f>
        <v>0</v>
      </c>
      <c r="V107" s="132">
        <f>[3]Sayfa1!$T104</f>
        <v>45328</v>
      </c>
      <c r="W107" s="133">
        <f>[3]Sayfa1!$U104</f>
        <v>45328.429861111108</v>
      </c>
      <c r="X107" s="134">
        <f t="shared" si="12"/>
        <v>45328.429861111108</v>
      </c>
      <c r="Y107" s="123" t="str">
        <f>[3]Sayfa1!$AQ104</f>
        <v/>
      </c>
      <c r="Z107" s="135">
        <f>[3]Sayfa1!$AR104</f>
        <v>0</v>
      </c>
      <c r="AA107" s="134">
        <f t="shared" si="13"/>
        <v>0</v>
      </c>
      <c r="AB107" s="136">
        <f t="shared" si="14"/>
        <v>0</v>
      </c>
      <c r="AC107" s="137" t="str">
        <f t="shared" si="15"/>
        <v/>
      </c>
      <c r="AD107" s="135">
        <f t="shared" si="16"/>
        <v>0</v>
      </c>
      <c r="AE107" s="138">
        <f t="shared" si="17"/>
        <v>0</v>
      </c>
      <c r="AF107" s="139" t="str">
        <f>[3]Sayfa1!$AP104</f>
        <v>(II) Birden fazla karşılaşılan arıza</v>
      </c>
      <c r="AG107" s="128" t="str">
        <f>IF([3]Sayfa1!$P104="C(Sisteme etki etmeyen arıza)","Bu Arıza Aracın Servise Verilmesine Engel Değil","Bu Arıza Aracın Servise Verilmesine Engel")</f>
        <v>Bu Arıza Aracın Servise Verilmesine Engel Değil</v>
      </c>
      <c r="AH107" s="140" t="str">
        <f>[3]Sayfa1!$AC104</f>
        <v>41-HBR-23-024</v>
      </c>
      <c r="AI107" s="137"/>
      <c r="AJ107" s="137"/>
      <c r="AK107" s="138">
        <f t="shared" si="18"/>
        <v>0</v>
      </c>
      <c r="AL107" s="136">
        <f t="shared" si="19"/>
        <v>0</v>
      </c>
      <c r="AM107" s="136">
        <f t="shared" si="20"/>
        <v>0</v>
      </c>
      <c r="AN107" s="141" t="str">
        <f t="shared" si="21"/>
        <v>Bozankaya</v>
      </c>
      <c r="AO107" s="141">
        <f>[3]Sayfa1!$X104</f>
        <v>0</v>
      </c>
      <c r="AP107" s="141">
        <f>[3]Sayfa1!$Z104</f>
        <v>0</v>
      </c>
      <c r="AQ107" s="122">
        <f>[3]Sayfa1!$W104</f>
        <v>0</v>
      </c>
      <c r="AR107" s="142">
        <f>[3]Sayfa1!$Y104</f>
        <v>0</v>
      </c>
      <c r="AS107" s="143">
        <f>[3]Sayfa1!$AD104</f>
        <v>0</v>
      </c>
      <c r="AT107" s="137" t="str">
        <f>[3]Sayfa1!$AE104</f>
        <v/>
      </c>
      <c r="AU107" s="137" t="str">
        <f>[3]Sayfa1!$AH104</f>
        <v/>
      </c>
      <c r="AV107" s="144">
        <v>103</v>
      </c>
      <c r="AW107" s="145" t="e">
        <f>U107*AB107*#REF!</f>
        <v>#REF!</v>
      </c>
    </row>
    <row r="108" spans="1:49" ht="101.25" customHeight="1">
      <c r="A108" s="119" t="s">
        <v>57</v>
      </c>
      <c r="B108" s="120" t="str">
        <f>[3]Sayfa1!$G105</f>
        <v>TS#2</v>
      </c>
      <c r="C108" s="121" t="str">
        <f>[3]Sayfa1!$H105</f>
        <v>Mc1</v>
      </c>
      <c r="D108" s="146">
        <f>[3]Sayfa1!$N105</f>
        <v>1</v>
      </c>
      <c r="E108" s="122" t="str">
        <f>[3]Sayfa1!$B105</f>
        <v>FRACAS-GDM-104</v>
      </c>
      <c r="F108" s="123">
        <f>[3]Sayfa1!$E105</f>
        <v>45328</v>
      </c>
      <c r="G108" s="124">
        <f>[3]Sayfa1!$F105</f>
        <v>45328.430555555555</v>
      </c>
      <c r="H108" s="119" t="str">
        <f>[3]Sayfa1!$I105</f>
        <v>Depo/Depot</v>
      </c>
      <c r="I108" s="125" t="str">
        <f>IF([3]Sayfa1!$K105="SSH","Notified by Bozankaya","Notified by Customer")</f>
        <v>Notified by Customer</v>
      </c>
      <c r="J108" s="119" t="e">
        <f>VLOOKUP([3]Sayfa1!$AU105,#REF!,2,FALSE)</f>
        <v>#REF!</v>
      </c>
      <c r="K108" s="119" t="str">
        <f>[3]Sayfa1!$V105</f>
        <v>Bozankaya</v>
      </c>
      <c r="L108" s="126" t="str">
        <f t="shared" si="11"/>
        <v>GDM7X4-FRACAS-GDM-104</v>
      </c>
      <c r="M108" s="127" t="str">
        <f>[3]Sayfa1!$L105</f>
        <v>Kamera ve yangın sensörü montajı yanış.</v>
      </c>
      <c r="N108" s="128" t="str">
        <f>[3]Sayfa1!$J105</f>
        <v>C-Uyarı, sürüş devamlılığı</v>
      </c>
      <c r="O108" s="128" t="str">
        <f>[3]Sayfa1!$P105</f>
        <v>C(Sisteme etki etmeyen arıza)</v>
      </c>
      <c r="P108" s="128" t="str">
        <f>[3]Sayfa1!$Q105</f>
        <v>N.A(Yaralanma yok)</v>
      </c>
      <c r="Q108" s="129" t="str" cm="1">
        <f t="array" ref="Q108">_xlfn.IFS([3]Sayfa1!$R105="Bozankaya","Bozankaya",[3]Sayfa1!$R105="İşletme","Customer",[3]Sayfa1!$R105="Tedarikçi","Equipment Supplier")</f>
        <v>Bozankaya</v>
      </c>
      <c r="R108" s="130" t="str">
        <f>[3]Sayfa1!$M105</f>
        <v>Kamera ve yangın sensörlerinin yerleri konum olarak yanlış montaj yapılmış olduğu tespit edildi. mc1 de</v>
      </c>
      <c r="S108" s="147">
        <f>[3]Sayfa1!$AB105</f>
        <v>0</v>
      </c>
      <c r="T108" s="147">
        <f>[3]Sayfa1!$AA105</f>
        <v>0</v>
      </c>
      <c r="U108" s="131">
        <f>[3]Sayfa1!$AN105</f>
        <v>0</v>
      </c>
      <c r="V108" s="132">
        <f>[3]Sayfa1!$T105</f>
        <v>45328</v>
      </c>
      <c r="W108" s="133">
        <f>[3]Sayfa1!$U105</f>
        <v>45328.430555555555</v>
      </c>
      <c r="X108" s="134">
        <f t="shared" si="12"/>
        <v>45328.430555555555</v>
      </c>
      <c r="Y108" s="123" t="str">
        <f>[3]Sayfa1!$AQ105</f>
        <v/>
      </c>
      <c r="Z108" s="135">
        <f>[3]Sayfa1!$AR105</f>
        <v>0</v>
      </c>
      <c r="AA108" s="134">
        <f t="shared" si="13"/>
        <v>0</v>
      </c>
      <c r="AB108" s="136">
        <f t="shared" si="14"/>
        <v>0</v>
      </c>
      <c r="AC108" s="137" t="str">
        <f t="shared" si="15"/>
        <v/>
      </c>
      <c r="AD108" s="135">
        <f t="shared" si="16"/>
        <v>0</v>
      </c>
      <c r="AE108" s="138">
        <f t="shared" si="17"/>
        <v>0</v>
      </c>
      <c r="AF108" s="139" t="str">
        <f>[3]Sayfa1!$AP105</f>
        <v>(II) Birden fazla karşılaşılan arıza</v>
      </c>
      <c r="AG108" s="128" t="str">
        <f>IF([3]Sayfa1!$P105="C(Sisteme etki etmeyen arıza)","Bu Arıza Aracın Servise Verilmesine Engel Değil","Bu Arıza Aracın Servise Verilmesine Engel")</f>
        <v>Bu Arıza Aracın Servise Verilmesine Engel Değil</v>
      </c>
      <c r="AH108" s="140" t="str">
        <f>[3]Sayfa1!$AC105</f>
        <v>41-HBR-23-025</v>
      </c>
      <c r="AI108" s="137"/>
      <c r="AJ108" s="137"/>
      <c r="AK108" s="138">
        <f t="shared" si="18"/>
        <v>0</v>
      </c>
      <c r="AL108" s="136">
        <f t="shared" si="19"/>
        <v>0</v>
      </c>
      <c r="AM108" s="136">
        <f t="shared" si="20"/>
        <v>0</v>
      </c>
      <c r="AN108" s="141" t="str">
        <f t="shared" si="21"/>
        <v>Bozankaya</v>
      </c>
      <c r="AO108" s="141">
        <f>[3]Sayfa1!$X105</f>
        <v>0</v>
      </c>
      <c r="AP108" s="141">
        <f>[3]Sayfa1!$Z105</f>
        <v>0</v>
      </c>
      <c r="AQ108" s="122">
        <f>[3]Sayfa1!$W105</f>
        <v>0</v>
      </c>
      <c r="AR108" s="142">
        <f>[3]Sayfa1!$Y105</f>
        <v>0</v>
      </c>
      <c r="AS108" s="143">
        <f>[3]Sayfa1!$AD105</f>
        <v>0</v>
      </c>
      <c r="AT108" s="137" t="str">
        <f>[3]Sayfa1!$AE105</f>
        <v/>
      </c>
      <c r="AU108" s="137" t="str">
        <f>[3]Sayfa1!$AH105</f>
        <v/>
      </c>
      <c r="AV108" s="144">
        <v>104</v>
      </c>
      <c r="AW108" s="145" t="e">
        <f>U108*AB108*#REF!</f>
        <v>#REF!</v>
      </c>
    </row>
    <row r="109" spans="1:49" ht="101.25" customHeight="1">
      <c r="A109" s="119" t="s">
        <v>57</v>
      </c>
      <c r="B109" s="120" t="str">
        <f>[3]Sayfa1!$G106</f>
        <v>TS#1</v>
      </c>
      <c r="C109" s="121" t="str">
        <f>[3]Sayfa1!$H106</f>
        <v>Mc1</v>
      </c>
      <c r="D109" s="146">
        <f>[3]Sayfa1!$N106</f>
        <v>319</v>
      </c>
      <c r="E109" s="122" t="str">
        <f>[3]Sayfa1!$B106</f>
        <v>FRACAS-GDM-105</v>
      </c>
      <c r="F109" s="123">
        <f>[3]Sayfa1!$E106</f>
        <v>45328</v>
      </c>
      <c r="G109" s="124">
        <f>[3]Sayfa1!$F106</f>
        <v>45328.435416666667</v>
      </c>
      <c r="H109" s="119" t="str">
        <f>[3]Sayfa1!$I106</f>
        <v>Depo/Depot</v>
      </c>
      <c r="I109" s="125" t="str">
        <f>IF([3]Sayfa1!$K106="SSH","Notified by Bozankaya","Notified by Customer")</f>
        <v>Notified by Customer</v>
      </c>
      <c r="J109" s="119" t="e">
        <f>VLOOKUP([3]Sayfa1!$AU106,#REF!,2,FALSE)</f>
        <v>#REF!</v>
      </c>
      <c r="K109" s="119" t="str">
        <f>[3]Sayfa1!$V106</f>
        <v>Bozankaya</v>
      </c>
      <c r="L109" s="126" t="str">
        <f t="shared" si="11"/>
        <v>GDM7X4-FRACAS-GDM-105</v>
      </c>
      <c r="M109" s="127" t="str">
        <f>[3]Sayfa1!$L106</f>
        <v>Koltuk altı kapama trimi</v>
      </c>
      <c r="N109" s="128" t="str">
        <f>[3]Sayfa1!$J106</f>
        <v>C-Uyarı, sürüş devamlılığı</v>
      </c>
      <c r="O109" s="128" t="str">
        <f>[3]Sayfa1!$P106</f>
        <v>C(Sisteme etki etmeyen arıza)</v>
      </c>
      <c r="P109" s="128" t="str">
        <f>[3]Sayfa1!$Q106</f>
        <v>N.A(Yaralanma yok)</v>
      </c>
      <c r="Q109" s="129" t="str" cm="1">
        <f t="array" ref="Q109">_xlfn.IFS([3]Sayfa1!$R106="Bozankaya","Bozankaya",[3]Sayfa1!$R106="İşletme","Customer",[3]Sayfa1!$R106="Tedarikçi","Equipment Supplier")</f>
        <v>Bozankaya</v>
      </c>
      <c r="R109" s="130" t="str">
        <f>[3]Sayfa1!$M106</f>
        <v>Koltuk altındaki kapama fren vanaları ve kablo iniş  sistemlerinin trim kapama saçları sürüş esnasın da ses yapmaktadır.</v>
      </c>
      <c r="S109" s="147">
        <f>[3]Sayfa1!$AB106</f>
        <v>0</v>
      </c>
      <c r="T109" s="147">
        <f>[3]Sayfa1!$AA106</f>
        <v>0</v>
      </c>
      <c r="U109" s="131">
        <f>[3]Sayfa1!$AN106</f>
        <v>0</v>
      </c>
      <c r="V109" s="132">
        <f>[3]Sayfa1!$T106</f>
        <v>45328</v>
      </c>
      <c r="W109" s="133">
        <f>[3]Sayfa1!$U106</f>
        <v>45328.438194444447</v>
      </c>
      <c r="X109" s="134">
        <f t="shared" si="12"/>
        <v>45328.438194444447</v>
      </c>
      <c r="Y109" s="123" t="str">
        <f>[3]Sayfa1!$AQ106</f>
        <v/>
      </c>
      <c r="Z109" s="135">
        <f>[3]Sayfa1!$AR106</f>
        <v>0</v>
      </c>
      <c r="AA109" s="134">
        <f t="shared" si="13"/>
        <v>0</v>
      </c>
      <c r="AB109" s="136">
        <f t="shared" si="14"/>
        <v>0</v>
      </c>
      <c r="AC109" s="137" t="str">
        <f t="shared" si="15"/>
        <v/>
      </c>
      <c r="AD109" s="135">
        <f t="shared" si="16"/>
        <v>0</v>
      </c>
      <c r="AE109" s="138">
        <f t="shared" si="17"/>
        <v>0</v>
      </c>
      <c r="AF109" s="139" t="str">
        <f>[3]Sayfa1!$AP106</f>
        <v>(I) İlk defa karşılaşılan arıza</v>
      </c>
      <c r="AG109" s="128" t="str">
        <f>IF([3]Sayfa1!$P106="C(Sisteme etki etmeyen arıza)","Bu Arıza Aracın Servise Verilmesine Engel Değil","Bu Arıza Aracın Servise Verilmesine Engel")</f>
        <v>Bu Arıza Aracın Servise Verilmesine Engel Değil</v>
      </c>
      <c r="AH109" s="140" t="str">
        <f>[3]Sayfa1!$AC106</f>
        <v>41-HBR-23-026</v>
      </c>
      <c r="AI109" s="137"/>
      <c r="AJ109" s="137"/>
      <c r="AK109" s="138">
        <f t="shared" si="18"/>
        <v>0</v>
      </c>
      <c r="AL109" s="136">
        <f t="shared" si="19"/>
        <v>0</v>
      </c>
      <c r="AM109" s="136">
        <f t="shared" si="20"/>
        <v>0</v>
      </c>
      <c r="AN109" s="141" t="str">
        <f t="shared" si="21"/>
        <v>Bozankaya</v>
      </c>
      <c r="AO109" s="141">
        <f>[3]Sayfa1!$X106</f>
        <v>0</v>
      </c>
      <c r="AP109" s="141">
        <f>[3]Sayfa1!$Z106</f>
        <v>0</v>
      </c>
      <c r="AQ109" s="122" t="str">
        <f>[3]Sayfa1!$W106</f>
        <v>KOLTUK ALTI VANA KAPAMA TRİMİ</v>
      </c>
      <c r="AR109" s="142">
        <f>[3]Sayfa1!$Y106</f>
        <v>1</v>
      </c>
      <c r="AS109" s="143">
        <f>[3]Sayfa1!$AD106</f>
        <v>0</v>
      </c>
      <c r="AT109" s="137" t="str">
        <f>[3]Sayfa1!$AE106</f>
        <v/>
      </c>
      <c r="AU109" s="137" t="str">
        <f>[3]Sayfa1!$AH106</f>
        <v/>
      </c>
      <c r="AV109" s="144">
        <v>105</v>
      </c>
      <c r="AW109" s="145" t="e">
        <f>U109*AB109*#REF!</f>
        <v>#REF!</v>
      </c>
    </row>
    <row r="110" spans="1:49" ht="101.25" customHeight="1">
      <c r="A110" s="119" t="s">
        <v>57</v>
      </c>
      <c r="B110" s="120" t="str">
        <f>[3]Sayfa1!$G107</f>
        <v>TS#1</v>
      </c>
      <c r="C110" s="121" t="str">
        <f>[3]Sayfa1!$H107</f>
        <v>Mc2</v>
      </c>
      <c r="D110" s="146">
        <f>[3]Sayfa1!$N107</f>
        <v>319</v>
      </c>
      <c r="E110" s="122" t="str">
        <f>[3]Sayfa1!$B107</f>
        <v>FRACAS-GDM-106</v>
      </c>
      <c r="F110" s="123">
        <f>[3]Sayfa1!$E107</f>
        <v>45329</v>
      </c>
      <c r="G110" s="124">
        <f>[3]Sayfa1!$F107</f>
        <v>45329.508333333331</v>
      </c>
      <c r="H110" s="119" t="str">
        <f>[3]Sayfa1!$I107</f>
        <v>Depo/Depot</v>
      </c>
      <c r="I110" s="125" t="str">
        <f>IF([3]Sayfa1!$K107="SSH","Notified by Bozankaya","Notified by Customer")</f>
        <v>Notified by Customer</v>
      </c>
      <c r="J110" s="119" t="e">
        <f>VLOOKUP([3]Sayfa1!$AU107,#REF!,2,FALSE)</f>
        <v>#REF!</v>
      </c>
      <c r="K110" s="119" t="str">
        <f>[3]Sayfa1!$V107</f>
        <v>Piton</v>
      </c>
      <c r="L110" s="126" t="str">
        <f t="shared" si="11"/>
        <v>GDM7X4-FRACAS-GDM-106</v>
      </c>
      <c r="M110" s="127" t="str">
        <f>[3]Sayfa1!$L107</f>
        <v>Kuğu boynu mikrofon 2 tuşlu</v>
      </c>
      <c r="N110" s="128" t="str">
        <f>[3]Sayfa1!$J107</f>
        <v>C-Uyarı, sürüş devamlılığı</v>
      </c>
      <c r="O110" s="128" t="str">
        <f>[3]Sayfa1!$P107</f>
        <v>C(Sisteme etki etmeyen arıza)</v>
      </c>
      <c r="P110" s="128" t="str">
        <f>[3]Sayfa1!$Q107</f>
        <v>N.A(Yaralanma yok)</v>
      </c>
      <c r="Q110" s="129" t="str" cm="1">
        <f t="array" ref="Q110">_xlfn.IFS([3]Sayfa1!$R107="Bozankaya","Bozankaya",[3]Sayfa1!$R107="İşletme","Customer",[3]Sayfa1!$R107="Tedarikçi","Equipment Supplier")</f>
        <v>Equipment Supplier</v>
      </c>
      <c r="R110" s="130" t="str">
        <f>[3]Sayfa1!$M107</f>
        <v>Kablo bağlantısı kontrol edildi. Başka bir cihaz ile test edildi. Cihazın arızalı olduğu tespit edildi.</v>
      </c>
      <c r="S110" s="147" t="str">
        <f>[3]Sayfa1!$AB107</f>
        <v>Ekipman değiştirilecek</v>
      </c>
      <c r="T110" s="147" t="str">
        <f>[3]Sayfa1!$AA107</f>
        <v>Evet</v>
      </c>
      <c r="U110" s="131">
        <f>[3]Sayfa1!$AN107</f>
        <v>0</v>
      </c>
      <c r="V110" s="132">
        <f>[3]Sayfa1!$T107</f>
        <v>45329</v>
      </c>
      <c r="W110" s="133">
        <f>[3]Sayfa1!$U107</f>
        <v>45329.509722222225</v>
      </c>
      <c r="X110" s="134">
        <f t="shared" si="12"/>
        <v>45329.509722222225</v>
      </c>
      <c r="Y110" s="123" t="str">
        <f>[3]Sayfa1!$AQ107</f>
        <v/>
      </c>
      <c r="Z110" s="135">
        <f>[3]Sayfa1!$AR107</f>
        <v>0</v>
      </c>
      <c r="AA110" s="134">
        <f t="shared" si="13"/>
        <v>0</v>
      </c>
      <c r="AB110" s="136">
        <f t="shared" si="14"/>
        <v>0</v>
      </c>
      <c r="AC110" s="137" t="str">
        <f t="shared" si="15"/>
        <v/>
      </c>
      <c r="AD110" s="135">
        <f t="shared" si="16"/>
        <v>0</v>
      </c>
      <c r="AE110" s="138">
        <f t="shared" si="17"/>
        <v>0</v>
      </c>
      <c r="AF110" s="139" t="str">
        <f>[3]Sayfa1!$AP107</f>
        <v>(I) İlk defa karşılaşılan arıza</v>
      </c>
      <c r="AG110" s="128" t="str">
        <f>IF([3]Sayfa1!$P107="C(Sisteme etki etmeyen arıza)","Bu Arıza Aracın Servise Verilmesine Engel Değil","Bu Arıza Aracın Servise Verilmesine Engel")</f>
        <v>Bu Arıza Aracın Servise Verilmesine Engel Değil</v>
      </c>
      <c r="AH110" s="140" t="str">
        <f>[3]Sayfa1!$AC107</f>
        <v>41-HBR-23-027</v>
      </c>
      <c r="AI110" s="137"/>
      <c r="AJ110" s="137"/>
      <c r="AK110" s="138">
        <f t="shared" si="18"/>
        <v>0</v>
      </c>
      <c r="AL110" s="136">
        <f t="shared" si="19"/>
        <v>0</v>
      </c>
      <c r="AM110" s="136">
        <f t="shared" si="20"/>
        <v>0</v>
      </c>
      <c r="AN110" s="141" t="str">
        <f t="shared" si="21"/>
        <v>Piton</v>
      </c>
      <c r="AO110" s="141" t="str">
        <f>[3]Sayfa1!$X107</f>
        <v>E820-8006</v>
      </c>
      <c r="AP110" s="141" t="str">
        <f>[3]Sayfa1!$Z107</f>
        <v>?</v>
      </c>
      <c r="AQ110" s="122" t="str">
        <f>[3]Sayfa1!$W107</f>
        <v>KUĞU BOYNU MİKROFON 2 TUŞLU</v>
      </c>
      <c r="AR110" s="142">
        <f>[3]Sayfa1!$Y107</f>
        <v>1</v>
      </c>
      <c r="AS110" s="143">
        <f>[3]Sayfa1!$AD107</f>
        <v>0</v>
      </c>
      <c r="AT110" s="137" t="str">
        <f>[3]Sayfa1!$AE107</f>
        <v/>
      </c>
      <c r="AU110" s="137" t="str">
        <f>[3]Sayfa1!$AH107</f>
        <v/>
      </c>
      <c r="AV110" s="144">
        <v>106</v>
      </c>
      <c r="AW110" s="145" t="e">
        <f>U110*AB110*#REF!</f>
        <v>#REF!</v>
      </c>
    </row>
    <row r="111" spans="1:49" ht="101.25" customHeight="1">
      <c r="A111" s="119" t="s">
        <v>57</v>
      </c>
      <c r="B111" s="120" t="str">
        <f>[3]Sayfa1!$G108</f>
        <v>TS#1</v>
      </c>
      <c r="C111" s="121" t="str">
        <f>[3]Sayfa1!$H108</f>
        <v>T</v>
      </c>
      <c r="D111" s="146">
        <f>[3]Sayfa1!$N108</f>
        <v>319</v>
      </c>
      <c r="E111" s="122" t="str">
        <f>[3]Sayfa1!$B108</f>
        <v>FRACAS-GDM-107</v>
      </c>
      <c r="F111" s="123">
        <f>[3]Sayfa1!$E108</f>
        <v>45329</v>
      </c>
      <c r="G111" s="124">
        <f>[3]Sayfa1!$F108</f>
        <v>45329.520138888889</v>
      </c>
      <c r="H111" s="119" t="str">
        <f>[3]Sayfa1!$I108</f>
        <v>Depo/Depot</v>
      </c>
      <c r="I111" s="125" t="str">
        <f>IF([3]Sayfa1!$K108="SSH","Notified by Bozankaya","Notified by Customer")</f>
        <v>Notified by Customer</v>
      </c>
      <c r="J111" s="119" t="e">
        <f>VLOOKUP([3]Sayfa1!$AU108,#REF!,2,FALSE)</f>
        <v>#REF!</v>
      </c>
      <c r="K111" s="119" t="str">
        <f>[3]Sayfa1!$V108</f>
        <v>Bozankaya</v>
      </c>
      <c r="L111" s="126" t="str">
        <f t="shared" si="11"/>
        <v>GDM7X4-FRACAS-GDM-107</v>
      </c>
      <c r="M111" s="127" t="str">
        <f>[3]Sayfa1!$L108</f>
        <v>Door close not sinyali arızası</v>
      </c>
      <c r="N111" s="128" t="str">
        <f>[3]Sayfa1!$J108</f>
        <v>C-Uyarı, sürüş devamlılığı</v>
      </c>
      <c r="O111" s="128" t="str">
        <f>[3]Sayfa1!$P108</f>
        <v>C(Sisteme etki etmeyen arıza)</v>
      </c>
      <c r="P111" s="128" t="str">
        <f>[3]Sayfa1!$Q108</f>
        <v>N.A(Yaralanma yok)</v>
      </c>
      <c r="Q111" s="129" t="str" cm="1">
        <f t="array" ref="Q111">_xlfn.IFS([3]Sayfa1!$R108="Bozankaya","Bozankaya",[3]Sayfa1!$R108="İşletme","Customer",[3]Sayfa1!$R108="Tedarikçi","Equipment Supplier")</f>
        <v>Bozankaya</v>
      </c>
      <c r="R111" s="130" t="str">
        <f>[3]Sayfa1!$M108</f>
        <v>Kontroller yapılırken slim rölelerin arızalı olduğu tespit edildi. T vagon +49 NB-K32, NB-K34, NB-K36, NB-K38 değiştirildi.</v>
      </c>
      <c r="S111" s="147" t="str">
        <f>[3]Sayfa1!$AB108</f>
        <v>Ekipman değiştirilecek</v>
      </c>
      <c r="T111" s="147">
        <f>[3]Sayfa1!$AA108</f>
        <v>0</v>
      </c>
      <c r="U111" s="131">
        <f>[3]Sayfa1!$AN108</f>
        <v>1</v>
      </c>
      <c r="V111" s="132">
        <f>[3]Sayfa1!$T108</f>
        <v>45329</v>
      </c>
      <c r="W111" s="133">
        <f>[3]Sayfa1!$U108</f>
        <v>45329.522222222222</v>
      </c>
      <c r="X111" s="134">
        <f t="shared" si="12"/>
        <v>45329.522222222222</v>
      </c>
      <c r="Y111" s="123">
        <f>[3]Sayfa1!$AQ108</f>
        <v>45352</v>
      </c>
      <c r="Z111" s="135">
        <f>[3]Sayfa1!$AR108</f>
        <v>45352.645740740743</v>
      </c>
      <c r="AA111" s="134">
        <f t="shared" si="13"/>
        <v>45352.645740740743</v>
      </c>
      <c r="AB111" s="136">
        <f t="shared" si="14"/>
        <v>554.96444444451481</v>
      </c>
      <c r="AC111" s="137">
        <f t="shared" si="15"/>
        <v>45352</v>
      </c>
      <c r="AD111" s="135">
        <f t="shared" si="16"/>
        <v>45352.645740740743</v>
      </c>
      <c r="AE111" s="138">
        <f t="shared" si="17"/>
        <v>45352.645740740743</v>
      </c>
      <c r="AF111" s="139" t="str">
        <f>[3]Sayfa1!$AP108</f>
        <v>(I) İlk defa karşılaşılan arıza</v>
      </c>
      <c r="AG111" s="128" t="str">
        <f>IF([3]Sayfa1!$P108="C(Sisteme etki etmeyen arıza)","Bu Arıza Aracın Servise Verilmesine Engel Değil","Bu Arıza Aracın Servise Verilmesine Engel")</f>
        <v>Bu Arıza Aracın Servise Verilmesine Engel Değil</v>
      </c>
      <c r="AH111" s="140" t="str">
        <f>[3]Sayfa1!$AC108</f>
        <v>41-HBR-23-028</v>
      </c>
      <c r="AI111" s="137"/>
      <c r="AJ111" s="137"/>
      <c r="AK111" s="138">
        <f t="shared" si="18"/>
        <v>0</v>
      </c>
      <c r="AL111" s="136">
        <f t="shared" si="19"/>
        <v>33297.866666670889</v>
      </c>
      <c r="AM111" s="136">
        <f t="shared" si="20"/>
        <v>0</v>
      </c>
      <c r="AN111" s="141" t="str">
        <f t="shared" si="21"/>
        <v>Bozankaya</v>
      </c>
      <c r="AO111" s="141" t="str">
        <f>[3]Sayfa1!$X108</f>
        <v>E110-7326</v>
      </c>
      <c r="AP111" s="141">
        <f>[3]Sayfa1!$Z108</f>
        <v>0</v>
      </c>
      <c r="AQ111" s="122">
        <f>[3]Sayfa1!$W108</f>
        <v>0</v>
      </c>
      <c r="AR111" s="142">
        <f>[3]Sayfa1!$Y108</f>
        <v>4</v>
      </c>
      <c r="AS111" s="143">
        <f>[3]Sayfa1!$AD108</f>
        <v>0</v>
      </c>
      <c r="AT111" s="137" t="str">
        <f>[3]Sayfa1!$AE108</f>
        <v/>
      </c>
      <c r="AU111" s="137" t="str">
        <f>[3]Sayfa1!$AH108</f>
        <v/>
      </c>
      <c r="AV111" s="144">
        <v>107</v>
      </c>
      <c r="AW111" s="145" t="e">
        <f>U111*AB111*#REF!</f>
        <v>#REF!</v>
      </c>
    </row>
    <row r="112" spans="1:49" ht="101.25" customHeight="1">
      <c r="A112" s="119" t="s">
        <v>57</v>
      </c>
      <c r="B112" s="120" t="str">
        <f>[3]Sayfa1!$G109</f>
        <v>TS#1</v>
      </c>
      <c r="C112" s="121" t="str">
        <f>[3]Sayfa1!$H109</f>
        <v>M</v>
      </c>
      <c r="D112" s="146">
        <f>[3]Sayfa1!$N109</f>
        <v>319</v>
      </c>
      <c r="E112" s="122" t="str">
        <f>[3]Sayfa1!$B109</f>
        <v>FRACAS-GDM-108</v>
      </c>
      <c r="F112" s="123">
        <f>[3]Sayfa1!$E109</f>
        <v>45330</v>
      </c>
      <c r="G112" s="124">
        <f>[3]Sayfa1!$F109</f>
        <v>45330.4375</v>
      </c>
      <c r="H112" s="119" t="str">
        <f>[3]Sayfa1!$I109</f>
        <v>Depo/Depot</v>
      </c>
      <c r="I112" s="125" t="str">
        <f>IF([3]Sayfa1!$K109="SSH","Notified by Bozankaya","Notified by Customer")</f>
        <v>Notified by Customer</v>
      </c>
      <c r="J112" s="119" t="e">
        <f>VLOOKUP([3]Sayfa1!$AU109,#REF!,2,FALSE)</f>
        <v>#REF!</v>
      </c>
      <c r="K112" s="119" t="str">
        <f>[3]Sayfa1!$V109</f>
        <v>Bozankaya</v>
      </c>
      <c r="L112" s="126" t="str">
        <f t="shared" si="11"/>
        <v>GDM7X4-FRACAS-GDM-108</v>
      </c>
      <c r="M112" s="127" t="str">
        <f>[3]Sayfa1!$L109</f>
        <v>Üç faz kontağı arızalı</v>
      </c>
      <c r="N112" s="128" t="str">
        <f>[3]Sayfa1!$J109</f>
        <v>C-Uyarı, sürüş devamlılığı</v>
      </c>
      <c r="O112" s="128" t="str">
        <f>[3]Sayfa1!$P109</f>
        <v>C(Sisteme etki etmeyen arıza)</v>
      </c>
      <c r="P112" s="128" t="str">
        <f>[3]Sayfa1!$Q109</f>
        <v>N.A(Yaralanma yok)</v>
      </c>
      <c r="Q112" s="129" t="str" cm="1">
        <f t="array" ref="Q112">_xlfn.IFS([3]Sayfa1!$R109="Bozankaya","Bozankaya",[3]Sayfa1!$R109="İşletme","Customer",[3]Sayfa1!$R109="Tedarikçi","Equipment Supplier")</f>
        <v>Bozankaya</v>
      </c>
      <c r="R112" s="130" t="str">
        <f>[3]Sayfa1!$M109</f>
        <v>Koltuk altı ısıtıcıların 3 faz kontaktörü LA-K16 yapışmış olduğu tespit edildi.</v>
      </c>
      <c r="S112" s="147">
        <f>[3]Sayfa1!$AB109</f>
        <v>0</v>
      </c>
      <c r="T112" s="147">
        <f>[3]Sayfa1!$AA109</f>
        <v>0</v>
      </c>
      <c r="U112" s="131">
        <f>[3]Sayfa1!$AN109</f>
        <v>1</v>
      </c>
      <c r="V112" s="132">
        <f>[3]Sayfa1!$T109</f>
        <v>45331</v>
      </c>
      <c r="W112" s="133">
        <f>[3]Sayfa1!$U109</f>
        <v>45331.438888888886</v>
      </c>
      <c r="X112" s="134">
        <f t="shared" si="12"/>
        <v>45331.438888888886</v>
      </c>
      <c r="Y112" s="123">
        <f>[3]Sayfa1!$AQ109</f>
        <v>45332</v>
      </c>
      <c r="Z112" s="135">
        <f>[3]Sayfa1!$AR109</f>
        <v>45332.520833333336</v>
      </c>
      <c r="AA112" s="134">
        <f t="shared" si="13"/>
        <v>45332.520833333336</v>
      </c>
      <c r="AB112" s="136">
        <f t="shared" si="14"/>
        <v>25.966666666790843</v>
      </c>
      <c r="AC112" s="137">
        <f t="shared" si="15"/>
        <v>45332</v>
      </c>
      <c r="AD112" s="135">
        <f t="shared" si="16"/>
        <v>45332.520833333336</v>
      </c>
      <c r="AE112" s="138">
        <f t="shared" si="17"/>
        <v>45332.520833333336</v>
      </c>
      <c r="AF112" s="139" t="str">
        <f>[3]Sayfa1!$AP109</f>
        <v>(I) İlk defa karşılaşılan arıza</v>
      </c>
      <c r="AG112" s="128" t="str">
        <f>IF([3]Sayfa1!$P109="C(Sisteme etki etmeyen arıza)","Bu Arıza Aracın Servise Verilmesine Engel Değil","Bu Arıza Aracın Servise Verilmesine Engel")</f>
        <v>Bu Arıza Aracın Servise Verilmesine Engel Değil</v>
      </c>
      <c r="AH112" s="140" t="str">
        <f>[3]Sayfa1!$AC109</f>
        <v>41-HBR-23-029</v>
      </c>
      <c r="AI112" s="137"/>
      <c r="AJ112" s="137"/>
      <c r="AK112" s="138">
        <f t="shared" si="18"/>
        <v>0</v>
      </c>
      <c r="AL112" s="136">
        <f t="shared" si="19"/>
        <v>1558.0000000074506</v>
      </c>
      <c r="AM112" s="136">
        <f t="shared" si="20"/>
        <v>0</v>
      </c>
      <c r="AN112" s="141" t="str">
        <f t="shared" si="21"/>
        <v>Bozankaya</v>
      </c>
      <c r="AO112" s="141" t="str">
        <f>[3]Sayfa1!$X109</f>
        <v>E110-8121</v>
      </c>
      <c r="AP112" s="141" t="str">
        <f>[3]Sayfa1!$Z109</f>
        <v>A2540935</v>
      </c>
      <c r="AQ112" s="122" t="str">
        <f>[3]Sayfa1!$W109</f>
        <v>400V AC 25A ABB KONTAKTÖR</v>
      </c>
      <c r="AR112" s="142">
        <f>[3]Sayfa1!$Y109</f>
        <v>1</v>
      </c>
      <c r="AS112" s="143">
        <f>[3]Sayfa1!$AD109</f>
        <v>0</v>
      </c>
      <c r="AT112" s="137" t="str">
        <f>[3]Sayfa1!$AE109</f>
        <v/>
      </c>
      <c r="AU112" s="137" t="str">
        <f>[3]Sayfa1!$AH109</f>
        <v/>
      </c>
      <c r="AV112" s="144">
        <v>108</v>
      </c>
      <c r="AW112" s="145" t="e">
        <f>U112*AB112*#REF!</f>
        <v>#REF!</v>
      </c>
    </row>
    <row r="113" spans="1:49" ht="101.25" customHeight="1">
      <c r="A113" s="119" t="s">
        <v>57</v>
      </c>
      <c r="B113" s="120" t="str">
        <f>[3]Sayfa1!$G110</f>
        <v>TS#2</v>
      </c>
      <c r="C113" s="121" t="str">
        <f>[3]Sayfa1!$H110</f>
        <v>Mc2</v>
      </c>
      <c r="D113" s="146">
        <f>[3]Sayfa1!$N110</f>
        <v>1</v>
      </c>
      <c r="E113" s="122" t="str">
        <f>[3]Sayfa1!$B110</f>
        <v>FRACAS-GDM-109</v>
      </c>
      <c r="F113" s="123">
        <f>[3]Sayfa1!$E110</f>
        <v>45331</v>
      </c>
      <c r="G113" s="124">
        <f>[3]Sayfa1!$F110</f>
        <v>45331.591666666667</v>
      </c>
      <c r="H113" s="119" t="str">
        <f>[3]Sayfa1!$I110</f>
        <v>Depo/Depot</v>
      </c>
      <c r="I113" s="125" t="str">
        <f>IF([3]Sayfa1!$K110="SSH","Notified by Bozankaya","Notified by Customer")</f>
        <v>Notified by Customer</v>
      </c>
      <c r="J113" s="119" t="e">
        <f>VLOOKUP([3]Sayfa1!$AU110,#REF!,2,FALSE)</f>
        <v>#REF!</v>
      </c>
      <c r="K113" s="119" t="str">
        <f>[3]Sayfa1!$V110</f>
        <v>Bozankaya</v>
      </c>
      <c r="L113" s="126" t="str">
        <f t="shared" si="11"/>
        <v>GDM7X4-FRACAS-GDM-109</v>
      </c>
      <c r="M113" s="127" t="str">
        <f>[3]Sayfa1!$L110</f>
        <v>Ekran camı kırık</v>
      </c>
      <c r="N113" s="128" t="str">
        <f>[3]Sayfa1!$J110</f>
        <v>C-Uyarı, sürüş devamlılığı</v>
      </c>
      <c r="O113" s="128" t="str">
        <f>[3]Sayfa1!$P110</f>
        <v>C(Sisteme etki etmeyen arıza)</v>
      </c>
      <c r="P113" s="128" t="str">
        <f>[3]Sayfa1!$Q110</f>
        <v>N.A(Yaralanma yok)</v>
      </c>
      <c r="Q113" s="129" t="str" cm="1">
        <f t="array" ref="Q113">_xlfn.IFS([3]Sayfa1!$R110="Bozankaya","Bozankaya",[3]Sayfa1!$R110="İşletme","Customer",[3]Sayfa1!$R110="Tedarikçi","Equipment Supplier")</f>
        <v>Bozankaya</v>
      </c>
      <c r="R113" s="130" t="str">
        <f>[3]Sayfa1!$M110</f>
        <v>30. Kapının üstündeki ekranın camı kırık olduğu tespit edildi.</v>
      </c>
      <c r="S113" s="147">
        <f>[3]Sayfa1!$AB110</f>
        <v>0</v>
      </c>
      <c r="T113" s="147">
        <f>[3]Sayfa1!$AA110</f>
        <v>0</v>
      </c>
      <c r="U113" s="131">
        <f>[3]Sayfa1!$AN110</f>
        <v>0</v>
      </c>
      <c r="V113" s="132">
        <f>[3]Sayfa1!$T110</f>
        <v>45331</v>
      </c>
      <c r="W113" s="133">
        <f>[3]Sayfa1!$U110</f>
        <v>45331.592361111114</v>
      </c>
      <c r="X113" s="134">
        <f t="shared" si="12"/>
        <v>45331.592361111114</v>
      </c>
      <c r="Y113" s="123" t="str">
        <f>[3]Sayfa1!$AQ110</f>
        <v/>
      </c>
      <c r="Z113" s="135">
        <f>[3]Sayfa1!$AR110</f>
        <v>0</v>
      </c>
      <c r="AA113" s="134">
        <f t="shared" si="13"/>
        <v>0</v>
      </c>
      <c r="AB113" s="136">
        <f t="shared" si="14"/>
        <v>0</v>
      </c>
      <c r="AC113" s="137" t="str">
        <f t="shared" si="15"/>
        <v/>
      </c>
      <c r="AD113" s="135">
        <f t="shared" si="16"/>
        <v>0</v>
      </c>
      <c r="AE113" s="138">
        <f t="shared" si="17"/>
        <v>0</v>
      </c>
      <c r="AF113" s="139" t="str">
        <f>[3]Sayfa1!$AP110</f>
        <v>(II) Birden fazla karşılaşılan arıza</v>
      </c>
      <c r="AG113" s="128" t="str">
        <f>IF([3]Sayfa1!$P110="C(Sisteme etki etmeyen arıza)","Bu Arıza Aracın Servise Verilmesine Engel Değil","Bu Arıza Aracın Servise Verilmesine Engel")</f>
        <v>Bu Arıza Aracın Servise Verilmesine Engel Değil</v>
      </c>
      <c r="AH113" s="140" t="str">
        <f>[3]Sayfa1!$AC110</f>
        <v>41-HBR-23-030</v>
      </c>
      <c r="AI113" s="137"/>
      <c r="AJ113" s="137"/>
      <c r="AK113" s="138">
        <f t="shared" si="18"/>
        <v>0</v>
      </c>
      <c r="AL113" s="136">
        <f t="shared" si="19"/>
        <v>0</v>
      </c>
      <c r="AM113" s="136">
        <f t="shared" si="20"/>
        <v>0</v>
      </c>
      <c r="AN113" s="141" t="str">
        <f t="shared" si="21"/>
        <v>Bozankaya</v>
      </c>
      <c r="AO113" s="141">
        <f>[3]Sayfa1!$X110</f>
        <v>0</v>
      </c>
      <c r="AP113" s="141">
        <f>[3]Sayfa1!$Z110</f>
        <v>0</v>
      </c>
      <c r="AQ113" s="122">
        <f>[3]Sayfa1!$W110</f>
        <v>0</v>
      </c>
      <c r="AR113" s="142">
        <f>[3]Sayfa1!$Y110</f>
        <v>1</v>
      </c>
      <c r="AS113" s="143">
        <f>[3]Sayfa1!$AD110</f>
        <v>0</v>
      </c>
      <c r="AT113" s="137" t="str">
        <f>[3]Sayfa1!$AE110</f>
        <v/>
      </c>
      <c r="AU113" s="137" t="str">
        <f>[3]Sayfa1!$AH110</f>
        <v/>
      </c>
      <c r="AV113" s="144">
        <v>109</v>
      </c>
      <c r="AW113" s="145" t="e">
        <f>U113*AB113*#REF!</f>
        <v>#REF!</v>
      </c>
    </row>
    <row r="114" spans="1:49" ht="101.25" customHeight="1">
      <c r="A114" s="119" t="s">
        <v>57</v>
      </c>
      <c r="B114" s="120" t="str">
        <f>[3]Sayfa1!$G111</f>
        <v>TS#1</v>
      </c>
      <c r="C114" s="121" t="str">
        <f>[3]Sayfa1!$H111</f>
        <v>Mc1</v>
      </c>
      <c r="D114" s="146">
        <f>[3]Sayfa1!$N111</f>
        <v>319</v>
      </c>
      <c r="E114" s="122" t="str">
        <f>[3]Sayfa1!$B111</f>
        <v>FRACAS-GDM-110</v>
      </c>
      <c r="F114" s="123">
        <f>[3]Sayfa1!$E111</f>
        <v>45332</v>
      </c>
      <c r="G114" s="124">
        <f>[3]Sayfa1!$F111</f>
        <v>45332.433333333334</v>
      </c>
      <c r="H114" s="119" t="str">
        <f>[3]Sayfa1!$I111</f>
        <v>Depo/Depot</v>
      </c>
      <c r="I114" s="125" t="str">
        <f>IF([3]Sayfa1!$K111="SSH","Notified by Bozankaya","Notified by Customer")</f>
        <v>Notified by Customer</v>
      </c>
      <c r="J114" s="119" t="e">
        <f>VLOOKUP([3]Sayfa1!$AU111,#REF!,2,FALSE)</f>
        <v>#REF!</v>
      </c>
      <c r="K114" s="119" t="str">
        <f>[3]Sayfa1!$V111</f>
        <v>Bozankaya</v>
      </c>
      <c r="L114" s="126" t="str">
        <f t="shared" si="11"/>
        <v>GDM7X4-FRACAS-GDM-110</v>
      </c>
      <c r="M114" s="127" t="str">
        <f>[3]Sayfa1!$L111</f>
        <v>Sigorta arızalı</v>
      </c>
      <c r="N114" s="128" t="str">
        <f>[3]Sayfa1!$J111</f>
        <v>C-Uyarı, sürüş devamlılığı</v>
      </c>
      <c r="O114" s="128" t="str">
        <f>[3]Sayfa1!$P111</f>
        <v>C(Sisteme etki etmeyen arıza)</v>
      </c>
      <c r="P114" s="128" t="str">
        <f>[3]Sayfa1!$Q111</f>
        <v>N.A(Yaralanma yok)</v>
      </c>
      <c r="Q114" s="129" t="str" cm="1">
        <f t="array" ref="Q114">_xlfn.IFS([3]Sayfa1!$R111="Bozankaya","Bozankaya",[3]Sayfa1!$R111="İşletme","Customer",[3]Sayfa1!$R111="Tedarikçi","Equipment Supplier")</f>
        <v>Bozankaya</v>
      </c>
      <c r="R114" s="130" t="str">
        <f>[3]Sayfa1!$M111</f>
        <v>.+49 panoda NB-F10 yandı. Yenisi ile değiştirildi.</v>
      </c>
      <c r="S114" s="147">
        <f>[3]Sayfa1!$AB111</f>
        <v>0</v>
      </c>
      <c r="T114" s="147">
        <f>[3]Sayfa1!$AA111</f>
        <v>0</v>
      </c>
      <c r="U114" s="131">
        <f>[3]Sayfa1!$AN111</f>
        <v>1</v>
      </c>
      <c r="V114" s="132">
        <f>[3]Sayfa1!$T111</f>
        <v>45332</v>
      </c>
      <c r="W114" s="133">
        <f>[3]Sayfa1!$U111</f>
        <v>45332.435416666667</v>
      </c>
      <c r="X114" s="134">
        <f t="shared" si="12"/>
        <v>45332.435416666667</v>
      </c>
      <c r="Y114" s="123">
        <f>[3]Sayfa1!$AQ111</f>
        <v>45332</v>
      </c>
      <c r="Z114" s="135">
        <f>[3]Sayfa1!$AR111</f>
        <v>45332.729166666664</v>
      </c>
      <c r="AA114" s="134">
        <f t="shared" si="13"/>
        <v>45332.729166666664</v>
      </c>
      <c r="AB114" s="136">
        <f t="shared" si="14"/>
        <v>0</v>
      </c>
      <c r="AC114" s="137">
        <f t="shared" si="15"/>
        <v>45332</v>
      </c>
      <c r="AD114" s="135">
        <f t="shared" si="16"/>
        <v>45332.729166666664</v>
      </c>
      <c r="AE114" s="138">
        <f t="shared" si="17"/>
        <v>45332.729166666664</v>
      </c>
      <c r="AF114" s="139" t="str">
        <f>[3]Sayfa1!$AP111</f>
        <v>(I) İlk defa karşılaşılan arıza</v>
      </c>
      <c r="AG114" s="128" t="str">
        <f>IF([3]Sayfa1!$P111="C(Sisteme etki etmeyen arıza)","Bu Arıza Aracın Servise Verilmesine Engel Değil","Bu Arıza Aracın Servise Verilmesine Engel")</f>
        <v>Bu Arıza Aracın Servise Verilmesine Engel Değil</v>
      </c>
      <c r="AH114" s="140" t="str">
        <f>[3]Sayfa1!$AC111</f>
        <v>41-HBR-23-033</v>
      </c>
      <c r="AI114" s="137"/>
      <c r="AJ114" s="137"/>
      <c r="AK114" s="138">
        <f t="shared" si="18"/>
        <v>0</v>
      </c>
      <c r="AL114" s="136">
        <f t="shared" si="19"/>
        <v>0</v>
      </c>
      <c r="AM114" s="136">
        <f t="shared" si="20"/>
        <v>0</v>
      </c>
      <c r="AN114" s="141" t="str">
        <f t="shared" si="21"/>
        <v>Bozankaya</v>
      </c>
      <c r="AO114" s="141">
        <f>[3]Sayfa1!$X111</f>
        <v>0</v>
      </c>
      <c r="AP114" s="141">
        <f>[3]Sayfa1!$Z111</f>
        <v>0</v>
      </c>
      <c r="AQ114" s="122" t="str">
        <f>[3]Sayfa1!$W111</f>
        <v>NB-F10 SİGORTASI</v>
      </c>
      <c r="AR114" s="142">
        <f>[3]Sayfa1!$Y111</f>
        <v>1</v>
      </c>
      <c r="AS114" s="143">
        <f>[3]Sayfa1!$AD111</f>
        <v>0</v>
      </c>
      <c r="AT114" s="137" t="str">
        <f>[3]Sayfa1!$AE111</f>
        <v/>
      </c>
      <c r="AU114" s="137" t="str">
        <f>[3]Sayfa1!$AH111</f>
        <v/>
      </c>
      <c r="AV114" s="144">
        <v>110</v>
      </c>
      <c r="AW114" s="145" t="e">
        <f>U114*AB114*#REF!</f>
        <v>#REF!</v>
      </c>
    </row>
    <row r="115" spans="1:49" ht="101.25" customHeight="1">
      <c r="A115" s="119" t="s">
        <v>57</v>
      </c>
      <c r="B115" s="120" t="str">
        <f>[3]Sayfa1!$G112</f>
        <v>TS#3</v>
      </c>
      <c r="C115" s="121" t="str">
        <f>[3]Sayfa1!$H112</f>
        <v>T</v>
      </c>
      <c r="D115" s="146">
        <f>[3]Sayfa1!$N112</f>
        <v>1</v>
      </c>
      <c r="E115" s="122" t="str">
        <f>[3]Sayfa1!$B112</f>
        <v>FRACAS-GDM-111</v>
      </c>
      <c r="F115" s="123">
        <f>[3]Sayfa1!$E112</f>
        <v>45334</v>
      </c>
      <c r="G115" s="124">
        <f>[3]Sayfa1!$F112</f>
        <v>45334.510416666664</v>
      </c>
      <c r="H115" s="119" t="str">
        <f>[3]Sayfa1!$I112</f>
        <v>Depo/Depot</v>
      </c>
      <c r="I115" s="125" t="str">
        <f>IF([3]Sayfa1!$K112="SSH","Notified by Bozankaya","Notified by Customer")</f>
        <v>Notified by Customer</v>
      </c>
      <c r="J115" s="119" t="e">
        <f>VLOOKUP([3]Sayfa1!$AU112,#REF!,2,FALSE)</f>
        <v>#REF!</v>
      </c>
      <c r="K115" s="119" t="str">
        <f>[3]Sayfa1!$V112</f>
        <v>Bozankaya</v>
      </c>
      <c r="L115" s="126" t="str">
        <f t="shared" si="11"/>
        <v>GDM7X4-FRACAS-GDM-111</v>
      </c>
      <c r="M115" s="127" t="str">
        <f>[3]Sayfa1!$L112</f>
        <v>Pano Aydınlatması</v>
      </c>
      <c r="N115" s="128" t="str">
        <f>[3]Sayfa1!$J112</f>
        <v>C-Uyarı, sürüş devamlılığı</v>
      </c>
      <c r="O115" s="128" t="str">
        <f>[3]Sayfa1!$P112</f>
        <v>C(Sisteme etki etmeyen arıza)</v>
      </c>
      <c r="P115" s="128" t="str">
        <f>[3]Sayfa1!$Q112</f>
        <v>N.A(Yaralanma yok)</v>
      </c>
      <c r="Q115" s="129" t="str" cm="1">
        <f t="array" ref="Q115">_xlfn.IFS([3]Sayfa1!$R112="Bozankaya","Bozankaya",[3]Sayfa1!$R112="İşletme","Customer",[3]Sayfa1!$R112="Tedarikçi","Equipment Supplier")</f>
        <v>Bozankaya</v>
      </c>
      <c r="R115" s="130" t="str">
        <f>[3]Sayfa1!$M112</f>
        <v>.+49 pano /  pano içi aydınlatma LED çalışmadığı tespit edildi. Yerinde sökülerek başka yerde test edildi. Çalışmadığı gözlemlendi.</v>
      </c>
      <c r="S115" s="147">
        <f>[3]Sayfa1!$AB112</f>
        <v>0</v>
      </c>
      <c r="T115" s="147">
        <f>[3]Sayfa1!$AA112</f>
        <v>0</v>
      </c>
      <c r="U115" s="131">
        <f>[3]Sayfa1!$AN112</f>
        <v>1</v>
      </c>
      <c r="V115" s="132">
        <f>[3]Sayfa1!$T112</f>
        <v>45334</v>
      </c>
      <c r="W115" s="133">
        <f>[3]Sayfa1!$U112</f>
        <v>45334.511805555558</v>
      </c>
      <c r="X115" s="134">
        <f t="shared" si="12"/>
        <v>45334.511805555558</v>
      </c>
      <c r="Y115" s="123">
        <f>[3]Sayfa1!$AQ112</f>
        <v>45334</v>
      </c>
      <c r="Z115" s="135">
        <f>[3]Sayfa1!$AR112</f>
        <v>45334.541666666664</v>
      </c>
      <c r="AA115" s="134">
        <f t="shared" si="13"/>
        <v>45334.541666666664</v>
      </c>
      <c r="AB115" s="136">
        <f t="shared" si="14"/>
        <v>0</v>
      </c>
      <c r="AC115" s="137">
        <f t="shared" si="15"/>
        <v>45334</v>
      </c>
      <c r="AD115" s="135">
        <f t="shared" si="16"/>
        <v>45334.541666666664</v>
      </c>
      <c r="AE115" s="138">
        <f t="shared" si="17"/>
        <v>45334.541666666664</v>
      </c>
      <c r="AF115" s="139" t="str">
        <f>[3]Sayfa1!$AP112</f>
        <v>(I) İlk defa karşılaşılan arıza</v>
      </c>
      <c r="AG115" s="128" t="str">
        <f>IF([3]Sayfa1!$P112="C(Sisteme etki etmeyen arıza)","Bu Arıza Aracın Servise Verilmesine Engel Değil","Bu Arıza Aracın Servise Verilmesine Engel")</f>
        <v>Bu Arıza Aracın Servise Verilmesine Engel Değil</v>
      </c>
      <c r="AH115" s="140" t="str">
        <f>[3]Sayfa1!$AC112</f>
        <v>41-HBR-23-032</v>
      </c>
      <c r="AI115" s="137"/>
      <c r="AJ115" s="137"/>
      <c r="AK115" s="138">
        <f t="shared" si="18"/>
        <v>0</v>
      </c>
      <c r="AL115" s="136">
        <f t="shared" si="19"/>
        <v>0</v>
      </c>
      <c r="AM115" s="136">
        <f t="shared" si="20"/>
        <v>0</v>
      </c>
      <c r="AN115" s="141" t="str">
        <f t="shared" si="21"/>
        <v>Bozankaya</v>
      </c>
      <c r="AO115" s="141">
        <f>[3]Sayfa1!$X112</f>
        <v>0</v>
      </c>
      <c r="AP115" s="141" t="str">
        <f>[3]Sayfa1!$Z112</f>
        <v>?</v>
      </c>
      <c r="AQ115" s="122">
        <f>[3]Sayfa1!$W112</f>
        <v>0</v>
      </c>
      <c r="AR115" s="142">
        <f>[3]Sayfa1!$Y112</f>
        <v>1</v>
      </c>
      <c r="AS115" s="143">
        <f>[3]Sayfa1!$AD112</f>
        <v>0</v>
      </c>
      <c r="AT115" s="137" t="str">
        <f>[3]Sayfa1!$AE112</f>
        <v/>
      </c>
      <c r="AU115" s="137" t="str">
        <f>[3]Sayfa1!$AH112</f>
        <v/>
      </c>
      <c r="AV115" s="144">
        <v>111</v>
      </c>
      <c r="AW115" s="145" t="e">
        <f>U115*AB115*#REF!</f>
        <v>#REF!</v>
      </c>
    </row>
    <row r="116" spans="1:49" ht="101.25" customHeight="1">
      <c r="A116" s="119" t="s">
        <v>57</v>
      </c>
      <c r="B116" s="120" t="str">
        <f>[3]Sayfa1!$G113</f>
        <v>TS#3</v>
      </c>
      <c r="C116" s="121" t="str">
        <f>[3]Sayfa1!$H113</f>
        <v>Mc2</v>
      </c>
      <c r="D116" s="146">
        <f>[3]Sayfa1!$N113</f>
        <v>1</v>
      </c>
      <c r="E116" s="122" t="str">
        <f>[3]Sayfa1!$B113</f>
        <v>FRACAS-GDM-112</v>
      </c>
      <c r="F116" s="123">
        <f>[3]Sayfa1!$E113</f>
        <v>45335</v>
      </c>
      <c r="G116" s="124">
        <f>[3]Sayfa1!$F113</f>
        <v>45335.470833333333</v>
      </c>
      <c r="H116" s="119" t="str">
        <f>[3]Sayfa1!$I113</f>
        <v>Depo/Depot</v>
      </c>
      <c r="I116" s="125" t="str">
        <f>IF([3]Sayfa1!$K113="SSH","Notified by Bozankaya","Notified by Customer")</f>
        <v>Notified by Customer</v>
      </c>
      <c r="J116" s="119" t="e">
        <f>VLOOKUP([3]Sayfa1!$AU113,#REF!,2,FALSE)</f>
        <v>#REF!</v>
      </c>
      <c r="K116" s="119" t="str">
        <f>[3]Sayfa1!$V113</f>
        <v>Bozankaya</v>
      </c>
      <c r="L116" s="126" t="str">
        <f t="shared" si="11"/>
        <v>GDM7X4-FRACAS-GDM-112</v>
      </c>
      <c r="M116" s="127" t="str">
        <f>[3]Sayfa1!$L113</f>
        <v>DOT-732-TW sürücü hatası.</v>
      </c>
      <c r="N116" s="128" t="str">
        <f>[3]Sayfa1!$J113</f>
        <v>C-Uyarı, sürüş devamlılığı</v>
      </c>
      <c r="O116" s="128" t="str">
        <f>[3]Sayfa1!$P113</f>
        <v>C(Sisteme etki etmeyen arıza)</v>
      </c>
      <c r="P116" s="128" t="str">
        <f>[3]Sayfa1!$Q113</f>
        <v>N.A(Yaralanma yok)</v>
      </c>
      <c r="Q116" s="129" t="str" cm="1">
        <f t="array" ref="Q116">_xlfn.IFS([3]Sayfa1!$R113="Bozankaya","Bozankaya",[3]Sayfa1!$R113="İşletme","Customer",[3]Sayfa1!$R113="Tedarikçi","Equipment Supplier")</f>
        <v>Bozankaya</v>
      </c>
      <c r="R116" s="130">
        <f>[3]Sayfa1!$M113</f>
        <v>0</v>
      </c>
      <c r="S116" s="147" t="str">
        <f>[3]Sayfa1!$AB113</f>
        <v>Ekipman değiştirilecek</v>
      </c>
      <c r="T116" s="147">
        <f>[3]Sayfa1!$AA113</f>
        <v>0</v>
      </c>
      <c r="U116" s="131">
        <f>[3]Sayfa1!$AN113</f>
        <v>1</v>
      </c>
      <c r="V116" s="132">
        <f>[3]Sayfa1!$T113</f>
        <v>45335</v>
      </c>
      <c r="W116" s="133">
        <f>[3]Sayfa1!$U113</f>
        <v>45335.479166666664</v>
      </c>
      <c r="X116" s="134">
        <f t="shared" si="12"/>
        <v>45335.479166666664</v>
      </c>
      <c r="Y116" s="123">
        <f>[3]Sayfa1!$AQ113</f>
        <v>45335</v>
      </c>
      <c r="Z116" s="135">
        <f>[3]Sayfa1!$AR113</f>
        <v>45335.5</v>
      </c>
      <c r="AA116" s="134">
        <f t="shared" si="13"/>
        <v>45335.5</v>
      </c>
      <c r="AB116" s="136">
        <f t="shared" si="14"/>
        <v>0</v>
      </c>
      <c r="AC116" s="137">
        <f t="shared" si="15"/>
        <v>45335</v>
      </c>
      <c r="AD116" s="135">
        <f t="shared" si="16"/>
        <v>45335.5</v>
      </c>
      <c r="AE116" s="138">
        <f t="shared" si="17"/>
        <v>45335.5</v>
      </c>
      <c r="AF116" s="139" t="str">
        <f>[3]Sayfa1!$AP113</f>
        <v>(I) İlk defa karşılaşılan arıza</v>
      </c>
      <c r="AG116" s="128" t="str">
        <f>IF([3]Sayfa1!$P113="C(Sisteme etki etmeyen arıza)","Bu Arıza Aracın Servise Verilmesine Engel Değil","Bu Arıza Aracın Servise Verilmesine Engel")</f>
        <v>Bu Arıza Aracın Servise Verilmesine Engel Değil</v>
      </c>
      <c r="AH116" s="140" t="str">
        <f>[3]Sayfa1!$AC113</f>
        <v>41-HBR-23-034</v>
      </c>
      <c r="AI116" s="137"/>
      <c r="AJ116" s="137"/>
      <c r="AK116" s="138">
        <f t="shared" si="18"/>
        <v>0</v>
      </c>
      <c r="AL116" s="136">
        <f t="shared" si="19"/>
        <v>0</v>
      </c>
      <c r="AM116" s="136">
        <f t="shared" si="20"/>
        <v>0</v>
      </c>
      <c r="AN116" s="141" t="str">
        <f t="shared" si="21"/>
        <v>Bozankaya</v>
      </c>
      <c r="AO116" s="141" t="str">
        <f>[3]Sayfa1!$X113</f>
        <v>E110-8007</v>
      </c>
      <c r="AP116" s="141">
        <f>[3]Sayfa1!$Z113</f>
        <v>2240342</v>
      </c>
      <c r="AQ116" s="122" t="str">
        <f>[3]Sayfa1!$W113</f>
        <v>DOT-732-TW</v>
      </c>
      <c r="AR116" s="142">
        <f>[3]Sayfa1!$Y113</f>
        <v>1</v>
      </c>
      <c r="AS116" s="143">
        <f>[3]Sayfa1!$AD113</f>
        <v>0</v>
      </c>
      <c r="AT116" s="137" t="str">
        <f>[3]Sayfa1!$AE113</f>
        <v/>
      </c>
      <c r="AU116" s="137" t="str">
        <f>[3]Sayfa1!$AH113</f>
        <v/>
      </c>
      <c r="AV116" s="144">
        <v>112</v>
      </c>
      <c r="AW116" s="145" t="e">
        <f>U116*AB116*#REF!</f>
        <v>#REF!</v>
      </c>
    </row>
    <row r="117" spans="1:49" ht="101.25" customHeight="1">
      <c r="A117" s="119" t="s">
        <v>57</v>
      </c>
      <c r="B117" s="120" t="str">
        <f>[3]Sayfa1!$G114</f>
        <v>TS#1</v>
      </c>
      <c r="C117" s="121" t="str">
        <f>[3]Sayfa1!$H114</f>
        <v>T</v>
      </c>
      <c r="D117" s="146">
        <f>[3]Sayfa1!$N114</f>
        <v>320</v>
      </c>
      <c r="E117" s="122" t="str">
        <f>[3]Sayfa1!$B114</f>
        <v>FRACAS-GDM-113</v>
      </c>
      <c r="F117" s="123">
        <f>[3]Sayfa1!$E114</f>
        <v>45337</v>
      </c>
      <c r="G117" s="124">
        <f>[3]Sayfa1!$F114</f>
        <v>45337.395833333336</v>
      </c>
      <c r="H117" s="119" t="str">
        <f>[3]Sayfa1!$I114</f>
        <v>Depo/Depot</v>
      </c>
      <c r="I117" s="125" t="str">
        <f>IF([3]Sayfa1!$K114="SSH","Notified by Bozankaya","Notified by Customer")</f>
        <v>Notified by Customer</v>
      </c>
      <c r="J117" s="119" t="e">
        <f>VLOOKUP([3]Sayfa1!$AU114,#REF!,2,FALSE)</f>
        <v>#REF!</v>
      </c>
      <c r="K117" s="119" t="str">
        <f>[3]Sayfa1!$V114</f>
        <v>Bozankaya</v>
      </c>
      <c r="L117" s="126" t="str">
        <f t="shared" si="11"/>
        <v>GDM7X4-FRACAS-GDM-113</v>
      </c>
      <c r="M117" s="127" t="str">
        <f>[3]Sayfa1!$L114</f>
        <v>1A SİGORTA 110V</v>
      </c>
      <c r="N117" s="128" t="str">
        <f>[3]Sayfa1!$J114</f>
        <v>C-Uyarı, sürüş devamlılığı</v>
      </c>
      <c r="O117" s="128" t="str">
        <f>[3]Sayfa1!$P114</f>
        <v>C(Sisteme etki etmeyen arıza)</v>
      </c>
      <c r="P117" s="128" t="str">
        <f>[3]Sayfa1!$Q114</f>
        <v>N.A(Yaralanma yok)</v>
      </c>
      <c r="Q117" s="129" t="str" cm="1">
        <f t="array" ref="Q117">_xlfn.IFS([3]Sayfa1!$R114="Bozankaya","Bozankaya",[3]Sayfa1!$R114="İşletme","Customer",[3]Sayfa1!$R114="Tedarikçi","Equipment Supplier")</f>
        <v>Bozankaya</v>
      </c>
      <c r="R117" s="130" t="str">
        <f>[3]Sayfa1!$M114</f>
        <v>+41 pano sigortanın enerji getirmediğini tespit edildi. Ölçü aleti ile kontrol edildi. Çalışmadığı tespit edildi.</v>
      </c>
      <c r="S117" s="147">
        <f>[3]Sayfa1!$AB114</f>
        <v>0</v>
      </c>
      <c r="T117" s="147">
        <f>[3]Sayfa1!$AA114</f>
        <v>0</v>
      </c>
      <c r="U117" s="131">
        <f>[3]Sayfa1!$AN114</f>
        <v>1</v>
      </c>
      <c r="V117" s="132">
        <f>[3]Sayfa1!$T114</f>
        <v>45337</v>
      </c>
      <c r="W117" s="133">
        <f>[3]Sayfa1!$U114</f>
        <v>45337.416666666664</v>
      </c>
      <c r="X117" s="134">
        <f t="shared" si="12"/>
        <v>45337.416666666664</v>
      </c>
      <c r="Y117" s="123">
        <f>[3]Sayfa1!$AQ114</f>
        <v>45337</v>
      </c>
      <c r="Z117" s="135">
        <f>[3]Sayfa1!$AR114</f>
        <v>45337.458333333336</v>
      </c>
      <c r="AA117" s="134">
        <f t="shared" si="13"/>
        <v>45337.458333333336</v>
      </c>
      <c r="AB117" s="136">
        <f t="shared" si="14"/>
        <v>0</v>
      </c>
      <c r="AC117" s="137">
        <f t="shared" si="15"/>
        <v>45337</v>
      </c>
      <c r="AD117" s="135">
        <f t="shared" si="16"/>
        <v>45337.458333333336</v>
      </c>
      <c r="AE117" s="138">
        <f t="shared" si="17"/>
        <v>45337.458333333336</v>
      </c>
      <c r="AF117" s="139" t="str">
        <f>[3]Sayfa1!$AP114</f>
        <v>(I) İlk defa karşılaşılan arıza</v>
      </c>
      <c r="AG117" s="128" t="str">
        <f>IF([3]Sayfa1!$P114="C(Sisteme etki etmeyen arıza)","Bu Arıza Aracın Servise Verilmesine Engel Değil","Bu Arıza Aracın Servise Verilmesine Engel")</f>
        <v>Bu Arıza Aracın Servise Verilmesine Engel Değil</v>
      </c>
      <c r="AH117" s="140" t="str">
        <f>[3]Sayfa1!$AC114</f>
        <v>41-HBR-24-035</v>
      </c>
      <c r="AI117" s="137"/>
      <c r="AJ117" s="137"/>
      <c r="AK117" s="138">
        <f t="shared" si="18"/>
        <v>0</v>
      </c>
      <c r="AL117" s="136">
        <f t="shared" si="19"/>
        <v>0</v>
      </c>
      <c r="AM117" s="136">
        <f t="shared" si="20"/>
        <v>0</v>
      </c>
      <c r="AN117" s="141" t="str">
        <f t="shared" si="21"/>
        <v>Bozankaya</v>
      </c>
      <c r="AO117" s="141" t="str">
        <f>[3]Sayfa1!$X114</f>
        <v>E110-8053</v>
      </c>
      <c r="AP117" s="141">
        <f>[3]Sayfa1!$Z114</f>
        <v>0</v>
      </c>
      <c r="AQ117" s="122" t="str">
        <f>[3]Sayfa1!$W114</f>
        <v>1A SİGORTA 110V</v>
      </c>
      <c r="AR117" s="142">
        <f>[3]Sayfa1!$Y114</f>
        <v>1</v>
      </c>
      <c r="AS117" s="143">
        <f>[3]Sayfa1!$AD114</f>
        <v>0</v>
      </c>
      <c r="AT117" s="137" t="str">
        <f>[3]Sayfa1!$AE114</f>
        <v/>
      </c>
      <c r="AU117" s="137" t="str">
        <f>[3]Sayfa1!$AH114</f>
        <v/>
      </c>
      <c r="AV117" s="144">
        <v>113</v>
      </c>
      <c r="AW117" s="145" t="e">
        <f>U117*AB117*#REF!</f>
        <v>#REF!</v>
      </c>
    </row>
    <row r="118" spans="1:49" ht="101.25" customHeight="1">
      <c r="A118" s="119" t="s">
        <v>57</v>
      </c>
      <c r="B118" s="120" t="str">
        <f>[3]Sayfa1!$G115</f>
        <v>TS#1</v>
      </c>
      <c r="C118" s="121" t="str">
        <f>[3]Sayfa1!$H115</f>
        <v>Mc2</v>
      </c>
      <c r="D118" s="146">
        <f>[3]Sayfa1!$N115</f>
        <v>320</v>
      </c>
      <c r="E118" s="122" t="str">
        <f>[3]Sayfa1!$B115</f>
        <v>FRACAS-GDM-114</v>
      </c>
      <c r="F118" s="123">
        <f>[3]Sayfa1!$E115</f>
        <v>45338</v>
      </c>
      <c r="G118" s="124">
        <f>[3]Sayfa1!$F115</f>
        <v>45338.416666666664</v>
      </c>
      <c r="H118" s="119" t="str">
        <f>[3]Sayfa1!$I115</f>
        <v>Depo/Depot</v>
      </c>
      <c r="I118" s="125" t="str">
        <f>IF([3]Sayfa1!$K115="SSH","Notified by Bozankaya","Notified by Customer")</f>
        <v>Notified by Customer</v>
      </c>
      <c r="J118" s="119" t="e">
        <f>VLOOKUP([3]Sayfa1!$AU115,#REF!,2,FALSE)</f>
        <v>#REF!</v>
      </c>
      <c r="K118" s="119" t="str">
        <f>[3]Sayfa1!$V115</f>
        <v>Bozankaya</v>
      </c>
      <c r="L118" s="126" t="str">
        <f t="shared" si="11"/>
        <v>GDM7X4-FRACAS-GDM-114</v>
      </c>
      <c r="M118" s="127" t="str">
        <f>[3]Sayfa1!$L115</f>
        <v>Cam rezistans rölesi arızası</v>
      </c>
      <c r="N118" s="128" t="str">
        <f>[3]Sayfa1!$J115</f>
        <v>C-Uyarı, sürüş devamlılığı</v>
      </c>
      <c r="O118" s="128" t="str">
        <f>[3]Sayfa1!$P115</f>
        <v>C(Sisteme etki etmeyen arıza)</v>
      </c>
      <c r="P118" s="128" t="str">
        <f>[3]Sayfa1!$Q115</f>
        <v>N.A(Yaralanma yok)</v>
      </c>
      <c r="Q118" s="129" t="str" cm="1">
        <f t="array" ref="Q118">_xlfn.IFS([3]Sayfa1!$R115="Bozankaya","Bozankaya",[3]Sayfa1!$R115="İşletme","Customer",[3]Sayfa1!$R115="Tedarikçi","Equipment Supplier")</f>
        <v>Bozankaya</v>
      </c>
      <c r="R118" s="130" t="str">
        <f>[3]Sayfa1!$M115</f>
        <v>Cam rezistansına bağlı JG-K03 rölesi cam rezistansının çektiği akıma dayanmadığı için yanmıştır.</v>
      </c>
      <c r="S118" s="147">
        <f>[3]Sayfa1!$AB115</f>
        <v>0</v>
      </c>
      <c r="T118" s="147">
        <f>[3]Sayfa1!$AA115</f>
        <v>0</v>
      </c>
      <c r="U118" s="131">
        <f>[3]Sayfa1!$AN115</f>
        <v>1</v>
      </c>
      <c r="V118" s="132">
        <f>[3]Sayfa1!$T115</f>
        <v>45338</v>
      </c>
      <c r="W118" s="133">
        <f>[3]Sayfa1!$U115</f>
        <v>45338.427083333336</v>
      </c>
      <c r="X118" s="134">
        <f t="shared" si="12"/>
        <v>45338.427083333336</v>
      </c>
      <c r="Y118" s="123">
        <f>[3]Sayfa1!$AQ115</f>
        <v>45339</v>
      </c>
      <c r="Z118" s="135">
        <f>[3]Sayfa1!$AR115</f>
        <v>45339.479166666664</v>
      </c>
      <c r="AA118" s="134">
        <f t="shared" si="13"/>
        <v>45339.479166666664</v>
      </c>
      <c r="AB118" s="136">
        <f t="shared" si="14"/>
        <v>25.249999999883585</v>
      </c>
      <c r="AC118" s="137">
        <f t="shared" si="15"/>
        <v>45339</v>
      </c>
      <c r="AD118" s="135">
        <f t="shared" si="16"/>
        <v>45339.479166666664</v>
      </c>
      <c r="AE118" s="138">
        <f t="shared" si="17"/>
        <v>45339.479166666664</v>
      </c>
      <c r="AF118" s="139" t="str">
        <f>[3]Sayfa1!$AP115</f>
        <v>(I) İlk defa karşılaşılan arıza</v>
      </c>
      <c r="AG118" s="128" t="str">
        <f>IF([3]Sayfa1!$P115="C(Sisteme etki etmeyen arıza)","Bu Arıza Aracın Servise Verilmesine Engel Değil","Bu Arıza Aracın Servise Verilmesine Engel")</f>
        <v>Bu Arıza Aracın Servise Verilmesine Engel Değil</v>
      </c>
      <c r="AH118" s="140" t="str">
        <f>[3]Sayfa1!$AC115</f>
        <v>41-HBR-24-036</v>
      </c>
      <c r="AI118" s="137"/>
      <c r="AJ118" s="137"/>
      <c r="AK118" s="138">
        <f t="shared" si="18"/>
        <v>0</v>
      </c>
      <c r="AL118" s="136">
        <f t="shared" si="19"/>
        <v>1514.9999999930151</v>
      </c>
      <c r="AM118" s="136">
        <f t="shared" si="20"/>
        <v>0</v>
      </c>
      <c r="AN118" s="141" t="str">
        <f t="shared" si="21"/>
        <v>Bozankaya</v>
      </c>
      <c r="AO118" s="141" t="str">
        <f>[3]Sayfa1!$X115</f>
        <v>E110-8017</v>
      </c>
      <c r="AP118" s="141" t="str">
        <f>[3]Sayfa1!$Z115</f>
        <v>220044001317 2207</v>
      </c>
      <c r="AQ118" s="122" t="str">
        <f>[3]Sayfa1!$W115</f>
        <v>2 CO ARTECHE 110V RÖLE</v>
      </c>
      <c r="AR118" s="142">
        <f>[3]Sayfa1!$Y115</f>
        <v>2</v>
      </c>
      <c r="AS118" s="143">
        <f>[3]Sayfa1!$AD115</f>
        <v>0</v>
      </c>
      <c r="AT118" s="137" t="str">
        <f>[3]Sayfa1!$AE115</f>
        <v/>
      </c>
      <c r="AU118" s="137" t="str">
        <f>[3]Sayfa1!$AH115</f>
        <v/>
      </c>
      <c r="AV118" s="144">
        <v>114</v>
      </c>
      <c r="AW118" s="145" t="e">
        <f>U118*AB118*#REF!</f>
        <v>#REF!</v>
      </c>
    </row>
    <row r="119" spans="1:49" ht="101.25" customHeight="1">
      <c r="A119" s="119" t="s">
        <v>57</v>
      </c>
      <c r="B119" s="120" t="str">
        <f>[3]Sayfa1!$G116</f>
        <v>TS#1</v>
      </c>
      <c r="C119" s="121" t="str">
        <f>[3]Sayfa1!$H116</f>
        <v>T</v>
      </c>
      <c r="D119" s="146">
        <f>[3]Sayfa1!$N116</f>
        <v>320</v>
      </c>
      <c r="E119" s="122" t="str">
        <f>[3]Sayfa1!$B116</f>
        <v>FRACAS-GDM-115</v>
      </c>
      <c r="F119" s="123">
        <f>[3]Sayfa1!$E116</f>
        <v>45338</v>
      </c>
      <c r="G119" s="124">
        <f>[3]Sayfa1!$F116</f>
        <v>45338.5625</v>
      </c>
      <c r="H119" s="119" t="str">
        <f>[3]Sayfa1!$I116</f>
        <v>Depo/Depot</v>
      </c>
      <c r="I119" s="125" t="str">
        <f>IF([3]Sayfa1!$K116="SSH","Notified by Bozankaya","Notified by Customer")</f>
        <v>Notified by Customer</v>
      </c>
      <c r="J119" s="119" t="e">
        <f>VLOOKUP([3]Sayfa1!$AU116,#REF!,2,FALSE)</f>
        <v>#REF!</v>
      </c>
      <c r="K119" s="119" t="str">
        <f>[3]Sayfa1!$V116</f>
        <v>Bozankaya</v>
      </c>
      <c r="L119" s="126" t="str">
        <f t="shared" si="11"/>
        <v>GDM7X4-FRACAS-GDM-115</v>
      </c>
      <c r="M119" s="127" t="str">
        <f>[3]Sayfa1!$L116</f>
        <v>GC-K11 rölesi ark oluşmuş</v>
      </c>
      <c r="N119" s="128" t="str">
        <f>[3]Sayfa1!$J116</f>
        <v>C-Uyarı, sürüş devamlılığı</v>
      </c>
      <c r="O119" s="128" t="str">
        <f>[3]Sayfa1!$P116</f>
        <v>C(Sisteme etki etmeyen arıza)</v>
      </c>
      <c r="P119" s="128" t="str">
        <f>[3]Sayfa1!$Q116</f>
        <v>N.A(Yaralanma yok)</v>
      </c>
      <c r="Q119" s="129" t="str" cm="1">
        <f t="array" ref="Q119">_xlfn.IFS([3]Sayfa1!$R116="Bozankaya","Bozankaya",[3]Sayfa1!$R116="İşletme","Customer",[3]Sayfa1!$R116="Tedarikçi","Equipment Supplier")</f>
        <v>Bozankaya</v>
      </c>
      <c r="R119" s="130" t="str">
        <f>[3]Sayfa1!$M116</f>
        <v>+49 pano GC-K11 rölesinin ark yaptığı tespit edildi. Aracı söndürme tuşuna basıldığında pano içerisinde bazı rölelerin çekti tespit edildi. İkinci kez söndür tuşuna basıldığında rölelerin bıraktığı görüldü. Bununla birlikte GC-F31 sigortasının attığı tespit edildi.  Röle değiştirildi sorun hala devam etmektedir.</v>
      </c>
      <c r="S119" s="147">
        <f>[3]Sayfa1!$AB116</f>
        <v>0</v>
      </c>
      <c r="T119" s="147">
        <f>[3]Sayfa1!$AA116</f>
        <v>0</v>
      </c>
      <c r="U119" s="131">
        <f>[3]Sayfa1!$AN116</f>
        <v>0</v>
      </c>
      <c r="V119" s="132">
        <f>[3]Sayfa1!$T116</f>
        <v>45338</v>
      </c>
      <c r="W119" s="133">
        <f>[3]Sayfa1!$U116</f>
        <v>45338.597222222219</v>
      </c>
      <c r="X119" s="134">
        <f t="shared" si="12"/>
        <v>45338.597222222219</v>
      </c>
      <c r="Y119" s="123" t="str">
        <f>[3]Sayfa1!$AQ116</f>
        <v/>
      </c>
      <c r="Z119" s="135">
        <f>[3]Sayfa1!$AR116</f>
        <v>0</v>
      </c>
      <c r="AA119" s="134">
        <f t="shared" si="13"/>
        <v>0</v>
      </c>
      <c r="AB119" s="136">
        <f t="shared" si="14"/>
        <v>0</v>
      </c>
      <c r="AC119" s="137" t="str">
        <f t="shared" si="15"/>
        <v/>
      </c>
      <c r="AD119" s="135">
        <f t="shared" si="16"/>
        <v>0</v>
      </c>
      <c r="AE119" s="138">
        <f t="shared" si="17"/>
        <v>0</v>
      </c>
      <c r="AF119" s="139" t="str">
        <f>[3]Sayfa1!$AP116</f>
        <v>(I) İlk defa karşılaşılan arıza</v>
      </c>
      <c r="AG119" s="128" t="str">
        <f>IF([3]Sayfa1!$P116="C(Sisteme etki etmeyen arıza)","Bu Arıza Aracın Servise Verilmesine Engel Değil","Bu Arıza Aracın Servise Verilmesine Engel")</f>
        <v>Bu Arıza Aracın Servise Verilmesine Engel Değil</v>
      </c>
      <c r="AH119" s="140" t="str">
        <f>[3]Sayfa1!$AC116</f>
        <v>41-HBR-24-037</v>
      </c>
      <c r="AI119" s="137"/>
      <c r="AJ119" s="137"/>
      <c r="AK119" s="138">
        <f t="shared" si="18"/>
        <v>0</v>
      </c>
      <c r="AL119" s="136">
        <f t="shared" si="19"/>
        <v>0</v>
      </c>
      <c r="AM119" s="136">
        <f t="shared" si="20"/>
        <v>0</v>
      </c>
      <c r="AN119" s="141" t="str">
        <f t="shared" si="21"/>
        <v>Bozankaya</v>
      </c>
      <c r="AO119" s="141" t="str">
        <f>[3]Sayfa1!$X116</f>
        <v>E110-8018</v>
      </c>
      <c r="AP119" s="141" t="str">
        <f>[3]Sayfa1!$Z116</f>
        <v>220044020438 2208</v>
      </c>
      <c r="AQ119" s="122" t="str">
        <f>[3]Sayfa1!$W116</f>
        <v>4 CO ARTECHE 110V RÖLE</v>
      </c>
      <c r="AR119" s="142">
        <f>[3]Sayfa1!$Y116</f>
        <v>1</v>
      </c>
      <c r="AS119" s="143">
        <f>[3]Sayfa1!$AD116</f>
        <v>0</v>
      </c>
      <c r="AT119" s="137" t="str">
        <f>[3]Sayfa1!$AE116</f>
        <v/>
      </c>
      <c r="AU119" s="137" t="str">
        <f>[3]Sayfa1!$AH116</f>
        <v/>
      </c>
      <c r="AV119" s="144">
        <v>115</v>
      </c>
      <c r="AW119" s="145" t="e">
        <f>U119*AB119*#REF!</f>
        <v>#REF!</v>
      </c>
    </row>
    <row r="120" spans="1:49" ht="101.25" customHeight="1">
      <c r="A120" s="119" t="s">
        <v>57</v>
      </c>
      <c r="B120" s="120" t="str">
        <f>[3]Sayfa1!$G117</f>
        <v>TS#7</v>
      </c>
      <c r="C120" s="121" t="str">
        <f>[3]Sayfa1!$H117</f>
        <v>Mc2</v>
      </c>
      <c r="D120" s="146">
        <f>[3]Sayfa1!$N117</f>
        <v>1</v>
      </c>
      <c r="E120" s="122" t="str">
        <f>[3]Sayfa1!$B117</f>
        <v>FRACAS-GDM-116</v>
      </c>
      <c r="F120" s="123">
        <f>[3]Sayfa1!$E117</f>
        <v>45347</v>
      </c>
      <c r="G120" s="124">
        <f>[3]Sayfa1!$F117</f>
        <v>45347.4375</v>
      </c>
      <c r="H120" s="119" t="str">
        <f>[3]Sayfa1!$I117</f>
        <v>Depo/Depot</v>
      </c>
      <c r="I120" s="125" t="str">
        <f>IF([3]Sayfa1!$K117="SSH","Notified by Bozankaya","Notified by Customer")</f>
        <v>Notified by Customer</v>
      </c>
      <c r="J120" s="119" t="e">
        <f>VLOOKUP([3]Sayfa1!$AU117,#REF!,2,FALSE)</f>
        <v>#REF!</v>
      </c>
      <c r="K120" s="119" t="str">
        <f>[3]Sayfa1!$V117</f>
        <v>Piton</v>
      </c>
      <c r="L120" s="126" t="str">
        <f t="shared" si="11"/>
        <v>GDM7X4-FRACAS-GDM-116</v>
      </c>
      <c r="M120" s="127" t="str">
        <f>[3]Sayfa1!$L117</f>
        <v>18" RF modülatör arızası</v>
      </c>
      <c r="N120" s="128" t="str">
        <f>[3]Sayfa1!$J117</f>
        <v>C-Uyarı, sürüş devamlılığı</v>
      </c>
      <c r="O120" s="128" t="str">
        <f>[3]Sayfa1!$P117</f>
        <v>C(Sisteme etki etmeyen arıza)</v>
      </c>
      <c r="P120" s="128" t="str">
        <f>[3]Sayfa1!$Q117</f>
        <v>N.A(Yaralanma yok)</v>
      </c>
      <c r="Q120" s="129" t="str" cm="1">
        <f t="array" ref="Q120">_xlfn.IFS([3]Sayfa1!$R117="Bozankaya","Bozankaya",[3]Sayfa1!$R117="İşletme","Customer",[3]Sayfa1!$R117="Tedarikçi","Equipment Supplier")</f>
        <v>Equipment Supplier</v>
      </c>
      <c r="R120" s="130" t="str">
        <f>[3]Sayfa1!$M117</f>
        <v>Bilgilendirme ekranlarının RF modülatörü cihazına 110V enerji verildiği halde sistem çalışmadığı tespit edildi.</v>
      </c>
      <c r="S120" s="147" t="str">
        <f>[3]Sayfa1!$AB117</f>
        <v>Ekipman değiştirilecek</v>
      </c>
      <c r="T120" s="147">
        <f>[3]Sayfa1!$AA117</f>
        <v>0</v>
      </c>
      <c r="U120" s="131">
        <f>[3]Sayfa1!$AN117</f>
        <v>0</v>
      </c>
      <c r="V120" s="132">
        <f>[3]Sayfa1!$T117</f>
        <v>45347</v>
      </c>
      <c r="W120" s="133">
        <f>[3]Sayfa1!$U117</f>
        <v>45347.479166666664</v>
      </c>
      <c r="X120" s="134">
        <f t="shared" si="12"/>
        <v>45347.479166666664</v>
      </c>
      <c r="Y120" s="123" t="str">
        <f>[3]Sayfa1!$AQ117</f>
        <v/>
      </c>
      <c r="Z120" s="135">
        <f>[3]Sayfa1!$AR117</f>
        <v>0</v>
      </c>
      <c r="AA120" s="134">
        <f t="shared" si="13"/>
        <v>0</v>
      </c>
      <c r="AB120" s="136">
        <f t="shared" si="14"/>
        <v>0</v>
      </c>
      <c r="AC120" s="137" t="str">
        <f t="shared" si="15"/>
        <v/>
      </c>
      <c r="AD120" s="135">
        <f t="shared" si="16"/>
        <v>0</v>
      </c>
      <c r="AE120" s="138">
        <f t="shared" si="17"/>
        <v>0</v>
      </c>
      <c r="AF120" s="139" t="str">
        <f>[3]Sayfa1!$AP117</f>
        <v>(I) İlk defa karşılaşılan arıza</v>
      </c>
      <c r="AG120" s="128" t="str">
        <f>IF([3]Sayfa1!$P117="C(Sisteme etki etmeyen arıza)","Bu Arıza Aracın Servise Verilmesine Engel Değil","Bu Arıza Aracın Servise Verilmesine Engel")</f>
        <v>Bu Arıza Aracın Servise Verilmesine Engel Değil</v>
      </c>
      <c r="AH120" s="140">
        <f>[3]Sayfa1!$AC117</f>
        <v>0</v>
      </c>
      <c r="AI120" s="137"/>
      <c r="AJ120" s="137"/>
      <c r="AK120" s="138">
        <f t="shared" si="18"/>
        <v>0</v>
      </c>
      <c r="AL120" s="136">
        <f t="shared" si="19"/>
        <v>0</v>
      </c>
      <c r="AM120" s="136">
        <f t="shared" si="20"/>
        <v>0</v>
      </c>
      <c r="AN120" s="141" t="str">
        <f t="shared" si="21"/>
        <v>Piton</v>
      </c>
      <c r="AO120" s="141" t="str">
        <f>[3]Sayfa1!$X117</f>
        <v>E840-8010</v>
      </c>
      <c r="AP120" s="141">
        <f>[3]Sayfa1!$Z117</f>
        <v>869023002231</v>
      </c>
      <c r="AQ120" s="122" t="str">
        <f>[3]Sayfa1!$W117</f>
        <v>RF modülatör</v>
      </c>
      <c r="AR120" s="142">
        <f>[3]Sayfa1!$Y117</f>
        <v>1</v>
      </c>
      <c r="AS120" s="143">
        <f>[3]Sayfa1!$AD117</f>
        <v>0</v>
      </c>
      <c r="AT120" s="137" t="str">
        <f>[3]Sayfa1!$AE117</f>
        <v/>
      </c>
      <c r="AU120" s="137" t="str">
        <f>[3]Sayfa1!$AH117</f>
        <v/>
      </c>
      <c r="AV120" s="144">
        <v>116</v>
      </c>
      <c r="AW120" s="145" t="e">
        <f>U120*AB120*#REF!</f>
        <v>#REF!</v>
      </c>
    </row>
    <row r="121" spans="1:49" ht="101.25" customHeight="1">
      <c r="A121" s="119" t="s">
        <v>57</v>
      </c>
      <c r="B121" s="120" t="str">
        <f>[3]Sayfa1!$G118</f>
        <v>TS#3</v>
      </c>
      <c r="C121" s="121" t="str">
        <f>[3]Sayfa1!$H118</f>
        <v>Mc1</v>
      </c>
      <c r="D121" s="146">
        <f>[3]Sayfa1!$N118</f>
        <v>1</v>
      </c>
      <c r="E121" s="122" t="str">
        <f>[3]Sayfa1!$B118</f>
        <v>FRACAS-GDM-117</v>
      </c>
      <c r="F121" s="123">
        <f>[3]Sayfa1!$E118</f>
        <v>45347</v>
      </c>
      <c r="G121" s="124">
        <f>[3]Sayfa1!$F118</f>
        <v>45347.479166666664</v>
      </c>
      <c r="H121" s="119" t="str">
        <f>[3]Sayfa1!$I118</f>
        <v>Depo/Depot</v>
      </c>
      <c r="I121" s="125" t="str">
        <f>IF([3]Sayfa1!$K118="SSH","Notified by Bozankaya","Notified by Customer")</f>
        <v>Notified by Customer</v>
      </c>
      <c r="J121" s="119" t="e">
        <f>VLOOKUP([3]Sayfa1!$AU118,#REF!,2,FALSE)</f>
        <v>#REF!</v>
      </c>
      <c r="K121" s="119" t="str">
        <f>[3]Sayfa1!$V118</f>
        <v>Stemman</v>
      </c>
      <c r="L121" s="126" t="str">
        <f t="shared" si="11"/>
        <v>GDM7X4-FRACAS-GDM-117</v>
      </c>
      <c r="M121" s="127" t="str">
        <f>[3]Sayfa1!$L118</f>
        <v>RF Modülatör Arızası</v>
      </c>
      <c r="N121" s="128" t="str">
        <f>[3]Sayfa1!$J118</f>
        <v>C-Uyarı, sürüş devamlılığı</v>
      </c>
      <c r="O121" s="128" t="str">
        <f>[3]Sayfa1!$P118</f>
        <v>C(Sisteme etki etmeyen arıza)</v>
      </c>
      <c r="P121" s="128" t="str">
        <f>[3]Sayfa1!$Q118</f>
        <v>N.A(Yaralanma yok)</v>
      </c>
      <c r="Q121" s="129" t="str" cm="1">
        <f t="array" ref="Q121">_xlfn.IFS([3]Sayfa1!$R118="Bozankaya","Bozankaya",[3]Sayfa1!$R118="İşletme","Customer",[3]Sayfa1!$R118="Tedarikçi","Equipment Supplier")</f>
        <v>Equipment Supplier</v>
      </c>
      <c r="R121" s="130" t="str">
        <f>[3]Sayfa1!$M118</f>
        <v>Reklam ekranlarının RF modülatör 110v enerji verildiğinde sigorta attırıyor. Cihazın içi kısa devre olduğu düşünülüyor.</v>
      </c>
      <c r="S121" s="147" t="str">
        <f>[3]Sayfa1!$AB118</f>
        <v>Ekipman değiştirilecek</v>
      </c>
      <c r="T121" s="147">
        <f>[3]Sayfa1!$AA118</f>
        <v>0</v>
      </c>
      <c r="U121" s="131">
        <f>[3]Sayfa1!$AN118</f>
        <v>0</v>
      </c>
      <c r="V121" s="132">
        <f>[3]Sayfa1!$T118</f>
        <v>45347</v>
      </c>
      <c r="W121" s="133">
        <f>[3]Sayfa1!$U118</f>
        <v>45347.520833333336</v>
      </c>
      <c r="X121" s="134">
        <f t="shared" si="12"/>
        <v>45347.520833333336</v>
      </c>
      <c r="Y121" s="123" t="str">
        <f>[3]Sayfa1!$AQ118</f>
        <v/>
      </c>
      <c r="Z121" s="135">
        <f>[3]Sayfa1!$AR118</f>
        <v>0</v>
      </c>
      <c r="AA121" s="134">
        <f t="shared" si="13"/>
        <v>0</v>
      </c>
      <c r="AB121" s="136">
        <f t="shared" si="14"/>
        <v>0</v>
      </c>
      <c r="AC121" s="137" t="str">
        <f t="shared" si="15"/>
        <v/>
      </c>
      <c r="AD121" s="135">
        <f t="shared" si="16"/>
        <v>0</v>
      </c>
      <c r="AE121" s="138">
        <f t="shared" si="17"/>
        <v>0</v>
      </c>
      <c r="AF121" s="139" t="str">
        <f>[3]Sayfa1!$AP118</f>
        <v>(II) Birden fazla karşılaşılan arıza</v>
      </c>
      <c r="AG121" s="128" t="str">
        <f>IF([3]Sayfa1!$P118="C(Sisteme etki etmeyen arıza)","Bu Arıza Aracın Servise Verilmesine Engel Değil","Bu Arıza Aracın Servise Verilmesine Engel")</f>
        <v>Bu Arıza Aracın Servise Verilmesine Engel Değil</v>
      </c>
      <c r="AH121" s="140">
        <f>[3]Sayfa1!$AC118</f>
        <v>0</v>
      </c>
      <c r="AI121" s="137"/>
      <c r="AJ121" s="137"/>
      <c r="AK121" s="138">
        <f t="shared" si="18"/>
        <v>0</v>
      </c>
      <c r="AL121" s="136">
        <f t="shared" si="19"/>
        <v>0</v>
      </c>
      <c r="AM121" s="136">
        <f t="shared" si="20"/>
        <v>0</v>
      </c>
      <c r="AN121" s="141" t="str">
        <f t="shared" si="21"/>
        <v>Stemman</v>
      </c>
      <c r="AO121" s="141" t="str">
        <f>[3]Sayfa1!$X118</f>
        <v>E840-8010</v>
      </c>
      <c r="AP121" s="141">
        <f>[3]Sayfa1!$Z118</f>
        <v>869023002252</v>
      </c>
      <c r="AQ121" s="122" t="str">
        <f>[3]Sayfa1!$W118</f>
        <v>RF modülatör</v>
      </c>
      <c r="AR121" s="142">
        <f>[3]Sayfa1!$Y118</f>
        <v>1</v>
      </c>
      <c r="AS121" s="143">
        <f>[3]Sayfa1!$AD118</f>
        <v>0</v>
      </c>
      <c r="AT121" s="137" t="str">
        <f>[3]Sayfa1!$AE118</f>
        <v/>
      </c>
      <c r="AU121" s="137" t="str">
        <f>[3]Sayfa1!$AH118</f>
        <v/>
      </c>
      <c r="AV121" s="144">
        <v>117</v>
      </c>
      <c r="AW121" s="145" t="e">
        <f>U121*AB121*#REF!</f>
        <v>#REF!</v>
      </c>
    </row>
    <row r="122" spans="1:49" ht="101.25" customHeight="1">
      <c r="A122" s="119" t="s">
        <v>57</v>
      </c>
      <c r="B122" s="120" t="str">
        <f>[3]Sayfa1!$G119</f>
        <v>TS#5</v>
      </c>
      <c r="C122" s="121" t="str">
        <f>[3]Sayfa1!$H119</f>
        <v>M</v>
      </c>
      <c r="D122" s="146">
        <f>[3]Sayfa1!$N119</f>
        <v>1</v>
      </c>
      <c r="E122" s="122" t="str">
        <f>[3]Sayfa1!$B119</f>
        <v>FRACAS-GDM-118</v>
      </c>
      <c r="F122" s="123">
        <f>[3]Sayfa1!$E119</f>
        <v>45349</v>
      </c>
      <c r="G122" s="124">
        <f>[3]Sayfa1!$F119</f>
        <v>45349.354166666664</v>
      </c>
      <c r="H122" s="119" t="str">
        <f>[3]Sayfa1!$I119</f>
        <v>Depo/Depot</v>
      </c>
      <c r="I122" s="125" t="str">
        <f>IF([3]Sayfa1!$K119="SSH","Notified by Bozankaya","Notified by Customer")</f>
        <v>Notified by Customer</v>
      </c>
      <c r="J122" s="119" t="e">
        <f>VLOOKUP([3]Sayfa1!$AU119,#REF!,2,FALSE)</f>
        <v>#REF!</v>
      </c>
      <c r="K122" s="119" t="str">
        <f>[3]Sayfa1!$V119</f>
        <v>Piton</v>
      </c>
      <c r="L122" s="126" t="str">
        <f t="shared" si="11"/>
        <v>GDM7X4-FRACAS-GDM-118</v>
      </c>
      <c r="M122" s="127" t="str">
        <f>[3]Sayfa1!$L119</f>
        <v>Reklam ekranı kırık</v>
      </c>
      <c r="N122" s="128" t="str">
        <f>[3]Sayfa1!$J119</f>
        <v>C-Uyarı, sürüş devamlılığı</v>
      </c>
      <c r="O122" s="128" t="str">
        <f>[3]Sayfa1!$P119</f>
        <v>C(Sisteme etki etmeyen arıza)</v>
      </c>
      <c r="P122" s="128" t="str">
        <f>[3]Sayfa1!$Q119</f>
        <v>N.A(Yaralanma yok)</v>
      </c>
      <c r="Q122" s="129" t="str" cm="1">
        <f t="array" ref="Q122">_xlfn.IFS([3]Sayfa1!$R119="Bozankaya","Bozankaya",[3]Sayfa1!$R119="İşletme","Customer",[3]Sayfa1!$R119="Tedarikçi","Equipment Supplier")</f>
        <v>Equipment Supplier</v>
      </c>
      <c r="R122" s="130" t="str">
        <f>[3]Sayfa1!$M119</f>
        <v>Metro ilk canlandırıldığında ekranların kontrolleri yapıldı. 9. Kapının yanındaki ekranın darbe aldığını ve kırık olduğu tespit edildi.</v>
      </c>
      <c r="S122" s="147">
        <f>[3]Sayfa1!$AB119</f>
        <v>0</v>
      </c>
      <c r="T122" s="147">
        <f>[3]Sayfa1!$AA119</f>
        <v>0</v>
      </c>
      <c r="U122" s="131">
        <f>[3]Sayfa1!$AN119</f>
        <v>0</v>
      </c>
      <c r="V122" s="132">
        <f>[3]Sayfa1!$T119</f>
        <v>45349</v>
      </c>
      <c r="W122" s="133">
        <f>[3]Sayfa1!$U119</f>
        <v>45349.416666666664</v>
      </c>
      <c r="X122" s="134">
        <f t="shared" si="12"/>
        <v>45349.416666666664</v>
      </c>
      <c r="Y122" s="123" t="str">
        <f>[3]Sayfa1!$AQ119</f>
        <v/>
      </c>
      <c r="Z122" s="135">
        <f>[3]Sayfa1!$AR119</f>
        <v>0</v>
      </c>
      <c r="AA122" s="134">
        <f t="shared" si="13"/>
        <v>0</v>
      </c>
      <c r="AB122" s="136">
        <f t="shared" si="14"/>
        <v>0</v>
      </c>
      <c r="AC122" s="137" t="str">
        <f t="shared" si="15"/>
        <v/>
      </c>
      <c r="AD122" s="135">
        <f t="shared" si="16"/>
        <v>0</v>
      </c>
      <c r="AE122" s="138">
        <f t="shared" si="17"/>
        <v>0</v>
      </c>
      <c r="AF122" s="139" t="str">
        <f>[3]Sayfa1!$AP119</f>
        <v>(I) İlk defa karşılaşılan arıza</v>
      </c>
      <c r="AG122" s="128" t="str">
        <f>IF([3]Sayfa1!$P119="C(Sisteme etki etmeyen arıza)","Bu Arıza Aracın Servise Verilmesine Engel Değil","Bu Arıza Aracın Servise Verilmesine Engel")</f>
        <v>Bu Arıza Aracın Servise Verilmesine Engel Değil</v>
      </c>
      <c r="AH122" s="140" t="str">
        <f>[3]Sayfa1!$AC119</f>
        <v>41-HBR-24-038</v>
      </c>
      <c r="AI122" s="137"/>
      <c r="AJ122" s="137"/>
      <c r="AK122" s="138">
        <f t="shared" si="18"/>
        <v>0</v>
      </c>
      <c r="AL122" s="136">
        <f t="shared" si="19"/>
        <v>0</v>
      </c>
      <c r="AM122" s="136">
        <f t="shared" si="20"/>
        <v>0</v>
      </c>
      <c r="AN122" s="141" t="str">
        <f t="shared" si="21"/>
        <v>Piton</v>
      </c>
      <c r="AO122" s="141" t="str">
        <f>[3]Sayfa1!$X119</f>
        <v>E110-8018</v>
      </c>
      <c r="AP122" s="141">
        <f>[3]Sayfa1!$Z119</f>
        <v>869023001185</v>
      </c>
      <c r="AQ122" s="122" t="str">
        <f>[3]Sayfa1!$W119</f>
        <v>Dikey LCD 23.5" ekran</v>
      </c>
      <c r="AR122" s="142">
        <f>[3]Sayfa1!$Y119</f>
        <v>1</v>
      </c>
      <c r="AS122" s="143">
        <f>[3]Sayfa1!$AD119</f>
        <v>0</v>
      </c>
      <c r="AT122" s="137" t="str">
        <f>[3]Sayfa1!$AE119</f>
        <v/>
      </c>
      <c r="AU122" s="137" t="str">
        <f>[3]Sayfa1!$AH119</f>
        <v/>
      </c>
      <c r="AV122" s="144">
        <v>118</v>
      </c>
      <c r="AW122" s="145" t="e">
        <f>U122*AB122*#REF!</f>
        <v>#REF!</v>
      </c>
    </row>
    <row r="123" spans="1:49" ht="101.25" customHeight="1">
      <c r="A123" s="119" t="s">
        <v>57</v>
      </c>
      <c r="B123" s="120" t="str">
        <f>[3]Sayfa1!$G120</f>
        <v>TS#2</v>
      </c>
      <c r="C123" s="121" t="str">
        <f>[3]Sayfa1!$H120</f>
        <v>Mc1</v>
      </c>
      <c r="D123" s="146">
        <f>[3]Sayfa1!$N120</f>
        <v>1</v>
      </c>
      <c r="E123" s="122" t="str">
        <f>[3]Sayfa1!$B120</f>
        <v>FRACAS-GDM-119</v>
      </c>
      <c r="F123" s="123">
        <f>[3]Sayfa1!$E120</f>
        <v>45350</v>
      </c>
      <c r="G123" s="124">
        <f>[3]Sayfa1!$F120</f>
        <v>45350.479166666664</v>
      </c>
      <c r="H123" s="119" t="str">
        <f>[3]Sayfa1!$I120</f>
        <v>Depo/Depot</v>
      </c>
      <c r="I123" s="125" t="str">
        <f>IF([3]Sayfa1!$K120="SSH","Notified by Bozankaya","Notified by Customer")</f>
        <v>Notified by Customer</v>
      </c>
      <c r="J123" s="119" t="e">
        <f>VLOOKUP([3]Sayfa1!$AU120,#REF!,2,FALSE)</f>
        <v>#REF!</v>
      </c>
      <c r="K123" s="119" t="str">
        <f>[3]Sayfa1!$V120</f>
        <v>Bozankaya</v>
      </c>
      <c r="L123" s="126" t="str">
        <f t="shared" si="11"/>
        <v>GDM7X4-FRACAS-GDM-119</v>
      </c>
      <c r="M123" s="127" t="str">
        <f>[3]Sayfa1!$L120</f>
        <v>Klamens Hatalı</v>
      </c>
      <c r="N123" s="128" t="str">
        <f>[3]Sayfa1!$J120</f>
        <v>C-Uyarı, sürüş devamlılığı</v>
      </c>
      <c r="O123" s="128" t="str">
        <f>[3]Sayfa1!$P120</f>
        <v>C(Sisteme etki etmeyen arıza)</v>
      </c>
      <c r="P123" s="128" t="str">
        <f>[3]Sayfa1!$Q120</f>
        <v>N.A(Yaralanma yok)</v>
      </c>
      <c r="Q123" s="129" t="str" cm="1">
        <f t="array" ref="Q123">_xlfn.IFS([3]Sayfa1!$R120="Bozankaya","Bozankaya",[3]Sayfa1!$R120="İşletme","Customer",[3]Sayfa1!$R120="Tedarikçi","Equipment Supplier")</f>
        <v>Bozankaya</v>
      </c>
      <c r="R123" s="130" t="str">
        <f>[3]Sayfa1!$M120</f>
        <v>2002-1401 klamensi ile 2002-1411 klamensi araç montajı yapılırken karıştırılmış olduğu tespit edildi. Araç içerisinde montajı yapılması gereken 2002-1401 olması gerekirken 2002-1411 montajı yapıldığından sistemler doğru çalışmadığı görüldü.</v>
      </c>
      <c r="S123" s="147">
        <f>[3]Sayfa1!$AB120</f>
        <v>0</v>
      </c>
      <c r="T123" s="147">
        <f>[3]Sayfa1!$AA120</f>
        <v>0</v>
      </c>
      <c r="U123" s="131">
        <f>[3]Sayfa1!$AN120</f>
        <v>1</v>
      </c>
      <c r="V123" s="132">
        <f>[3]Sayfa1!$T120</f>
        <v>45351</v>
      </c>
      <c r="W123" s="133">
        <f>[3]Sayfa1!$U120</f>
        <v>45351.395833333336</v>
      </c>
      <c r="X123" s="134">
        <f t="shared" si="12"/>
        <v>45351.395833333336</v>
      </c>
      <c r="Y123" s="123">
        <f>[3]Sayfa1!$AQ120</f>
        <v>45350</v>
      </c>
      <c r="Z123" s="135">
        <f>[3]Sayfa1!$AR120</f>
        <v>45350.479166666664</v>
      </c>
      <c r="AA123" s="134">
        <f t="shared" si="13"/>
        <v>45350.479166666664</v>
      </c>
      <c r="AB123" s="136">
        <f t="shared" si="14"/>
        <v>0</v>
      </c>
      <c r="AC123" s="137">
        <f t="shared" si="15"/>
        <v>45350</v>
      </c>
      <c r="AD123" s="135">
        <f t="shared" si="16"/>
        <v>45350.479166666664</v>
      </c>
      <c r="AE123" s="138">
        <f t="shared" si="17"/>
        <v>45350.479166666664</v>
      </c>
      <c r="AF123" s="139" t="str">
        <f>[3]Sayfa1!$AP120</f>
        <v>(I) İlk defa karşılaşılan arıza</v>
      </c>
      <c r="AG123" s="128" t="str">
        <f>IF([3]Sayfa1!$P120="C(Sisteme etki etmeyen arıza)","Bu Arıza Aracın Servise Verilmesine Engel Değil","Bu Arıza Aracın Servise Verilmesine Engel")</f>
        <v>Bu Arıza Aracın Servise Verilmesine Engel Değil</v>
      </c>
      <c r="AH123" s="140">
        <f>[3]Sayfa1!$AC120</f>
        <v>0</v>
      </c>
      <c r="AI123" s="137"/>
      <c r="AJ123" s="137"/>
      <c r="AK123" s="138">
        <f t="shared" si="18"/>
        <v>0</v>
      </c>
      <c r="AL123" s="136">
        <f t="shared" si="19"/>
        <v>0</v>
      </c>
      <c r="AM123" s="136">
        <f t="shared" si="20"/>
        <v>0</v>
      </c>
      <c r="AN123" s="141" t="str">
        <f t="shared" si="21"/>
        <v>Bozankaya</v>
      </c>
      <c r="AO123" s="141" t="str">
        <f>[3]Sayfa1!$X120</f>
        <v>E110-7296</v>
      </c>
      <c r="AP123" s="141">
        <f>[3]Sayfa1!$Z120</f>
        <v>0</v>
      </c>
      <c r="AQ123" s="122" t="str">
        <f>[3]Sayfa1!$W120</f>
        <v>4mm2 dörtlü (diyotlu)</v>
      </c>
      <c r="AR123" s="142">
        <f>[3]Sayfa1!$Y120</f>
        <v>8</v>
      </c>
      <c r="AS123" s="143">
        <f>[3]Sayfa1!$AD120</f>
        <v>0</v>
      </c>
      <c r="AT123" s="137" t="str">
        <f>[3]Sayfa1!$AE120</f>
        <v/>
      </c>
      <c r="AU123" s="137" t="str">
        <f>[3]Sayfa1!$AH120</f>
        <v/>
      </c>
      <c r="AV123" s="144">
        <v>119</v>
      </c>
      <c r="AW123" s="145" t="e">
        <f>U123*AB123*#REF!</f>
        <v>#REF!</v>
      </c>
    </row>
    <row r="124" spans="1:49" ht="101.25" customHeight="1">
      <c r="A124" s="119" t="s">
        <v>57</v>
      </c>
      <c r="B124" s="120" t="str">
        <f>[3]Sayfa1!$G121</f>
        <v>TS#1</v>
      </c>
      <c r="C124" s="121" t="str">
        <f>[3]Sayfa1!$H121</f>
        <v>Mc1 , Mc2 , M , T</v>
      </c>
      <c r="D124" s="146">
        <f>[3]Sayfa1!$N121</f>
        <v>350</v>
      </c>
      <c r="E124" s="122" t="str">
        <f>[3]Sayfa1!$B121</f>
        <v>FRACAS-GDM-120</v>
      </c>
      <c r="F124" s="123">
        <f>[3]Sayfa1!$E121</f>
        <v>45352</v>
      </c>
      <c r="G124" s="124">
        <f>[3]Sayfa1!$F121</f>
        <v>45352.375</v>
      </c>
      <c r="H124" s="119" t="str">
        <f>[3]Sayfa1!$I121</f>
        <v>Depo/Depot</v>
      </c>
      <c r="I124" s="125" t="str">
        <f>IF([3]Sayfa1!$K121="SSH","Notified by Bozankaya","Notified by Customer")</f>
        <v>Notified by Customer</v>
      </c>
      <c r="J124" s="119" t="e">
        <f>VLOOKUP([3]Sayfa1!$AU121,#REF!,2,FALSE)</f>
        <v>#REF!</v>
      </c>
      <c r="K124" s="119" t="str">
        <f>[3]Sayfa1!$V121</f>
        <v>Bozankaya</v>
      </c>
      <c r="L124" s="126" t="str">
        <f t="shared" si="11"/>
        <v>GDM7X4-FRACAS-GDM-120</v>
      </c>
      <c r="M124" s="127" t="str">
        <f>[3]Sayfa1!$L121</f>
        <v>Elektro Dinamik Fren</v>
      </c>
      <c r="N124" s="128" t="str">
        <f>[3]Sayfa1!$J121</f>
        <v>C-Uyarı, sürüş devamlılığı</v>
      </c>
      <c r="O124" s="128" t="str">
        <f>[3]Sayfa1!$P121</f>
        <v>C(Sisteme etki etmeyen arıza)</v>
      </c>
      <c r="P124" s="128" t="str">
        <f>[3]Sayfa1!$Q121</f>
        <v>N.A(Yaralanma yok)</v>
      </c>
      <c r="Q124" s="129" t="str" cm="1">
        <f t="array" ref="Q124">_xlfn.IFS([3]Sayfa1!$R121="Bozankaya","Bozankaya",[3]Sayfa1!$R121="İşletme","Customer",[3]Sayfa1!$R121="Tedarikçi","Equipment Supplier")</f>
        <v>Bozankaya</v>
      </c>
      <c r="R124" s="130" t="str">
        <f>[3]Sayfa1!$M121</f>
        <v>Test sürüşleri yapıldığı süreçte aracın Elektro Dinamik Fren(ED) yapıldığında, araç içerisinde yüksek çınlama sesi (manyetik ses) gelmektedir. Elektro Dinamik fren yapıldığında geri besleme voltajı 1850 volt üzerine çıktığı zaman ses başlamaktadır.</v>
      </c>
      <c r="S124" s="147">
        <f>[3]Sayfa1!$AB121</f>
        <v>0</v>
      </c>
      <c r="T124" s="147">
        <f>[3]Sayfa1!$AA121</f>
        <v>0</v>
      </c>
      <c r="U124" s="131">
        <f>[3]Sayfa1!$AN121</f>
        <v>0</v>
      </c>
      <c r="V124" s="132">
        <f>[3]Sayfa1!$T121</f>
        <v>45371</v>
      </c>
      <c r="W124" s="133">
        <f>[3]Sayfa1!$U121</f>
        <v>45371.458333333336</v>
      </c>
      <c r="X124" s="134">
        <f t="shared" si="12"/>
        <v>45371.458333333336</v>
      </c>
      <c r="Y124" s="123" t="str">
        <f>[3]Sayfa1!$AQ121</f>
        <v/>
      </c>
      <c r="Z124" s="135">
        <f>[3]Sayfa1!$AR121</f>
        <v>0</v>
      </c>
      <c r="AA124" s="134">
        <f t="shared" si="13"/>
        <v>0</v>
      </c>
      <c r="AB124" s="136">
        <f t="shared" si="14"/>
        <v>0</v>
      </c>
      <c r="AC124" s="137" t="str">
        <f t="shared" si="15"/>
        <v/>
      </c>
      <c r="AD124" s="135">
        <f t="shared" si="16"/>
        <v>0</v>
      </c>
      <c r="AE124" s="138">
        <f t="shared" si="17"/>
        <v>0</v>
      </c>
      <c r="AF124" s="139" t="str">
        <f>[3]Sayfa1!$AP121</f>
        <v>(I) İlk defa karşılaşılan arıza</v>
      </c>
      <c r="AG124" s="128" t="str">
        <f>IF([3]Sayfa1!$P121="C(Sisteme etki etmeyen arıza)","Bu Arıza Aracın Servise Verilmesine Engel Değil","Bu Arıza Aracın Servise Verilmesine Engel")</f>
        <v>Bu Arıza Aracın Servise Verilmesine Engel Değil</v>
      </c>
      <c r="AH124" s="140">
        <f>[3]Sayfa1!$AC121</f>
        <v>0</v>
      </c>
      <c r="AI124" s="137"/>
      <c r="AJ124" s="137"/>
      <c r="AK124" s="138">
        <f t="shared" si="18"/>
        <v>0</v>
      </c>
      <c r="AL124" s="136">
        <f t="shared" si="19"/>
        <v>0</v>
      </c>
      <c r="AM124" s="136">
        <f t="shared" si="20"/>
        <v>0</v>
      </c>
      <c r="AN124" s="141" t="str">
        <f t="shared" si="21"/>
        <v>Bozankaya</v>
      </c>
      <c r="AO124" s="141">
        <f>[3]Sayfa1!$X121</f>
        <v>0</v>
      </c>
      <c r="AP124" s="141">
        <f>[3]Sayfa1!$Z121</f>
        <v>0</v>
      </c>
      <c r="AQ124" s="122">
        <f>[3]Sayfa1!$W121</f>
        <v>0</v>
      </c>
      <c r="AR124" s="142">
        <f>[3]Sayfa1!$Y121</f>
        <v>0</v>
      </c>
      <c r="AS124" s="143">
        <f>[3]Sayfa1!$AD121</f>
        <v>0</v>
      </c>
      <c r="AT124" s="137" t="str">
        <f>[3]Sayfa1!$AE121</f>
        <v/>
      </c>
      <c r="AU124" s="137" t="str">
        <f>[3]Sayfa1!$AH121</f>
        <v/>
      </c>
      <c r="AV124" s="144">
        <v>120</v>
      </c>
      <c r="AW124" s="145" t="e">
        <f>U124*AB124*#REF!</f>
        <v>#REF!</v>
      </c>
    </row>
    <row r="125" spans="1:49" ht="101.25" customHeight="1">
      <c r="A125" s="119" t="s">
        <v>57</v>
      </c>
      <c r="B125" s="120" t="str">
        <f>[3]Sayfa1!$G122</f>
        <v>TS#6</v>
      </c>
      <c r="C125" s="121" t="str">
        <f>[3]Sayfa1!$H122</f>
        <v>Mc1 , Mc2 , M , T</v>
      </c>
      <c r="D125" s="146">
        <f>[3]Sayfa1!$N122</f>
        <v>1</v>
      </c>
      <c r="E125" s="122" t="str">
        <f>[3]Sayfa1!$B122</f>
        <v>FRACAS-GDM-121</v>
      </c>
      <c r="F125" s="123">
        <f>[3]Sayfa1!$E122</f>
        <v>45356</v>
      </c>
      <c r="G125" s="124">
        <f>[3]Sayfa1!$F122</f>
        <v>45356.521180555559</v>
      </c>
      <c r="H125" s="119" t="str">
        <f>[3]Sayfa1!$I122</f>
        <v>Depo/Depot</v>
      </c>
      <c r="I125" s="125" t="str">
        <f>IF([3]Sayfa1!$K122="SSH","Notified by Bozankaya","Notified by Customer")</f>
        <v>Notified by Customer</v>
      </c>
      <c r="J125" s="119" t="e">
        <f>VLOOKUP([3]Sayfa1!$AU122,#REF!,2,FALSE)</f>
        <v>#REF!</v>
      </c>
      <c r="K125" s="119" t="str">
        <f>[3]Sayfa1!$V122</f>
        <v>Bozankaya</v>
      </c>
      <c r="L125" s="126" t="str">
        <f t="shared" si="11"/>
        <v>GDM7X4-FRACAS-GDM-121</v>
      </c>
      <c r="M125" s="127" t="str">
        <f>[3]Sayfa1!$L122</f>
        <v>Körük şase arası açıklıktan dolayı 6. ve 7. setlerde araçların içine su sızıntısı olabileceği tespit edilmiştir.,</v>
      </c>
      <c r="N125" s="128" t="str">
        <f>[3]Sayfa1!$J122</f>
        <v>C-Uyarı, sürüş devamlılığı</v>
      </c>
      <c r="O125" s="128" t="str">
        <f>[3]Sayfa1!$P122</f>
        <v>C(Sisteme etki etmeyen arıza)</v>
      </c>
      <c r="P125" s="128" t="str">
        <f>[3]Sayfa1!$Q122</f>
        <v>N.A(Yaralanma yok)</v>
      </c>
      <c r="Q125" s="129" t="str" cm="1">
        <f t="array" ref="Q125">_xlfn.IFS([3]Sayfa1!$R122="Bozankaya","Bozankaya",[3]Sayfa1!$R122="İşletme","Customer",[3]Sayfa1!$R122="Tedarikçi","Equipment Supplier")</f>
        <v>Bozankaya</v>
      </c>
      <c r="R125" s="130" t="str">
        <f>[3]Sayfa1!$M122</f>
        <v>kısa vadede durumun engellenmesi için poşet bantlandı</v>
      </c>
      <c r="S125" s="147" t="str">
        <f>[3]Sayfa1!$AB122</f>
        <v>Arıza çözülecek</v>
      </c>
      <c r="T125" s="147" t="str">
        <f>[3]Sayfa1!$AA122</f>
        <v>Hayır</v>
      </c>
      <c r="U125" s="131">
        <f>[3]Sayfa1!$AN122</f>
        <v>0</v>
      </c>
      <c r="V125" s="132">
        <f>[3]Sayfa1!$T122</f>
        <v>45358</v>
      </c>
      <c r="W125" s="133">
        <f>[3]Sayfa1!$U122</f>
        <v>45358.5</v>
      </c>
      <c r="X125" s="134">
        <f t="shared" si="12"/>
        <v>45358.5</v>
      </c>
      <c r="Y125" s="123" t="str">
        <f>[3]Sayfa1!$AQ122</f>
        <v/>
      </c>
      <c r="Z125" s="135">
        <f>[3]Sayfa1!$AR122</f>
        <v>0</v>
      </c>
      <c r="AA125" s="134">
        <f t="shared" si="13"/>
        <v>0</v>
      </c>
      <c r="AB125" s="136">
        <f t="shared" si="14"/>
        <v>0</v>
      </c>
      <c r="AC125" s="137" t="str">
        <f t="shared" si="15"/>
        <v/>
      </c>
      <c r="AD125" s="135">
        <f t="shared" si="16"/>
        <v>0</v>
      </c>
      <c r="AE125" s="138">
        <f t="shared" si="17"/>
        <v>0</v>
      </c>
      <c r="AF125" s="139" t="str">
        <f>[3]Sayfa1!$AP122</f>
        <v>(II) Birden fazla karşılaşılan arıza</v>
      </c>
      <c r="AG125" s="128" t="str">
        <f>IF([3]Sayfa1!$P122="C(Sisteme etki etmeyen arıza)","Bu Arıza Aracın Servise Verilmesine Engel Değil","Bu Arıza Aracın Servise Verilmesine Engel")</f>
        <v>Bu Arıza Aracın Servise Verilmesine Engel Değil</v>
      </c>
      <c r="AH125" s="140" t="str">
        <f>[3]Sayfa1!$AC122</f>
        <v>41-HBR-24-039</v>
      </c>
      <c r="AI125" s="137"/>
      <c r="AJ125" s="137"/>
      <c r="AK125" s="138">
        <f t="shared" si="18"/>
        <v>0</v>
      </c>
      <c r="AL125" s="136">
        <f t="shared" si="19"/>
        <v>0</v>
      </c>
      <c r="AM125" s="136">
        <f t="shared" si="20"/>
        <v>0</v>
      </c>
      <c r="AN125" s="141" t="str">
        <f t="shared" si="21"/>
        <v>Bozankaya</v>
      </c>
      <c r="AO125" s="141" t="str">
        <f>[3]Sayfa1!$X122</f>
        <v>S500-8004</v>
      </c>
      <c r="AP125" s="141">
        <f>[3]Sayfa1!$Z122</f>
        <v>0</v>
      </c>
      <c r="AQ125" s="122" t="str">
        <f>[3]Sayfa1!$W122</f>
        <v>körük</v>
      </c>
      <c r="AR125" s="142">
        <f>[3]Sayfa1!$Y122</f>
        <v>0</v>
      </c>
      <c r="AS125" s="143">
        <f>[3]Sayfa1!$AD122</f>
        <v>0</v>
      </c>
      <c r="AT125" s="137" t="str">
        <f>[3]Sayfa1!$AE122</f>
        <v/>
      </c>
      <c r="AU125" s="137" t="str">
        <f>[3]Sayfa1!$AH122</f>
        <v/>
      </c>
      <c r="AV125" s="144">
        <v>121</v>
      </c>
      <c r="AW125" s="145" t="e">
        <f>U125*AB125*#REF!</f>
        <v>#REF!</v>
      </c>
    </row>
    <row r="126" spans="1:49" ht="101.25" customHeight="1">
      <c r="A126" s="119" t="s">
        <v>57</v>
      </c>
      <c r="B126" s="120" t="str">
        <f>[3]Sayfa1!$G123</f>
        <v>TS#7</v>
      </c>
      <c r="C126" s="121" t="str">
        <f>[3]Sayfa1!$H123</f>
        <v>Mc1 , Mc2 , M , T</v>
      </c>
      <c r="D126" s="146">
        <f>[3]Sayfa1!$N123</f>
        <v>1</v>
      </c>
      <c r="E126" s="122" t="str">
        <f>[3]Sayfa1!$B123</f>
        <v>FRACAS-GDM-122</v>
      </c>
      <c r="F126" s="123">
        <f>[3]Sayfa1!$E123</f>
        <v>45356</v>
      </c>
      <c r="G126" s="124">
        <f>[3]Sayfa1!$F123</f>
        <v>45356.521180555559</v>
      </c>
      <c r="H126" s="119" t="str">
        <f>[3]Sayfa1!$I123</f>
        <v>Depo/Depot</v>
      </c>
      <c r="I126" s="125" t="str">
        <f>IF([3]Sayfa1!$K123="SSH","Notified by Bozankaya","Notified by Customer")</f>
        <v>Notified by Customer</v>
      </c>
      <c r="J126" s="119" t="e">
        <f>VLOOKUP([3]Sayfa1!$AU123,#REF!,2,FALSE)</f>
        <v>#REF!</v>
      </c>
      <c r="K126" s="119" t="str">
        <f>[3]Sayfa1!$V123</f>
        <v>Bozankaya</v>
      </c>
      <c r="L126" s="126" t="str">
        <f t="shared" si="11"/>
        <v>GDM7X4-FRACAS-GDM-122</v>
      </c>
      <c r="M126" s="127" t="str">
        <f>[3]Sayfa1!$L123</f>
        <v>Körük şase arası açıklıktan dolayı 6. ve 7. setlerde araçların içine su sızıntısı olabileceği tespit edilmiştir.,</v>
      </c>
      <c r="N126" s="128" t="str">
        <f>[3]Sayfa1!$J123</f>
        <v>C-Uyarı, sürüş devamlılığı</v>
      </c>
      <c r="O126" s="128" t="str">
        <f>[3]Sayfa1!$P123</f>
        <v>C(Sisteme etki etmeyen arıza)</v>
      </c>
      <c r="P126" s="128" t="str">
        <f>[3]Sayfa1!$Q123</f>
        <v>N.A(Yaralanma yok)</v>
      </c>
      <c r="Q126" s="129" t="str" cm="1">
        <f t="array" ref="Q126">_xlfn.IFS([3]Sayfa1!$R123="Bozankaya","Bozankaya",[3]Sayfa1!$R123="İşletme","Customer",[3]Sayfa1!$R123="Tedarikçi","Equipment Supplier")</f>
        <v>Bozankaya</v>
      </c>
      <c r="R126" s="130" t="str">
        <f>[3]Sayfa1!$M123</f>
        <v>kısa vadede durumun engellenmesi için poşet bantlandı</v>
      </c>
      <c r="S126" s="147" t="str">
        <f>[3]Sayfa1!$AB123</f>
        <v>Arıza çözülecek</v>
      </c>
      <c r="T126" s="147" t="str">
        <f>[3]Sayfa1!$AA123</f>
        <v>Hayır</v>
      </c>
      <c r="U126" s="131">
        <f>[3]Sayfa1!$AN123</f>
        <v>0</v>
      </c>
      <c r="V126" s="132">
        <f>[3]Sayfa1!$T123</f>
        <v>45358</v>
      </c>
      <c r="W126" s="133">
        <f>[3]Sayfa1!$U123</f>
        <v>45358.5</v>
      </c>
      <c r="X126" s="134">
        <f t="shared" si="12"/>
        <v>45358.5</v>
      </c>
      <c r="Y126" s="123" t="str">
        <f>[3]Sayfa1!$AQ123</f>
        <v/>
      </c>
      <c r="Z126" s="135">
        <f>[3]Sayfa1!$AR123</f>
        <v>0</v>
      </c>
      <c r="AA126" s="134">
        <f t="shared" si="13"/>
        <v>0</v>
      </c>
      <c r="AB126" s="136">
        <f t="shared" si="14"/>
        <v>0</v>
      </c>
      <c r="AC126" s="137" t="str">
        <f t="shared" si="15"/>
        <v/>
      </c>
      <c r="AD126" s="135">
        <f t="shared" si="16"/>
        <v>0</v>
      </c>
      <c r="AE126" s="138">
        <f t="shared" si="17"/>
        <v>0</v>
      </c>
      <c r="AF126" s="139" t="str">
        <f>[3]Sayfa1!$AP123</f>
        <v>(II) Birden fazla karşılaşılan arıza</v>
      </c>
      <c r="AG126" s="128" t="str">
        <f>IF([3]Sayfa1!$P123="C(Sisteme etki etmeyen arıza)","Bu Arıza Aracın Servise Verilmesine Engel Değil","Bu Arıza Aracın Servise Verilmesine Engel")</f>
        <v>Bu Arıza Aracın Servise Verilmesine Engel Değil</v>
      </c>
      <c r="AH126" s="140" t="str">
        <f>[3]Sayfa1!$AC123</f>
        <v>41-HBR-24-039</v>
      </c>
      <c r="AI126" s="137"/>
      <c r="AJ126" s="137"/>
      <c r="AK126" s="138">
        <f t="shared" si="18"/>
        <v>0</v>
      </c>
      <c r="AL126" s="136">
        <f t="shared" si="19"/>
        <v>0</v>
      </c>
      <c r="AM126" s="136">
        <f t="shared" si="20"/>
        <v>0</v>
      </c>
      <c r="AN126" s="141" t="str">
        <f t="shared" si="21"/>
        <v>Bozankaya</v>
      </c>
      <c r="AO126" s="141" t="str">
        <f>[3]Sayfa1!$X123</f>
        <v>S500-8004</v>
      </c>
      <c r="AP126" s="141">
        <f>[3]Sayfa1!$Z123</f>
        <v>0</v>
      </c>
      <c r="AQ126" s="122" t="str">
        <f>[3]Sayfa1!$W123</f>
        <v>körük</v>
      </c>
      <c r="AR126" s="142">
        <f>[3]Sayfa1!$Y123</f>
        <v>0</v>
      </c>
      <c r="AS126" s="143">
        <f>[3]Sayfa1!$AD123</f>
        <v>0</v>
      </c>
      <c r="AT126" s="137" t="str">
        <f>[3]Sayfa1!$AE123</f>
        <v/>
      </c>
      <c r="AU126" s="137" t="str">
        <f>[3]Sayfa1!$AH123</f>
        <v/>
      </c>
      <c r="AV126" s="144">
        <v>122</v>
      </c>
      <c r="AW126" s="145" t="e">
        <f>U126*AB126*#REF!</f>
        <v>#REF!</v>
      </c>
    </row>
    <row r="127" spans="1:49" ht="101.25" customHeight="1">
      <c r="A127" s="119" t="s">
        <v>57</v>
      </c>
      <c r="B127" s="120" t="str">
        <f>[3]Sayfa1!$G124</f>
        <v>TS#4</v>
      </c>
      <c r="C127" s="121" t="str">
        <f>[3]Sayfa1!$H124</f>
        <v>M</v>
      </c>
      <c r="D127" s="146">
        <f>[3]Sayfa1!$N124</f>
        <v>1</v>
      </c>
      <c r="E127" s="122" t="str">
        <f>[3]Sayfa1!$B124</f>
        <v>FRACAS-GDM-123</v>
      </c>
      <c r="F127" s="123">
        <f>[3]Sayfa1!$E124</f>
        <v>45372</v>
      </c>
      <c r="G127" s="124">
        <f>[3]Sayfa1!$F124</f>
        <v>45372.416666666664</v>
      </c>
      <c r="H127" s="119" t="str">
        <f>[3]Sayfa1!$I124</f>
        <v>Depo/Depot</v>
      </c>
      <c r="I127" s="125" t="str">
        <f>IF([3]Sayfa1!$K124="SSH","Notified by Bozankaya","Notified by Customer")</f>
        <v>Notified by Customer</v>
      </c>
      <c r="J127" s="119" t="e">
        <f>VLOOKUP([3]Sayfa1!$AU124,#REF!,2,FALSE)</f>
        <v>#REF!</v>
      </c>
      <c r="K127" s="119" t="str">
        <f>[3]Sayfa1!$V124</f>
        <v>Bozankaya</v>
      </c>
      <c r="L127" s="126" t="str">
        <f t="shared" si="11"/>
        <v>GDM7X4-FRACAS-GDM-123</v>
      </c>
      <c r="M127" s="127" t="str">
        <f>[3]Sayfa1!$L124</f>
        <v>Jumper çerçevesi vidası içinde kırılmış</v>
      </c>
      <c r="N127" s="128" t="str">
        <f>[3]Sayfa1!$J124</f>
        <v>C-Uyarı, sürüş devamlılığı</v>
      </c>
      <c r="O127" s="128" t="str">
        <f>[3]Sayfa1!$P124</f>
        <v>C(Sisteme etki etmeyen arıza)</v>
      </c>
      <c r="P127" s="128" t="str">
        <f>[3]Sayfa1!$Q124</f>
        <v>N.A(Yaralanma yok)</v>
      </c>
      <c r="Q127" s="129" t="str" cm="1">
        <f t="array" ref="Q127">_xlfn.IFS([3]Sayfa1!$R124="Bozankaya","Bozankaya",[3]Sayfa1!$R124="İşletme","Customer",[3]Sayfa1!$R124="Tedarikçi","Equipment Supplier")</f>
        <v>Bozankaya</v>
      </c>
      <c r="R127" s="130" t="str">
        <f>[3]Sayfa1!$M124</f>
        <v>RTC-M vagonuna ait UD-X929.A jumper baglantisinin yapıldığı, jumper çerçevesinin vidalar muhtemel yüksek torklu sıkımdan kaynaklı dişleri sıyırarak kitlenmiş ve vida içinde kırılmış olduğu tespit edilmiştir. Bu bölgeye sahada işlem yapılmamıştır ve fabrikadan bu şekilde gelmiştir.</v>
      </c>
      <c r="S127" s="147" t="str">
        <f>[3]Sayfa1!$AB124</f>
        <v>Ekipman değiştirilecek</v>
      </c>
      <c r="T127" s="147">
        <f>[3]Sayfa1!$AA124</f>
        <v>0</v>
      </c>
      <c r="U127" s="131">
        <f>[3]Sayfa1!$AN124</f>
        <v>1</v>
      </c>
      <c r="V127" s="132">
        <f>[3]Sayfa1!$T124</f>
        <v>45372</v>
      </c>
      <c r="W127" s="133">
        <f>[3]Sayfa1!$U124</f>
        <v>45372.416666666664</v>
      </c>
      <c r="X127" s="134">
        <f t="shared" si="12"/>
        <v>45372.416666666664</v>
      </c>
      <c r="Y127" s="123">
        <f>[3]Sayfa1!$AQ124</f>
        <v>45372</v>
      </c>
      <c r="Z127" s="135">
        <f>[3]Sayfa1!$AR124</f>
        <v>45372.5</v>
      </c>
      <c r="AA127" s="134">
        <f t="shared" si="13"/>
        <v>45372.5</v>
      </c>
      <c r="AB127" s="136">
        <f t="shared" si="14"/>
        <v>0</v>
      </c>
      <c r="AC127" s="137">
        <f t="shared" si="15"/>
        <v>45372</v>
      </c>
      <c r="AD127" s="135">
        <f t="shared" si="16"/>
        <v>45372.5</v>
      </c>
      <c r="AE127" s="138">
        <f t="shared" si="17"/>
        <v>45372.5</v>
      </c>
      <c r="AF127" s="139" t="str">
        <f>[3]Sayfa1!$AP124</f>
        <v>(II) Birden fazla karşılaşılan arıza</v>
      </c>
      <c r="AG127" s="128" t="str">
        <f>IF([3]Sayfa1!$P124="C(Sisteme etki etmeyen arıza)","Bu Arıza Aracın Servise Verilmesine Engel Değil","Bu Arıza Aracın Servise Verilmesine Engel")</f>
        <v>Bu Arıza Aracın Servise Verilmesine Engel Değil</v>
      </c>
      <c r="AH127" s="140">
        <f>[3]Sayfa1!$AC124</f>
        <v>0</v>
      </c>
      <c r="AI127" s="137"/>
      <c r="AJ127" s="137"/>
      <c r="AK127" s="138">
        <f t="shared" si="18"/>
        <v>0</v>
      </c>
      <c r="AL127" s="136">
        <f t="shared" si="19"/>
        <v>0</v>
      </c>
      <c r="AM127" s="136">
        <f t="shared" si="20"/>
        <v>0</v>
      </c>
      <c r="AN127" s="141" t="str">
        <f t="shared" si="21"/>
        <v>Bozankaya</v>
      </c>
      <c r="AO127" s="141" t="str">
        <f>[3]Sayfa1!$X124</f>
        <v>E110-8074</v>
      </c>
      <c r="AP127" s="141">
        <f>[3]Sayfa1!$Z124</f>
        <v>0</v>
      </c>
      <c r="AQ127" s="122" t="str">
        <f>[3]Sayfa1!$W124</f>
        <v>Han 24HPR-Mounting</v>
      </c>
      <c r="AR127" s="142">
        <f>[3]Sayfa1!$Y124</f>
        <v>1</v>
      </c>
      <c r="AS127" s="143">
        <f>[3]Sayfa1!$AD124</f>
        <v>0</v>
      </c>
      <c r="AT127" s="137" t="str">
        <f>[3]Sayfa1!$AE124</f>
        <v/>
      </c>
      <c r="AU127" s="137" t="str">
        <f>[3]Sayfa1!$AH124</f>
        <v/>
      </c>
      <c r="AV127" s="144">
        <v>123</v>
      </c>
      <c r="AW127" s="145" t="e">
        <f>U127*AB127*#REF!</f>
        <v>#REF!</v>
      </c>
    </row>
    <row r="128" spans="1:49" ht="101.25" customHeight="1">
      <c r="A128" s="119" t="s">
        <v>57</v>
      </c>
      <c r="B128" s="120" t="str">
        <f>[3]Sayfa1!$G125</f>
        <v>TS#7</v>
      </c>
      <c r="C128" s="121" t="str">
        <f>[3]Sayfa1!$H125</f>
        <v>Mc1</v>
      </c>
      <c r="D128" s="146">
        <f>[3]Sayfa1!$N125</f>
        <v>1</v>
      </c>
      <c r="E128" s="122" t="str">
        <f>[3]Sayfa1!$B125</f>
        <v>FRACAS-GDM-124</v>
      </c>
      <c r="F128" s="123">
        <f>[3]Sayfa1!$E125</f>
        <v>45376</v>
      </c>
      <c r="G128" s="124">
        <f>[3]Sayfa1!$F125</f>
        <v>45376.520833333336</v>
      </c>
      <c r="H128" s="119" t="str">
        <f>[3]Sayfa1!$I125</f>
        <v>Depo/Depot</v>
      </c>
      <c r="I128" s="125" t="str">
        <f>IF([3]Sayfa1!$K125="SSH","Notified by Bozankaya","Notified by Customer")</f>
        <v>Notified by Customer</v>
      </c>
      <c r="J128" s="119" t="e">
        <f>VLOOKUP([3]Sayfa1!$AU125,#REF!,2,FALSE)</f>
        <v>#REF!</v>
      </c>
      <c r="K128" s="119" t="str">
        <f>[3]Sayfa1!$V125</f>
        <v>Piton</v>
      </c>
      <c r="L128" s="126" t="str">
        <f t="shared" si="11"/>
        <v>GDM7X4-FRACAS-GDM-124</v>
      </c>
      <c r="M128" s="127" t="str">
        <f>[3]Sayfa1!$L125</f>
        <v>RF modülatör arızası</v>
      </c>
      <c r="N128" s="128" t="str">
        <f>[3]Sayfa1!$J125</f>
        <v>C-Uyarı, sürüş devamlılığı</v>
      </c>
      <c r="O128" s="128" t="str">
        <f>[3]Sayfa1!$P125</f>
        <v>C(Sisteme etki etmeyen arıza)</v>
      </c>
      <c r="P128" s="128" t="str">
        <f>[3]Sayfa1!$Q125</f>
        <v>N.A(Yaralanma yok)</v>
      </c>
      <c r="Q128" s="129" t="str" cm="1">
        <f t="array" ref="Q128">_xlfn.IFS([3]Sayfa1!$R125="Bozankaya","Bozankaya",[3]Sayfa1!$R125="İşletme","Customer",[3]Sayfa1!$R125="Tedarikçi","Equipment Supplier")</f>
        <v>Equipment Supplier</v>
      </c>
      <c r="R128" s="130" t="str">
        <f>[3]Sayfa1!$M125</f>
        <v>Bilgilendirme ekranının Rf modülatörüne 110v enerji verdildiği halde çalışmadığı tespit edilmiştir.</v>
      </c>
      <c r="S128" s="147">
        <f>[3]Sayfa1!$AB125</f>
        <v>0</v>
      </c>
      <c r="T128" s="147">
        <f>[3]Sayfa1!$AA125</f>
        <v>0</v>
      </c>
      <c r="U128" s="131">
        <f>[3]Sayfa1!$AN125</f>
        <v>0</v>
      </c>
      <c r="V128" s="132">
        <f>[3]Sayfa1!$T125</f>
        <v>45376</v>
      </c>
      <c r="W128" s="133">
        <f>[3]Sayfa1!$U125</f>
        <v>45376.520833333336</v>
      </c>
      <c r="X128" s="134">
        <f t="shared" si="12"/>
        <v>45376.520833333336</v>
      </c>
      <c r="Y128" s="123" t="str">
        <f>[3]Sayfa1!$AQ125</f>
        <v/>
      </c>
      <c r="Z128" s="135">
        <f>[3]Sayfa1!$AR125</f>
        <v>0</v>
      </c>
      <c r="AA128" s="134">
        <f t="shared" si="13"/>
        <v>0</v>
      </c>
      <c r="AB128" s="136">
        <f t="shared" si="14"/>
        <v>0</v>
      </c>
      <c r="AC128" s="137" t="str">
        <f t="shared" si="15"/>
        <v/>
      </c>
      <c r="AD128" s="135">
        <f t="shared" si="16"/>
        <v>0</v>
      </c>
      <c r="AE128" s="138">
        <f t="shared" si="17"/>
        <v>0</v>
      </c>
      <c r="AF128" s="139" t="str">
        <f>[3]Sayfa1!$AP125</f>
        <v>(II) Birden fazla karşılaşılan arıza</v>
      </c>
      <c r="AG128" s="128" t="str">
        <f>IF([3]Sayfa1!$P125="C(Sisteme etki etmeyen arıza)","Bu Arıza Aracın Servise Verilmesine Engel Değil","Bu Arıza Aracın Servise Verilmesine Engel")</f>
        <v>Bu Arıza Aracın Servise Verilmesine Engel Değil</v>
      </c>
      <c r="AH128" s="140">
        <f>[3]Sayfa1!$AC125</f>
        <v>0</v>
      </c>
      <c r="AI128" s="137"/>
      <c r="AJ128" s="137"/>
      <c r="AK128" s="138">
        <f t="shared" si="18"/>
        <v>0</v>
      </c>
      <c r="AL128" s="136">
        <f t="shared" si="19"/>
        <v>0</v>
      </c>
      <c r="AM128" s="136">
        <f t="shared" si="20"/>
        <v>0</v>
      </c>
      <c r="AN128" s="141" t="str">
        <f t="shared" si="21"/>
        <v>Piton</v>
      </c>
      <c r="AO128" s="141" t="str">
        <f>[3]Sayfa1!$X125</f>
        <v>E840-8010</v>
      </c>
      <c r="AP128" s="141">
        <f>[3]Sayfa1!$Z125</f>
        <v>869023002233</v>
      </c>
      <c r="AQ128" s="122" t="str">
        <f>[3]Sayfa1!$W125</f>
        <v>RF modülatör</v>
      </c>
      <c r="AR128" s="142">
        <f>[3]Sayfa1!$Y125</f>
        <v>1</v>
      </c>
      <c r="AS128" s="143">
        <f>[3]Sayfa1!$AD125</f>
        <v>0</v>
      </c>
      <c r="AT128" s="137" t="str">
        <f>[3]Sayfa1!$AE125</f>
        <v/>
      </c>
      <c r="AU128" s="137" t="str">
        <f>[3]Sayfa1!$AH125</f>
        <v/>
      </c>
      <c r="AV128" s="144">
        <v>124</v>
      </c>
      <c r="AW128" s="145" t="e">
        <f>U128*AB128*#REF!</f>
        <v>#REF!</v>
      </c>
    </row>
    <row r="129" spans="1:49" ht="101.25" customHeight="1">
      <c r="A129" s="119" t="s">
        <v>57</v>
      </c>
      <c r="B129" s="120" t="str">
        <f>[3]Sayfa1!$G126</f>
        <v>TS#3</v>
      </c>
      <c r="C129" s="121" t="str">
        <f>[3]Sayfa1!$H126</f>
        <v>Mc1</v>
      </c>
      <c r="D129" s="146">
        <f>[3]Sayfa1!$N126</f>
        <v>1</v>
      </c>
      <c r="E129" s="122" t="str">
        <f>[3]Sayfa1!$B126</f>
        <v>FRACAS-GDM-125</v>
      </c>
      <c r="F129" s="123">
        <f>[3]Sayfa1!$E126</f>
        <v>45376</v>
      </c>
      <c r="G129" s="124">
        <f>[3]Sayfa1!$F126</f>
        <v>45376.549305555556</v>
      </c>
      <c r="H129" s="119" t="str">
        <f>[3]Sayfa1!$I126</f>
        <v>Depo/Depot</v>
      </c>
      <c r="I129" s="125" t="str">
        <f>IF([3]Sayfa1!$K126="SSH","Notified by Bozankaya","Notified by Customer")</f>
        <v>Notified by Customer</v>
      </c>
      <c r="J129" s="119" t="e">
        <f>VLOOKUP([3]Sayfa1!$AU126,#REF!,2,FALSE)</f>
        <v>#REF!</v>
      </c>
      <c r="K129" s="119" t="str">
        <f>[3]Sayfa1!$V126</f>
        <v>Piton</v>
      </c>
      <c r="L129" s="126" t="str">
        <f t="shared" si="11"/>
        <v>GDM7X4-FRACAS-GDM-125</v>
      </c>
      <c r="M129" s="127" t="str">
        <f>[3]Sayfa1!$L126</f>
        <v>Papis control unit HDMI arızası</v>
      </c>
      <c r="N129" s="128" t="str">
        <f>[3]Sayfa1!$J126</f>
        <v>C-Uyarı, sürüş devamlılığı</v>
      </c>
      <c r="O129" s="128" t="str">
        <f>[3]Sayfa1!$P126</f>
        <v>C(Sisteme etki etmeyen arıza)</v>
      </c>
      <c r="P129" s="128" t="str">
        <f>[3]Sayfa1!$Q126</f>
        <v>N.A(Yaralanma yok)</v>
      </c>
      <c r="Q129" s="129" t="str" cm="1">
        <f t="array" ref="Q129">_xlfn.IFS([3]Sayfa1!$R126="Bozankaya","Bozankaya",[3]Sayfa1!$R126="İşletme","Customer",[3]Sayfa1!$R126="Tedarikçi","Equipment Supplier")</f>
        <v>Equipment Supplier</v>
      </c>
      <c r="R129" s="130" t="str">
        <f>[3]Sayfa1!$M126</f>
        <v>Papis control ünitesinin hdmı çıkışı çalışmıyor. Piton firması kendi denedi ve tespitini yaptı.</v>
      </c>
      <c r="S129" s="147">
        <f>[3]Sayfa1!$AB126</f>
        <v>0</v>
      </c>
      <c r="T129" s="147">
        <f>[3]Sayfa1!$AA126</f>
        <v>0</v>
      </c>
      <c r="U129" s="131">
        <f>[3]Sayfa1!$AN126</f>
        <v>1</v>
      </c>
      <c r="V129" s="132">
        <f>[3]Sayfa1!$T126</f>
        <v>45376</v>
      </c>
      <c r="W129" s="133">
        <f>[3]Sayfa1!$U126</f>
        <v>45376.635416666664</v>
      </c>
      <c r="X129" s="134">
        <f t="shared" si="12"/>
        <v>45376.635416666664</v>
      </c>
      <c r="Y129" s="123" t="str">
        <f>[3]Sayfa1!$AQ126</f>
        <v/>
      </c>
      <c r="Z129" s="135">
        <f>[3]Sayfa1!$AR126</f>
        <v>0</v>
      </c>
      <c r="AA129" s="134">
        <f t="shared" si="13"/>
        <v>0</v>
      </c>
      <c r="AB129" s="136">
        <f t="shared" si="14"/>
        <v>0</v>
      </c>
      <c r="AC129" s="137" t="str">
        <f t="shared" si="15"/>
        <v/>
      </c>
      <c r="AD129" s="135">
        <f t="shared" si="16"/>
        <v>0</v>
      </c>
      <c r="AE129" s="138">
        <f t="shared" si="17"/>
        <v>0</v>
      </c>
      <c r="AF129" s="139" t="str">
        <f>[3]Sayfa1!$AP126</f>
        <v>(I) İlk defa karşılaşılan arıza</v>
      </c>
      <c r="AG129" s="128" t="str">
        <f>IF([3]Sayfa1!$P126="C(Sisteme etki etmeyen arıza)","Bu Arıza Aracın Servise Verilmesine Engel Değil","Bu Arıza Aracın Servise Verilmesine Engel")</f>
        <v>Bu Arıza Aracın Servise Verilmesine Engel Değil</v>
      </c>
      <c r="AH129" s="140">
        <f>[3]Sayfa1!$AC126</f>
        <v>0</v>
      </c>
      <c r="AI129" s="137"/>
      <c r="AJ129" s="137"/>
      <c r="AK129" s="138">
        <f t="shared" si="18"/>
        <v>0</v>
      </c>
      <c r="AL129" s="136">
        <f t="shared" si="19"/>
        <v>0</v>
      </c>
      <c r="AM129" s="136">
        <f t="shared" si="20"/>
        <v>0</v>
      </c>
      <c r="AN129" s="141" t="str">
        <f t="shared" si="21"/>
        <v>Piton</v>
      </c>
      <c r="AO129" s="141" t="str">
        <f>[3]Sayfa1!$X126</f>
        <v>E840-8001</v>
      </c>
      <c r="AP129" s="141" t="str">
        <f>[3]Sayfa1!$Z126</f>
        <v>TSCD11011888</v>
      </c>
      <c r="AQ129" s="122" t="str">
        <f>[3]Sayfa1!$W126</f>
        <v>PAPIS Control Unit</v>
      </c>
      <c r="AR129" s="142">
        <f>[3]Sayfa1!$Y126</f>
        <v>1</v>
      </c>
      <c r="AS129" s="143">
        <f>[3]Sayfa1!$AD126</f>
        <v>0</v>
      </c>
      <c r="AT129" s="137" t="str">
        <f>[3]Sayfa1!$AE126</f>
        <v/>
      </c>
      <c r="AU129" s="137" t="str">
        <f>[3]Sayfa1!$AH126</f>
        <v/>
      </c>
      <c r="AV129" s="144">
        <v>125</v>
      </c>
      <c r="AW129" s="145" t="e">
        <f>U129*AB129*#REF!</f>
        <v>#REF!</v>
      </c>
    </row>
    <row r="130" spans="1:49" ht="101.25" customHeight="1">
      <c r="A130" s="119" t="s">
        <v>57</v>
      </c>
      <c r="B130" s="120" t="str">
        <f>[3]Sayfa1!$G127</f>
        <v>TS#6</v>
      </c>
      <c r="C130" s="121" t="str">
        <f>[3]Sayfa1!$H127</f>
        <v>Mc1</v>
      </c>
      <c r="D130" s="146">
        <f>[3]Sayfa1!$N127</f>
        <v>1</v>
      </c>
      <c r="E130" s="122" t="str">
        <f>[3]Sayfa1!$B127</f>
        <v>FRACAS-GDM-126</v>
      </c>
      <c r="F130" s="123">
        <f>[3]Sayfa1!$E127</f>
        <v>45376</v>
      </c>
      <c r="G130" s="124">
        <f>[3]Sayfa1!$F127</f>
        <v>45376.5625</v>
      </c>
      <c r="H130" s="119" t="str">
        <f>[3]Sayfa1!$I127</f>
        <v>Depo/Depot</v>
      </c>
      <c r="I130" s="125" t="str">
        <f>IF([3]Sayfa1!$K127="SSH","Notified by Bozankaya","Notified by Customer")</f>
        <v>Notified by Customer</v>
      </c>
      <c r="J130" s="119" t="e">
        <f>VLOOKUP([3]Sayfa1!$AU127,#REF!,2,FALSE)</f>
        <v>#REF!</v>
      </c>
      <c r="K130" s="119" t="str">
        <f>[3]Sayfa1!$V127</f>
        <v>Piton</v>
      </c>
      <c r="L130" s="126" t="str">
        <f t="shared" si="11"/>
        <v>GDM7X4-FRACAS-GDM-126</v>
      </c>
      <c r="M130" s="127" t="str">
        <f>[3]Sayfa1!$L127</f>
        <v>RF modülatör arızaları</v>
      </c>
      <c r="N130" s="128" t="str">
        <f>[3]Sayfa1!$J127</f>
        <v>C-Uyarı, sürüş devamlılığı</v>
      </c>
      <c r="O130" s="128" t="str">
        <f>[3]Sayfa1!$P127</f>
        <v>C(Sisteme etki etmeyen arıza)</v>
      </c>
      <c r="P130" s="128" t="str">
        <f>[3]Sayfa1!$Q127</f>
        <v>N.A(Yaralanma yok)</v>
      </c>
      <c r="Q130" s="129" t="str" cm="1">
        <f t="array" ref="Q130">_xlfn.IFS([3]Sayfa1!$R127="Bozankaya","Bozankaya",[3]Sayfa1!$R127="İşletme","Customer",[3]Sayfa1!$R127="Tedarikçi","Equipment Supplier")</f>
        <v>Equipment Supplier</v>
      </c>
      <c r="R130" s="130" t="str">
        <f>[3]Sayfa1!$M127</f>
        <v>RF modülatör besleme verildiği halde çalışmadığı tespit edildi.</v>
      </c>
      <c r="S130" s="147">
        <f>[3]Sayfa1!$AB127</f>
        <v>0</v>
      </c>
      <c r="T130" s="147">
        <f>[3]Sayfa1!$AA127</f>
        <v>0</v>
      </c>
      <c r="U130" s="131">
        <f>[3]Sayfa1!$AN127</f>
        <v>0</v>
      </c>
      <c r="V130" s="132">
        <f>[3]Sayfa1!$T127</f>
        <v>45376</v>
      </c>
      <c r="W130" s="133">
        <f>[3]Sayfa1!$U127</f>
        <v>45376.571527777778</v>
      </c>
      <c r="X130" s="134">
        <f t="shared" si="12"/>
        <v>45376.571527777778</v>
      </c>
      <c r="Y130" s="123" t="str">
        <f>[3]Sayfa1!$AQ127</f>
        <v/>
      </c>
      <c r="Z130" s="135">
        <f>[3]Sayfa1!$AR127</f>
        <v>0</v>
      </c>
      <c r="AA130" s="134">
        <f t="shared" si="13"/>
        <v>0</v>
      </c>
      <c r="AB130" s="136">
        <f t="shared" si="14"/>
        <v>0</v>
      </c>
      <c r="AC130" s="137" t="str">
        <f t="shared" si="15"/>
        <v/>
      </c>
      <c r="AD130" s="135">
        <f t="shared" si="16"/>
        <v>0</v>
      </c>
      <c r="AE130" s="138">
        <f t="shared" si="17"/>
        <v>0</v>
      </c>
      <c r="AF130" s="139" t="str">
        <f>[3]Sayfa1!$AP127</f>
        <v>(II) Birden fazla karşılaşılan arıza</v>
      </c>
      <c r="AG130" s="128" t="str">
        <f>IF([3]Sayfa1!$P127="C(Sisteme etki etmeyen arıza)","Bu Arıza Aracın Servise Verilmesine Engel Değil","Bu Arıza Aracın Servise Verilmesine Engel")</f>
        <v>Bu Arıza Aracın Servise Verilmesine Engel Değil</v>
      </c>
      <c r="AH130" s="140">
        <f>[3]Sayfa1!$AC127</f>
        <v>0</v>
      </c>
      <c r="AI130" s="137"/>
      <c r="AJ130" s="137"/>
      <c r="AK130" s="138">
        <f t="shared" si="18"/>
        <v>0</v>
      </c>
      <c r="AL130" s="136">
        <f t="shared" si="19"/>
        <v>0</v>
      </c>
      <c r="AM130" s="136">
        <f t="shared" si="20"/>
        <v>0</v>
      </c>
      <c r="AN130" s="141" t="str">
        <f t="shared" si="21"/>
        <v>Piton</v>
      </c>
      <c r="AO130" s="141" t="str">
        <f>[3]Sayfa1!$X127</f>
        <v>E840-8010</v>
      </c>
      <c r="AP130" s="141">
        <f>[3]Sayfa1!$Z127</f>
        <v>869023002261</v>
      </c>
      <c r="AQ130" s="122" t="str">
        <f>[3]Sayfa1!$W127</f>
        <v>RF modğlatörü</v>
      </c>
      <c r="AR130" s="142">
        <f>[3]Sayfa1!$Y127</f>
        <v>1</v>
      </c>
      <c r="AS130" s="143">
        <f>[3]Sayfa1!$AD127</f>
        <v>0</v>
      </c>
      <c r="AT130" s="137" t="str">
        <f>[3]Sayfa1!$AE127</f>
        <v/>
      </c>
      <c r="AU130" s="137" t="str">
        <f>[3]Sayfa1!$AH127</f>
        <v/>
      </c>
      <c r="AV130" s="144">
        <v>126</v>
      </c>
      <c r="AW130" s="145" t="e">
        <f>U130*AB130*#REF!</f>
        <v>#REF!</v>
      </c>
    </row>
    <row r="131" spans="1:49" ht="101.25" customHeight="1">
      <c r="A131" s="119" t="s">
        <v>57</v>
      </c>
      <c r="B131" s="120" t="str">
        <f>[3]Sayfa1!$G128</f>
        <v>TS#3</v>
      </c>
      <c r="C131" s="121" t="str">
        <f>[3]Sayfa1!$H128</f>
        <v>Mc2</v>
      </c>
      <c r="D131" s="146">
        <f>[3]Sayfa1!$N128</f>
        <v>1</v>
      </c>
      <c r="E131" s="122" t="str">
        <f>[3]Sayfa1!$B128</f>
        <v>FRACAS-GDM-127</v>
      </c>
      <c r="F131" s="123">
        <f>[3]Sayfa1!$E128</f>
        <v>45376</v>
      </c>
      <c r="G131" s="124">
        <f>[3]Sayfa1!$F128</f>
        <v>45376.645833333336</v>
      </c>
      <c r="H131" s="119" t="str">
        <f>[3]Sayfa1!$I128</f>
        <v>Depo/Depot</v>
      </c>
      <c r="I131" s="125" t="str">
        <f>IF([3]Sayfa1!$K128="SSH","Notified by Bozankaya","Notified by Customer")</f>
        <v>Notified by Customer</v>
      </c>
      <c r="J131" s="119" t="e">
        <f>VLOOKUP([3]Sayfa1!$AU128,#REF!,2,FALSE)</f>
        <v>#REF!</v>
      </c>
      <c r="K131" s="119" t="str">
        <f>[3]Sayfa1!$V128</f>
        <v>Piton</v>
      </c>
      <c r="L131" s="126" t="str">
        <f t="shared" si="11"/>
        <v>GDM7X4-FRACAS-GDM-127</v>
      </c>
      <c r="M131" s="127" t="str">
        <f>[3]Sayfa1!$L128</f>
        <v>RF modülatör arızası</v>
      </c>
      <c r="N131" s="128" t="str">
        <f>[3]Sayfa1!$J128</f>
        <v>C-Uyarı, sürüş devamlılığı</v>
      </c>
      <c r="O131" s="128" t="str">
        <f>[3]Sayfa1!$P128</f>
        <v>C(Sisteme etki etmeyen arıza)</v>
      </c>
      <c r="P131" s="128" t="str">
        <f>[3]Sayfa1!$Q128</f>
        <v>N.A(Yaralanma yok)</v>
      </c>
      <c r="Q131" s="129" t="str" cm="1">
        <f t="array" ref="Q131">_xlfn.IFS([3]Sayfa1!$R128="Bozankaya","Bozankaya",[3]Sayfa1!$R128="İşletme","Customer",[3]Sayfa1!$R128="Tedarikçi","Equipment Supplier")</f>
        <v>Equipment Supplier</v>
      </c>
      <c r="R131" s="130" t="str">
        <f>[3]Sayfa1!$M128</f>
        <v>Reklam ekranlarının RF modülatörü 110V enerji verildiği halde çalışmadığı tespit edildi.</v>
      </c>
      <c r="S131" s="147">
        <f>[3]Sayfa1!$AB128</f>
        <v>0</v>
      </c>
      <c r="T131" s="147">
        <f>[3]Sayfa1!$AA128</f>
        <v>0</v>
      </c>
      <c r="U131" s="131">
        <f>[3]Sayfa1!$AN128</f>
        <v>0</v>
      </c>
      <c r="V131" s="132">
        <f>[3]Sayfa1!$T128</f>
        <v>45376</v>
      </c>
      <c r="W131" s="133">
        <f>[3]Sayfa1!$U128</f>
        <v>45376.569444444445</v>
      </c>
      <c r="X131" s="134">
        <f t="shared" si="12"/>
        <v>45376.569444444445</v>
      </c>
      <c r="Y131" s="123" t="str">
        <f>[3]Sayfa1!$AQ128</f>
        <v/>
      </c>
      <c r="Z131" s="135">
        <f>[3]Sayfa1!$AR128</f>
        <v>0</v>
      </c>
      <c r="AA131" s="134">
        <f t="shared" si="13"/>
        <v>0</v>
      </c>
      <c r="AB131" s="136">
        <f t="shared" si="14"/>
        <v>0</v>
      </c>
      <c r="AC131" s="137" t="str">
        <f t="shared" si="15"/>
        <v/>
      </c>
      <c r="AD131" s="135">
        <f t="shared" si="16"/>
        <v>0</v>
      </c>
      <c r="AE131" s="138">
        <f t="shared" si="17"/>
        <v>0</v>
      </c>
      <c r="AF131" s="139" t="str">
        <f>[3]Sayfa1!$AP128</f>
        <v>(II) Birden fazla karşılaşılan arıza</v>
      </c>
      <c r="AG131" s="128" t="str">
        <f>IF([3]Sayfa1!$P128="C(Sisteme etki etmeyen arıza)","Bu Arıza Aracın Servise Verilmesine Engel Değil","Bu Arıza Aracın Servise Verilmesine Engel")</f>
        <v>Bu Arıza Aracın Servise Verilmesine Engel Değil</v>
      </c>
      <c r="AH131" s="140">
        <f>[3]Sayfa1!$AC128</f>
        <v>0</v>
      </c>
      <c r="AI131" s="137"/>
      <c r="AJ131" s="137"/>
      <c r="AK131" s="138">
        <f t="shared" si="18"/>
        <v>0</v>
      </c>
      <c r="AL131" s="136">
        <f t="shared" si="19"/>
        <v>0</v>
      </c>
      <c r="AM131" s="136">
        <f t="shared" si="20"/>
        <v>0</v>
      </c>
      <c r="AN131" s="141" t="str">
        <f t="shared" si="21"/>
        <v>Piton</v>
      </c>
      <c r="AO131" s="141" t="str">
        <f>[3]Sayfa1!$X128</f>
        <v>E840-8010</v>
      </c>
      <c r="AP131" s="141">
        <f>[3]Sayfa1!$Z128</f>
        <v>869023002250</v>
      </c>
      <c r="AQ131" s="122" t="str">
        <f>[3]Sayfa1!$W128</f>
        <v>RF modülatör</v>
      </c>
      <c r="AR131" s="142">
        <f>[3]Sayfa1!$Y128</f>
        <v>1</v>
      </c>
      <c r="AS131" s="143">
        <f>[3]Sayfa1!$AD128</f>
        <v>0</v>
      </c>
      <c r="AT131" s="137" t="str">
        <f>[3]Sayfa1!$AE128</f>
        <v/>
      </c>
      <c r="AU131" s="137" t="str">
        <f>[3]Sayfa1!$AH128</f>
        <v/>
      </c>
      <c r="AV131" s="144">
        <v>127</v>
      </c>
      <c r="AW131" s="145" t="e">
        <f>U131*AB131*#REF!</f>
        <v>#REF!</v>
      </c>
    </row>
    <row r="132" spans="1:49" ht="101.25" customHeight="1">
      <c r="A132" s="119" t="s">
        <v>57</v>
      </c>
      <c r="B132" s="120" t="str">
        <f>[3]Sayfa1!$G129</f>
        <v>TS#2</v>
      </c>
      <c r="C132" s="121" t="str">
        <f>[3]Sayfa1!$H129</f>
        <v>Mc1</v>
      </c>
      <c r="D132" s="146">
        <f>[3]Sayfa1!$N129</f>
        <v>1</v>
      </c>
      <c r="E132" s="122" t="str">
        <f>[3]Sayfa1!$B129</f>
        <v>FRACAS-GDM-128</v>
      </c>
      <c r="F132" s="123">
        <f>[3]Sayfa1!$E129</f>
        <v>45376</v>
      </c>
      <c r="G132" s="124">
        <f>[3]Sayfa1!$F129</f>
        <v>45376.710416666669</v>
      </c>
      <c r="H132" s="119" t="str">
        <f>[3]Sayfa1!$I129</f>
        <v>Depo/Depot</v>
      </c>
      <c r="I132" s="125" t="str">
        <f>IF([3]Sayfa1!$K129="SSH","Notified by Bozankaya","Notified by Customer")</f>
        <v>Notified by Customer</v>
      </c>
      <c r="J132" s="119" t="e">
        <f>VLOOKUP([3]Sayfa1!$AU129,#REF!,2,FALSE)</f>
        <v>#REF!</v>
      </c>
      <c r="K132" s="119" t="str">
        <f>[3]Sayfa1!$V129</f>
        <v>Bozankaya</v>
      </c>
      <c r="L132" s="126" t="str">
        <f t="shared" si="11"/>
        <v>GDM7X4-FRACAS-GDM-128</v>
      </c>
      <c r="M132" s="127" t="str">
        <f>[3]Sayfa1!$L129</f>
        <v>Trim Montajı Hatalı</v>
      </c>
      <c r="N132" s="128" t="str">
        <f>[3]Sayfa1!$J129</f>
        <v>C-Uyarı, sürüş devamlılığı</v>
      </c>
      <c r="O132" s="128" t="str">
        <f>[3]Sayfa1!$P129</f>
        <v>C(Sisteme etki etmeyen arıza)</v>
      </c>
      <c r="P132" s="128" t="str">
        <f>[3]Sayfa1!$Q129</f>
        <v>N.A(Yaralanma yok)</v>
      </c>
      <c r="Q132" s="129" t="str" cm="1">
        <f t="array" ref="Q132">_xlfn.IFS([3]Sayfa1!$R129="Bozankaya","Bozankaya",[3]Sayfa1!$R129="İşletme","Customer",[3]Sayfa1!$R129="Tedarikçi","Equipment Supplier")</f>
        <v>Bozankaya</v>
      </c>
      <c r="R132" s="130" t="str">
        <f>[3]Sayfa1!$M129</f>
        <v>+59 panonun yanındaki servis kapağının yapıştırma işlemi hatalı yapılmış olduğu tespit edildi.  Menteşe ile servis kapalı birbirinen ayrık durumdadır.</v>
      </c>
      <c r="S132" s="147">
        <f>[3]Sayfa1!$AB129</f>
        <v>0</v>
      </c>
      <c r="T132" s="147">
        <f>[3]Sayfa1!$AA129</f>
        <v>0</v>
      </c>
      <c r="U132" s="131">
        <f>[3]Sayfa1!$AN129</f>
        <v>0</v>
      </c>
      <c r="V132" s="132">
        <f>[3]Sayfa1!$T129</f>
        <v>45376</v>
      </c>
      <c r="W132" s="133">
        <f>[3]Sayfa1!$U129</f>
        <v>45376.714583333334</v>
      </c>
      <c r="X132" s="134">
        <f t="shared" si="12"/>
        <v>45376.714583333334</v>
      </c>
      <c r="Y132" s="123" t="str">
        <f>[3]Sayfa1!$AQ129</f>
        <v/>
      </c>
      <c r="Z132" s="135">
        <f>[3]Sayfa1!$AR129</f>
        <v>0</v>
      </c>
      <c r="AA132" s="134">
        <f t="shared" si="13"/>
        <v>0</v>
      </c>
      <c r="AB132" s="136">
        <f t="shared" si="14"/>
        <v>0</v>
      </c>
      <c r="AC132" s="137" t="str">
        <f t="shared" si="15"/>
        <v/>
      </c>
      <c r="AD132" s="135">
        <f t="shared" si="16"/>
        <v>0</v>
      </c>
      <c r="AE132" s="138">
        <f t="shared" si="17"/>
        <v>0</v>
      </c>
      <c r="AF132" s="139" t="str">
        <f>[3]Sayfa1!$AP129</f>
        <v>(I) İlk defa karşılaşılan arıza</v>
      </c>
      <c r="AG132" s="128" t="str">
        <f>IF([3]Sayfa1!$P129="C(Sisteme etki etmeyen arıza)","Bu Arıza Aracın Servise Verilmesine Engel Değil","Bu Arıza Aracın Servise Verilmesine Engel")</f>
        <v>Bu Arıza Aracın Servise Verilmesine Engel Değil</v>
      </c>
      <c r="AH132" s="140">
        <f>[3]Sayfa1!$AC129</f>
        <v>0</v>
      </c>
      <c r="AI132" s="137"/>
      <c r="AJ132" s="137"/>
      <c r="AK132" s="138">
        <f t="shared" si="18"/>
        <v>0</v>
      </c>
      <c r="AL132" s="136">
        <f t="shared" si="19"/>
        <v>0</v>
      </c>
      <c r="AM132" s="136">
        <f t="shared" si="20"/>
        <v>0</v>
      </c>
      <c r="AN132" s="141" t="str">
        <f t="shared" si="21"/>
        <v>Bozankaya</v>
      </c>
      <c r="AO132" s="141">
        <f>[3]Sayfa1!$X129</f>
        <v>0</v>
      </c>
      <c r="AP132" s="141">
        <f>[3]Sayfa1!$Z129</f>
        <v>0</v>
      </c>
      <c r="AQ132" s="122">
        <f>[3]Sayfa1!$W129</f>
        <v>0</v>
      </c>
      <c r="AR132" s="142">
        <f>[3]Sayfa1!$Y129</f>
        <v>1</v>
      </c>
      <c r="AS132" s="143">
        <f>[3]Sayfa1!$AD129</f>
        <v>0</v>
      </c>
      <c r="AT132" s="137" t="str">
        <f>[3]Sayfa1!$AE129</f>
        <v/>
      </c>
      <c r="AU132" s="137" t="str">
        <f>[3]Sayfa1!$AH129</f>
        <v/>
      </c>
      <c r="AV132" s="144">
        <v>128</v>
      </c>
      <c r="AW132" s="145" t="e">
        <f>U132*AB132*#REF!</f>
        <v>#REF!</v>
      </c>
    </row>
    <row r="133" spans="1:49" ht="101.25" customHeight="1">
      <c r="A133" s="119" t="s">
        <v>57</v>
      </c>
      <c r="B133" s="120" t="str">
        <f>[3]Sayfa1!$G130</f>
        <v>TS#4</v>
      </c>
      <c r="C133" s="121" t="str">
        <f>[3]Sayfa1!$H130</f>
        <v>Mc1</v>
      </c>
      <c r="D133" s="146">
        <f>[3]Sayfa1!$N130</f>
        <v>1</v>
      </c>
      <c r="E133" s="122" t="str">
        <f>[3]Sayfa1!$B130</f>
        <v>FRACAS-GDM-129</v>
      </c>
      <c r="F133" s="123">
        <f>[3]Sayfa1!$E130</f>
        <v>45376</v>
      </c>
      <c r="G133" s="124">
        <f>[3]Sayfa1!$F130</f>
        <v>45376.779166666667</v>
      </c>
      <c r="H133" s="119" t="str">
        <f>[3]Sayfa1!$I130</f>
        <v>Depo/Depot</v>
      </c>
      <c r="I133" s="125" t="str">
        <f>IF([3]Sayfa1!$K130="SSH","Notified by Bozankaya","Notified by Customer")</f>
        <v>Notified by Customer</v>
      </c>
      <c r="J133" s="119" t="e">
        <f>VLOOKUP([3]Sayfa1!$AU130,#REF!,2,FALSE)</f>
        <v>#REF!</v>
      </c>
      <c r="K133" s="119" t="str">
        <f>[3]Sayfa1!$V130</f>
        <v>Bozankaya</v>
      </c>
      <c r="L133" s="126" t="str">
        <f t="shared" si="11"/>
        <v>GDM7X4-FRACAS-GDM-129</v>
      </c>
      <c r="M133" s="127" t="str">
        <f>[3]Sayfa1!$L130</f>
        <v>DIT arızalı</v>
      </c>
      <c r="N133" s="128" t="str">
        <f>[3]Sayfa1!$J130</f>
        <v>C-Uyarı, sürüş devamlılığı</v>
      </c>
      <c r="O133" s="128" t="str">
        <f>[3]Sayfa1!$P130</f>
        <v>C(Sisteme etki etmeyen arıza)</v>
      </c>
      <c r="P133" s="128" t="str">
        <f>[3]Sayfa1!$Q130</f>
        <v>N.A(Yaralanma yok)</v>
      </c>
      <c r="Q133" s="129" t="str" cm="1">
        <f t="array" ref="Q133">_xlfn.IFS([3]Sayfa1!$R130="Bozankaya","Bozankaya",[3]Sayfa1!$R130="İşletme","Customer",[3]Sayfa1!$R130="Tedarikçi","Equipment Supplier")</f>
        <v>Bozankaya</v>
      </c>
      <c r="R133" s="130" t="str">
        <f>[3]Sayfa1!$M130</f>
        <v>+49 panodan bulunan DIT haberleşme hattını bozduğu tespit edildi. Uzun süre enerji altında kaldığında sistem haberleşmeyi sağlayamayınca kendini korumaya aldığı tespit edildi.</v>
      </c>
      <c r="S133" s="147">
        <f>[3]Sayfa1!$AB130</f>
        <v>0</v>
      </c>
      <c r="T133" s="147">
        <f>[3]Sayfa1!$AA130</f>
        <v>0</v>
      </c>
      <c r="U133" s="131">
        <f>[3]Sayfa1!$AN130</f>
        <v>0</v>
      </c>
      <c r="V133" s="132">
        <f>[3]Sayfa1!$T130</f>
        <v>45376</v>
      </c>
      <c r="W133" s="133">
        <f>[3]Sayfa1!$U130</f>
        <v>45376.781944444447</v>
      </c>
      <c r="X133" s="134">
        <f t="shared" si="12"/>
        <v>45376.781944444447</v>
      </c>
      <c r="Y133" s="123" t="str">
        <f>[3]Sayfa1!$AQ130</f>
        <v/>
      </c>
      <c r="Z133" s="135">
        <f>[3]Sayfa1!$AR130</f>
        <v>0</v>
      </c>
      <c r="AA133" s="134">
        <f t="shared" si="13"/>
        <v>0</v>
      </c>
      <c r="AB133" s="136">
        <f t="shared" si="14"/>
        <v>0</v>
      </c>
      <c r="AC133" s="137" t="str">
        <f t="shared" si="15"/>
        <v/>
      </c>
      <c r="AD133" s="135">
        <f t="shared" si="16"/>
        <v>0</v>
      </c>
      <c r="AE133" s="138">
        <f t="shared" si="17"/>
        <v>0</v>
      </c>
      <c r="AF133" s="139" t="str">
        <f>[3]Sayfa1!$AP130</f>
        <v>(I) İlk defa karşılaşılan arıza</v>
      </c>
      <c r="AG133" s="128" t="str">
        <f>IF([3]Sayfa1!$P130="C(Sisteme etki etmeyen arıza)","Bu Arıza Aracın Servise Verilmesine Engel Değil","Bu Arıza Aracın Servise Verilmesine Engel")</f>
        <v>Bu Arıza Aracın Servise Verilmesine Engel Değil</v>
      </c>
      <c r="AH133" s="140">
        <f>[3]Sayfa1!$AC130</f>
        <v>0</v>
      </c>
      <c r="AI133" s="137"/>
      <c r="AJ133" s="137"/>
      <c r="AK133" s="138">
        <f t="shared" si="18"/>
        <v>0</v>
      </c>
      <c r="AL133" s="136">
        <f t="shared" si="19"/>
        <v>0</v>
      </c>
      <c r="AM133" s="136">
        <f t="shared" si="20"/>
        <v>0</v>
      </c>
      <c r="AN133" s="141" t="str">
        <f t="shared" si="21"/>
        <v>Bozankaya</v>
      </c>
      <c r="AO133" s="141" t="str">
        <f>[3]Sayfa1!$X130</f>
        <v>E110-8006</v>
      </c>
      <c r="AP133" s="141">
        <f>[3]Sayfa1!$Z130</f>
        <v>230200016</v>
      </c>
      <c r="AQ133" s="122" t="str">
        <f>[3]Sayfa1!$W130</f>
        <v>DIT 732-TW</v>
      </c>
      <c r="AR133" s="142">
        <f>[3]Sayfa1!$Y130</f>
        <v>1</v>
      </c>
      <c r="AS133" s="143">
        <f>[3]Sayfa1!$AD130</f>
        <v>0</v>
      </c>
      <c r="AT133" s="137" t="str">
        <f>[3]Sayfa1!$AE130</f>
        <v/>
      </c>
      <c r="AU133" s="137" t="str">
        <f>[3]Sayfa1!$AH130</f>
        <v/>
      </c>
      <c r="AV133" s="144">
        <v>129</v>
      </c>
      <c r="AW133" s="145" t="e">
        <f>U133*AB133*#REF!</f>
        <v>#REF!</v>
      </c>
    </row>
    <row r="134" spans="1:49" ht="101.25" customHeight="1">
      <c r="A134" s="119" t="s">
        <v>57</v>
      </c>
      <c r="B134" s="120" t="str">
        <f>[3]Sayfa1!$G131</f>
        <v>TS#4</v>
      </c>
      <c r="C134" s="121" t="str">
        <f>[3]Sayfa1!$H131</f>
        <v>T</v>
      </c>
      <c r="D134" s="146">
        <f>[3]Sayfa1!$N131</f>
        <v>1</v>
      </c>
      <c r="E134" s="122" t="str">
        <f>[3]Sayfa1!$B131</f>
        <v>FRACAS-GDM-130</v>
      </c>
      <c r="F134" s="123">
        <f>[3]Sayfa1!$E131</f>
        <v>45379</v>
      </c>
      <c r="G134" s="124">
        <f>[3]Sayfa1!$F131</f>
        <v>45379.682638888888</v>
      </c>
      <c r="H134" s="119" t="str">
        <f>[3]Sayfa1!$I131</f>
        <v>Depo/Depot</v>
      </c>
      <c r="I134" s="125" t="str">
        <f>IF([3]Sayfa1!$K131="SSH","Notified by Bozankaya","Notified by Customer")</f>
        <v>Notified by Customer</v>
      </c>
      <c r="J134" s="119" t="e">
        <f>VLOOKUP([3]Sayfa1!$AU131,#REF!,2,FALSE)</f>
        <v>#REF!</v>
      </c>
      <c r="K134" s="119" t="str">
        <f>[3]Sayfa1!$V131</f>
        <v>Bozankaya</v>
      </c>
      <c r="L134" s="126" t="str">
        <f t="shared" ref="L134:L165" si="22">A134&amp;"-"&amp;E134</f>
        <v>GDM7X4-FRACAS-GDM-130</v>
      </c>
      <c r="M134" s="127" t="str">
        <f>[3]Sayfa1!$L131</f>
        <v>3A sigorta arızalı</v>
      </c>
      <c r="N134" s="128" t="str">
        <f>[3]Sayfa1!$J131</f>
        <v>C-Uyarı, sürüş devamlılığı</v>
      </c>
      <c r="O134" s="128" t="str">
        <f>[3]Sayfa1!$P131</f>
        <v>C(Sisteme etki etmeyen arıza)</v>
      </c>
      <c r="P134" s="128" t="str">
        <f>[3]Sayfa1!$Q131</f>
        <v>N.A(Yaralanma yok)</v>
      </c>
      <c r="Q134" s="129" t="str" cm="1">
        <f t="array" ref="Q134">_xlfn.IFS([3]Sayfa1!$R131="Bozankaya","Bozankaya",[3]Sayfa1!$R131="İşletme","Customer",[3]Sayfa1!$R131="Tedarikçi","Equipment Supplier")</f>
        <v>Bozankaya</v>
      </c>
      <c r="R134" s="130" t="str">
        <f>[3]Sayfa1!$M131</f>
        <v>3A sigorta RA-F01 T vagon +41 arızalı olduğu tespit edildi.</v>
      </c>
      <c r="S134" s="178">
        <f>[3]Sayfa1!$AB131</f>
        <v>0</v>
      </c>
      <c r="T134" s="178">
        <f>[3]Sayfa1!$AA131</f>
        <v>0</v>
      </c>
      <c r="U134" s="131">
        <f>[3]Sayfa1!$AN131</f>
        <v>0</v>
      </c>
      <c r="V134" s="132">
        <f>[3]Sayfa1!$T131</f>
        <v>45378</v>
      </c>
      <c r="W134" s="133">
        <f>[3]Sayfa1!$U131</f>
        <v>45378.058333333334</v>
      </c>
      <c r="X134" s="134">
        <f t="shared" ref="X134:X165" si="23">W134</f>
        <v>45378.058333333334</v>
      </c>
      <c r="Y134" s="123" t="str">
        <f>[3]Sayfa1!$AQ131</f>
        <v/>
      </c>
      <c r="Z134" s="135">
        <f>[3]Sayfa1!$AR131</f>
        <v>0</v>
      </c>
      <c r="AA134" s="134">
        <f t="shared" ref="AA134:AA165" si="24">Z134</f>
        <v>0</v>
      </c>
      <c r="AB134" s="136">
        <f t="shared" ref="AB134:AB165" si="25">IFERROR(IF(Y134-F134&gt;0,(AA134-X134)*24,IF(OR(AND(G134&gt;AR$1,G134&lt;AS$1),AND(G134&gt;AT$1,G134&lt;AU$1)),(AA134-X134)*24,0)),0)</f>
        <v>0</v>
      </c>
      <c r="AC134" s="137" t="str">
        <f t="shared" ref="AC134:AC165" si="26">Y134</f>
        <v/>
      </c>
      <c r="AD134" s="135">
        <f t="shared" ref="AD134:AD165" si="27">Z134</f>
        <v>0</v>
      </c>
      <c r="AE134" s="138">
        <f t="shared" ref="AE134:AE165" si="28">AD134</f>
        <v>0</v>
      </c>
      <c r="AF134" s="139" t="str">
        <f>[3]Sayfa1!$AP131</f>
        <v>(I) İlk defa karşılaşılan arıza</v>
      </c>
      <c r="AG134" s="128" t="str">
        <f>IF([3]Sayfa1!$P131="C(Sisteme etki etmeyen arıza)","Bu Arıza Aracın Servise Verilmesine Engel Değil","Bu Arıza Aracın Servise Verilmesine Engel")</f>
        <v>Bu Arıza Aracın Servise Verilmesine Engel Değil</v>
      </c>
      <c r="AH134" s="140">
        <f>[3]Sayfa1!$AC131</f>
        <v>0</v>
      </c>
      <c r="AI134" s="137"/>
      <c r="AJ134" s="137"/>
      <c r="AK134" s="138">
        <f t="shared" ref="AK134:AK173" si="29">AI134+AJ134</f>
        <v>0</v>
      </c>
      <c r="AL134" s="136">
        <f t="shared" ref="AL134:AL173" si="30">IFERROR(IF(AND(O134&lt;&gt;"D:Arıza Değil",AG134="Bu Arıza Aracın Servise Verilmesine Engel Değil"),IF(Y134-F134&gt;0,(AA134-X134)*24,IF(OR(AND(G134&gt;AR$1,G134&lt;AS$1),AND(G134&gt;AT$1,G134&lt;AU$1)),(AK134-X134)*24,0))*60,AM134),0)</f>
        <v>0</v>
      </c>
      <c r="AM134" s="136">
        <f t="shared" ref="AM134:AM173" si="31">IFERROR(IF(O134&lt;&gt;"C(Sisteme etki etmeyen arıza)",AB134*60,0),0)</f>
        <v>0</v>
      </c>
      <c r="AN134" s="141" t="str">
        <f t="shared" ref="AN134:AN165" si="32">K134</f>
        <v>Bozankaya</v>
      </c>
      <c r="AO134" s="141">
        <f>[3]Sayfa1!$X131</f>
        <v>0</v>
      </c>
      <c r="AP134" s="141">
        <f>[3]Sayfa1!$Z131</f>
        <v>0</v>
      </c>
      <c r="AQ134" s="122" t="str">
        <f>[3]Sayfa1!$W131</f>
        <v>3A sigorta</v>
      </c>
      <c r="AR134" s="142">
        <f>[3]Sayfa1!$Y131</f>
        <v>1</v>
      </c>
      <c r="AS134" s="143">
        <f>[3]Sayfa1!$AD131</f>
        <v>0</v>
      </c>
      <c r="AT134" s="137" t="str">
        <f>[3]Sayfa1!$AE131</f>
        <v/>
      </c>
      <c r="AU134" s="137" t="str">
        <f>[3]Sayfa1!$AH131</f>
        <v/>
      </c>
      <c r="AV134" s="144">
        <v>130</v>
      </c>
      <c r="AW134" s="145" t="e">
        <f>U134*AB134*#REF!</f>
        <v>#REF!</v>
      </c>
    </row>
    <row r="135" spans="1:49" ht="101.25" customHeight="1">
      <c r="A135" s="119" t="s">
        <v>57</v>
      </c>
      <c r="B135" s="120" t="str">
        <f>[3]Sayfa1!$G132</f>
        <v>TS#4</v>
      </c>
      <c r="C135" s="121" t="str">
        <f>[3]Sayfa1!$H132</f>
        <v>Mc1</v>
      </c>
      <c r="D135" s="146">
        <f>[3]Sayfa1!$N132</f>
        <v>1</v>
      </c>
      <c r="E135" s="122" t="str">
        <f>[3]Sayfa1!$B132</f>
        <v>FRACAS-GDM-131</v>
      </c>
      <c r="F135" s="123">
        <f>[3]Sayfa1!$E132</f>
        <v>45379</v>
      </c>
      <c r="G135" s="124">
        <f>[3]Sayfa1!$F132</f>
        <v>45379.810416666667</v>
      </c>
      <c r="H135" s="119" t="str">
        <f>[3]Sayfa1!$I132</f>
        <v>Depo/Depot</v>
      </c>
      <c r="I135" s="125" t="str">
        <f>IF([3]Sayfa1!$K132="SSH","Notified by Bozankaya","Notified by Customer")</f>
        <v>Notified by Customer</v>
      </c>
      <c r="J135" s="119" t="e">
        <f>VLOOKUP([3]Sayfa1!$AU132,#REF!,2,FALSE)</f>
        <v>#REF!</v>
      </c>
      <c r="K135" s="119" t="str">
        <f>[3]Sayfa1!$V132</f>
        <v>Piton</v>
      </c>
      <c r="L135" s="126" t="str">
        <f t="shared" si="22"/>
        <v>GDM7X4-FRACAS-GDM-131</v>
      </c>
      <c r="M135" s="127" t="str">
        <f>[3]Sayfa1!$L132</f>
        <v>Master front led</v>
      </c>
      <c r="N135" s="128" t="str">
        <f>[3]Sayfa1!$J132</f>
        <v>C-Uyarı, sürüş devamlılığı</v>
      </c>
      <c r="O135" s="128" t="str">
        <f>[3]Sayfa1!$P132</f>
        <v>C(Sisteme etki etmeyen arıza)</v>
      </c>
      <c r="P135" s="128" t="str">
        <f>[3]Sayfa1!$Q132</f>
        <v>N.A(Yaralanma yok)</v>
      </c>
      <c r="Q135" s="129" t="str" cm="1">
        <f t="array" ref="Q135">_xlfn.IFS([3]Sayfa1!$R132="Bozankaya","Bozankaya",[3]Sayfa1!$R132="İşletme","Customer",[3]Sayfa1!$R132="Tedarikçi","Equipment Supplier")</f>
        <v>Equipment Supplier</v>
      </c>
      <c r="R135" s="130" t="str">
        <f>[3]Sayfa1!$M132</f>
        <v>Ekrana enerji verildiği halde çalışmadığı tespit edildi.</v>
      </c>
      <c r="S135" s="147">
        <f>[3]Sayfa1!$AB132</f>
        <v>0</v>
      </c>
      <c r="T135" s="147">
        <f>[3]Sayfa1!$AA132</f>
        <v>0</v>
      </c>
      <c r="U135" s="131">
        <f>[3]Sayfa1!$AN132</f>
        <v>0</v>
      </c>
      <c r="V135" s="132">
        <f>[3]Sayfa1!$T132</f>
        <v>45381</v>
      </c>
      <c r="W135" s="133">
        <f>[3]Sayfa1!$U132</f>
        <v>45381.727777777778</v>
      </c>
      <c r="X135" s="134">
        <f t="shared" si="23"/>
        <v>45381.727777777778</v>
      </c>
      <c r="Y135" s="123" t="str">
        <f>[3]Sayfa1!$AQ132</f>
        <v/>
      </c>
      <c r="Z135" s="135">
        <f>[3]Sayfa1!$AR132</f>
        <v>0</v>
      </c>
      <c r="AA135" s="134">
        <f t="shared" si="24"/>
        <v>0</v>
      </c>
      <c r="AB135" s="136">
        <f t="shared" si="25"/>
        <v>0</v>
      </c>
      <c r="AC135" s="137" t="str">
        <f t="shared" si="26"/>
        <v/>
      </c>
      <c r="AD135" s="135">
        <f t="shared" si="27"/>
        <v>0</v>
      </c>
      <c r="AE135" s="138">
        <f t="shared" si="28"/>
        <v>0</v>
      </c>
      <c r="AF135" s="139" t="str">
        <f>[3]Sayfa1!$AP132</f>
        <v>(I) İlk defa karşılaşılan arıza</v>
      </c>
      <c r="AG135" s="128" t="str">
        <f>IF([3]Sayfa1!$P132="C(Sisteme etki etmeyen arıza)","Bu Arıza Aracın Servise Verilmesine Engel Değil","Bu Arıza Aracın Servise Verilmesine Engel")</f>
        <v>Bu Arıza Aracın Servise Verilmesine Engel Değil</v>
      </c>
      <c r="AH135" s="140">
        <f>[3]Sayfa1!$AC132</f>
        <v>0</v>
      </c>
      <c r="AI135" s="137"/>
      <c r="AJ135" s="137"/>
      <c r="AK135" s="138">
        <f t="shared" si="29"/>
        <v>0</v>
      </c>
      <c r="AL135" s="136">
        <f t="shared" si="30"/>
        <v>0</v>
      </c>
      <c r="AM135" s="136">
        <f t="shared" si="31"/>
        <v>0</v>
      </c>
      <c r="AN135" s="141" t="str">
        <f t="shared" si="32"/>
        <v>Piton</v>
      </c>
      <c r="AO135" s="141">
        <f>[3]Sayfa1!$X132</f>
        <v>0</v>
      </c>
      <c r="AP135" s="141">
        <f>[3]Sayfa1!$Z132</f>
        <v>0</v>
      </c>
      <c r="AQ135" s="122">
        <f>[3]Sayfa1!$W132</f>
        <v>0</v>
      </c>
      <c r="AR135" s="142">
        <f>[3]Sayfa1!$Y132</f>
        <v>0</v>
      </c>
      <c r="AS135" s="143">
        <f>[3]Sayfa1!$AD132</f>
        <v>0</v>
      </c>
      <c r="AT135" s="137" t="str">
        <f>[3]Sayfa1!$AE132</f>
        <v/>
      </c>
      <c r="AU135" s="137" t="str">
        <f>[3]Sayfa1!$AH132</f>
        <v/>
      </c>
      <c r="AV135" s="144">
        <v>131</v>
      </c>
      <c r="AW135" s="145" t="e">
        <f>U135*AB135*#REF!</f>
        <v>#REF!</v>
      </c>
    </row>
    <row r="136" spans="1:49" ht="101.25" customHeight="1">
      <c r="A136" s="119" t="s">
        <v>57</v>
      </c>
      <c r="B136" s="120" t="str">
        <f>[3]Sayfa1!$G133</f>
        <v>TS#4</v>
      </c>
      <c r="C136" s="121" t="str">
        <f>[3]Sayfa1!$H133</f>
        <v>Mc1</v>
      </c>
      <c r="D136" s="146">
        <f>[3]Sayfa1!$N133</f>
        <v>1</v>
      </c>
      <c r="E136" s="122" t="str">
        <f>[3]Sayfa1!$B133</f>
        <v>FRACAS-GDM-132</v>
      </c>
      <c r="F136" s="123">
        <f>[3]Sayfa1!$E133</f>
        <v>45384</v>
      </c>
      <c r="G136" s="124">
        <f>[3]Sayfa1!$F133</f>
        <v>45384.598611111112</v>
      </c>
      <c r="H136" s="119" t="str">
        <f>[3]Sayfa1!$I133</f>
        <v>Depo/Depot</v>
      </c>
      <c r="I136" s="125" t="str">
        <f>IF([3]Sayfa1!$K133="SSH","Notified by Bozankaya","Notified by Customer")</f>
        <v>Notified by Customer</v>
      </c>
      <c r="J136" s="119" t="e">
        <f>VLOOKUP([3]Sayfa1!$AU133,#REF!,2,FALSE)</f>
        <v>#REF!</v>
      </c>
      <c r="K136" s="119" t="str">
        <f>[3]Sayfa1!$V133</f>
        <v>Bozankaya</v>
      </c>
      <c r="L136" s="126" t="str">
        <f t="shared" si="22"/>
        <v>GDM7X4-FRACAS-GDM-132</v>
      </c>
      <c r="M136" s="127" t="str">
        <f>[3]Sayfa1!$L133</f>
        <v>Ethernet switch arızalı</v>
      </c>
      <c r="N136" s="128" t="str">
        <f>[3]Sayfa1!$J133</f>
        <v>C-Uyarı, sürüş devamlılığı</v>
      </c>
      <c r="O136" s="128" t="str">
        <f>[3]Sayfa1!$P133</f>
        <v>C(Sisteme etki etmeyen arıza)</v>
      </c>
      <c r="P136" s="128" t="str">
        <f>[3]Sayfa1!$Q133</f>
        <v>N.A(Yaralanma yok)</v>
      </c>
      <c r="Q136" s="129" t="str" cm="1">
        <f t="array" ref="Q136">_xlfn.IFS([3]Sayfa1!$R133="Bozankaya","Bozankaya",[3]Sayfa1!$R133="İşletme","Customer",[3]Sayfa1!$R133="Tedarikçi","Equipment Supplier")</f>
        <v>Bozankaya</v>
      </c>
      <c r="R136" s="130" t="str">
        <f>[3]Sayfa1!$M133</f>
        <v>Ethernet switch x8 ile x12 portlerı haberleşme yapmadığı tespit edildi.</v>
      </c>
      <c r="S136" s="147">
        <f>[3]Sayfa1!$AB133</f>
        <v>0</v>
      </c>
      <c r="T136" s="147">
        <f>[3]Sayfa1!$AA133</f>
        <v>0</v>
      </c>
      <c r="U136" s="131">
        <f>[3]Sayfa1!$AN133</f>
        <v>0</v>
      </c>
      <c r="V136" s="132">
        <f>[3]Sayfa1!$T133</f>
        <v>45399</v>
      </c>
      <c r="W136" s="133">
        <f>[3]Sayfa1!$U133</f>
        <v>45399.6</v>
      </c>
      <c r="X136" s="134">
        <f t="shared" si="23"/>
        <v>45399.6</v>
      </c>
      <c r="Y136" s="123" t="str">
        <f>[3]Sayfa1!$AQ133</f>
        <v/>
      </c>
      <c r="Z136" s="135">
        <f>[3]Sayfa1!$AR133</f>
        <v>0</v>
      </c>
      <c r="AA136" s="134">
        <f t="shared" si="24"/>
        <v>0</v>
      </c>
      <c r="AB136" s="136">
        <f t="shared" si="25"/>
        <v>0</v>
      </c>
      <c r="AC136" s="137" t="str">
        <f t="shared" si="26"/>
        <v/>
      </c>
      <c r="AD136" s="135">
        <f t="shared" si="27"/>
        <v>0</v>
      </c>
      <c r="AE136" s="138">
        <f t="shared" si="28"/>
        <v>0</v>
      </c>
      <c r="AF136" s="139" t="str">
        <f>[3]Sayfa1!$AP133</f>
        <v>(I) İlk defa karşılaşılan arıza</v>
      </c>
      <c r="AG136" s="128" t="str">
        <f>IF([3]Sayfa1!$P133="C(Sisteme etki etmeyen arıza)","Bu Arıza Aracın Servise Verilmesine Engel Değil","Bu Arıza Aracın Servise Verilmesine Engel")</f>
        <v>Bu Arıza Aracın Servise Verilmesine Engel Değil</v>
      </c>
      <c r="AH136" s="140">
        <f>[3]Sayfa1!$AC133</f>
        <v>0</v>
      </c>
      <c r="AI136" s="137"/>
      <c r="AJ136" s="137"/>
      <c r="AK136" s="138">
        <f t="shared" si="29"/>
        <v>0</v>
      </c>
      <c r="AL136" s="136">
        <f t="shared" si="30"/>
        <v>0</v>
      </c>
      <c r="AM136" s="136">
        <f t="shared" si="31"/>
        <v>0</v>
      </c>
      <c r="AN136" s="141" t="str">
        <f t="shared" si="32"/>
        <v>Bozankaya</v>
      </c>
      <c r="AO136" s="141" t="str">
        <f>[3]Sayfa1!$X133</f>
        <v>E855-8001</v>
      </c>
      <c r="AP136" s="141" t="str">
        <f>[3]Sayfa1!$Z133</f>
        <v>048605 ve 048388</v>
      </c>
      <c r="AQ136" s="122" t="str">
        <f>[3]Sayfa1!$W133</f>
        <v>Westermo Switch</v>
      </c>
      <c r="AR136" s="142">
        <f>[3]Sayfa1!$Y133</f>
        <v>2</v>
      </c>
      <c r="AS136" s="143">
        <f>[3]Sayfa1!$AD133</f>
        <v>0</v>
      </c>
      <c r="AT136" s="137" t="str">
        <f>[3]Sayfa1!$AE133</f>
        <v/>
      </c>
      <c r="AU136" s="137" t="str">
        <f>[3]Sayfa1!$AH133</f>
        <v/>
      </c>
      <c r="AV136" s="144">
        <v>132</v>
      </c>
      <c r="AW136" s="145" t="e">
        <f>U136*AB136*#REF!</f>
        <v>#REF!</v>
      </c>
    </row>
    <row r="137" spans="1:49" ht="101.25" customHeight="1">
      <c r="A137" s="119" t="s">
        <v>57</v>
      </c>
      <c r="B137" s="120" t="str">
        <f>[3]Sayfa1!$G134</f>
        <v>TS#4</v>
      </c>
      <c r="C137" s="121" t="str">
        <f>[3]Sayfa1!$H134</f>
        <v>Mc2</v>
      </c>
      <c r="D137" s="146">
        <f>[3]Sayfa1!$N134</f>
        <v>1</v>
      </c>
      <c r="E137" s="122" t="str">
        <f>[3]Sayfa1!$B134</f>
        <v>FRACAS-GDM-133</v>
      </c>
      <c r="F137" s="123">
        <f>[3]Sayfa1!$E134</f>
        <v>45385</v>
      </c>
      <c r="G137" s="124">
        <f>[3]Sayfa1!$F134</f>
        <v>45385.636111111111</v>
      </c>
      <c r="H137" s="119" t="str">
        <f>[3]Sayfa1!$I134</f>
        <v>Depo/Depot</v>
      </c>
      <c r="I137" s="125" t="str">
        <f>IF([3]Sayfa1!$K134="SSH","Notified by Bozankaya","Notified by Customer")</f>
        <v>Notified by Customer</v>
      </c>
      <c r="J137" s="119" t="e">
        <f>VLOOKUP([3]Sayfa1!$AU134,#REF!,2,FALSE)</f>
        <v>#REF!</v>
      </c>
      <c r="K137" s="119" t="str">
        <f>[3]Sayfa1!$V134</f>
        <v>Bozankaya</v>
      </c>
      <c r="L137" s="126" t="str">
        <f t="shared" si="22"/>
        <v>GDM7X4-FRACAS-GDM-133</v>
      </c>
      <c r="M137" s="127" t="str">
        <f>[3]Sayfa1!$L134</f>
        <v>Yanlış röle montajı</v>
      </c>
      <c r="N137" s="128" t="str">
        <f>[3]Sayfa1!$J134</f>
        <v>C-Uyarı, sürüş devamlılığı</v>
      </c>
      <c r="O137" s="128" t="str">
        <f>[3]Sayfa1!$P134</f>
        <v>C(Sisteme etki etmeyen arıza)</v>
      </c>
      <c r="P137" s="128" t="str">
        <f>[3]Sayfa1!$Q134</f>
        <v>N.A(Yaralanma yok)</v>
      </c>
      <c r="Q137" s="129" t="str" cm="1">
        <f t="array" ref="Q137">_xlfn.IFS([3]Sayfa1!$R134="Bozankaya","Bozankaya",[3]Sayfa1!$R134="İşletme","Customer",[3]Sayfa1!$R134="Tedarikçi","Equipment Supplier")</f>
        <v>Bozankaya</v>
      </c>
      <c r="R137" s="130" t="str">
        <f>[3]Sayfa1!$M134</f>
        <v>+59 panoya ait JG-K12 rölesi 110V yerine 24V olarak montajı yapılmış olduğu tespit edildi. Enerji verildiğinde rölenin yandığı ve eridiği görüldü.</v>
      </c>
      <c r="S137" s="147">
        <f>[3]Sayfa1!$AB134</f>
        <v>0</v>
      </c>
      <c r="T137" s="147">
        <f>[3]Sayfa1!$AA134</f>
        <v>0</v>
      </c>
      <c r="U137" s="131">
        <f>[3]Sayfa1!$AN134</f>
        <v>1</v>
      </c>
      <c r="V137" s="132">
        <f>[3]Sayfa1!$T134</f>
        <v>45386</v>
      </c>
      <c r="W137" s="133">
        <f>[3]Sayfa1!$U134</f>
        <v>45386.765972222223</v>
      </c>
      <c r="X137" s="134">
        <f t="shared" si="23"/>
        <v>45386.765972222223</v>
      </c>
      <c r="Y137" s="123" t="str">
        <f>[3]Sayfa1!$AQ134</f>
        <v/>
      </c>
      <c r="Z137" s="135">
        <f>[3]Sayfa1!$AR134</f>
        <v>0</v>
      </c>
      <c r="AA137" s="134">
        <f t="shared" si="24"/>
        <v>0</v>
      </c>
      <c r="AB137" s="136">
        <f t="shared" si="25"/>
        <v>0</v>
      </c>
      <c r="AC137" s="137" t="str">
        <f t="shared" si="26"/>
        <v/>
      </c>
      <c r="AD137" s="135">
        <f t="shared" si="27"/>
        <v>0</v>
      </c>
      <c r="AE137" s="138">
        <f t="shared" si="28"/>
        <v>0</v>
      </c>
      <c r="AF137" s="139" t="str">
        <f>[3]Sayfa1!$AP134</f>
        <v>(I) İlk defa karşılaşılan arıza</v>
      </c>
      <c r="AG137" s="128" t="str">
        <f>IF([3]Sayfa1!$P134="C(Sisteme etki etmeyen arıza)","Bu Arıza Aracın Servise Verilmesine Engel Değil","Bu Arıza Aracın Servise Verilmesine Engel")</f>
        <v>Bu Arıza Aracın Servise Verilmesine Engel Değil</v>
      </c>
      <c r="AH137" s="140">
        <f>[3]Sayfa1!$AC134</f>
        <v>0</v>
      </c>
      <c r="AI137" s="137"/>
      <c r="AJ137" s="137"/>
      <c r="AK137" s="138">
        <f t="shared" si="29"/>
        <v>0</v>
      </c>
      <c r="AL137" s="136">
        <f t="shared" si="30"/>
        <v>0</v>
      </c>
      <c r="AM137" s="136">
        <f t="shared" si="31"/>
        <v>0</v>
      </c>
      <c r="AN137" s="141" t="str">
        <f t="shared" si="32"/>
        <v>Bozankaya</v>
      </c>
      <c r="AO137" s="141">
        <f>[3]Sayfa1!$X134</f>
        <v>0</v>
      </c>
      <c r="AP137" s="141" t="str">
        <f>[3]Sayfa1!$Z134</f>
        <v>210241131217 2303</v>
      </c>
      <c r="AQ137" s="122" t="str">
        <f>[3]Sayfa1!$W134</f>
        <v>2Co röle</v>
      </c>
      <c r="AR137" s="142">
        <f>[3]Sayfa1!$Y134</f>
        <v>1</v>
      </c>
      <c r="AS137" s="143">
        <f>[3]Sayfa1!$AD134</f>
        <v>0</v>
      </c>
      <c r="AT137" s="137" t="str">
        <f>[3]Sayfa1!$AE134</f>
        <v/>
      </c>
      <c r="AU137" s="137" t="str">
        <f>[3]Sayfa1!$AH134</f>
        <v/>
      </c>
      <c r="AV137" s="144">
        <v>133</v>
      </c>
      <c r="AW137" s="145" t="e">
        <f>U137*AB137*#REF!</f>
        <v>#REF!</v>
      </c>
    </row>
    <row r="138" spans="1:49" ht="101.25" customHeight="1">
      <c r="A138" s="119" t="s">
        <v>57</v>
      </c>
      <c r="B138" s="120" t="str">
        <f>[3]Sayfa1!$G135</f>
        <v>TS#4</v>
      </c>
      <c r="C138" s="121" t="str">
        <f>[3]Sayfa1!$H135</f>
        <v>T</v>
      </c>
      <c r="D138" s="146">
        <f>[3]Sayfa1!$N135</f>
        <v>1</v>
      </c>
      <c r="E138" s="122" t="str">
        <f>[3]Sayfa1!$B135</f>
        <v>FRACAS-GDM-134</v>
      </c>
      <c r="F138" s="123">
        <f>[3]Sayfa1!$E135</f>
        <v>45398</v>
      </c>
      <c r="G138" s="124">
        <f>[3]Sayfa1!$F135</f>
        <v>45398.583333333336</v>
      </c>
      <c r="H138" s="119" t="str">
        <f>[3]Sayfa1!$I135</f>
        <v>Depo/Depot</v>
      </c>
      <c r="I138" s="125" t="str">
        <f>IF([3]Sayfa1!$K135="SSH","Notified by Bozankaya","Notified by Customer")</f>
        <v>Notified by Customer</v>
      </c>
      <c r="J138" s="119" t="e">
        <f>VLOOKUP([3]Sayfa1!$AU135,#REF!,2,FALSE)</f>
        <v>#REF!</v>
      </c>
      <c r="K138" s="119" t="str">
        <f>[3]Sayfa1!$V135</f>
        <v>Stemman</v>
      </c>
      <c r="L138" s="126" t="str">
        <f t="shared" si="22"/>
        <v>GDM7X4-FRACAS-GDM-134</v>
      </c>
      <c r="M138" s="127" t="str">
        <f>[3]Sayfa1!$L135</f>
        <v>Pantograf Limitswitch arızası</v>
      </c>
      <c r="N138" s="128" t="str">
        <f>[3]Sayfa1!$J135</f>
        <v>A-Sürüşü engeller</v>
      </c>
      <c r="O138" s="128" t="str">
        <f>[3]Sayfa1!$P135</f>
        <v>A(Hareket etmeyi engelleyen arıza)</v>
      </c>
      <c r="P138" s="128" t="str">
        <f>[3]Sayfa1!$Q135</f>
        <v>N.A(Yaralanma yok)</v>
      </c>
      <c r="Q138" s="129" t="str" cm="1">
        <f t="array" ref="Q138">_xlfn.IFS([3]Sayfa1!$R135="Bozankaya","Bozankaya",[3]Sayfa1!$R135="İşletme","Customer",[3]Sayfa1!$R135="Tedarikçi","Equipment Supplier")</f>
        <v>Bozankaya</v>
      </c>
      <c r="R138" s="130" t="str">
        <f>[3]Sayfa1!$M135</f>
        <v>Değişim</v>
      </c>
      <c r="S138" s="147" t="str">
        <f>[3]Sayfa1!$AB135</f>
        <v>Ekipman değiştirilecek</v>
      </c>
      <c r="T138" s="147" t="str">
        <f>[3]Sayfa1!$AA135</f>
        <v>Evet</v>
      </c>
      <c r="U138" s="131">
        <f>[3]Sayfa1!$AN135</f>
        <v>0</v>
      </c>
      <c r="V138" s="132">
        <f>[3]Sayfa1!$T135</f>
        <v>45398</v>
      </c>
      <c r="W138" s="133">
        <f>[3]Sayfa1!$U135</f>
        <v>45398.666666666664</v>
      </c>
      <c r="X138" s="134">
        <f t="shared" si="23"/>
        <v>45398.666666666664</v>
      </c>
      <c r="Y138" s="123" t="str">
        <f>[3]Sayfa1!$AQ135</f>
        <v/>
      </c>
      <c r="Z138" s="135">
        <f>[3]Sayfa1!$AR135</f>
        <v>0</v>
      </c>
      <c r="AA138" s="134">
        <f t="shared" si="24"/>
        <v>0</v>
      </c>
      <c r="AB138" s="136">
        <f t="shared" si="25"/>
        <v>0</v>
      </c>
      <c r="AC138" s="137" t="str">
        <f t="shared" si="26"/>
        <v/>
      </c>
      <c r="AD138" s="135">
        <f t="shared" si="27"/>
        <v>0</v>
      </c>
      <c r="AE138" s="138">
        <f t="shared" si="28"/>
        <v>0</v>
      </c>
      <c r="AF138" s="139" t="str">
        <f>[3]Sayfa1!$AP135</f>
        <v>(II) Birden fazla karşılaşılan arıza</v>
      </c>
      <c r="AG138" s="128" t="str">
        <f>IF([3]Sayfa1!$P135="C(Sisteme etki etmeyen arıza)","Bu Arıza Aracın Servise Verilmesine Engel Değil","Bu Arıza Aracın Servise Verilmesine Engel")</f>
        <v>Bu Arıza Aracın Servise Verilmesine Engel</v>
      </c>
      <c r="AH138" s="140">
        <f>[3]Sayfa1!$AC135</f>
        <v>0</v>
      </c>
      <c r="AI138" s="137"/>
      <c r="AJ138" s="137"/>
      <c r="AK138" s="138">
        <f t="shared" si="29"/>
        <v>0</v>
      </c>
      <c r="AL138" s="136">
        <f t="shared" si="30"/>
        <v>0</v>
      </c>
      <c r="AM138" s="136">
        <f t="shared" si="31"/>
        <v>0</v>
      </c>
      <c r="AN138" s="141" t="str">
        <f t="shared" si="32"/>
        <v>Stemman</v>
      </c>
      <c r="AO138" s="141" t="str">
        <f>[3]Sayfa1!$X135</f>
        <v>P710-7116</v>
      </c>
      <c r="AP138" s="141" t="str">
        <f>[3]Sayfa1!$Z135</f>
        <v>DD20458</v>
      </c>
      <c r="AQ138" s="122" t="str">
        <f>[3]Sayfa1!$W135</f>
        <v>Pantograf Limitswitch</v>
      </c>
      <c r="AR138" s="142">
        <f>[3]Sayfa1!$Y135</f>
        <v>1</v>
      </c>
      <c r="AS138" s="143">
        <f>[3]Sayfa1!$AD135</f>
        <v>0</v>
      </c>
      <c r="AT138" s="137" t="str">
        <f>[3]Sayfa1!$AE135</f>
        <v/>
      </c>
      <c r="AU138" s="137" t="str">
        <f>[3]Sayfa1!$AH135</f>
        <v/>
      </c>
      <c r="AV138" s="144">
        <v>134</v>
      </c>
      <c r="AW138" s="145" t="e">
        <f>U138*AB138*#REF!</f>
        <v>#REF!</v>
      </c>
    </row>
    <row r="139" spans="1:49" ht="101.25" customHeight="1">
      <c r="A139" s="119" t="s">
        <v>57</v>
      </c>
      <c r="B139" s="120" t="str">
        <f>[3]Sayfa1!$G136</f>
        <v>TS#6</v>
      </c>
      <c r="C139" s="121" t="str">
        <f>[3]Sayfa1!$H136</f>
        <v>Mc1 , M</v>
      </c>
      <c r="D139" s="146">
        <f>[3]Sayfa1!$N136</f>
        <v>1</v>
      </c>
      <c r="E139" s="122" t="str">
        <f>[3]Sayfa1!$B136</f>
        <v>FRACAS-GDM-135</v>
      </c>
      <c r="F139" s="123">
        <f>[3]Sayfa1!$E136</f>
        <v>45399</v>
      </c>
      <c r="G139" s="124">
        <f>[3]Sayfa1!$F136</f>
        <v>45399.662499999999</v>
      </c>
      <c r="H139" s="119" t="str">
        <f>[3]Sayfa1!$I136</f>
        <v>Depo/Depot</v>
      </c>
      <c r="I139" s="125" t="str">
        <f>IF([3]Sayfa1!$K136="SSH","Notified by Bozankaya","Notified by Customer")</f>
        <v>Notified by Customer</v>
      </c>
      <c r="J139" s="119" t="e">
        <f>VLOOKUP([3]Sayfa1!$AU136,#REF!,2,FALSE)</f>
        <v>#REF!</v>
      </c>
      <c r="K139" s="119" t="str">
        <f>[3]Sayfa1!$V136</f>
        <v>Bozankaya</v>
      </c>
      <c r="L139" s="126" t="str">
        <f t="shared" si="22"/>
        <v>GDM7X4-FRACAS-GDM-135</v>
      </c>
      <c r="M139" s="127" t="str">
        <f>[3]Sayfa1!$L136</f>
        <v>Trim düşmesi</v>
      </c>
      <c r="N139" s="128" t="str">
        <f>[3]Sayfa1!$J136</f>
        <v>C-Uyarı, sürüş devamlılığı</v>
      </c>
      <c r="O139" s="128" t="str">
        <f>[3]Sayfa1!$P136</f>
        <v>C(Sisteme etki etmeyen arıza)</v>
      </c>
      <c r="P139" s="128" t="str">
        <f>[3]Sayfa1!$Q136</f>
        <v>N.A(Yaralanma yok)</v>
      </c>
      <c r="Q139" s="129" t="str" cm="1">
        <f t="array" ref="Q139">_xlfn.IFS([3]Sayfa1!$R136="Bozankaya","Bozankaya",[3]Sayfa1!$R136="İşletme","Customer",[3]Sayfa1!$R136="Tedarikçi","Equipment Supplier")</f>
        <v>Bozankaya</v>
      </c>
      <c r="R139" s="130" t="str">
        <f>[3]Sayfa1!$M136</f>
        <v>Körük aydınlatmasının ortasındaki kapak sabitlendiği yerden ayrılarak düştüğü tespit edildi. Araçlar güneşte kaldığında ısının artması sonucu olduğunu tahmin ediyoruz.</v>
      </c>
      <c r="S139" s="147">
        <f>[3]Sayfa1!$AB136</f>
        <v>0</v>
      </c>
      <c r="T139" s="147">
        <f>[3]Sayfa1!$AA136</f>
        <v>0</v>
      </c>
      <c r="U139" s="131">
        <f>[3]Sayfa1!$AN136</f>
        <v>0</v>
      </c>
      <c r="V139" s="132">
        <f>[3]Sayfa1!$T136</f>
        <v>45426</v>
      </c>
      <c r="W139" s="133">
        <f>[3]Sayfa1!$U136</f>
        <v>45426.665277777778</v>
      </c>
      <c r="X139" s="134">
        <f t="shared" si="23"/>
        <v>45426.665277777778</v>
      </c>
      <c r="Y139" s="123" t="str">
        <f>[3]Sayfa1!$AQ136</f>
        <v/>
      </c>
      <c r="Z139" s="135">
        <f>[3]Sayfa1!$AR136</f>
        <v>0</v>
      </c>
      <c r="AA139" s="134">
        <f t="shared" si="24"/>
        <v>0</v>
      </c>
      <c r="AB139" s="136">
        <f t="shared" si="25"/>
        <v>0</v>
      </c>
      <c r="AC139" s="137" t="str">
        <f t="shared" si="26"/>
        <v/>
      </c>
      <c r="AD139" s="135">
        <f t="shared" si="27"/>
        <v>0</v>
      </c>
      <c r="AE139" s="138">
        <f t="shared" si="28"/>
        <v>0</v>
      </c>
      <c r="AF139" s="139" t="str">
        <f>[3]Sayfa1!$AP136</f>
        <v>(I) İlk defa karşılaşılan arıza</v>
      </c>
      <c r="AG139" s="128" t="str">
        <f>IF([3]Sayfa1!$P136="C(Sisteme etki etmeyen arıza)","Bu Arıza Aracın Servise Verilmesine Engel Değil","Bu Arıza Aracın Servise Verilmesine Engel")</f>
        <v>Bu Arıza Aracın Servise Verilmesine Engel Değil</v>
      </c>
      <c r="AH139" s="140" t="str">
        <f>[3]Sayfa1!$AC136</f>
        <v>41-HBR-23-059</v>
      </c>
      <c r="AI139" s="137"/>
      <c r="AJ139" s="137"/>
      <c r="AK139" s="138">
        <f t="shared" si="29"/>
        <v>0</v>
      </c>
      <c r="AL139" s="136">
        <f t="shared" si="30"/>
        <v>0</v>
      </c>
      <c r="AM139" s="136">
        <f t="shared" si="31"/>
        <v>0</v>
      </c>
      <c r="AN139" s="141" t="str">
        <f t="shared" si="32"/>
        <v>Bozankaya</v>
      </c>
      <c r="AO139" s="141">
        <f>[3]Sayfa1!$X136</f>
        <v>0</v>
      </c>
      <c r="AP139" s="141">
        <f>[3]Sayfa1!$Z136</f>
        <v>0</v>
      </c>
      <c r="AQ139" s="122" t="str">
        <f>[3]Sayfa1!$W136</f>
        <v>Körük aydınlatma kapağı</v>
      </c>
      <c r="AR139" s="142">
        <f>[3]Sayfa1!$Y136</f>
        <v>2</v>
      </c>
      <c r="AS139" s="143">
        <f>[3]Sayfa1!$AD136</f>
        <v>0</v>
      </c>
      <c r="AT139" s="137" t="str">
        <f>[3]Sayfa1!$AE136</f>
        <v/>
      </c>
      <c r="AU139" s="137" t="str">
        <f>[3]Sayfa1!$AH136</f>
        <v/>
      </c>
      <c r="AV139" s="144">
        <v>135</v>
      </c>
      <c r="AW139" s="145" t="e">
        <f>U139*AB139*#REF!</f>
        <v>#REF!</v>
      </c>
    </row>
    <row r="140" spans="1:49" ht="101.25" customHeight="1">
      <c r="A140" s="119" t="s">
        <v>57</v>
      </c>
      <c r="B140" s="120" t="str">
        <f>[3]Sayfa1!$G137</f>
        <v>TS#4</v>
      </c>
      <c r="C140" s="121" t="str">
        <f>[3]Sayfa1!$H137</f>
        <v>T</v>
      </c>
      <c r="D140" s="146">
        <f>[3]Sayfa1!$N137</f>
        <v>1</v>
      </c>
      <c r="E140" s="122" t="str">
        <f>[3]Sayfa1!$B137</f>
        <v>FRACAS-GDM-136</v>
      </c>
      <c r="F140" s="123">
        <f>[3]Sayfa1!$E137</f>
        <v>45407</v>
      </c>
      <c r="G140" s="124">
        <f>[3]Sayfa1!$F137</f>
        <v>45407.417361111111</v>
      </c>
      <c r="H140" s="119" t="str">
        <f>[3]Sayfa1!$I137</f>
        <v>Depo/Depot</v>
      </c>
      <c r="I140" s="125" t="str">
        <f>IF([3]Sayfa1!$K137="SSH","Notified by Bozankaya","Notified by Customer")</f>
        <v>Notified by Customer</v>
      </c>
      <c r="J140" s="119" t="e">
        <f>VLOOKUP([3]Sayfa1!$AU137,#REF!,2,FALSE)</f>
        <v>#REF!</v>
      </c>
      <c r="K140" s="119" t="str">
        <f>[3]Sayfa1!$V137</f>
        <v>Piton</v>
      </c>
      <c r="L140" s="126" t="str">
        <f t="shared" si="22"/>
        <v>GDM7X4-FRACAS-GDM-136</v>
      </c>
      <c r="M140" s="127" t="str">
        <f>[3]Sayfa1!$L137</f>
        <v>Kamera arızası</v>
      </c>
      <c r="N140" s="128" t="str">
        <f>[3]Sayfa1!$J137</f>
        <v>C-Uyarı, sürüş devamlılığı</v>
      </c>
      <c r="O140" s="128" t="str">
        <f>[3]Sayfa1!$P137</f>
        <v>C(Sisteme etki etmeyen arıza)</v>
      </c>
      <c r="P140" s="128" t="str">
        <f>[3]Sayfa1!$Q137</f>
        <v>N.A(Yaralanma yok)</v>
      </c>
      <c r="Q140" s="129" t="str" cm="1">
        <f t="array" ref="Q140">_xlfn.IFS([3]Sayfa1!$R137="Bozankaya","Bozankaya",[3]Sayfa1!$R137="İşletme","Customer",[3]Sayfa1!$R137="Tedarikçi","Equipment Supplier")</f>
        <v>Bozankaya</v>
      </c>
      <c r="R140" s="130" t="str">
        <f>[3]Sayfa1!$M137</f>
        <v>PoE switch bağlı olduğu ve enerjisinin geldiği emin olunduğu kameranın haberleşme yapmadığı tespit edildi.</v>
      </c>
      <c r="S140" s="147">
        <f>[3]Sayfa1!$AB137</f>
        <v>0</v>
      </c>
      <c r="T140" s="147">
        <f>[3]Sayfa1!$AA137</f>
        <v>0</v>
      </c>
      <c r="U140" s="131">
        <f>[3]Sayfa1!$AN137</f>
        <v>0</v>
      </c>
      <c r="V140" s="132">
        <f>[3]Sayfa1!$T137</f>
        <v>45407</v>
      </c>
      <c r="W140" s="133">
        <f>[3]Sayfa1!$U137</f>
        <v>45407.418749999997</v>
      </c>
      <c r="X140" s="134">
        <f t="shared" si="23"/>
        <v>45407.418749999997</v>
      </c>
      <c r="Y140" s="123" t="str">
        <f>[3]Sayfa1!$AQ137</f>
        <v/>
      </c>
      <c r="Z140" s="135">
        <f>[3]Sayfa1!$AR137</f>
        <v>0</v>
      </c>
      <c r="AA140" s="134">
        <f t="shared" si="24"/>
        <v>0</v>
      </c>
      <c r="AB140" s="136">
        <f t="shared" si="25"/>
        <v>0</v>
      </c>
      <c r="AC140" s="137" t="str">
        <f t="shared" si="26"/>
        <v/>
      </c>
      <c r="AD140" s="135">
        <f t="shared" si="27"/>
        <v>0</v>
      </c>
      <c r="AE140" s="138">
        <f t="shared" si="28"/>
        <v>0</v>
      </c>
      <c r="AF140" s="139" t="str">
        <f>[3]Sayfa1!$AP137</f>
        <v>(I) İlk defa karşılaşılan arıza</v>
      </c>
      <c r="AG140" s="128" t="str">
        <f>IF([3]Sayfa1!$P137="C(Sisteme etki etmeyen arıza)","Bu Arıza Aracın Servise Verilmesine Engel Değil","Bu Arıza Aracın Servise Verilmesine Engel")</f>
        <v>Bu Arıza Aracın Servise Verilmesine Engel Değil</v>
      </c>
      <c r="AH140" s="140">
        <f>[3]Sayfa1!$AC137</f>
        <v>0</v>
      </c>
      <c r="AI140" s="137"/>
      <c r="AJ140" s="137"/>
      <c r="AK140" s="138">
        <f t="shared" si="29"/>
        <v>0</v>
      </c>
      <c r="AL140" s="136">
        <f t="shared" si="30"/>
        <v>0</v>
      </c>
      <c r="AM140" s="136">
        <f t="shared" si="31"/>
        <v>0</v>
      </c>
      <c r="AN140" s="141" t="str">
        <f t="shared" si="32"/>
        <v>Piton</v>
      </c>
      <c r="AO140" s="141">
        <f>[3]Sayfa1!$X137</f>
        <v>0</v>
      </c>
      <c r="AP140" s="141" t="str">
        <f>[3]Sayfa1!$Z137</f>
        <v>K03287123</v>
      </c>
      <c r="AQ140" s="122" t="str">
        <f>[3]Sayfa1!$W137</f>
        <v>Hikvision kamera</v>
      </c>
      <c r="AR140" s="142">
        <f>[3]Sayfa1!$Y137</f>
        <v>1</v>
      </c>
      <c r="AS140" s="143">
        <f>[3]Sayfa1!$AD137</f>
        <v>0</v>
      </c>
      <c r="AT140" s="137" t="str">
        <f>[3]Sayfa1!$AE137</f>
        <v/>
      </c>
      <c r="AU140" s="137" t="str">
        <f>[3]Sayfa1!$AH137</f>
        <v/>
      </c>
      <c r="AV140" s="144">
        <v>136</v>
      </c>
      <c r="AW140" s="145" t="e">
        <f>U140*AB140*#REF!</f>
        <v>#REF!</v>
      </c>
    </row>
    <row r="141" spans="1:49" ht="101.25" customHeight="1">
      <c r="A141" s="119" t="s">
        <v>57</v>
      </c>
      <c r="B141" s="120" t="str">
        <f>[3]Sayfa1!$G138</f>
        <v>TS#4</v>
      </c>
      <c r="C141" s="121" t="str">
        <f>[3]Sayfa1!$H138</f>
        <v>T</v>
      </c>
      <c r="D141" s="146">
        <f>[3]Sayfa1!$N138</f>
        <v>1</v>
      </c>
      <c r="E141" s="122" t="str">
        <f>[3]Sayfa1!$B138</f>
        <v>FRACAS-GDM-137</v>
      </c>
      <c r="F141" s="123">
        <f>[3]Sayfa1!$E138</f>
        <v>45407</v>
      </c>
      <c r="G141" s="124">
        <f>[3]Sayfa1!$F138</f>
        <v>45407.421527777777</v>
      </c>
      <c r="H141" s="119" t="str">
        <f>[3]Sayfa1!$I138</f>
        <v>Depo/Depot</v>
      </c>
      <c r="I141" s="125" t="str">
        <f>IF([3]Sayfa1!$K138="SSH","Notified by Bozankaya","Notified by Customer")</f>
        <v>Notified by Customer</v>
      </c>
      <c r="J141" s="119" t="e">
        <f>VLOOKUP([3]Sayfa1!$AU138,#REF!,2,FALSE)</f>
        <v>#REF!</v>
      </c>
      <c r="K141" s="119" t="str">
        <f>[3]Sayfa1!$V138</f>
        <v>Piton</v>
      </c>
      <c r="L141" s="126" t="str">
        <f t="shared" si="22"/>
        <v>GDM7X4-FRACAS-GDM-137</v>
      </c>
      <c r="M141" s="127" t="str">
        <f>[3]Sayfa1!$L138</f>
        <v>Analog sinyal yükseltici arızası</v>
      </c>
      <c r="N141" s="128" t="str">
        <f>[3]Sayfa1!$J138</f>
        <v>C-Uyarı, sürüş devamlılığı</v>
      </c>
      <c r="O141" s="128" t="str">
        <f>[3]Sayfa1!$P138</f>
        <v>C(Sisteme etki etmeyen arıza)</v>
      </c>
      <c r="P141" s="128" t="str">
        <f>[3]Sayfa1!$Q138</f>
        <v>N.A(Yaralanma yok)</v>
      </c>
      <c r="Q141" s="129" t="str" cm="1">
        <f t="array" ref="Q141">_xlfn.IFS([3]Sayfa1!$R138="Bozankaya","Bozankaya",[3]Sayfa1!$R138="İşletme","Customer",[3]Sayfa1!$R138="Tedarikçi","Equipment Supplier")</f>
        <v>Equipment Supplier</v>
      </c>
      <c r="R141" s="130">
        <f>[3]Sayfa1!$M138</f>
        <v>0</v>
      </c>
      <c r="S141" s="147">
        <f>[3]Sayfa1!$AB138</f>
        <v>0</v>
      </c>
      <c r="T141" s="147">
        <f>[3]Sayfa1!$AA138</f>
        <v>0</v>
      </c>
      <c r="U141" s="131">
        <f>[3]Sayfa1!$AN138</f>
        <v>0</v>
      </c>
      <c r="V141" s="132">
        <f>[3]Sayfa1!$T138</f>
        <v>45407</v>
      </c>
      <c r="W141" s="133">
        <f>[3]Sayfa1!$U138</f>
        <v>45407.422222222223</v>
      </c>
      <c r="X141" s="134">
        <f t="shared" si="23"/>
        <v>45407.422222222223</v>
      </c>
      <c r="Y141" s="123" t="str">
        <f>[3]Sayfa1!$AQ138</f>
        <v/>
      </c>
      <c r="Z141" s="135">
        <f>[3]Sayfa1!$AR138</f>
        <v>0</v>
      </c>
      <c r="AA141" s="134">
        <f t="shared" si="24"/>
        <v>0</v>
      </c>
      <c r="AB141" s="136">
        <f t="shared" si="25"/>
        <v>0</v>
      </c>
      <c r="AC141" s="137" t="str">
        <f t="shared" si="26"/>
        <v/>
      </c>
      <c r="AD141" s="135">
        <f t="shared" si="27"/>
        <v>0</v>
      </c>
      <c r="AE141" s="138">
        <f t="shared" si="28"/>
        <v>0</v>
      </c>
      <c r="AF141" s="139" t="str">
        <f>[3]Sayfa1!$AP138</f>
        <v>(I) İlk defa karşılaşılan arıza</v>
      </c>
      <c r="AG141" s="128" t="str">
        <f>IF([3]Sayfa1!$P138="C(Sisteme etki etmeyen arıza)","Bu Arıza Aracın Servise Verilmesine Engel Değil","Bu Arıza Aracın Servise Verilmesine Engel")</f>
        <v>Bu Arıza Aracın Servise Verilmesine Engel Değil</v>
      </c>
      <c r="AH141" s="140">
        <f>[3]Sayfa1!$AC138</f>
        <v>0</v>
      </c>
      <c r="AI141" s="137"/>
      <c r="AJ141" s="137"/>
      <c r="AK141" s="138">
        <f t="shared" si="29"/>
        <v>0</v>
      </c>
      <c r="AL141" s="136">
        <f t="shared" si="30"/>
        <v>0</v>
      </c>
      <c r="AM141" s="136">
        <f t="shared" si="31"/>
        <v>0</v>
      </c>
      <c r="AN141" s="141" t="str">
        <f t="shared" si="32"/>
        <v>Piton</v>
      </c>
      <c r="AO141" s="141">
        <f>[3]Sayfa1!$X138</f>
        <v>0</v>
      </c>
      <c r="AP141" s="141">
        <f>[3]Sayfa1!$Z138</f>
        <v>70304</v>
      </c>
      <c r="AQ141" s="122" t="str">
        <f>[3]Sayfa1!$W138</f>
        <v>Analog sinyal yükseltici</v>
      </c>
      <c r="AR141" s="142">
        <f>[3]Sayfa1!$Y138</f>
        <v>1</v>
      </c>
      <c r="AS141" s="143">
        <f>[3]Sayfa1!$AD138</f>
        <v>0</v>
      </c>
      <c r="AT141" s="137" t="str">
        <f>[3]Sayfa1!$AE138</f>
        <v/>
      </c>
      <c r="AU141" s="137" t="str">
        <f>[3]Sayfa1!$AH138</f>
        <v/>
      </c>
      <c r="AV141" s="144">
        <v>137</v>
      </c>
      <c r="AW141" s="145" t="e">
        <f>U141*AB141*#REF!</f>
        <v>#REF!</v>
      </c>
    </row>
    <row r="142" spans="1:49" ht="101.25" customHeight="1">
      <c r="A142" s="119" t="s">
        <v>57</v>
      </c>
      <c r="B142" s="120" t="str">
        <f>[3]Sayfa1!$G139</f>
        <v>TS#4</v>
      </c>
      <c r="C142" s="121" t="str">
        <f>[3]Sayfa1!$H139</f>
        <v>T</v>
      </c>
      <c r="D142" s="146">
        <f>[3]Sayfa1!$N139</f>
        <v>1</v>
      </c>
      <c r="E142" s="122" t="str">
        <f>[3]Sayfa1!$B139</f>
        <v>FRACAS-GDM-138</v>
      </c>
      <c r="F142" s="123">
        <f>[3]Sayfa1!$E139</f>
        <v>45407</v>
      </c>
      <c r="G142" s="124">
        <f>[3]Sayfa1!$F139</f>
        <v>45407.423611111109</v>
      </c>
      <c r="H142" s="119" t="str">
        <f>[3]Sayfa1!$I139</f>
        <v>Depo/Depot</v>
      </c>
      <c r="I142" s="125" t="str">
        <f>IF([3]Sayfa1!$K139="SSH","Notified by Bozankaya","Notified by Customer")</f>
        <v>Notified by Customer</v>
      </c>
      <c r="J142" s="119" t="e">
        <f>VLOOKUP([3]Sayfa1!$AU139,#REF!,2,FALSE)</f>
        <v>#REF!</v>
      </c>
      <c r="K142" s="119" t="str">
        <f>[3]Sayfa1!$V139</f>
        <v>Bozankaya</v>
      </c>
      <c r="L142" s="126" t="str">
        <f t="shared" si="22"/>
        <v>GDM7X4-FRACAS-GDM-138</v>
      </c>
      <c r="M142" s="127" t="str">
        <f>[3]Sayfa1!$L139</f>
        <v>Sigorta arızası</v>
      </c>
      <c r="N142" s="128" t="str">
        <f>[3]Sayfa1!$J139</f>
        <v>C-Uyarı, sürüş devamlılığı</v>
      </c>
      <c r="O142" s="128" t="str">
        <f>[3]Sayfa1!$P139</f>
        <v>C(Sisteme etki etmeyen arıza)</v>
      </c>
      <c r="P142" s="128" t="str">
        <f>[3]Sayfa1!$Q139</f>
        <v>N.A(Yaralanma yok)</v>
      </c>
      <c r="Q142" s="129" t="str" cm="1">
        <f t="array" ref="Q142">_xlfn.IFS([3]Sayfa1!$R139="Bozankaya","Bozankaya",[3]Sayfa1!$R139="İşletme","Customer",[3]Sayfa1!$R139="Tedarikçi","Equipment Supplier")</f>
        <v>Bozankaya</v>
      </c>
      <c r="R142" s="130" t="str">
        <f>[3]Sayfa1!$M139</f>
        <v>Test ve devreye alma sürecinde arızalandı.</v>
      </c>
      <c r="S142" s="147">
        <f>[3]Sayfa1!$AB139</f>
        <v>0</v>
      </c>
      <c r="T142" s="147">
        <f>[3]Sayfa1!$AA139</f>
        <v>0</v>
      </c>
      <c r="U142" s="131">
        <f>[3]Sayfa1!$AN139</f>
        <v>0</v>
      </c>
      <c r="V142" s="132">
        <f>[3]Sayfa1!$T139</f>
        <v>45407</v>
      </c>
      <c r="W142" s="133">
        <f>[3]Sayfa1!$U139</f>
        <v>45407.424305555556</v>
      </c>
      <c r="X142" s="134">
        <f t="shared" si="23"/>
        <v>45407.424305555556</v>
      </c>
      <c r="Y142" s="123" t="str">
        <f>[3]Sayfa1!$AQ139</f>
        <v/>
      </c>
      <c r="Z142" s="135">
        <f>[3]Sayfa1!$AR139</f>
        <v>0</v>
      </c>
      <c r="AA142" s="134">
        <f t="shared" si="24"/>
        <v>0</v>
      </c>
      <c r="AB142" s="136">
        <f t="shared" si="25"/>
        <v>0</v>
      </c>
      <c r="AC142" s="137" t="str">
        <f t="shared" si="26"/>
        <v/>
      </c>
      <c r="AD142" s="135">
        <f t="shared" si="27"/>
        <v>0</v>
      </c>
      <c r="AE142" s="138">
        <f t="shared" si="28"/>
        <v>0</v>
      </c>
      <c r="AF142" s="139" t="str">
        <f>[3]Sayfa1!$AP139</f>
        <v>(I) İlk defa karşılaşılan arıza</v>
      </c>
      <c r="AG142" s="128" t="str">
        <f>IF([3]Sayfa1!$P139="C(Sisteme etki etmeyen arıza)","Bu Arıza Aracın Servise Verilmesine Engel Değil","Bu Arıza Aracın Servise Verilmesine Engel")</f>
        <v>Bu Arıza Aracın Servise Verilmesine Engel Değil</v>
      </c>
      <c r="AH142" s="140">
        <f>[3]Sayfa1!$AC139</f>
        <v>0</v>
      </c>
      <c r="AI142" s="137"/>
      <c r="AJ142" s="137"/>
      <c r="AK142" s="138">
        <f t="shared" si="29"/>
        <v>0</v>
      </c>
      <c r="AL142" s="136">
        <f t="shared" si="30"/>
        <v>0</v>
      </c>
      <c r="AM142" s="136">
        <f t="shared" si="31"/>
        <v>0</v>
      </c>
      <c r="AN142" s="141" t="str">
        <f t="shared" si="32"/>
        <v>Bozankaya</v>
      </c>
      <c r="AO142" s="141">
        <f>[3]Sayfa1!$X139</f>
        <v>0</v>
      </c>
      <c r="AP142" s="141" t="str">
        <f>[3]Sayfa1!$Z139</f>
        <v>2316R</v>
      </c>
      <c r="AQ142" s="122" t="str">
        <f>[3]Sayfa1!$W139</f>
        <v>MORS SMITT 3A sigorta</v>
      </c>
      <c r="AR142" s="142">
        <f>[3]Sayfa1!$Y139</f>
        <v>0</v>
      </c>
      <c r="AS142" s="143">
        <f>[3]Sayfa1!$AD139</f>
        <v>0</v>
      </c>
      <c r="AT142" s="137" t="str">
        <f>[3]Sayfa1!$AE139</f>
        <v/>
      </c>
      <c r="AU142" s="137" t="str">
        <f>[3]Sayfa1!$AH139</f>
        <v/>
      </c>
      <c r="AV142" s="144">
        <v>138</v>
      </c>
      <c r="AW142" s="145" t="e">
        <f>U142*AB142*#REF!</f>
        <v>#REF!</v>
      </c>
    </row>
    <row r="143" spans="1:49" ht="101.25" customHeight="1">
      <c r="A143" s="119" t="s">
        <v>57</v>
      </c>
      <c r="B143" s="120" t="str">
        <f>[3]Sayfa1!$G140</f>
        <v>TS#4</v>
      </c>
      <c r="C143" s="121" t="str">
        <f>[3]Sayfa1!$H140</f>
        <v>Mc1</v>
      </c>
      <c r="D143" s="146">
        <f>[3]Sayfa1!$N140</f>
        <v>1</v>
      </c>
      <c r="E143" s="122" t="str">
        <f>[3]Sayfa1!$B140</f>
        <v>FRACAS-GDM-139</v>
      </c>
      <c r="F143" s="123">
        <f>[3]Sayfa1!$E140</f>
        <v>45407</v>
      </c>
      <c r="G143" s="124">
        <f>[3]Sayfa1!$F140</f>
        <v>45407.426388888889</v>
      </c>
      <c r="H143" s="119" t="str">
        <f>[3]Sayfa1!$I140</f>
        <v>Depo/Depot</v>
      </c>
      <c r="I143" s="125" t="str">
        <f>IF([3]Sayfa1!$K140="SSH","Notified by Bozankaya","Notified by Customer")</f>
        <v>Notified by Customer</v>
      </c>
      <c r="J143" s="119" t="e">
        <f>VLOOKUP([3]Sayfa1!$AU140,#REF!,2,FALSE)</f>
        <v>#REF!</v>
      </c>
      <c r="K143" s="119" t="str">
        <f>[3]Sayfa1!$V140</f>
        <v>Bozankaya</v>
      </c>
      <c r="L143" s="126" t="str">
        <f t="shared" si="22"/>
        <v>GDM7X4-FRACAS-GDM-139</v>
      </c>
      <c r="M143" s="127" t="str">
        <f>[3]Sayfa1!$L140</f>
        <v>Sigorta arızası</v>
      </c>
      <c r="N143" s="128" t="str">
        <f>[3]Sayfa1!$J140</f>
        <v>C-Uyarı, sürüş devamlılığı</v>
      </c>
      <c r="O143" s="128" t="str">
        <f>[3]Sayfa1!$P140</f>
        <v>C(Sisteme etki etmeyen arıza)</v>
      </c>
      <c r="P143" s="128" t="str">
        <f>[3]Sayfa1!$Q140</f>
        <v>N.A(Yaralanma yok)</v>
      </c>
      <c r="Q143" s="129" t="str" cm="1">
        <f t="array" ref="Q143">_xlfn.IFS([3]Sayfa1!$R140="Bozankaya","Bozankaya",[3]Sayfa1!$R140="İşletme","Customer",[3]Sayfa1!$R140="Tedarikçi","Equipment Supplier")</f>
        <v>Bozankaya</v>
      </c>
      <c r="R143" s="130" t="str">
        <f>[3]Sayfa1!$M140</f>
        <v>Test ve devreye alma sürecinde arızalandı.</v>
      </c>
      <c r="S143" s="147">
        <f>[3]Sayfa1!$AB140</f>
        <v>0</v>
      </c>
      <c r="T143" s="147">
        <f>[3]Sayfa1!$AA140</f>
        <v>0</v>
      </c>
      <c r="U143" s="131">
        <f>[3]Sayfa1!$AN140</f>
        <v>0</v>
      </c>
      <c r="V143" s="132">
        <f>[3]Sayfa1!$T140</f>
        <v>45407</v>
      </c>
      <c r="W143" s="133">
        <f>[3]Sayfa1!$U140</f>
        <v>45407.429166666669</v>
      </c>
      <c r="X143" s="134">
        <f t="shared" si="23"/>
        <v>45407.429166666669</v>
      </c>
      <c r="Y143" s="123" t="str">
        <f>[3]Sayfa1!$AQ140</f>
        <v/>
      </c>
      <c r="Z143" s="135">
        <f>[3]Sayfa1!$AR140</f>
        <v>0</v>
      </c>
      <c r="AA143" s="134">
        <f t="shared" si="24"/>
        <v>0</v>
      </c>
      <c r="AB143" s="136">
        <f t="shared" si="25"/>
        <v>0</v>
      </c>
      <c r="AC143" s="137" t="str">
        <f t="shared" si="26"/>
        <v/>
      </c>
      <c r="AD143" s="135">
        <f t="shared" si="27"/>
        <v>0</v>
      </c>
      <c r="AE143" s="138">
        <f t="shared" si="28"/>
        <v>0</v>
      </c>
      <c r="AF143" s="139" t="str">
        <f>[3]Sayfa1!$AP140</f>
        <v>(I) İlk defa karşılaşılan arıza</v>
      </c>
      <c r="AG143" s="128" t="str">
        <f>IF([3]Sayfa1!$P140="C(Sisteme etki etmeyen arıza)","Bu Arıza Aracın Servise Verilmesine Engel Değil","Bu Arıza Aracın Servise Verilmesine Engel")</f>
        <v>Bu Arıza Aracın Servise Verilmesine Engel Değil</v>
      </c>
      <c r="AH143" s="140">
        <f>[3]Sayfa1!$AC140</f>
        <v>0</v>
      </c>
      <c r="AI143" s="137"/>
      <c r="AJ143" s="137"/>
      <c r="AK143" s="138">
        <f t="shared" si="29"/>
        <v>0</v>
      </c>
      <c r="AL143" s="136">
        <f t="shared" si="30"/>
        <v>0</v>
      </c>
      <c r="AM143" s="136">
        <f t="shared" si="31"/>
        <v>0</v>
      </c>
      <c r="AN143" s="141" t="str">
        <f t="shared" si="32"/>
        <v>Bozankaya</v>
      </c>
      <c r="AO143" s="141">
        <f>[3]Sayfa1!$X140</f>
        <v>0</v>
      </c>
      <c r="AP143" s="141" t="str">
        <f>[3]Sayfa1!$Z140</f>
        <v>2220R</v>
      </c>
      <c r="AQ143" s="122" t="str">
        <f>[3]Sayfa1!$W140</f>
        <v>MORS SMITT 6A sigorta</v>
      </c>
      <c r="AR143" s="142">
        <f>[3]Sayfa1!$Y140</f>
        <v>1</v>
      </c>
      <c r="AS143" s="143">
        <f>[3]Sayfa1!$AD140</f>
        <v>0</v>
      </c>
      <c r="AT143" s="137" t="str">
        <f>[3]Sayfa1!$AE140</f>
        <v/>
      </c>
      <c r="AU143" s="137" t="str">
        <f>[3]Sayfa1!$AH140</f>
        <v/>
      </c>
      <c r="AV143" s="144">
        <v>139</v>
      </c>
      <c r="AW143" s="145" t="e">
        <f>U143*AB143*#REF!</f>
        <v>#REF!</v>
      </c>
    </row>
    <row r="144" spans="1:49" ht="101.25" customHeight="1">
      <c r="A144" s="119" t="s">
        <v>57</v>
      </c>
      <c r="B144" s="120" t="str">
        <f>[3]Sayfa1!$G141</f>
        <v>TS#4</v>
      </c>
      <c r="C144" s="121" t="str">
        <f>[3]Sayfa1!$H141</f>
        <v>Mc1</v>
      </c>
      <c r="D144" s="146">
        <f>[3]Sayfa1!$N141</f>
        <v>1</v>
      </c>
      <c r="E144" s="122" t="str">
        <f>[3]Sayfa1!$B141</f>
        <v>FRACAS-GDM-140</v>
      </c>
      <c r="F144" s="123">
        <f>[3]Sayfa1!$E141</f>
        <v>45407</v>
      </c>
      <c r="G144" s="124">
        <f>[3]Sayfa1!$F141</f>
        <v>45407.432638888888</v>
      </c>
      <c r="H144" s="119" t="str">
        <f>[3]Sayfa1!$I141</f>
        <v>Depo/Depot</v>
      </c>
      <c r="I144" s="125" t="str">
        <f>IF([3]Sayfa1!$K141="SSH","Notified by Bozankaya","Notified by Customer")</f>
        <v>Notified by Customer</v>
      </c>
      <c r="J144" s="119" t="e">
        <f>VLOOKUP([3]Sayfa1!$AU141,#REF!,2,FALSE)</f>
        <v>#REF!</v>
      </c>
      <c r="K144" s="119" t="str">
        <f>[3]Sayfa1!$V141</f>
        <v>Piton</v>
      </c>
      <c r="L144" s="126" t="str">
        <f t="shared" si="22"/>
        <v>GDM7X4-FRACAS-GDM-140</v>
      </c>
      <c r="M144" s="127" t="str">
        <f>[3]Sayfa1!$L141</f>
        <v>PISCO arızası</v>
      </c>
      <c r="N144" s="128" t="str">
        <f>[3]Sayfa1!$J141</f>
        <v>C-Uyarı, sürüş devamlılığı</v>
      </c>
      <c r="O144" s="128" t="str">
        <f>[3]Sayfa1!$P141</f>
        <v>C(Sisteme etki etmeyen arıza)</v>
      </c>
      <c r="P144" s="128" t="str">
        <f>[3]Sayfa1!$Q141</f>
        <v>N.A(Yaralanma yok)</v>
      </c>
      <c r="Q144" s="129" t="str" cm="1">
        <f t="array" ref="Q144">_xlfn.IFS([3]Sayfa1!$R141="Bozankaya","Bozankaya",[3]Sayfa1!$R141="İşletme","Customer",[3]Sayfa1!$R141="Tedarikçi","Equipment Supplier")</f>
        <v>Equipment Supplier</v>
      </c>
      <c r="R144" s="130" t="str">
        <f>[3]Sayfa1!$M141</f>
        <v>PISCO sistemine enerji verildiğinde çalıştığı görüldü. Ancak HDMI çıkışından çıkış yapmadığı tespit edildi.</v>
      </c>
      <c r="S144" s="147">
        <f>[3]Sayfa1!$AB141</f>
        <v>0</v>
      </c>
      <c r="T144" s="147">
        <f>[3]Sayfa1!$AA141</f>
        <v>0</v>
      </c>
      <c r="U144" s="131">
        <f>[3]Sayfa1!$AN141</f>
        <v>0</v>
      </c>
      <c r="V144" s="132">
        <f>[3]Sayfa1!$T141</f>
        <v>45407</v>
      </c>
      <c r="W144" s="133">
        <f>[3]Sayfa1!$U141</f>
        <v>45407.43472222222</v>
      </c>
      <c r="X144" s="134">
        <f t="shared" si="23"/>
        <v>45407.43472222222</v>
      </c>
      <c r="Y144" s="123" t="str">
        <f>[3]Sayfa1!$AQ141</f>
        <v/>
      </c>
      <c r="Z144" s="135">
        <f>[3]Sayfa1!$AR141</f>
        <v>0</v>
      </c>
      <c r="AA144" s="134">
        <f t="shared" si="24"/>
        <v>0</v>
      </c>
      <c r="AB144" s="136">
        <f t="shared" si="25"/>
        <v>0</v>
      </c>
      <c r="AC144" s="137" t="str">
        <f t="shared" si="26"/>
        <v/>
      </c>
      <c r="AD144" s="135">
        <f t="shared" si="27"/>
        <v>0</v>
      </c>
      <c r="AE144" s="138">
        <f t="shared" si="28"/>
        <v>0</v>
      </c>
      <c r="AF144" s="139" t="str">
        <f>[3]Sayfa1!$AP141</f>
        <v>(II) Birden fazla karşılaşılan arıza</v>
      </c>
      <c r="AG144" s="128" t="str">
        <f>IF([3]Sayfa1!$P141="C(Sisteme etki etmeyen arıza)","Bu Arıza Aracın Servise Verilmesine Engel Değil","Bu Arıza Aracın Servise Verilmesine Engel")</f>
        <v>Bu Arıza Aracın Servise Verilmesine Engel Değil</v>
      </c>
      <c r="AH144" s="140">
        <f>[3]Sayfa1!$AC141</f>
        <v>0</v>
      </c>
      <c r="AI144" s="137"/>
      <c r="AJ144" s="137"/>
      <c r="AK144" s="138">
        <f t="shared" si="29"/>
        <v>0</v>
      </c>
      <c r="AL144" s="136">
        <f t="shared" si="30"/>
        <v>0</v>
      </c>
      <c r="AM144" s="136">
        <f t="shared" si="31"/>
        <v>0</v>
      </c>
      <c r="AN144" s="141" t="str">
        <f t="shared" si="32"/>
        <v>Piton</v>
      </c>
      <c r="AO144" s="141" t="str">
        <f>[3]Sayfa1!$X141</f>
        <v>E840-8001</v>
      </c>
      <c r="AP144" s="141" t="str">
        <f>[3]Sayfa1!$Z141</f>
        <v>TSCCC1005578</v>
      </c>
      <c r="AQ144" s="122" t="str">
        <f>[3]Sayfa1!$W141</f>
        <v>PISCO</v>
      </c>
      <c r="AR144" s="142">
        <f>[3]Sayfa1!$Y141</f>
        <v>1</v>
      </c>
      <c r="AS144" s="143">
        <f>[3]Sayfa1!$AD141</f>
        <v>0</v>
      </c>
      <c r="AT144" s="137" t="str">
        <f>[3]Sayfa1!$AE141</f>
        <v/>
      </c>
      <c r="AU144" s="137" t="str">
        <f>[3]Sayfa1!$AH141</f>
        <v/>
      </c>
      <c r="AV144" s="144">
        <v>140</v>
      </c>
      <c r="AW144" s="145" t="e">
        <f>U144*AB144*#REF!</f>
        <v>#REF!</v>
      </c>
    </row>
    <row r="145" spans="1:49" ht="101.25" customHeight="1">
      <c r="A145" s="119" t="s">
        <v>57</v>
      </c>
      <c r="B145" s="120" t="str">
        <f>[3]Sayfa1!$G142</f>
        <v>TS#4</v>
      </c>
      <c r="C145" s="121" t="str">
        <f>[3]Sayfa1!$H142</f>
        <v>Mc1 , Mc2</v>
      </c>
      <c r="D145" s="146">
        <f>[3]Sayfa1!$N142</f>
        <v>1</v>
      </c>
      <c r="E145" s="122" t="str">
        <f>[3]Sayfa1!$B142</f>
        <v>FRACAS-GDM-141</v>
      </c>
      <c r="F145" s="123">
        <f>[3]Sayfa1!$E142</f>
        <v>45407</v>
      </c>
      <c r="G145" s="124">
        <f>[3]Sayfa1!$F142</f>
        <v>45407.531944444447</v>
      </c>
      <c r="H145" s="119" t="str">
        <f>[3]Sayfa1!$I142</f>
        <v>Depo/Depot</v>
      </c>
      <c r="I145" s="125" t="str">
        <f>IF([3]Sayfa1!$K142="SSH","Notified by Bozankaya","Notified by Customer")</f>
        <v>Notified by Customer</v>
      </c>
      <c r="J145" s="119" t="e">
        <f>VLOOKUP([3]Sayfa1!$AU142,#REF!,2,FALSE)</f>
        <v>#REF!</v>
      </c>
      <c r="K145" s="119" t="str">
        <f>[3]Sayfa1!$V142</f>
        <v>Piton</v>
      </c>
      <c r="L145" s="126" t="str">
        <f t="shared" si="22"/>
        <v>GDM7X4-FRACAS-GDM-141</v>
      </c>
      <c r="M145" s="127" t="str">
        <f>[3]Sayfa1!$L142</f>
        <v>RF modülatör</v>
      </c>
      <c r="N145" s="128" t="str">
        <f>[3]Sayfa1!$J142</f>
        <v>C-Uyarı, sürüş devamlılığı</v>
      </c>
      <c r="O145" s="128" t="str">
        <f>[3]Sayfa1!$P142</f>
        <v>C(Sisteme etki etmeyen arıza)</v>
      </c>
      <c r="P145" s="128" t="str">
        <f>[3]Sayfa1!$Q142</f>
        <v>N.A(Yaralanma yok)</v>
      </c>
      <c r="Q145" s="129" t="str" cm="1">
        <f t="array" ref="Q145">_xlfn.IFS([3]Sayfa1!$R142="Bozankaya","Bozankaya",[3]Sayfa1!$R142="İşletme","Customer",[3]Sayfa1!$R142="Tedarikçi","Equipment Supplier")</f>
        <v>Equipment Supplier</v>
      </c>
      <c r="R145" s="130" t="str">
        <f>[3]Sayfa1!$M142</f>
        <v>18" RF modülatörlerinin araca 2 adet yanlış takılmış. Test sürecinde devreye alınırken 18" RF modülatörlerin çalışmadığı enerji almadığı tespit edildi. Yanlış takılan RF modülatörlerin ikisini de denedik onlarında arızalı olduğunu tespit edildi. Besleme enerji verildiğinde enerjilenmediği görüldü.</v>
      </c>
      <c r="S145" s="147">
        <f>[3]Sayfa1!$AB142</f>
        <v>0</v>
      </c>
      <c r="T145" s="147">
        <f>[3]Sayfa1!$AA142</f>
        <v>0</v>
      </c>
      <c r="U145" s="131">
        <f>[3]Sayfa1!$AN142</f>
        <v>0</v>
      </c>
      <c r="V145" s="132">
        <f>[3]Sayfa1!$T142</f>
        <v>45407</v>
      </c>
      <c r="W145" s="133">
        <f>[3]Sayfa1!$U142</f>
        <v>45407.534722222219</v>
      </c>
      <c r="X145" s="134">
        <f t="shared" si="23"/>
        <v>45407.534722222219</v>
      </c>
      <c r="Y145" s="123" t="str">
        <f>[3]Sayfa1!$AQ142</f>
        <v/>
      </c>
      <c r="Z145" s="135">
        <f>[3]Sayfa1!$AR142</f>
        <v>0</v>
      </c>
      <c r="AA145" s="134">
        <f t="shared" si="24"/>
        <v>0</v>
      </c>
      <c r="AB145" s="136">
        <f t="shared" si="25"/>
        <v>0</v>
      </c>
      <c r="AC145" s="137" t="str">
        <f t="shared" si="26"/>
        <v/>
      </c>
      <c r="AD145" s="135">
        <f t="shared" si="27"/>
        <v>0</v>
      </c>
      <c r="AE145" s="138">
        <f t="shared" si="28"/>
        <v>0</v>
      </c>
      <c r="AF145" s="139" t="str">
        <f>[3]Sayfa1!$AP142</f>
        <v>(II) Birden fazla karşılaşılan arıza</v>
      </c>
      <c r="AG145" s="128" t="str">
        <f>IF([3]Sayfa1!$P142="C(Sisteme etki etmeyen arıza)","Bu Arıza Aracın Servise Verilmesine Engel Değil","Bu Arıza Aracın Servise Verilmesine Engel")</f>
        <v>Bu Arıza Aracın Servise Verilmesine Engel Değil</v>
      </c>
      <c r="AH145" s="140">
        <f>[3]Sayfa1!$AC142</f>
        <v>0</v>
      </c>
      <c r="AI145" s="137"/>
      <c r="AJ145" s="137"/>
      <c r="AK145" s="138">
        <f t="shared" si="29"/>
        <v>0</v>
      </c>
      <c r="AL145" s="136">
        <f t="shared" si="30"/>
        <v>0</v>
      </c>
      <c r="AM145" s="136">
        <f t="shared" si="31"/>
        <v>0</v>
      </c>
      <c r="AN145" s="141" t="str">
        <f t="shared" si="32"/>
        <v>Piton</v>
      </c>
      <c r="AO145" s="141" t="str">
        <f>[3]Sayfa1!$X142</f>
        <v>E840-8010</v>
      </c>
      <c r="AP145" s="141" t="str">
        <f>[3]Sayfa1!$Z142</f>
        <v>869023002248, 869023002234, 869023002238, 869023002225</v>
      </c>
      <c r="AQ145" s="122" t="str">
        <f>[3]Sayfa1!$W142</f>
        <v>RF modülatör</v>
      </c>
      <c r="AR145" s="142">
        <f>[3]Sayfa1!$Y142</f>
        <v>4</v>
      </c>
      <c r="AS145" s="143">
        <f>[3]Sayfa1!$AD142</f>
        <v>0</v>
      </c>
      <c r="AT145" s="137" t="str">
        <f>[3]Sayfa1!$AE142</f>
        <v/>
      </c>
      <c r="AU145" s="137" t="str">
        <f>[3]Sayfa1!$AH142</f>
        <v/>
      </c>
      <c r="AV145" s="144">
        <v>141</v>
      </c>
      <c r="AW145" s="145" t="e">
        <f>U145*AB145*#REF!</f>
        <v>#REF!</v>
      </c>
    </row>
    <row r="146" spans="1:49" ht="101.25" customHeight="1">
      <c r="A146" s="119" t="s">
        <v>57</v>
      </c>
      <c r="B146" s="120" t="str">
        <f>[3]Sayfa1!$G143</f>
        <v>TS#6</v>
      </c>
      <c r="C146" s="121" t="str">
        <f>[3]Sayfa1!$H143</f>
        <v>Mc1 , Mc2 , M , T</v>
      </c>
      <c r="D146" s="146">
        <f>[3]Sayfa1!$N143</f>
        <v>0</v>
      </c>
      <c r="E146" s="122" t="str">
        <f>[3]Sayfa1!$B143</f>
        <v>FRACAS-GDM-142</v>
      </c>
      <c r="F146" s="123">
        <f>[3]Sayfa1!$E143</f>
        <v>45420</v>
      </c>
      <c r="G146" s="124">
        <f>[3]Sayfa1!$F143</f>
        <v>45420.479143518518</v>
      </c>
      <c r="H146" s="119" t="str">
        <f>[3]Sayfa1!$I143</f>
        <v>Depo/Depot</v>
      </c>
      <c r="I146" s="125" t="str">
        <f>IF([3]Sayfa1!$K143="SSH","Notified by Bozankaya","Notified by Customer")</f>
        <v>Notified by Customer</v>
      </c>
      <c r="J146" s="119" t="e">
        <f>VLOOKUP([3]Sayfa1!$AU143,#REF!,2,FALSE)</f>
        <v>#REF!</v>
      </c>
      <c r="K146" s="119" t="str">
        <f>[3]Sayfa1!$V143</f>
        <v>KAAF</v>
      </c>
      <c r="L146" s="126" t="str">
        <f t="shared" si="22"/>
        <v>GDM7X4-FRACAS-GDM-142</v>
      </c>
      <c r="M146" s="127" t="str">
        <f>[3]Sayfa1!$L143</f>
        <v>Araçta bulunan tüm tekerler üzerinde paslanma mevcut</v>
      </c>
      <c r="N146" s="128" t="str">
        <f>[3]Sayfa1!$J143</f>
        <v>C-Uyarı, sürüş devamlılığı</v>
      </c>
      <c r="O146" s="128" t="str">
        <f>[3]Sayfa1!$P143</f>
        <v>C(Sisteme etki etmeyen arıza)</v>
      </c>
      <c r="P146" s="128" t="str">
        <f>[3]Sayfa1!$Q143</f>
        <v>N.A(Yaralanma yok)</v>
      </c>
      <c r="Q146" s="129" t="str" cm="1">
        <f t="array" ref="Q146">_xlfn.IFS([3]Sayfa1!$R143="Bozankaya","Bozankaya",[3]Sayfa1!$R143="İşletme","Customer",[3]Sayfa1!$R143="Tedarikçi","Equipment Supplier")</f>
        <v>Equipment Supplier</v>
      </c>
      <c r="R146" s="130">
        <f>[3]Sayfa1!$M143</f>
        <v>0</v>
      </c>
      <c r="S146" s="147">
        <f>[3]Sayfa1!$AB143</f>
        <v>0</v>
      </c>
      <c r="T146" s="147">
        <f>[3]Sayfa1!$AA143</f>
        <v>0</v>
      </c>
      <c r="U146" s="131">
        <f>[3]Sayfa1!$AN143</f>
        <v>0</v>
      </c>
      <c r="V146" s="132">
        <f>[3]Sayfa1!$T143</f>
        <v>45420</v>
      </c>
      <c r="W146" s="133">
        <f>[3]Sayfa1!$U143</f>
        <v>45420.48269675926</v>
      </c>
      <c r="X146" s="134">
        <f t="shared" si="23"/>
        <v>45420.48269675926</v>
      </c>
      <c r="Y146" s="123" t="str">
        <f>[3]Sayfa1!$AQ143</f>
        <v/>
      </c>
      <c r="Z146" s="135">
        <f>[3]Sayfa1!$AR143</f>
        <v>0</v>
      </c>
      <c r="AA146" s="134">
        <f t="shared" si="24"/>
        <v>0</v>
      </c>
      <c r="AB146" s="136">
        <f t="shared" si="25"/>
        <v>0</v>
      </c>
      <c r="AC146" s="137" t="str">
        <f t="shared" si="26"/>
        <v/>
      </c>
      <c r="AD146" s="135">
        <f t="shared" si="27"/>
        <v>0</v>
      </c>
      <c r="AE146" s="138">
        <f t="shared" si="28"/>
        <v>0</v>
      </c>
      <c r="AF146" s="139" t="str">
        <f>[3]Sayfa1!$AP143</f>
        <v>(I) İlk defa karşılaşılan arıza</v>
      </c>
      <c r="AG146" s="128" t="str">
        <f>IF([3]Sayfa1!$P143="C(Sisteme etki etmeyen arıza)","Bu Arıza Aracın Servise Verilmesine Engel Değil","Bu Arıza Aracın Servise Verilmesine Engel")</f>
        <v>Bu Arıza Aracın Servise Verilmesine Engel Değil</v>
      </c>
      <c r="AH146" s="140">
        <f>[3]Sayfa1!$AC143</f>
        <v>0</v>
      </c>
      <c r="AI146" s="137"/>
      <c r="AJ146" s="137"/>
      <c r="AK146" s="138">
        <f t="shared" si="29"/>
        <v>0</v>
      </c>
      <c r="AL146" s="136">
        <f t="shared" si="30"/>
        <v>0</v>
      </c>
      <c r="AM146" s="136">
        <f t="shared" si="31"/>
        <v>0</v>
      </c>
      <c r="AN146" s="141" t="str">
        <f t="shared" si="32"/>
        <v>KAAF</v>
      </c>
      <c r="AO146" s="141">
        <f>[3]Sayfa1!$X143</f>
        <v>0</v>
      </c>
      <c r="AP146" s="141">
        <f>[3]Sayfa1!$Z143</f>
        <v>0</v>
      </c>
      <c r="AQ146" s="122" t="str">
        <f>[3]Sayfa1!$W143</f>
        <v>Teker</v>
      </c>
      <c r="AR146" s="142">
        <f>[3]Sayfa1!$Y143</f>
        <v>32</v>
      </c>
      <c r="AS146" s="143">
        <f>[3]Sayfa1!$AD143</f>
        <v>0</v>
      </c>
      <c r="AT146" s="137" t="str">
        <f>[3]Sayfa1!$AE143</f>
        <v/>
      </c>
      <c r="AU146" s="137" t="str">
        <f>[3]Sayfa1!$AH143</f>
        <v/>
      </c>
      <c r="AV146" s="144">
        <v>142</v>
      </c>
      <c r="AW146" s="145" t="e">
        <f>U146*AB146*#REF!</f>
        <v>#REF!</v>
      </c>
    </row>
    <row r="147" spans="1:49" ht="101.25" customHeight="1">
      <c r="A147" s="119" t="s">
        <v>57</v>
      </c>
      <c r="B147" s="120" t="str">
        <f>[3]Sayfa1!$G144</f>
        <v>TS#6</v>
      </c>
      <c r="C147" s="121" t="str">
        <f>[3]Sayfa1!$H144</f>
        <v>Mc1 , Mc2 , M , T</v>
      </c>
      <c r="D147" s="146">
        <f>[3]Sayfa1!$N144</f>
        <v>0</v>
      </c>
      <c r="E147" s="122" t="str">
        <f>[3]Sayfa1!$B144</f>
        <v>FRACAS-GDM-143</v>
      </c>
      <c r="F147" s="123">
        <f>[3]Sayfa1!$E144</f>
        <v>45420</v>
      </c>
      <c r="G147" s="124">
        <f>[3]Sayfa1!$F144</f>
        <v>45420.48642361111</v>
      </c>
      <c r="H147" s="119" t="str">
        <f>[3]Sayfa1!$I144</f>
        <v>Depo/Depot</v>
      </c>
      <c r="I147" s="125" t="str">
        <f>IF([3]Sayfa1!$K144="SSH","Notified by Bozankaya","Notified by Customer")</f>
        <v>Notified by Customer</v>
      </c>
      <c r="J147" s="119" t="e">
        <f>VLOOKUP([3]Sayfa1!$AU144,#REF!,2,FALSE)</f>
        <v>#REF!</v>
      </c>
      <c r="K147" s="119" t="str">
        <f>[3]Sayfa1!$V144</f>
        <v>Bozankaya</v>
      </c>
      <c r="L147" s="126" t="str">
        <f t="shared" si="22"/>
        <v>GDM7X4-FRACAS-GDM-143</v>
      </c>
      <c r="M147" s="127" t="str">
        <f>[3]Sayfa1!$L144</f>
        <v>Aracın tamanındaki primer süspansiyonlarda oranı farklı olsa da paslanmalar var.</v>
      </c>
      <c r="N147" s="128" t="str">
        <f>[3]Sayfa1!$J144</f>
        <v>C-Uyarı, sürüş devamlılığı</v>
      </c>
      <c r="O147" s="128" t="str">
        <f>[3]Sayfa1!$P144</f>
        <v>C(Sisteme etki etmeyen arıza)</v>
      </c>
      <c r="P147" s="128" t="str">
        <f>[3]Sayfa1!$Q144</f>
        <v>N.A(Yaralanma yok)</v>
      </c>
      <c r="Q147" s="129" t="str" cm="1">
        <f t="array" ref="Q147">_xlfn.IFS([3]Sayfa1!$R144="Bozankaya","Bozankaya",[3]Sayfa1!$R144="İşletme","Customer",[3]Sayfa1!$R144="Tedarikçi","Equipment Supplier")</f>
        <v>Bozankaya</v>
      </c>
      <c r="R147" s="130">
        <f>[3]Sayfa1!$M144</f>
        <v>0</v>
      </c>
      <c r="S147" s="147">
        <f>[3]Sayfa1!$AB144</f>
        <v>0</v>
      </c>
      <c r="T147" s="147">
        <f>[3]Sayfa1!$AA144</f>
        <v>0</v>
      </c>
      <c r="U147" s="131">
        <f>[3]Sayfa1!$AN144</f>
        <v>0</v>
      </c>
      <c r="V147" s="132">
        <f>[3]Sayfa1!$T144</f>
        <v>45420</v>
      </c>
      <c r="W147" s="133">
        <f>[3]Sayfa1!$U144</f>
        <v>45420.500034722223</v>
      </c>
      <c r="X147" s="134">
        <f t="shared" si="23"/>
        <v>45420.500034722223</v>
      </c>
      <c r="Y147" s="123" t="str">
        <f>[3]Sayfa1!$AQ144</f>
        <v/>
      </c>
      <c r="Z147" s="135">
        <f>[3]Sayfa1!$AR144</f>
        <v>0</v>
      </c>
      <c r="AA147" s="134">
        <f t="shared" si="24"/>
        <v>0</v>
      </c>
      <c r="AB147" s="136">
        <f t="shared" si="25"/>
        <v>0</v>
      </c>
      <c r="AC147" s="137" t="str">
        <f t="shared" si="26"/>
        <v/>
      </c>
      <c r="AD147" s="135">
        <f t="shared" si="27"/>
        <v>0</v>
      </c>
      <c r="AE147" s="138">
        <f t="shared" si="28"/>
        <v>0</v>
      </c>
      <c r="AF147" s="139" t="str">
        <f>[3]Sayfa1!$AP144</f>
        <v>(I) İlk defa karşılaşılan arıza</v>
      </c>
      <c r="AG147" s="128" t="str">
        <f>IF([3]Sayfa1!$P144="C(Sisteme etki etmeyen arıza)","Bu Arıza Aracın Servise Verilmesine Engel Değil","Bu Arıza Aracın Servise Verilmesine Engel")</f>
        <v>Bu Arıza Aracın Servise Verilmesine Engel Değil</v>
      </c>
      <c r="AH147" s="140">
        <f>[3]Sayfa1!$AC144</f>
        <v>0</v>
      </c>
      <c r="AI147" s="137"/>
      <c r="AJ147" s="137"/>
      <c r="AK147" s="138">
        <f t="shared" si="29"/>
        <v>0</v>
      </c>
      <c r="AL147" s="136">
        <f t="shared" si="30"/>
        <v>0</v>
      </c>
      <c r="AM147" s="136">
        <f t="shared" si="31"/>
        <v>0</v>
      </c>
      <c r="AN147" s="141" t="str">
        <f t="shared" si="32"/>
        <v>Bozankaya</v>
      </c>
      <c r="AO147" s="141">
        <f>[3]Sayfa1!$X144</f>
        <v>0</v>
      </c>
      <c r="AP147" s="141">
        <f>[3]Sayfa1!$Z144</f>
        <v>0</v>
      </c>
      <c r="AQ147" s="122" t="str">
        <f>[3]Sayfa1!$W144</f>
        <v>Primer süspansiyon</v>
      </c>
      <c r="AR147" s="142">
        <f>[3]Sayfa1!$Y144</f>
        <v>0</v>
      </c>
      <c r="AS147" s="143">
        <f>[3]Sayfa1!$AD144</f>
        <v>0</v>
      </c>
      <c r="AT147" s="137" t="str">
        <f>[3]Sayfa1!$AE144</f>
        <v/>
      </c>
      <c r="AU147" s="137" t="str">
        <f>[3]Sayfa1!$AH144</f>
        <v/>
      </c>
      <c r="AV147" s="144">
        <v>143</v>
      </c>
      <c r="AW147" s="145" t="e">
        <f>U147*AB147*#REF!</f>
        <v>#REF!</v>
      </c>
    </row>
    <row r="148" spans="1:49" ht="101.25" customHeight="1">
      <c r="A148" s="119" t="s">
        <v>57</v>
      </c>
      <c r="B148" s="120" t="str">
        <f>[3]Sayfa1!$G145</f>
        <v>TS#6</v>
      </c>
      <c r="C148" s="121" t="str">
        <f>[3]Sayfa1!$H145</f>
        <v>Mc1 , Mc2 , M , T</v>
      </c>
      <c r="D148" s="146">
        <f>[3]Sayfa1!$N145</f>
        <v>0</v>
      </c>
      <c r="E148" s="122" t="str">
        <f>[3]Sayfa1!$B145</f>
        <v>FRACAS-GDM-144</v>
      </c>
      <c r="F148" s="123">
        <f>[3]Sayfa1!$E145</f>
        <v>45420</v>
      </c>
      <c r="G148" s="124">
        <f>[3]Sayfa1!$F145</f>
        <v>45420.5</v>
      </c>
      <c r="H148" s="119" t="str">
        <f>[3]Sayfa1!$I145</f>
        <v>Depo/Depot</v>
      </c>
      <c r="I148" s="125" t="str">
        <f>IF([3]Sayfa1!$K145="SSH","Notified by Bozankaya","Notified by Customer")</f>
        <v>Notified by Customer</v>
      </c>
      <c r="J148" s="119" t="e">
        <f>VLOOKUP([3]Sayfa1!$AU145,#REF!,2,FALSE)</f>
        <v>#REF!</v>
      </c>
      <c r="K148" s="119" t="str">
        <f>[3]Sayfa1!$V145</f>
        <v>Knorr</v>
      </c>
      <c r="L148" s="126" t="str">
        <f t="shared" si="22"/>
        <v>GDM7X4-FRACAS-GDM-144</v>
      </c>
      <c r="M148" s="127" t="str">
        <f>[3]Sayfa1!$L145</f>
        <v>Tüm araçtaki kaliperlerde oranları aynı olmasada  oksitlenme mevcut.</v>
      </c>
      <c r="N148" s="128" t="str">
        <f>[3]Sayfa1!$J145</f>
        <v>C-Uyarı, sürüş devamlılığı</v>
      </c>
      <c r="O148" s="128" t="str">
        <f>[3]Sayfa1!$P145</f>
        <v>C(Sisteme etki etmeyen arıza)</v>
      </c>
      <c r="P148" s="128" t="str">
        <f>[3]Sayfa1!$Q145</f>
        <v>N.A(Yaralanma yok)</v>
      </c>
      <c r="Q148" s="129" t="str" cm="1">
        <f t="array" ref="Q148">_xlfn.IFS([3]Sayfa1!$R145="Bozankaya","Bozankaya",[3]Sayfa1!$R145="İşletme","Customer",[3]Sayfa1!$R145="Tedarikçi","Equipment Supplier")</f>
        <v>Equipment Supplier</v>
      </c>
      <c r="R148" s="130">
        <f>[3]Sayfa1!$M145</f>
        <v>0</v>
      </c>
      <c r="S148" s="147">
        <f>[3]Sayfa1!$AB145</f>
        <v>0</v>
      </c>
      <c r="T148" s="147">
        <f>[3]Sayfa1!$AA145</f>
        <v>0</v>
      </c>
      <c r="U148" s="131">
        <f>[3]Sayfa1!$AN145</f>
        <v>0</v>
      </c>
      <c r="V148" s="132">
        <f>[3]Sayfa1!$T145</f>
        <v>45420</v>
      </c>
      <c r="W148" s="133">
        <f>[3]Sayfa1!$U145</f>
        <v>45420.550150462965</v>
      </c>
      <c r="X148" s="134">
        <f t="shared" si="23"/>
        <v>45420.550150462965</v>
      </c>
      <c r="Y148" s="123" t="str">
        <f>[3]Sayfa1!$AQ145</f>
        <v/>
      </c>
      <c r="Z148" s="135">
        <f>[3]Sayfa1!$AR145</f>
        <v>0</v>
      </c>
      <c r="AA148" s="134">
        <f t="shared" si="24"/>
        <v>0</v>
      </c>
      <c r="AB148" s="136">
        <f t="shared" si="25"/>
        <v>0</v>
      </c>
      <c r="AC148" s="137" t="str">
        <f t="shared" si="26"/>
        <v/>
      </c>
      <c r="AD148" s="135">
        <f t="shared" si="27"/>
        <v>0</v>
      </c>
      <c r="AE148" s="138">
        <f t="shared" si="28"/>
        <v>0</v>
      </c>
      <c r="AF148" s="139" t="str">
        <f>[3]Sayfa1!$AP145</f>
        <v>(I) İlk defa karşılaşılan arıza</v>
      </c>
      <c r="AG148" s="128" t="str">
        <f>IF([3]Sayfa1!$P145="C(Sisteme etki etmeyen arıza)","Bu Arıza Aracın Servise Verilmesine Engel Değil","Bu Arıza Aracın Servise Verilmesine Engel")</f>
        <v>Bu Arıza Aracın Servise Verilmesine Engel Değil</v>
      </c>
      <c r="AH148" s="140">
        <f>[3]Sayfa1!$AC145</f>
        <v>0</v>
      </c>
      <c r="AI148" s="137"/>
      <c r="AJ148" s="137"/>
      <c r="AK148" s="138">
        <f t="shared" si="29"/>
        <v>0</v>
      </c>
      <c r="AL148" s="136">
        <f t="shared" si="30"/>
        <v>0</v>
      </c>
      <c r="AM148" s="136">
        <f t="shared" si="31"/>
        <v>0</v>
      </c>
      <c r="AN148" s="141" t="str">
        <f t="shared" si="32"/>
        <v>Knorr</v>
      </c>
      <c r="AO148" s="141">
        <f>[3]Sayfa1!$X145</f>
        <v>0</v>
      </c>
      <c r="AP148" s="141">
        <f>[3]Sayfa1!$Z145</f>
        <v>0</v>
      </c>
      <c r="AQ148" s="122" t="str">
        <f>[3]Sayfa1!$W145</f>
        <v>fren kaliperi</v>
      </c>
      <c r="AR148" s="142">
        <f>[3]Sayfa1!$Y145</f>
        <v>32</v>
      </c>
      <c r="AS148" s="143">
        <f>[3]Sayfa1!$AD145</f>
        <v>0</v>
      </c>
      <c r="AT148" s="137" t="str">
        <f>[3]Sayfa1!$AE145</f>
        <v/>
      </c>
      <c r="AU148" s="137" t="str">
        <f>[3]Sayfa1!$AH145</f>
        <v/>
      </c>
      <c r="AV148" s="144">
        <v>144</v>
      </c>
      <c r="AW148" s="145" t="e">
        <f>U148*AB148*#REF!</f>
        <v>#REF!</v>
      </c>
    </row>
    <row r="149" spans="1:49" ht="101.25" customHeight="1">
      <c r="A149" s="119" t="s">
        <v>57</v>
      </c>
      <c r="B149" s="120" t="str">
        <f>[3]Sayfa1!$G146</f>
        <v>TS#6</v>
      </c>
      <c r="C149" s="121" t="str">
        <f>[3]Sayfa1!$H146</f>
        <v>Mc1 , Mc2 , M , T</v>
      </c>
      <c r="D149" s="146">
        <f>[3]Sayfa1!$N146</f>
        <v>0</v>
      </c>
      <c r="E149" s="122" t="str">
        <f>[3]Sayfa1!$B146</f>
        <v>FRACAS-GDM-145</v>
      </c>
      <c r="F149" s="123">
        <f>[3]Sayfa1!$E146</f>
        <v>45420</v>
      </c>
      <c r="G149" s="124">
        <f>[3]Sayfa1!$F146</f>
        <v>45420.520162037035</v>
      </c>
      <c r="H149" s="119" t="str">
        <f>[3]Sayfa1!$I146</f>
        <v>Depo/Depot</v>
      </c>
      <c r="I149" s="125" t="str">
        <f>IF([3]Sayfa1!$K146="SSH","Notified by Bozankaya","Notified by Customer")</f>
        <v>Notified by Customer</v>
      </c>
      <c r="J149" s="119" t="e">
        <f>VLOOKUP([3]Sayfa1!$AU146,#REF!,2,FALSE)</f>
        <v>#REF!</v>
      </c>
      <c r="K149" s="119" t="str">
        <f>[3]Sayfa1!$V146</f>
        <v>KAAF</v>
      </c>
      <c r="L149" s="126" t="str">
        <f t="shared" si="22"/>
        <v>GDM7X4-FRACAS-GDM-145</v>
      </c>
      <c r="M149" s="127" t="str">
        <f>[3]Sayfa1!$L146</f>
        <v>Aks dişli kutusu üzerinde oksitlenme gözlemlenmiştir.</v>
      </c>
      <c r="N149" s="128" t="str">
        <f>[3]Sayfa1!$J146</f>
        <v>C-Uyarı, sürüş devamlılığı</v>
      </c>
      <c r="O149" s="128" t="str">
        <f>[3]Sayfa1!$P146</f>
        <v>C(Sisteme etki etmeyen arıza)</v>
      </c>
      <c r="P149" s="128" t="str">
        <f>[3]Sayfa1!$Q146</f>
        <v>N.A(Yaralanma yok)</v>
      </c>
      <c r="Q149" s="129" t="str" cm="1">
        <f t="array" ref="Q149">_xlfn.IFS([3]Sayfa1!$R146="Bozankaya","Bozankaya",[3]Sayfa1!$R146="İşletme","Customer",[3]Sayfa1!$R146="Tedarikçi","Equipment Supplier")</f>
        <v>Bozankaya</v>
      </c>
      <c r="R149" s="130">
        <f>[3]Sayfa1!$M146</f>
        <v>0</v>
      </c>
      <c r="S149" s="147">
        <f>[3]Sayfa1!$AB146</f>
        <v>0</v>
      </c>
      <c r="T149" s="147">
        <f>[3]Sayfa1!$AA146</f>
        <v>0</v>
      </c>
      <c r="U149" s="131">
        <f>[3]Sayfa1!$AN146</f>
        <v>0</v>
      </c>
      <c r="V149" s="132">
        <f>[3]Sayfa1!$T146</f>
        <v>45420</v>
      </c>
      <c r="W149" s="133">
        <f>[3]Sayfa1!$U146</f>
        <v>45420.535138888888</v>
      </c>
      <c r="X149" s="134">
        <f t="shared" si="23"/>
        <v>45420.535138888888</v>
      </c>
      <c r="Y149" s="123" t="str">
        <f>[3]Sayfa1!$AQ146</f>
        <v/>
      </c>
      <c r="Z149" s="135">
        <f>[3]Sayfa1!$AR146</f>
        <v>0</v>
      </c>
      <c r="AA149" s="134">
        <f t="shared" si="24"/>
        <v>0</v>
      </c>
      <c r="AB149" s="136">
        <f t="shared" si="25"/>
        <v>0</v>
      </c>
      <c r="AC149" s="137" t="str">
        <f t="shared" si="26"/>
        <v/>
      </c>
      <c r="AD149" s="135">
        <f t="shared" si="27"/>
        <v>0</v>
      </c>
      <c r="AE149" s="138">
        <f t="shared" si="28"/>
        <v>0</v>
      </c>
      <c r="AF149" s="139" t="str">
        <f>[3]Sayfa1!$AP146</f>
        <v>(I) İlk defa karşılaşılan arıza</v>
      </c>
      <c r="AG149" s="128" t="str">
        <f>IF([3]Sayfa1!$P146="C(Sisteme etki etmeyen arıza)","Bu Arıza Aracın Servise Verilmesine Engel Değil","Bu Arıza Aracın Servise Verilmesine Engel")</f>
        <v>Bu Arıza Aracın Servise Verilmesine Engel Değil</v>
      </c>
      <c r="AH149" s="140">
        <f>[3]Sayfa1!$AC146</f>
        <v>0</v>
      </c>
      <c r="AI149" s="137"/>
      <c r="AJ149" s="137"/>
      <c r="AK149" s="138">
        <f t="shared" si="29"/>
        <v>0</v>
      </c>
      <c r="AL149" s="136">
        <f t="shared" si="30"/>
        <v>0</v>
      </c>
      <c r="AM149" s="136">
        <f t="shared" si="31"/>
        <v>0</v>
      </c>
      <c r="AN149" s="141" t="str">
        <f t="shared" si="32"/>
        <v>KAAF</v>
      </c>
      <c r="AO149" s="141">
        <f>[3]Sayfa1!$X146</f>
        <v>0</v>
      </c>
      <c r="AP149" s="141">
        <f>[3]Sayfa1!$Z146</f>
        <v>0</v>
      </c>
      <c r="AQ149" s="122" t="str">
        <f>[3]Sayfa1!$W146</f>
        <v>Aks dişli kutusu</v>
      </c>
      <c r="AR149" s="142">
        <f>[3]Sayfa1!$Y146</f>
        <v>0</v>
      </c>
      <c r="AS149" s="143">
        <f>[3]Sayfa1!$AD146</f>
        <v>0</v>
      </c>
      <c r="AT149" s="137" t="str">
        <f>[3]Sayfa1!$AE146</f>
        <v/>
      </c>
      <c r="AU149" s="137" t="str">
        <f>[3]Sayfa1!$AH146</f>
        <v/>
      </c>
      <c r="AV149" s="144">
        <v>145</v>
      </c>
      <c r="AW149" s="145" t="e">
        <f>U149*AB149*#REF!</f>
        <v>#REF!</v>
      </c>
    </row>
    <row r="150" spans="1:49" ht="101.25" customHeight="1">
      <c r="A150" s="119" t="s">
        <v>57</v>
      </c>
      <c r="B150" s="120" t="str">
        <f>[3]Sayfa1!$G147</f>
        <v>TS#6</v>
      </c>
      <c r="C150" s="121" t="str">
        <f>[3]Sayfa1!$H147</f>
        <v>Mc1 , Mc2 , M , T</v>
      </c>
      <c r="D150" s="146">
        <f>[3]Sayfa1!$N147</f>
        <v>0</v>
      </c>
      <c r="E150" s="122" t="str">
        <f>[3]Sayfa1!$B147</f>
        <v>FRACAS-GDM-146</v>
      </c>
      <c r="F150" s="123">
        <f>[3]Sayfa1!$E147</f>
        <v>45420</v>
      </c>
      <c r="G150" s="124">
        <f>[3]Sayfa1!$F147</f>
        <v>45420.536608796298</v>
      </c>
      <c r="H150" s="119" t="str">
        <f>[3]Sayfa1!$I147</f>
        <v>Depo/Depot</v>
      </c>
      <c r="I150" s="125" t="str">
        <f>IF([3]Sayfa1!$K147="SSH","Notified by Bozankaya","Notified by Customer")</f>
        <v>Notified by Customer</v>
      </c>
      <c r="J150" s="119" t="e">
        <f>VLOOKUP([3]Sayfa1!$AU147,#REF!,2,FALSE)</f>
        <v>#REF!</v>
      </c>
      <c r="K150" s="119" t="str">
        <f>[3]Sayfa1!$V147</f>
        <v>Bozankaya</v>
      </c>
      <c r="L150" s="126" t="str">
        <f t="shared" si="22"/>
        <v>GDM7X4-FRACAS-GDM-146</v>
      </c>
      <c r="M150" s="127" t="str">
        <f>[3]Sayfa1!$L147</f>
        <v>Denge kolları üzerinde oksitlenme</v>
      </c>
      <c r="N150" s="128" t="str">
        <f>[3]Sayfa1!$J147</f>
        <v>C-Uyarı, sürüş devamlılığı</v>
      </c>
      <c r="O150" s="128" t="str">
        <f>[3]Sayfa1!$P147</f>
        <v>C(Sisteme etki etmeyen arıza)</v>
      </c>
      <c r="P150" s="128" t="str">
        <f>[3]Sayfa1!$Q147</f>
        <v>N.A(Yaralanma yok)</v>
      </c>
      <c r="Q150" s="129" t="str" cm="1">
        <f t="array" ref="Q150">_xlfn.IFS([3]Sayfa1!$R147="Bozankaya","Bozankaya",[3]Sayfa1!$R147="İşletme","Customer",[3]Sayfa1!$R147="Tedarikçi","Equipment Supplier")</f>
        <v>Bozankaya</v>
      </c>
      <c r="R150" s="130">
        <f>[3]Sayfa1!$M147</f>
        <v>0</v>
      </c>
      <c r="S150" s="147">
        <f>[3]Sayfa1!$AB147</f>
        <v>0</v>
      </c>
      <c r="T150" s="147">
        <f>[3]Sayfa1!$AA147</f>
        <v>0</v>
      </c>
      <c r="U150" s="131">
        <f>[3]Sayfa1!$AN147</f>
        <v>0</v>
      </c>
      <c r="V150" s="132">
        <f>[3]Sayfa1!$T147</f>
        <v>45420</v>
      </c>
      <c r="W150" s="133">
        <f>[3]Sayfa1!$U147</f>
        <v>45420.537199074075</v>
      </c>
      <c r="X150" s="134">
        <f t="shared" si="23"/>
        <v>45420.537199074075</v>
      </c>
      <c r="Y150" s="123" t="str">
        <f>[3]Sayfa1!$AQ147</f>
        <v/>
      </c>
      <c r="Z150" s="135">
        <f>[3]Sayfa1!$AR147</f>
        <v>0</v>
      </c>
      <c r="AA150" s="134">
        <f t="shared" si="24"/>
        <v>0</v>
      </c>
      <c r="AB150" s="136">
        <f t="shared" si="25"/>
        <v>0</v>
      </c>
      <c r="AC150" s="137" t="str">
        <f t="shared" si="26"/>
        <v/>
      </c>
      <c r="AD150" s="135">
        <f t="shared" si="27"/>
        <v>0</v>
      </c>
      <c r="AE150" s="138">
        <f t="shared" si="28"/>
        <v>0</v>
      </c>
      <c r="AF150" s="139" t="str">
        <f>[3]Sayfa1!$AP147</f>
        <v>(I) İlk defa karşılaşılan arıza</v>
      </c>
      <c r="AG150" s="128" t="str">
        <f>IF([3]Sayfa1!$P147="C(Sisteme etki etmeyen arıza)","Bu Arıza Aracın Servise Verilmesine Engel Değil","Bu Arıza Aracın Servise Verilmesine Engel")</f>
        <v>Bu Arıza Aracın Servise Verilmesine Engel Değil</v>
      </c>
      <c r="AH150" s="140">
        <f>[3]Sayfa1!$AC147</f>
        <v>0</v>
      </c>
      <c r="AI150" s="137"/>
      <c r="AJ150" s="137"/>
      <c r="AK150" s="138">
        <f t="shared" si="29"/>
        <v>0</v>
      </c>
      <c r="AL150" s="136">
        <f t="shared" si="30"/>
        <v>0</v>
      </c>
      <c r="AM150" s="136">
        <f t="shared" si="31"/>
        <v>0</v>
      </c>
      <c r="AN150" s="141" t="str">
        <f t="shared" si="32"/>
        <v>Bozankaya</v>
      </c>
      <c r="AO150" s="141">
        <f>[3]Sayfa1!$X147</f>
        <v>0</v>
      </c>
      <c r="AP150" s="141">
        <f>[3]Sayfa1!$Z147</f>
        <v>0</v>
      </c>
      <c r="AQ150" s="122">
        <f>[3]Sayfa1!$W147</f>
        <v>0</v>
      </c>
      <c r="AR150" s="142">
        <f>[3]Sayfa1!$Y147</f>
        <v>0</v>
      </c>
      <c r="AS150" s="143">
        <f>[3]Sayfa1!$AD147</f>
        <v>0</v>
      </c>
      <c r="AT150" s="137" t="str">
        <f>[3]Sayfa1!$AE147</f>
        <v/>
      </c>
      <c r="AU150" s="137" t="str">
        <f>[3]Sayfa1!$AH147</f>
        <v/>
      </c>
      <c r="AV150" s="144">
        <v>146</v>
      </c>
      <c r="AW150" s="145" t="e">
        <f>U150*AB150*#REF!</f>
        <v>#REF!</v>
      </c>
    </row>
    <row r="151" spans="1:49" ht="101.25" customHeight="1">
      <c r="A151" s="119" t="s">
        <v>57</v>
      </c>
      <c r="B151" s="120" t="str">
        <f>[3]Sayfa1!$G148</f>
        <v>TS#6</v>
      </c>
      <c r="C151" s="121" t="str">
        <f>[3]Sayfa1!$H148</f>
        <v>Mc1 , Mc2 , M , T</v>
      </c>
      <c r="D151" s="146">
        <f>[3]Sayfa1!$N148</f>
        <v>0</v>
      </c>
      <c r="E151" s="122" t="str">
        <f>[3]Sayfa1!$B148</f>
        <v>FRACAS-GDM-147</v>
      </c>
      <c r="F151" s="123">
        <f>[3]Sayfa1!$E148</f>
        <v>45420</v>
      </c>
      <c r="G151" s="124">
        <f>[3]Sayfa1!$F148</f>
        <v>45420.62363425926</v>
      </c>
      <c r="H151" s="119" t="str">
        <f>[3]Sayfa1!$I148</f>
        <v>Depo/Depot</v>
      </c>
      <c r="I151" s="125" t="str">
        <f>IF([3]Sayfa1!$K148="SSH","Notified by Bozankaya","Notified by Customer")</f>
        <v>Notified by Customer</v>
      </c>
      <c r="J151" s="119" t="e">
        <f>VLOOKUP([3]Sayfa1!$AU148,#REF!,2,FALSE)</f>
        <v>#REF!</v>
      </c>
      <c r="K151" s="119" t="str">
        <f>[3]Sayfa1!$V148</f>
        <v>Bozankaya</v>
      </c>
      <c r="L151" s="126" t="str">
        <f t="shared" si="22"/>
        <v>GDM7X4-FRACAS-GDM-147</v>
      </c>
      <c r="M151" s="127" t="str">
        <f>[3]Sayfa1!$L148</f>
        <v>Yardımcı hava tankları üzerinde oksitlenmeler var.</v>
      </c>
      <c r="N151" s="128" t="str">
        <f>[3]Sayfa1!$J148</f>
        <v>C-Uyarı, sürüş devamlılığı</v>
      </c>
      <c r="O151" s="128" t="str">
        <f>[3]Sayfa1!$P148</f>
        <v>C(Sisteme etki etmeyen arıza)</v>
      </c>
      <c r="P151" s="128" t="str">
        <f>[3]Sayfa1!$Q148</f>
        <v>N.A(Yaralanma yok)</v>
      </c>
      <c r="Q151" s="129" t="str" cm="1">
        <f t="array" ref="Q151">_xlfn.IFS([3]Sayfa1!$R148="Bozankaya","Bozankaya",[3]Sayfa1!$R148="İşletme","Customer",[3]Sayfa1!$R148="Tedarikçi","Equipment Supplier")</f>
        <v>Bozankaya</v>
      </c>
      <c r="R151" s="130">
        <f>[3]Sayfa1!$M148</f>
        <v>0</v>
      </c>
      <c r="S151" s="147">
        <f>[3]Sayfa1!$AB148</f>
        <v>0</v>
      </c>
      <c r="T151" s="147">
        <f>[3]Sayfa1!$AA148</f>
        <v>0</v>
      </c>
      <c r="U151" s="131">
        <f>[3]Sayfa1!$AN148</f>
        <v>0</v>
      </c>
      <c r="V151" s="132">
        <f>[3]Sayfa1!$T148</f>
        <v>45420</v>
      </c>
      <c r="W151" s="133">
        <f>[3]Sayfa1!$U148</f>
        <v>45420.625335648147</v>
      </c>
      <c r="X151" s="134">
        <f t="shared" si="23"/>
        <v>45420.625335648147</v>
      </c>
      <c r="Y151" s="123" t="str">
        <f>[3]Sayfa1!$AQ148</f>
        <v/>
      </c>
      <c r="Z151" s="135">
        <f>[3]Sayfa1!$AR148</f>
        <v>0</v>
      </c>
      <c r="AA151" s="134">
        <f t="shared" si="24"/>
        <v>0</v>
      </c>
      <c r="AB151" s="136">
        <f t="shared" si="25"/>
        <v>0</v>
      </c>
      <c r="AC151" s="137" t="str">
        <f t="shared" si="26"/>
        <v/>
      </c>
      <c r="AD151" s="135">
        <f t="shared" si="27"/>
        <v>0</v>
      </c>
      <c r="AE151" s="138">
        <f t="shared" si="28"/>
        <v>0</v>
      </c>
      <c r="AF151" s="139" t="str">
        <f>[3]Sayfa1!$AP148</f>
        <v>(I) İlk defa karşılaşılan arıza</v>
      </c>
      <c r="AG151" s="128" t="str">
        <f>IF([3]Sayfa1!$P148="C(Sisteme etki etmeyen arıza)","Bu Arıza Aracın Servise Verilmesine Engel Değil","Bu Arıza Aracın Servise Verilmesine Engel")</f>
        <v>Bu Arıza Aracın Servise Verilmesine Engel Değil</v>
      </c>
      <c r="AH151" s="140">
        <f>[3]Sayfa1!$AC148</f>
        <v>0</v>
      </c>
      <c r="AI151" s="137"/>
      <c r="AJ151" s="137"/>
      <c r="AK151" s="138">
        <f t="shared" si="29"/>
        <v>0</v>
      </c>
      <c r="AL151" s="136">
        <f t="shared" si="30"/>
        <v>0</v>
      </c>
      <c r="AM151" s="136">
        <f t="shared" si="31"/>
        <v>0</v>
      </c>
      <c r="AN151" s="141" t="str">
        <f t="shared" si="32"/>
        <v>Bozankaya</v>
      </c>
      <c r="AO151" s="141">
        <f>[3]Sayfa1!$X148</f>
        <v>0</v>
      </c>
      <c r="AP151" s="141">
        <f>[3]Sayfa1!$Z148</f>
        <v>0</v>
      </c>
      <c r="AQ151" s="122">
        <f>[3]Sayfa1!$W148</f>
        <v>0</v>
      </c>
      <c r="AR151" s="142">
        <f>[3]Sayfa1!$Y148</f>
        <v>0</v>
      </c>
      <c r="AS151" s="143">
        <f>[3]Sayfa1!$AD148</f>
        <v>0</v>
      </c>
      <c r="AT151" s="137" t="str">
        <f>[3]Sayfa1!$AE148</f>
        <v/>
      </c>
      <c r="AU151" s="137" t="str">
        <f>[3]Sayfa1!$AH148</f>
        <v/>
      </c>
      <c r="AV151" s="144">
        <v>147</v>
      </c>
      <c r="AW151" s="145" t="e">
        <f>U151*AB151*#REF!</f>
        <v>#REF!</v>
      </c>
    </row>
    <row r="152" spans="1:49" ht="101.25" customHeight="1">
      <c r="A152" s="119" t="s">
        <v>57</v>
      </c>
      <c r="B152" s="120" t="str">
        <f>[3]Sayfa1!$G149</f>
        <v>TS#6</v>
      </c>
      <c r="C152" s="121" t="str">
        <f>[3]Sayfa1!$H149</f>
        <v>M</v>
      </c>
      <c r="D152" s="146">
        <f>[3]Sayfa1!$N149</f>
        <v>0</v>
      </c>
      <c r="E152" s="122" t="str">
        <f>[3]Sayfa1!$B149</f>
        <v>FRACAS-GDM-148</v>
      </c>
      <c r="F152" s="123">
        <f>[3]Sayfa1!$E149</f>
        <v>45420</v>
      </c>
      <c r="G152" s="124">
        <f>[3]Sayfa1!$F149</f>
        <v>45420.626076388886</v>
      </c>
      <c r="H152" s="119" t="str">
        <f>[3]Sayfa1!$I149</f>
        <v>Depo/Depot</v>
      </c>
      <c r="I152" s="125" t="str">
        <f>IF([3]Sayfa1!$K149="SSH","Notified by Bozankaya","Notified by Customer")</f>
        <v>Notified by Customer</v>
      </c>
      <c r="J152" s="119" t="e">
        <f>VLOOKUP([3]Sayfa1!$AU149,#REF!,2,FALSE)</f>
        <v>#REF!</v>
      </c>
      <c r="K152" s="119" t="str">
        <f>[3]Sayfa1!$V149</f>
        <v>Bozankaya</v>
      </c>
      <c r="L152" s="126" t="str">
        <f t="shared" si="22"/>
        <v>GDM7X4-FRACAS-GDM-148</v>
      </c>
      <c r="M152" s="127" t="str">
        <f>[3]Sayfa1!$L149</f>
        <v>HVSG kutusu üzerinde oksitlenmeler mevcut</v>
      </c>
      <c r="N152" s="128" t="str">
        <f>[3]Sayfa1!$J149</f>
        <v>C-Uyarı, sürüş devamlılığı</v>
      </c>
      <c r="O152" s="128" t="str">
        <f>[3]Sayfa1!$P149</f>
        <v>C(Sisteme etki etmeyen arıza)</v>
      </c>
      <c r="P152" s="128" t="str">
        <f>[3]Sayfa1!$Q149</f>
        <v>N.A(Yaralanma yok)</v>
      </c>
      <c r="Q152" s="129" t="str" cm="1">
        <f t="array" ref="Q152">_xlfn.IFS([3]Sayfa1!$R149="Bozankaya","Bozankaya",[3]Sayfa1!$R149="İşletme","Customer",[3]Sayfa1!$R149="Tedarikçi","Equipment Supplier")</f>
        <v>Bozankaya</v>
      </c>
      <c r="R152" s="130">
        <f>[3]Sayfa1!$M149</f>
        <v>0</v>
      </c>
      <c r="S152" s="147">
        <f>[3]Sayfa1!$AB149</f>
        <v>0</v>
      </c>
      <c r="T152" s="147">
        <f>[3]Sayfa1!$AA149</f>
        <v>0</v>
      </c>
      <c r="U152" s="131">
        <f>[3]Sayfa1!$AN149</f>
        <v>0</v>
      </c>
      <c r="V152" s="132">
        <f>[3]Sayfa1!$T149</f>
        <v>45420</v>
      </c>
      <c r="W152" s="133">
        <f>[3]Sayfa1!$U149</f>
        <v>45420.633819444447</v>
      </c>
      <c r="X152" s="134">
        <f t="shared" si="23"/>
        <v>45420.633819444447</v>
      </c>
      <c r="Y152" s="123" t="str">
        <f>[3]Sayfa1!$AQ149</f>
        <v/>
      </c>
      <c r="Z152" s="135">
        <f>[3]Sayfa1!$AR149</f>
        <v>0</v>
      </c>
      <c r="AA152" s="134">
        <f t="shared" si="24"/>
        <v>0</v>
      </c>
      <c r="AB152" s="136">
        <f t="shared" si="25"/>
        <v>0</v>
      </c>
      <c r="AC152" s="137" t="str">
        <f t="shared" si="26"/>
        <v/>
      </c>
      <c r="AD152" s="135">
        <f t="shared" si="27"/>
        <v>0</v>
      </c>
      <c r="AE152" s="138">
        <f t="shared" si="28"/>
        <v>0</v>
      </c>
      <c r="AF152" s="139" t="str">
        <f>[3]Sayfa1!$AP149</f>
        <v>(I) İlk defa karşılaşılan arıza</v>
      </c>
      <c r="AG152" s="128" t="str">
        <f>IF([3]Sayfa1!$P149="C(Sisteme etki etmeyen arıza)","Bu Arıza Aracın Servise Verilmesine Engel Değil","Bu Arıza Aracın Servise Verilmesine Engel")</f>
        <v>Bu Arıza Aracın Servise Verilmesine Engel Değil</v>
      </c>
      <c r="AH152" s="140">
        <f>[3]Sayfa1!$AC149</f>
        <v>0</v>
      </c>
      <c r="AI152" s="137"/>
      <c r="AJ152" s="137"/>
      <c r="AK152" s="138">
        <f t="shared" si="29"/>
        <v>0</v>
      </c>
      <c r="AL152" s="136">
        <f t="shared" si="30"/>
        <v>0</v>
      </c>
      <c r="AM152" s="136">
        <f t="shared" si="31"/>
        <v>0</v>
      </c>
      <c r="AN152" s="141" t="str">
        <f t="shared" si="32"/>
        <v>Bozankaya</v>
      </c>
      <c r="AO152" s="141">
        <f>[3]Sayfa1!$X149</f>
        <v>0</v>
      </c>
      <c r="AP152" s="141">
        <f>[3]Sayfa1!$Z149</f>
        <v>0</v>
      </c>
      <c r="AQ152" s="122">
        <f>[3]Sayfa1!$W149</f>
        <v>0</v>
      </c>
      <c r="AR152" s="142">
        <f>[3]Sayfa1!$Y149</f>
        <v>0</v>
      </c>
      <c r="AS152" s="143">
        <f>[3]Sayfa1!$AD149</f>
        <v>0</v>
      </c>
      <c r="AT152" s="137" t="str">
        <f>[3]Sayfa1!$AE149</f>
        <v/>
      </c>
      <c r="AU152" s="137" t="str">
        <f>[3]Sayfa1!$AH149</f>
        <v/>
      </c>
      <c r="AV152" s="144">
        <v>148</v>
      </c>
      <c r="AW152" s="145" t="e">
        <f>U152*AB152*#REF!</f>
        <v>#REF!</v>
      </c>
    </row>
    <row r="153" spans="1:49" ht="101.25" customHeight="1">
      <c r="A153" s="119" t="s">
        <v>57</v>
      </c>
      <c r="B153" s="120" t="str">
        <f>[3]Sayfa1!$G150</f>
        <v>TS#6</v>
      </c>
      <c r="C153" s="121" t="str">
        <f>[3]Sayfa1!$H150</f>
        <v>Mc1 , Mc2 , M</v>
      </c>
      <c r="D153" s="146">
        <f>[3]Sayfa1!$N150</f>
        <v>0</v>
      </c>
      <c r="E153" s="122" t="str">
        <f>[3]Sayfa1!$B150</f>
        <v>FRACAS-GDM-149</v>
      </c>
      <c r="F153" s="123">
        <f>[3]Sayfa1!$E150</f>
        <v>45420</v>
      </c>
      <c r="G153" s="124">
        <f>[3]Sayfa1!$F150</f>
        <v>45420.634976851848</v>
      </c>
      <c r="H153" s="119" t="str">
        <f>[3]Sayfa1!$I150</f>
        <v>Depo/Depot</v>
      </c>
      <c r="I153" s="125" t="str">
        <f>IF([3]Sayfa1!$K150="SSH","Notified by Bozankaya","Notified by Customer")</f>
        <v>Notified by Customer</v>
      </c>
      <c r="J153" s="119" t="e">
        <f>VLOOKUP([3]Sayfa1!$AU150,#REF!,2,FALSE)</f>
        <v>#REF!</v>
      </c>
      <c r="K153" s="119" t="str">
        <f>[3]Sayfa1!$V150</f>
        <v>ABB</v>
      </c>
      <c r="L153" s="126" t="str">
        <f t="shared" si="22"/>
        <v>GDM7X4-FRACAS-GDM-149</v>
      </c>
      <c r="M153" s="127" t="str">
        <f>[3]Sayfa1!$L150</f>
        <v>Motorların üzerinde oksitlenmeler mevcut</v>
      </c>
      <c r="N153" s="128" t="str">
        <f>[3]Sayfa1!$J150</f>
        <v>C-Uyarı, sürüş devamlılığı</v>
      </c>
      <c r="O153" s="128" t="str">
        <f>[3]Sayfa1!$P150</f>
        <v>C(Sisteme etki etmeyen arıza)</v>
      </c>
      <c r="P153" s="128" t="str">
        <f>[3]Sayfa1!$Q150</f>
        <v>N.A(Yaralanma yok)</v>
      </c>
      <c r="Q153" s="129" t="str" cm="1">
        <f t="array" ref="Q153">_xlfn.IFS([3]Sayfa1!$R150="Bozankaya","Bozankaya",[3]Sayfa1!$R150="İşletme","Customer",[3]Sayfa1!$R150="Tedarikçi","Equipment Supplier")</f>
        <v>Bozankaya</v>
      </c>
      <c r="R153" s="130">
        <f>[3]Sayfa1!$M150</f>
        <v>0</v>
      </c>
      <c r="S153" s="147">
        <f>[3]Sayfa1!$AB150</f>
        <v>0</v>
      </c>
      <c r="T153" s="147">
        <f>[3]Sayfa1!$AA150</f>
        <v>0</v>
      </c>
      <c r="U153" s="131">
        <f>[3]Sayfa1!$AN150</f>
        <v>0</v>
      </c>
      <c r="V153" s="132">
        <f>[3]Sayfa1!$T150</f>
        <v>45420</v>
      </c>
      <c r="W153" s="133">
        <f>[3]Sayfa1!$U150</f>
        <v>45420.636018518519</v>
      </c>
      <c r="X153" s="134">
        <f t="shared" si="23"/>
        <v>45420.636018518519</v>
      </c>
      <c r="Y153" s="123" t="str">
        <f>[3]Sayfa1!$AQ150</f>
        <v/>
      </c>
      <c r="Z153" s="135">
        <f>[3]Sayfa1!$AR150</f>
        <v>0</v>
      </c>
      <c r="AA153" s="134">
        <f t="shared" si="24"/>
        <v>0</v>
      </c>
      <c r="AB153" s="136">
        <f t="shared" si="25"/>
        <v>0</v>
      </c>
      <c r="AC153" s="137" t="str">
        <f t="shared" si="26"/>
        <v/>
      </c>
      <c r="AD153" s="135">
        <f t="shared" si="27"/>
        <v>0</v>
      </c>
      <c r="AE153" s="138">
        <f t="shared" si="28"/>
        <v>0</v>
      </c>
      <c r="AF153" s="139" t="str">
        <f>[3]Sayfa1!$AP150</f>
        <v>(I) İlk defa karşılaşılan arıza</v>
      </c>
      <c r="AG153" s="128" t="str">
        <f>IF([3]Sayfa1!$P150="C(Sisteme etki etmeyen arıza)","Bu Arıza Aracın Servise Verilmesine Engel Değil","Bu Arıza Aracın Servise Verilmesine Engel")</f>
        <v>Bu Arıza Aracın Servise Verilmesine Engel Değil</v>
      </c>
      <c r="AH153" s="140">
        <f>[3]Sayfa1!$AC150</f>
        <v>0</v>
      </c>
      <c r="AI153" s="137"/>
      <c r="AJ153" s="137"/>
      <c r="AK153" s="138">
        <f t="shared" si="29"/>
        <v>0</v>
      </c>
      <c r="AL153" s="136">
        <f t="shared" si="30"/>
        <v>0</v>
      </c>
      <c r="AM153" s="136">
        <f t="shared" si="31"/>
        <v>0</v>
      </c>
      <c r="AN153" s="141" t="str">
        <f t="shared" si="32"/>
        <v>ABB</v>
      </c>
      <c r="AO153" s="141">
        <f>[3]Sayfa1!$X150</f>
        <v>0</v>
      </c>
      <c r="AP153" s="141">
        <f>[3]Sayfa1!$Z150</f>
        <v>0</v>
      </c>
      <c r="AQ153" s="122">
        <f>[3]Sayfa1!$W150</f>
        <v>0</v>
      </c>
      <c r="AR153" s="142">
        <f>[3]Sayfa1!$Y150</f>
        <v>0</v>
      </c>
      <c r="AS153" s="143">
        <f>[3]Sayfa1!$AD150</f>
        <v>0</v>
      </c>
      <c r="AT153" s="137" t="str">
        <f>[3]Sayfa1!$AE150</f>
        <v/>
      </c>
      <c r="AU153" s="137" t="str">
        <f>[3]Sayfa1!$AH150</f>
        <v/>
      </c>
      <c r="AV153" s="144">
        <v>149</v>
      </c>
      <c r="AW153" s="145" t="e">
        <f>U153*AB153*#REF!</f>
        <v>#REF!</v>
      </c>
    </row>
    <row r="154" spans="1:49" ht="101.25" customHeight="1">
      <c r="A154" s="119" t="s">
        <v>57</v>
      </c>
      <c r="B154" s="120" t="str">
        <f>[3]Sayfa1!$G151</f>
        <v>TS#6</v>
      </c>
      <c r="C154" s="121" t="str">
        <f>[3]Sayfa1!$H151</f>
        <v>T</v>
      </c>
      <c r="D154" s="146">
        <f>[3]Sayfa1!$N151</f>
        <v>0</v>
      </c>
      <c r="E154" s="122" t="str">
        <f>[3]Sayfa1!$B151</f>
        <v>FRACAS-GDM-150</v>
      </c>
      <c r="F154" s="123">
        <f>[3]Sayfa1!$E151</f>
        <v>45420</v>
      </c>
      <c r="G154" s="124">
        <f>[3]Sayfa1!$F151</f>
        <v>45420.636666666665</v>
      </c>
      <c r="H154" s="119" t="str">
        <f>[3]Sayfa1!$I151</f>
        <v>Depo/Depot</v>
      </c>
      <c r="I154" s="125" t="str">
        <f>IF([3]Sayfa1!$K151="SSH","Notified by Bozankaya","Notified by Customer")</f>
        <v>Notified by Customer</v>
      </c>
      <c r="J154" s="119" t="e">
        <f>VLOOKUP([3]Sayfa1!$AU151,#REF!,2,FALSE)</f>
        <v>#REF!</v>
      </c>
      <c r="K154" s="119" t="str">
        <f>[3]Sayfa1!$V151</f>
        <v>Aspilsan</v>
      </c>
      <c r="L154" s="126" t="str">
        <f t="shared" si="22"/>
        <v>GDM7X4-FRACAS-GDM-150</v>
      </c>
      <c r="M154" s="127" t="str">
        <f>[3]Sayfa1!$L151</f>
        <v>Batarya kutusu üzerinde ve menteşelerinde paslanmalar mevcut</v>
      </c>
      <c r="N154" s="128" t="str">
        <f>[3]Sayfa1!$J151</f>
        <v>C-Uyarı, sürüş devamlılığı</v>
      </c>
      <c r="O154" s="128" t="str">
        <f>[3]Sayfa1!$P151</f>
        <v>C(Sisteme etki etmeyen arıza)</v>
      </c>
      <c r="P154" s="128" t="str">
        <f>[3]Sayfa1!$Q151</f>
        <v>N.A(Yaralanma yok)</v>
      </c>
      <c r="Q154" s="129" t="str" cm="1">
        <f t="array" ref="Q154">_xlfn.IFS([3]Sayfa1!$R151="Bozankaya","Bozankaya",[3]Sayfa1!$R151="İşletme","Customer",[3]Sayfa1!$R151="Tedarikçi","Equipment Supplier")</f>
        <v>Bozankaya</v>
      </c>
      <c r="R154" s="130">
        <f>[3]Sayfa1!$M151</f>
        <v>0</v>
      </c>
      <c r="S154" s="147">
        <f>[3]Sayfa1!$AB151</f>
        <v>0</v>
      </c>
      <c r="T154" s="147">
        <f>[3]Sayfa1!$AA151</f>
        <v>0</v>
      </c>
      <c r="U154" s="131">
        <f>[3]Sayfa1!$AN151</f>
        <v>0</v>
      </c>
      <c r="V154" s="132">
        <f>[3]Sayfa1!$T151</f>
        <v>45420</v>
      </c>
      <c r="W154" s="133">
        <f>[3]Sayfa1!$U151</f>
        <v>45420.63789351852</v>
      </c>
      <c r="X154" s="134">
        <f t="shared" si="23"/>
        <v>45420.63789351852</v>
      </c>
      <c r="Y154" s="123" t="str">
        <f>[3]Sayfa1!$AQ151</f>
        <v/>
      </c>
      <c r="Z154" s="135">
        <f>[3]Sayfa1!$AR151</f>
        <v>0</v>
      </c>
      <c r="AA154" s="134">
        <f t="shared" si="24"/>
        <v>0</v>
      </c>
      <c r="AB154" s="136">
        <f t="shared" si="25"/>
        <v>0</v>
      </c>
      <c r="AC154" s="137" t="str">
        <f t="shared" si="26"/>
        <v/>
      </c>
      <c r="AD154" s="135">
        <f t="shared" si="27"/>
        <v>0</v>
      </c>
      <c r="AE154" s="138">
        <f t="shared" si="28"/>
        <v>0</v>
      </c>
      <c r="AF154" s="139" t="str">
        <f>[3]Sayfa1!$AP151</f>
        <v>(I) İlk defa karşılaşılan arıza</v>
      </c>
      <c r="AG154" s="128" t="str">
        <f>IF([3]Sayfa1!$P151="C(Sisteme etki etmeyen arıza)","Bu Arıza Aracın Servise Verilmesine Engel Değil","Bu Arıza Aracın Servise Verilmesine Engel")</f>
        <v>Bu Arıza Aracın Servise Verilmesine Engel Değil</v>
      </c>
      <c r="AH154" s="140">
        <f>[3]Sayfa1!$AC151</f>
        <v>0</v>
      </c>
      <c r="AI154" s="137"/>
      <c r="AJ154" s="137"/>
      <c r="AK154" s="138">
        <f t="shared" si="29"/>
        <v>0</v>
      </c>
      <c r="AL154" s="136">
        <f t="shared" si="30"/>
        <v>0</v>
      </c>
      <c r="AM154" s="136">
        <f t="shared" si="31"/>
        <v>0</v>
      </c>
      <c r="AN154" s="141" t="str">
        <f t="shared" si="32"/>
        <v>Aspilsan</v>
      </c>
      <c r="AO154" s="141">
        <f>[3]Sayfa1!$X151</f>
        <v>0</v>
      </c>
      <c r="AP154" s="141">
        <f>[3]Sayfa1!$Z151</f>
        <v>0</v>
      </c>
      <c r="AQ154" s="122" t="str">
        <f>[3]Sayfa1!$W151</f>
        <v>Batarya kutusu</v>
      </c>
      <c r="AR154" s="142">
        <f>[3]Sayfa1!$Y151</f>
        <v>0</v>
      </c>
      <c r="AS154" s="143">
        <f>[3]Sayfa1!$AD151</f>
        <v>0</v>
      </c>
      <c r="AT154" s="137" t="str">
        <f>[3]Sayfa1!$AE151</f>
        <v/>
      </c>
      <c r="AU154" s="137" t="str">
        <f>[3]Sayfa1!$AH151</f>
        <v/>
      </c>
      <c r="AV154" s="144">
        <v>150</v>
      </c>
      <c r="AW154" s="145" t="e">
        <f>U154*AB154*#REF!</f>
        <v>#REF!</v>
      </c>
    </row>
    <row r="155" spans="1:49" ht="101.25" customHeight="1">
      <c r="A155" s="119" t="s">
        <v>57</v>
      </c>
      <c r="B155" s="120" t="str">
        <f>[3]Sayfa1!$G152</f>
        <v>TS#6</v>
      </c>
      <c r="C155" s="121" t="str">
        <f>[3]Sayfa1!$H152</f>
        <v>Mc2</v>
      </c>
      <c r="D155" s="146">
        <f>[3]Sayfa1!$N152</f>
        <v>0</v>
      </c>
      <c r="E155" s="122" t="str">
        <f>[3]Sayfa1!$B152</f>
        <v>FRACAS-GDM-151</v>
      </c>
      <c r="F155" s="123">
        <f>[3]Sayfa1!$E152</f>
        <v>45420</v>
      </c>
      <c r="G155" s="124">
        <f>[3]Sayfa1!$F152</f>
        <v>45420.63962962963</v>
      </c>
      <c r="H155" s="119" t="str">
        <f>[3]Sayfa1!$I152</f>
        <v>Depo/Depot</v>
      </c>
      <c r="I155" s="125" t="str">
        <f>IF([3]Sayfa1!$K152="SSH","Notified by Bozankaya","Notified by Customer")</f>
        <v>Notified by Customer</v>
      </c>
      <c r="J155" s="119" t="e">
        <f>VLOOKUP([3]Sayfa1!$AU152,#REF!,2,FALSE)</f>
        <v>#REF!</v>
      </c>
      <c r="K155" s="119" t="str">
        <f>[3]Sayfa1!$V152</f>
        <v>Knorr</v>
      </c>
      <c r="L155" s="126" t="str">
        <f t="shared" si="22"/>
        <v>GDM7X4-FRACAS-GDM-151</v>
      </c>
      <c r="M155" s="127" t="str">
        <f>[3]Sayfa1!$L152</f>
        <v>smart valf üzerinde oksitlenmeler mevcut</v>
      </c>
      <c r="N155" s="128" t="str">
        <f>[3]Sayfa1!$J152</f>
        <v>C-Uyarı, sürüş devamlılığı</v>
      </c>
      <c r="O155" s="128" t="str">
        <f>[3]Sayfa1!$P152</f>
        <v>C(Sisteme etki etmeyen arıza)</v>
      </c>
      <c r="P155" s="128" t="str">
        <f>[3]Sayfa1!$Q152</f>
        <v>N.A(Yaralanma yok)</v>
      </c>
      <c r="Q155" s="129" t="str" cm="1">
        <f t="array" ref="Q155">_xlfn.IFS([3]Sayfa1!$R152="Bozankaya","Bozankaya",[3]Sayfa1!$R152="İşletme","Customer",[3]Sayfa1!$R152="Tedarikçi","Equipment Supplier")</f>
        <v>Equipment Supplier</v>
      </c>
      <c r="R155" s="130">
        <f>[3]Sayfa1!$M152</f>
        <v>0</v>
      </c>
      <c r="S155" s="147">
        <f>[3]Sayfa1!$AB152</f>
        <v>0</v>
      </c>
      <c r="T155" s="147">
        <f>[3]Sayfa1!$AA152</f>
        <v>0</v>
      </c>
      <c r="U155" s="131">
        <f>[3]Sayfa1!$AN152</f>
        <v>0</v>
      </c>
      <c r="V155" s="132">
        <f>[3]Sayfa1!$T152</f>
        <v>45420</v>
      </c>
      <c r="W155" s="133">
        <f>[3]Sayfa1!$U152</f>
        <v>45420.641192129631</v>
      </c>
      <c r="X155" s="134">
        <f t="shared" si="23"/>
        <v>45420.641192129631</v>
      </c>
      <c r="Y155" s="123" t="str">
        <f>[3]Sayfa1!$AQ152</f>
        <v/>
      </c>
      <c r="Z155" s="135">
        <f>[3]Sayfa1!$AR152</f>
        <v>0</v>
      </c>
      <c r="AA155" s="134">
        <f t="shared" si="24"/>
        <v>0</v>
      </c>
      <c r="AB155" s="136">
        <f t="shared" si="25"/>
        <v>0</v>
      </c>
      <c r="AC155" s="137" t="str">
        <f t="shared" si="26"/>
        <v/>
      </c>
      <c r="AD155" s="135">
        <f t="shared" si="27"/>
        <v>0</v>
      </c>
      <c r="AE155" s="138">
        <f t="shared" si="28"/>
        <v>0</v>
      </c>
      <c r="AF155" s="139" t="str">
        <f>[3]Sayfa1!$AP152</f>
        <v>(I) İlk defa karşılaşılan arıza</v>
      </c>
      <c r="AG155" s="128" t="str">
        <f>IF([3]Sayfa1!$P152="C(Sisteme etki etmeyen arıza)","Bu Arıza Aracın Servise Verilmesine Engel Değil","Bu Arıza Aracın Servise Verilmesine Engel")</f>
        <v>Bu Arıza Aracın Servise Verilmesine Engel Değil</v>
      </c>
      <c r="AH155" s="140">
        <f>[3]Sayfa1!$AC152</f>
        <v>0</v>
      </c>
      <c r="AI155" s="137"/>
      <c r="AJ155" s="137"/>
      <c r="AK155" s="138">
        <f t="shared" si="29"/>
        <v>0</v>
      </c>
      <c r="AL155" s="136">
        <f t="shared" si="30"/>
        <v>0</v>
      </c>
      <c r="AM155" s="136">
        <f t="shared" si="31"/>
        <v>0</v>
      </c>
      <c r="AN155" s="141" t="str">
        <f t="shared" si="32"/>
        <v>Knorr</v>
      </c>
      <c r="AO155" s="141">
        <f>[3]Sayfa1!$X152</f>
        <v>0</v>
      </c>
      <c r="AP155" s="141">
        <f>[3]Sayfa1!$Z152</f>
        <v>0</v>
      </c>
      <c r="AQ155" s="122" t="str">
        <f>[3]Sayfa1!$W152</f>
        <v>smart valf</v>
      </c>
      <c r="AR155" s="142">
        <f>[3]Sayfa1!$Y152</f>
        <v>0</v>
      </c>
      <c r="AS155" s="143">
        <f>[3]Sayfa1!$AD152</f>
        <v>0</v>
      </c>
      <c r="AT155" s="137" t="str">
        <f>[3]Sayfa1!$AE152</f>
        <v/>
      </c>
      <c r="AU155" s="137" t="str">
        <f>[3]Sayfa1!$AH152</f>
        <v/>
      </c>
      <c r="AV155" s="144">
        <v>151</v>
      </c>
      <c r="AW155" s="145" t="e">
        <f>U155*AB155*#REF!</f>
        <v>#REF!</v>
      </c>
    </row>
    <row r="156" spans="1:49" ht="101.25" customHeight="1">
      <c r="A156" s="119" t="s">
        <v>57</v>
      </c>
      <c r="B156" s="120" t="str">
        <f>[3]Sayfa1!$G153</f>
        <v>TS#6</v>
      </c>
      <c r="C156" s="121" t="str">
        <f>[3]Sayfa1!$H153</f>
        <v>M</v>
      </c>
      <c r="D156" s="146">
        <f>[3]Sayfa1!$N153</f>
        <v>0</v>
      </c>
      <c r="E156" s="122" t="str">
        <f>[3]Sayfa1!$B153</f>
        <v>FRACAS-GDM-152</v>
      </c>
      <c r="F156" s="123">
        <f>[3]Sayfa1!$E153</f>
        <v>45420</v>
      </c>
      <c r="G156" s="124">
        <f>[3]Sayfa1!$F153</f>
        <v>45420.642395833333</v>
      </c>
      <c r="H156" s="119" t="str">
        <f>[3]Sayfa1!$I153</f>
        <v>Depo/Depot</v>
      </c>
      <c r="I156" s="125" t="str">
        <f>IF([3]Sayfa1!$K153="SSH","Notified by Bozankaya","Notified by Customer")</f>
        <v>Notified by Customer</v>
      </c>
      <c r="J156" s="119" t="e">
        <f>VLOOKUP([3]Sayfa1!$AU153,#REF!,2,FALSE)</f>
        <v>#REF!</v>
      </c>
      <c r="K156" s="119" t="str">
        <f>[3]Sayfa1!$V153</f>
        <v>Knorr</v>
      </c>
      <c r="L156" s="126" t="str">
        <f t="shared" si="22"/>
        <v>GDM7X4-FRACAS-GDM-152</v>
      </c>
      <c r="M156" s="127" t="str">
        <f>[3]Sayfa1!$L153</f>
        <v>M modüldeki kompresör üzerinde oksitlenmeler mevcut</v>
      </c>
      <c r="N156" s="128" t="str">
        <f>[3]Sayfa1!$J153</f>
        <v>C-Uyarı, sürüş devamlılığı</v>
      </c>
      <c r="O156" s="128" t="str">
        <f>[3]Sayfa1!$P153</f>
        <v>C(Sisteme etki etmeyen arıza)</v>
      </c>
      <c r="P156" s="128" t="str">
        <f>[3]Sayfa1!$Q153</f>
        <v>N.A(Yaralanma yok)</v>
      </c>
      <c r="Q156" s="129" t="str" cm="1">
        <f t="array" ref="Q156">_xlfn.IFS([3]Sayfa1!$R153="Bozankaya","Bozankaya",[3]Sayfa1!$R153="İşletme","Customer",[3]Sayfa1!$R153="Tedarikçi","Equipment Supplier")</f>
        <v>Bozankaya</v>
      </c>
      <c r="R156" s="130">
        <f>[3]Sayfa1!$M153</f>
        <v>0</v>
      </c>
      <c r="S156" s="147">
        <f>[3]Sayfa1!$AB153</f>
        <v>0</v>
      </c>
      <c r="T156" s="147">
        <f>[3]Sayfa1!$AA153</f>
        <v>0</v>
      </c>
      <c r="U156" s="131">
        <f>[3]Sayfa1!$AN153</f>
        <v>0</v>
      </c>
      <c r="V156" s="132">
        <f>[3]Sayfa1!$T153</f>
        <v>45420</v>
      </c>
      <c r="W156" s="133">
        <f>[3]Sayfa1!$U153</f>
        <v>45420.647800925923</v>
      </c>
      <c r="X156" s="134">
        <f t="shared" si="23"/>
        <v>45420.647800925923</v>
      </c>
      <c r="Y156" s="123" t="str">
        <f>[3]Sayfa1!$AQ153</f>
        <v/>
      </c>
      <c r="Z156" s="135">
        <f>[3]Sayfa1!$AR153</f>
        <v>0</v>
      </c>
      <c r="AA156" s="134">
        <f t="shared" si="24"/>
        <v>0</v>
      </c>
      <c r="AB156" s="136">
        <f t="shared" si="25"/>
        <v>0</v>
      </c>
      <c r="AC156" s="137" t="str">
        <f t="shared" si="26"/>
        <v/>
      </c>
      <c r="AD156" s="135">
        <f t="shared" si="27"/>
        <v>0</v>
      </c>
      <c r="AE156" s="138">
        <f t="shared" si="28"/>
        <v>0</v>
      </c>
      <c r="AF156" s="139" t="str">
        <f>[3]Sayfa1!$AP153</f>
        <v>(I) İlk defa karşılaşılan arıza</v>
      </c>
      <c r="AG156" s="128" t="str">
        <f>IF([3]Sayfa1!$P153="C(Sisteme etki etmeyen arıza)","Bu Arıza Aracın Servise Verilmesine Engel Değil","Bu Arıza Aracın Servise Verilmesine Engel")</f>
        <v>Bu Arıza Aracın Servise Verilmesine Engel Değil</v>
      </c>
      <c r="AH156" s="140">
        <f>[3]Sayfa1!$AC153</f>
        <v>0</v>
      </c>
      <c r="AI156" s="137"/>
      <c r="AJ156" s="137"/>
      <c r="AK156" s="138">
        <f t="shared" si="29"/>
        <v>0</v>
      </c>
      <c r="AL156" s="136">
        <f t="shared" si="30"/>
        <v>0</v>
      </c>
      <c r="AM156" s="136">
        <f t="shared" si="31"/>
        <v>0</v>
      </c>
      <c r="AN156" s="141" t="str">
        <f t="shared" si="32"/>
        <v>Knorr</v>
      </c>
      <c r="AO156" s="141">
        <f>[3]Sayfa1!$X153</f>
        <v>0</v>
      </c>
      <c r="AP156" s="141">
        <f>[3]Sayfa1!$Z153</f>
        <v>0</v>
      </c>
      <c r="AQ156" s="122">
        <f>[3]Sayfa1!$W153</f>
        <v>0</v>
      </c>
      <c r="AR156" s="142">
        <f>[3]Sayfa1!$Y153</f>
        <v>0</v>
      </c>
      <c r="AS156" s="143">
        <f>[3]Sayfa1!$AD153</f>
        <v>0</v>
      </c>
      <c r="AT156" s="137" t="str">
        <f>[3]Sayfa1!$AE153</f>
        <v/>
      </c>
      <c r="AU156" s="137" t="str">
        <f>[3]Sayfa1!$AH153</f>
        <v/>
      </c>
      <c r="AV156" s="144">
        <v>152</v>
      </c>
      <c r="AW156" s="145" t="e">
        <f>U156*AB156*#REF!</f>
        <v>#REF!</v>
      </c>
    </row>
    <row r="157" spans="1:49" ht="101.25" customHeight="1">
      <c r="A157" s="119" t="s">
        <v>57</v>
      </c>
      <c r="B157" s="120" t="str">
        <f>[3]Sayfa1!$G154</f>
        <v>TS#6</v>
      </c>
      <c r="C157" s="121" t="str">
        <f>[3]Sayfa1!$H154</f>
        <v>Mc2</v>
      </c>
      <c r="D157" s="146">
        <f>[3]Sayfa1!$N154</f>
        <v>0</v>
      </c>
      <c r="E157" s="122" t="str">
        <f>[3]Sayfa1!$B154</f>
        <v>FRACAS-GDM-153</v>
      </c>
      <c r="F157" s="123">
        <f>[3]Sayfa1!$E154</f>
        <v>45420</v>
      </c>
      <c r="G157" s="124">
        <f>[3]Sayfa1!$F154</f>
        <v>45420.649525462963</v>
      </c>
      <c r="H157" s="119" t="str">
        <f>[3]Sayfa1!$I154</f>
        <v>Depo/Depot</v>
      </c>
      <c r="I157" s="125" t="str">
        <f>IF([3]Sayfa1!$K154="SSH","Notified by Bozankaya","Notified by Customer")</f>
        <v>Notified by Customer</v>
      </c>
      <c r="J157" s="119" t="e">
        <f>VLOOKUP([3]Sayfa1!$AU154,#REF!,2,FALSE)</f>
        <v>#REF!</v>
      </c>
      <c r="K157" s="119" t="str">
        <f>[3]Sayfa1!$V154</f>
        <v>Bozankaya</v>
      </c>
      <c r="L157" s="126" t="str">
        <f t="shared" si="22"/>
        <v>GDM7X4-FRACAS-GDM-153</v>
      </c>
      <c r="M157" s="127" t="str">
        <f>[3]Sayfa1!$L154</f>
        <v>Ana rezervuar tankının vanalarında oksitlenmeler mevcut</v>
      </c>
      <c r="N157" s="128" t="str">
        <f>[3]Sayfa1!$J154</f>
        <v>C-Uyarı, sürüş devamlılığı</v>
      </c>
      <c r="O157" s="128" t="str">
        <f>[3]Sayfa1!$P154</f>
        <v>C(Sisteme etki etmeyen arıza)</v>
      </c>
      <c r="P157" s="128" t="str">
        <f>[3]Sayfa1!$Q154</f>
        <v>N.A(Yaralanma yok)</v>
      </c>
      <c r="Q157" s="129" t="str" cm="1">
        <f t="array" ref="Q157">_xlfn.IFS([3]Sayfa1!$R154="Bozankaya","Bozankaya",[3]Sayfa1!$R154="İşletme","Customer",[3]Sayfa1!$R154="Tedarikçi","Equipment Supplier")</f>
        <v>Bozankaya</v>
      </c>
      <c r="R157" s="130">
        <f>[3]Sayfa1!$M154</f>
        <v>0</v>
      </c>
      <c r="S157" s="147">
        <f>[3]Sayfa1!$AB154</f>
        <v>0</v>
      </c>
      <c r="T157" s="147">
        <f>[3]Sayfa1!$AA154</f>
        <v>0</v>
      </c>
      <c r="U157" s="131">
        <f>[3]Sayfa1!$AN154</f>
        <v>0</v>
      </c>
      <c r="V157" s="132">
        <f>[3]Sayfa1!$T154</f>
        <v>45420</v>
      </c>
      <c r="W157" s="133">
        <f>[3]Sayfa1!$U154</f>
        <v>45420.651423611111</v>
      </c>
      <c r="X157" s="134">
        <f t="shared" si="23"/>
        <v>45420.651423611111</v>
      </c>
      <c r="Y157" s="123" t="str">
        <f>[3]Sayfa1!$AQ154</f>
        <v/>
      </c>
      <c r="Z157" s="135">
        <f>[3]Sayfa1!$AR154</f>
        <v>0</v>
      </c>
      <c r="AA157" s="134">
        <f t="shared" si="24"/>
        <v>0</v>
      </c>
      <c r="AB157" s="136">
        <f t="shared" si="25"/>
        <v>0</v>
      </c>
      <c r="AC157" s="137" t="str">
        <f t="shared" si="26"/>
        <v/>
      </c>
      <c r="AD157" s="135">
        <f t="shared" si="27"/>
        <v>0</v>
      </c>
      <c r="AE157" s="138">
        <f t="shared" si="28"/>
        <v>0</v>
      </c>
      <c r="AF157" s="139" t="str">
        <f>[3]Sayfa1!$AP154</f>
        <v>(I) İlk defa karşılaşılan arıza</v>
      </c>
      <c r="AG157" s="128" t="str">
        <f>IF([3]Sayfa1!$P154="C(Sisteme etki etmeyen arıza)","Bu Arıza Aracın Servise Verilmesine Engel Değil","Bu Arıza Aracın Servise Verilmesine Engel")</f>
        <v>Bu Arıza Aracın Servise Verilmesine Engel Değil</v>
      </c>
      <c r="AH157" s="140">
        <f>[3]Sayfa1!$AC154</f>
        <v>0</v>
      </c>
      <c r="AI157" s="137"/>
      <c r="AJ157" s="137"/>
      <c r="AK157" s="138">
        <f t="shared" si="29"/>
        <v>0</v>
      </c>
      <c r="AL157" s="136">
        <f t="shared" si="30"/>
        <v>0</v>
      </c>
      <c r="AM157" s="136">
        <f t="shared" si="31"/>
        <v>0</v>
      </c>
      <c r="AN157" s="141" t="str">
        <f t="shared" si="32"/>
        <v>Bozankaya</v>
      </c>
      <c r="AO157" s="141">
        <f>[3]Sayfa1!$X154</f>
        <v>0</v>
      </c>
      <c r="AP157" s="141">
        <f>[3]Sayfa1!$Z154</f>
        <v>0</v>
      </c>
      <c r="AQ157" s="122">
        <f>[3]Sayfa1!$W154</f>
        <v>0</v>
      </c>
      <c r="AR157" s="142">
        <f>[3]Sayfa1!$Y154</f>
        <v>0</v>
      </c>
      <c r="AS157" s="143">
        <f>[3]Sayfa1!$AD154</f>
        <v>0</v>
      </c>
      <c r="AT157" s="137" t="str">
        <f>[3]Sayfa1!$AE154</f>
        <v/>
      </c>
      <c r="AU157" s="137" t="str">
        <f>[3]Sayfa1!$AH154</f>
        <v/>
      </c>
      <c r="AV157" s="144">
        <v>153</v>
      </c>
      <c r="AW157" s="145" t="e">
        <f>U157*AB157*#REF!</f>
        <v>#REF!</v>
      </c>
    </row>
    <row r="158" spans="1:49" ht="101.25" customHeight="1">
      <c r="A158" s="119" t="s">
        <v>57</v>
      </c>
      <c r="B158" s="120" t="str">
        <f>[3]Sayfa1!$G155</f>
        <v>TS#6</v>
      </c>
      <c r="C158" s="121" t="str">
        <f>[3]Sayfa1!$H155</f>
        <v>Mc1 , Mc2</v>
      </c>
      <c r="D158" s="146">
        <f>[3]Sayfa1!$N155</f>
        <v>0</v>
      </c>
      <c r="E158" s="122" t="str">
        <f>[3]Sayfa1!$B155</f>
        <v>FRACAS-GDM-154</v>
      </c>
      <c r="F158" s="123">
        <f>[3]Sayfa1!$E155</f>
        <v>45420</v>
      </c>
      <c r="G158" s="124">
        <f>[3]Sayfa1!$F155</f>
        <v>45420.652384259258</v>
      </c>
      <c r="H158" s="119" t="str">
        <f>[3]Sayfa1!$I155</f>
        <v>Depo/Depot</v>
      </c>
      <c r="I158" s="125" t="str">
        <f>IF([3]Sayfa1!$K155="SSH","Notified by Bozankaya","Notified by Customer")</f>
        <v>Notified by Customer</v>
      </c>
      <c r="J158" s="119" t="e">
        <f>VLOOKUP([3]Sayfa1!$AU155,#REF!,2,FALSE)</f>
        <v>#REF!</v>
      </c>
      <c r="K158" s="119" t="str">
        <f>[3]Sayfa1!$V155</f>
        <v>Bozankaya</v>
      </c>
      <c r="L158" s="126" t="str">
        <f t="shared" si="22"/>
        <v>GDM7X4-FRACAS-GDM-154</v>
      </c>
      <c r="M158" s="127" t="str">
        <f>[3]Sayfa1!$L155</f>
        <v>engel algılama sistemi içindeki yaylarda paslanmalar mevcut</v>
      </c>
      <c r="N158" s="128" t="str">
        <f>[3]Sayfa1!$J155</f>
        <v>C-Uyarı, sürüş devamlılığı</v>
      </c>
      <c r="O158" s="128" t="str">
        <f>[3]Sayfa1!$P155</f>
        <v>C(Sisteme etki etmeyen arıza)</v>
      </c>
      <c r="P158" s="128" t="str">
        <f>[3]Sayfa1!$Q155</f>
        <v>N.A(Yaralanma yok)</v>
      </c>
      <c r="Q158" s="129" t="str" cm="1">
        <f t="array" ref="Q158">_xlfn.IFS([3]Sayfa1!$R155="Bozankaya","Bozankaya",[3]Sayfa1!$R155="İşletme","Customer",[3]Sayfa1!$R155="Tedarikçi","Equipment Supplier")</f>
        <v>Bozankaya</v>
      </c>
      <c r="R158" s="130">
        <f>[3]Sayfa1!$M155</f>
        <v>0</v>
      </c>
      <c r="S158" s="147">
        <f>[3]Sayfa1!$AB155</f>
        <v>0</v>
      </c>
      <c r="T158" s="147">
        <f>[3]Sayfa1!$AA155</f>
        <v>0</v>
      </c>
      <c r="U158" s="131">
        <f>[3]Sayfa1!$AN155</f>
        <v>0</v>
      </c>
      <c r="V158" s="132">
        <f>[3]Sayfa1!$T155</f>
        <v>45420</v>
      </c>
      <c r="W158" s="133">
        <f>[3]Sayfa1!$U155</f>
        <v>45420.654050925928</v>
      </c>
      <c r="X158" s="134">
        <f t="shared" si="23"/>
        <v>45420.654050925928</v>
      </c>
      <c r="Y158" s="123" t="str">
        <f>[3]Sayfa1!$AQ155</f>
        <v/>
      </c>
      <c r="Z158" s="135">
        <f>[3]Sayfa1!$AR155</f>
        <v>0</v>
      </c>
      <c r="AA158" s="134">
        <f t="shared" si="24"/>
        <v>0</v>
      </c>
      <c r="AB158" s="136">
        <f t="shared" si="25"/>
        <v>0</v>
      </c>
      <c r="AC158" s="137" t="str">
        <f t="shared" si="26"/>
        <v/>
      </c>
      <c r="AD158" s="135">
        <f t="shared" si="27"/>
        <v>0</v>
      </c>
      <c r="AE158" s="138">
        <f t="shared" si="28"/>
        <v>0</v>
      </c>
      <c r="AF158" s="139" t="str">
        <f>[3]Sayfa1!$AP155</f>
        <v>(I) İlk defa karşılaşılan arıza</v>
      </c>
      <c r="AG158" s="128" t="str">
        <f>IF([3]Sayfa1!$P155="C(Sisteme etki etmeyen arıza)","Bu Arıza Aracın Servise Verilmesine Engel Değil","Bu Arıza Aracın Servise Verilmesine Engel")</f>
        <v>Bu Arıza Aracın Servise Verilmesine Engel Değil</v>
      </c>
      <c r="AH158" s="140">
        <f>[3]Sayfa1!$AC155</f>
        <v>0</v>
      </c>
      <c r="AI158" s="137"/>
      <c r="AJ158" s="137"/>
      <c r="AK158" s="138">
        <f t="shared" si="29"/>
        <v>0</v>
      </c>
      <c r="AL158" s="136">
        <f t="shared" si="30"/>
        <v>0</v>
      </c>
      <c r="AM158" s="136">
        <f t="shared" si="31"/>
        <v>0</v>
      </c>
      <c r="AN158" s="141" t="str">
        <f t="shared" si="32"/>
        <v>Bozankaya</v>
      </c>
      <c r="AO158" s="141">
        <f>[3]Sayfa1!$X155</f>
        <v>0</v>
      </c>
      <c r="AP158" s="141">
        <f>[3]Sayfa1!$Z155</f>
        <v>0</v>
      </c>
      <c r="AQ158" s="122">
        <f>[3]Sayfa1!$W155</f>
        <v>0</v>
      </c>
      <c r="AR158" s="142">
        <f>[3]Sayfa1!$Y155</f>
        <v>0</v>
      </c>
      <c r="AS158" s="143">
        <f>[3]Sayfa1!$AD155</f>
        <v>0</v>
      </c>
      <c r="AT158" s="137" t="str">
        <f>[3]Sayfa1!$AE155</f>
        <v/>
      </c>
      <c r="AU158" s="137" t="str">
        <f>[3]Sayfa1!$AH155</f>
        <v/>
      </c>
      <c r="AV158" s="144">
        <v>154</v>
      </c>
      <c r="AW158" s="145" t="e">
        <f>U158*AB158*#REF!</f>
        <v>#REF!</v>
      </c>
    </row>
    <row r="159" spans="1:49" ht="101.25" customHeight="1">
      <c r="A159" s="119" t="s">
        <v>57</v>
      </c>
      <c r="B159" s="120" t="s">
        <v>58</v>
      </c>
      <c r="C159" s="121" t="s">
        <v>59</v>
      </c>
      <c r="D159" s="146">
        <f>[3]Sayfa1!$N156</f>
        <v>1</v>
      </c>
      <c r="E159" s="122" t="str">
        <f>[3]Sayfa1!$B156</f>
        <v>FRACAS-GDM-155</v>
      </c>
      <c r="F159" s="123">
        <f>[3]Sayfa1!$E156</f>
        <v>45490</v>
      </c>
      <c r="G159" s="124">
        <f>[3]Sayfa1!$F156</f>
        <v>45490.416666666664</v>
      </c>
      <c r="H159" s="119" t="str">
        <f>[3]Sayfa1!$I156</f>
        <v>Depo/Depot</v>
      </c>
      <c r="I159" s="125" t="str">
        <f>IF([3]Sayfa1!$K156="SSH","Notified by Bozankaya","Notified by Customer")</f>
        <v>Notified by Bozankaya</v>
      </c>
      <c r="J159" s="119" t="e">
        <f>VLOOKUP([3]Sayfa1!$AU156,#REF!,2,FALSE)</f>
        <v>#REF!</v>
      </c>
      <c r="K159" s="119" t="str">
        <f>[3]Sayfa1!$V156</f>
        <v>TEDARİKÇİ YOK</v>
      </c>
      <c r="L159" s="126" t="str">
        <f t="shared" si="22"/>
        <v>GDM7X4-FRACAS-GDM-155</v>
      </c>
      <c r="M159" s="127" t="str">
        <f>[3]Sayfa1!$L156</f>
        <v>AYDINLATMA KAPAĞI</v>
      </c>
      <c r="N159" s="128" t="str">
        <f>[3]Sayfa1!$J156</f>
        <v>A-Sürüşü engeller</v>
      </c>
      <c r="O159" s="128" t="str">
        <f>[3]Sayfa1!$P156</f>
        <v>B(Servisten çekmeye etki eden arızalar)</v>
      </c>
      <c r="P159" s="128" t="str">
        <f>[3]Sayfa1!$Q156</f>
        <v>N.A(Yaralanma yok)</v>
      </c>
      <c r="Q159" s="129" t="str" cm="1">
        <f t="array" ref="Q159">_xlfn.IFS([3]Sayfa1!$R156="Bozankaya","Bozankaya",[3]Sayfa1!$R156="İşletme","Customer",[3]Sayfa1!$R156="Tedarikçi","Equipment Supplier")</f>
        <v>Bozankaya</v>
      </c>
      <c r="R159" s="130" t="str">
        <f>[3]Sayfa1!$M156</f>
        <v>Körük aydınlatmasının ortasındaki kapak sabitlendiği yerden ayrılarak düştüğü tespit edildi. Araçlar güneşte kaldığında ısının artması sonucu olduğunu tahmin ediyoruz.</v>
      </c>
      <c r="S159" s="147" t="str">
        <f>[3]Sayfa1!$AB156</f>
        <v>Tamir edilecek</v>
      </c>
      <c r="T159" s="147">
        <f>[3]Sayfa1!$AA156</f>
        <v>0</v>
      </c>
      <c r="U159" s="131">
        <f>[3]Sayfa1!$AN156</f>
        <v>1</v>
      </c>
      <c r="V159" s="132">
        <f>[3]Sayfa1!$T156</f>
        <v>45490</v>
      </c>
      <c r="W159" s="133">
        <f>[3]Sayfa1!$U156</f>
        <v>45490.458333333336</v>
      </c>
      <c r="X159" s="134">
        <f t="shared" si="23"/>
        <v>45490.458333333336</v>
      </c>
      <c r="Y159" s="123" t="str">
        <f>[3]Sayfa1!$AQ156</f>
        <v/>
      </c>
      <c r="Z159" s="135">
        <f>[3]Sayfa1!$AR156</f>
        <v>0</v>
      </c>
      <c r="AA159" s="134">
        <f t="shared" si="24"/>
        <v>0</v>
      </c>
      <c r="AB159" s="136">
        <f t="shared" si="25"/>
        <v>0</v>
      </c>
      <c r="AC159" s="137" t="str">
        <f t="shared" si="26"/>
        <v/>
      </c>
      <c r="AD159" s="135">
        <f t="shared" si="27"/>
        <v>0</v>
      </c>
      <c r="AE159" s="138">
        <f t="shared" si="28"/>
        <v>0</v>
      </c>
      <c r="AF159" s="139" t="str">
        <f>[3]Sayfa1!$AP156</f>
        <v>(II) Birden fazla karşılaşılan arıza</v>
      </c>
      <c r="AG159" s="128" t="str">
        <f>IF([3]Sayfa1!$P156="C(Sisteme etki etmeyen arıza)","Bu Arıza Aracın Servise Verilmesine Engel Değil","Bu Arıza Aracın Servise Verilmesine Engel")</f>
        <v>Bu Arıza Aracın Servise Verilmesine Engel</v>
      </c>
      <c r="AH159" s="140">
        <f>[3]Sayfa1!$AC156</f>
        <v>0</v>
      </c>
      <c r="AI159" s="137"/>
      <c r="AJ159" s="137"/>
      <c r="AK159" s="138">
        <f t="shared" si="29"/>
        <v>0</v>
      </c>
      <c r="AL159" s="136">
        <f t="shared" si="30"/>
        <v>0</v>
      </c>
      <c r="AM159" s="136">
        <f t="shared" si="31"/>
        <v>0</v>
      </c>
      <c r="AN159" s="141" t="str">
        <f t="shared" si="32"/>
        <v>TEDARİKÇİ YOK</v>
      </c>
      <c r="AO159" s="141" t="str">
        <f>[3]Sayfa1!$X156</f>
        <v>FT730-8210</v>
      </c>
      <c r="AP159" s="141">
        <f>[3]Sayfa1!$Z156</f>
        <v>0</v>
      </c>
      <c r="AQ159" s="122" t="str">
        <f>[3]Sayfa1!$W156</f>
        <v>AYDINLATMA KAPAGI</v>
      </c>
      <c r="AR159" s="142">
        <f>[3]Sayfa1!$Y156</f>
        <v>42</v>
      </c>
      <c r="AS159" s="143">
        <f>[3]Sayfa1!$AD156</f>
        <v>0</v>
      </c>
      <c r="AT159" s="137">
        <f>[3]Sayfa1!$AE156</f>
        <v>45490</v>
      </c>
      <c r="AU159" s="137" t="str">
        <f>[3]Sayfa1!$AH156</f>
        <v/>
      </c>
      <c r="AV159" s="144">
        <v>155</v>
      </c>
      <c r="AW159" s="145" t="e">
        <f>U159*AB159*#REF!</f>
        <v>#REF!</v>
      </c>
    </row>
    <row r="160" spans="1:49" ht="126.75" customHeight="1">
      <c r="A160" s="119" t="s">
        <v>57</v>
      </c>
      <c r="B160" s="120" t="str">
        <f>[3]Sayfa1!$G157</f>
        <v>TS#4</v>
      </c>
      <c r="C160" s="121" t="str">
        <f>[3]Sayfa1!$H157</f>
        <v>Mc2</v>
      </c>
      <c r="D160" s="146">
        <f>[3]Sayfa1!$N157</f>
        <v>79</v>
      </c>
      <c r="E160" s="122" t="str">
        <f>[3]Sayfa1!$B157</f>
        <v>FRACAS-GDM-156</v>
      </c>
      <c r="F160" s="123">
        <f>[3]Sayfa1!$E157</f>
        <v>45617</v>
      </c>
      <c r="G160" s="124">
        <f>[3]Sayfa1!$F157</f>
        <v>45617.69027777778</v>
      </c>
      <c r="H160" s="119" t="str">
        <f>[3]Sayfa1!$I157</f>
        <v>Depo/Depot</v>
      </c>
      <c r="I160" s="125" t="str">
        <f>IF([3]Sayfa1!$K157="SSH","Notified by Bozankaya","Notified by Customer")</f>
        <v>Notified by Bozankaya</v>
      </c>
      <c r="J160" s="119" t="e">
        <f>VLOOKUP([3]Sayfa1!$AU157,#REF!,2,FALSE)</f>
        <v>#REF!</v>
      </c>
      <c r="K160" s="119" t="str">
        <f>[3]Sayfa1!$V157</f>
        <v>SAZCILAR OTOMOTİV SAN.TİCARET A.Ş</v>
      </c>
      <c r="L160" s="126" t="str">
        <f t="shared" si="22"/>
        <v>GDM7X4-FRACAS-GDM-156</v>
      </c>
      <c r="M160" s="127" t="str">
        <f>[3]Sayfa1!$L157</f>
        <v>Reklam ekranı trimi montaj esnasında kırıldı</v>
      </c>
      <c r="N160" s="128" t="str">
        <f>[3]Sayfa1!$J157</f>
        <v>C-Uyarı, sürüş devamlılığı</v>
      </c>
      <c r="O160" s="128" t="str">
        <f>[3]Sayfa1!$P157</f>
        <v>C(Sisteme etki etmeyen arıza)</v>
      </c>
      <c r="P160" s="128" t="str">
        <f>[3]Sayfa1!$Q157</f>
        <v>N.A(Yaralanma yok)</v>
      </c>
      <c r="Q160" s="129" t="str" cm="1">
        <f t="array" ref="Q160">_xlfn.IFS([3]Sayfa1!$R157="Bozankaya","Bozankaya",[3]Sayfa1!$R157="İşletme","Customer",[3]Sayfa1!$R157="Tedarikçi","Equipment Supplier")</f>
        <v>Bozankaya</v>
      </c>
      <c r="R160" s="130" t="str">
        <f>[3]Sayfa1!$M157</f>
        <v>Trim yeni parça ile değiştirildi</v>
      </c>
      <c r="S160" s="147" t="str">
        <f>[3]Sayfa1!$AB157</f>
        <v>Tamir edilecek</v>
      </c>
      <c r="T160" s="147">
        <f>[3]Sayfa1!$AA157</f>
        <v>0</v>
      </c>
      <c r="U160" s="131">
        <f>[3]Sayfa1!$AN157</f>
        <v>1</v>
      </c>
      <c r="V160" s="132">
        <f>[3]Sayfa1!$T157</f>
        <v>45617</v>
      </c>
      <c r="W160" s="133">
        <f>[3]Sayfa1!$U157</f>
        <v>45617.691666666666</v>
      </c>
      <c r="X160" s="134">
        <f t="shared" si="23"/>
        <v>45617.691666666666</v>
      </c>
      <c r="Y160" s="123">
        <f>[3]Sayfa1!$AQ157</f>
        <v>45617</v>
      </c>
      <c r="Z160" s="135">
        <f>[3]Sayfa1!$AR157</f>
        <v>45617.697916666664</v>
      </c>
      <c r="AA160" s="134">
        <f t="shared" si="24"/>
        <v>45617.697916666664</v>
      </c>
      <c r="AB160" s="136">
        <f t="shared" si="25"/>
        <v>0</v>
      </c>
      <c r="AC160" s="137">
        <f t="shared" si="26"/>
        <v>45617</v>
      </c>
      <c r="AD160" s="135">
        <f t="shared" si="27"/>
        <v>45617.697916666664</v>
      </c>
      <c r="AE160" s="138">
        <f t="shared" si="28"/>
        <v>45617.697916666664</v>
      </c>
      <c r="AF160" s="139" t="str">
        <f>[3]Sayfa1!$AP157</f>
        <v>(I) İlk defa karşılaşılan arıza</v>
      </c>
      <c r="AG160" s="128" t="str">
        <f>IF([3]Sayfa1!$P157="C(Sisteme etki etmeyen arıza)","Bu Arıza Aracın Servise Verilmesine Engel Değil","Bu Arıza Aracın Servise Verilmesine Engel")</f>
        <v>Bu Arıza Aracın Servise Verilmesine Engel Değil</v>
      </c>
      <c r="AH160" s="140">
        <f>[3]Sayfa1!$AC157</f>
        <v>0</v>
      </c>
      <c r="AI160" s="137"/>
      <c r="AJ160" s="137"/>
      <c r="AK160" s="138">
        <f t="shared" si="29"/>
        <v>0</v>
      </c>
      <c r="AL160" s="136">
        <f t="shared" si="30"/>
        <v>0</v>
      </c>
      <c r="AM160" s="136">
        <f t="shared" si="31"/>
        <v>0</v>
      </c>
      <c r="AN160" s="141" t="str">
        <f t="shared" si="32"/>
        <v>SAZCILAR OTOMOTİV SAN.TİCARET A.Ş</v>
      </c>
      <c r="AO160" s="141" t="str">
        <f>[3]Sayfa1!$X157</f>
        <v>T565-8007</v>
      </c>
      <c r="AP160" s="141">
        <f>[3]Sayfa1!$Z157</f>
        <v>0</v>
      </c>
      <c r="AQ160" s="122" t="str">
        <f>[3]Sayfa1!$W157</f>
        <v>IC YAN DUVAR KOMPLESI</v>
      </c>
      <c r="AR160" s="142">
        <f>[3]Sayfa1!$Y157</f>
        <v>1</v>
      </c>
      <c r="AS160" s="143">
        <f>[3]Sayfa1!$AD157</f>
        <v>0</v>
      </c>
      <c r="AT160" s="137" t="str">
        <f>[3]Sayfa1!$AE157</f>
        <v/>
      </c>
      <c r="AU160" s="137" t="str">
        <f>[3]Sayfa1!$AH157</f>
        <v/>
      </c>
      <c r="AV160" s="144">
        <v>156</v>
      </c>
      <c r="AW160" s="145" t="e">
        <f>U160*AB160*#REF!</f>
        <v>#REF!</v>
      </c>
    </row>
    <row r="161" spans="1:49" ht="101.25" customHeight="1">
      <c r="A161" s="119" t="s">
        <v>57</v>
      </c>
      <c r="B161" s="120" t="str">
        <f>[3]Sayfa1!$G158</f>
        <v>TS#6</v>
      </c>
      <c r="C161" s="121" t="str">
        <f>[3]Sayfa1!$H158</f>
        <v>Mc2</v>
      </c>
      <c r="D161" s="146">
        <f>[3]Sayfa1!$N158</f>
        <v>1</v>
      </c>
      <c r="E161" s="122" t="str">
        <f>[3]Sayfa1!$B158</f>
        <v>FRACAS-GDM-157</v>
      </c>
      <c r="F161" s="123">
        <f>[3]Sayfa1!$E158</f>
        <v>45402</v>
      </c>
      <c r="G161" s="124">
        <f>[3]Sayfa1!$F158</f>
        <v>45402.416770833333</v>
      </c>
      <c r="H161" s="119" t="str">
        <f>[3]Sayfa1!$I158</f>
        <v>Depo/Depot</v>
      </c>
      <c r="I161" s="125" t="str">
        <f>IF([3]Sayfa1!$K158="SSH","Notified by Bozankaya","Notified by Customer")</f>
        <v>Notified by Customer</v>
      </c>
      <c r="J161" s="119" t="e">
        <f>VLOOKUP([3]Sayfa1!$AU158,#REF!,2,FALSE)</f>
        <v>#REF!</v>
      </c>
      <c r="K161" s="119">
        <f>[3]Sayfa1!$V158</f>
        <v>0</v>
      </c>
      <c r="L161" s="126" t="str">
        <f t="shared" si="22"/>
        <v>GDM7X4-FRACAS-GDM-157</v>
      </c>
      <c r="M161" s="127" t="str">
        <f>[3]Sayfa1!$L158</f>
        <v>3A sigorta</v>
      </c>
      <c r="N161" s="128" t="str">
        <f>[3]Sayfa1!$J158</f>
        <v>A-Sürüşü engeller</v>
      </c>
      <c r="O161" s="128" t="str">
        <f>[3]Sayfa1!$P158</f>
        <v>A(Hareket etmeyi engelleyen arıza)</v>
      </c>
      <c r="P161" s="128" t="str">
        <f>[3]Sayfa1!$Q158</f>
        <v>N.A(Yaralanma yok)</v>
      </c>
      <c r="Q161" s="129" t="str" cm="1">
        <f t="array" ref="Q161">_xlfn.IFS([3]Sayfa1!$R158="Bozankaya","Bozankaya",[3]Sayfa1!$R158="İşletme","Customer",[3]Sayfa1!$R158="Tedarikçi","Equipment Supplier")</f>
        <v>Equipment Supplier</v>
      </c>
      <c r="R161" s="130" t="str">
        <f>[3]Sayfa1!$M158</f>
        <v>RFB/+49 panoya ait RA-F01 ve RA-F02 sigortaları ilk enerji verildiğinde sigortalar 0 posizyonundaydı. Araç canlandırıldı tüm sistemler kontrollü olarak devreye alinirken sigortalarin 1 pozisyonunda devreyi tamamlanmadıgı tespit edildi. Üzerinde hiç enerji geçmemistir. 1 gün sonra 1 tanesini tekrar kontrol edildiğinde geçirdigi tespit edildi. Sigortalar stabil çalışmıyor.</v>
      </c>
      <c r="S161" s="147" t="str">
        <f>[3]Sayfa1!$AB158</f>
        <v>Ekipman değiştirilecek</v>
      </c>
      <c r="T161" s="147" t="str">
        <f>[3]Sayfa1!$AA158</f>
        <v>Evet</v>
      </c>
      <c r="U161" s="131">
        <f>[3]Sayfa1!$AN158</f>
        <v>1</v>
      </c>
      <c r="V161" s="132">
        <f>[3]Sayfa1!$T158</f>
        <v>45432</v>
      </c>
      <c r="W161" s="133">
        <f>[3]Sayfa1!$U158</f>
        <v>45432.462939814817</v>
      </c>
      <c r="X161" s="134">
        <f t="shared" si="23"/>
        <v>45432.462939814817</v>
      </c>
      <c r="Y161" s="123" t="str">
        <f>[3]Sayfa1!$AQ158</f>
        <v/>
      </c>
      <c r="Z161" s="135">
        <f>[3]Sayfa1!$AR158</f>
        <v>0</v>
      </c>
      <c r="AA161" s="134">
        <f t="shared" si="24"/>
        <v>0</v>
      </c>
      <c r="AB161" s="136">
        <f t="shared" si="25"/>
        <v>0</v>
      </c>
      <c r="AC161" s="137" t="str">
        <f t="shared" si="26"/>
        <v/>
      </c>
      <c r="AD161" s="135">
        <f t="shared" si="27"/>
        <v>0</v>
      </c>
      <c r="AE161" s="138">
        <f t="shared" si="28"/>
        <v>0</v>
      </c>
      <c r="AF161" s="139" t="str">
        <f>[3]Sayfa1!$AP158</f>
        <v>(I) İlk defa karşılaşılan arıza</v>
      </c>
      <c r="AG161" s="128" t="str">
        <f>IF([3]Sayfa1!$P158="C(Sisteme etki etmeyen arıza)","Bu Arıza Aracın Servise Verilmesine Engel Değil","Bu Arıza Aracın Servise Verilmesine Engel")</f>
        <v>Bu Arıza Aracın Servise Verilmesine Engel</v>
      </c>
      <c r="AH161" s="140">
        <f>[3]Sayfa1!$AC158</f>
        <v>0</v>
      </c>
      <c r="AI161" s="137"/>
      <c r="AJ161" s="137"/>
      <c r="AK161" s="138">
        <f t="shared" si="29"/>
        <v>0</v>
      </c>
      <c r="AL161" s="136">
        <f t="shared" si="30"/>
        <v>0</v>
      </c>
      <c r="AM161" s="136">
        <f t="shared" si="31"/>
        <v>0</v>
      </c>
      <c r="AN161" s="141">
        <f t="shared" si="32"/>
        <v>0</v>
      </c>
      <c r="AO161" s="141">
        <f>[3]Sayfa1!$X158</f>
        <v>0</v>
      </c>
      <c r="AP161" s="141">
        <f>[3]Sayfa1!$Z158</f>
        <v>0</v>
      </c>
      <c r="AQ161" s="122" t="str">
        <f>[3]Sayfa1!$W158</f>
        <v>3A SİGORTA 110V</v>
      </c>
      <c r="AR161" s="142">
        <f>[3]Sayfa1!$Y158</f>
        <v>2</v>
      </c>
      <c r="AS161" s="143">
        <f>[3]Sayfa1!$AD158</f>
        <v>0</v>
      </c>
      <c r="AT161" s="137">
        <f>[3]Sayfa1!$AE158</f>
        <v>45432</v>
      </c>
      <c r="AU161" s="137" t="str">
        <f>[3]Sayfa1!$AH158</f>
        <v/>
      </c>
      <c r="AV161" s="144">
        <v>157</v>
      </c>
      <c r="AW161" s="145" t="e">
        <f>U161*AB161*#REF!</f>
        <v>#REF!</v>
      </c>
    </row>
    <row r="162" spans="1:49" ht="101.25" customHeight="1">
      <c r="A162" s="119" t="s">
        <v>57</v>
      </c>
      <c r="B162" s="120" t="str">
        <f>[3]Sayfa1!$G159</f>
        <v>TS#6</v>
      </c>
      <c r="C162" s="121" t="str">
        <f>[3]Sayfa1!$H159</f>
        <v>Mc2</v>
      </c>
      <c r="D162" s="146">
        <f>[3]Sayfa1!$N159</f>
        <v>1</v>
      </c>
      <c r="E162" s="122" t="str">
        <f>[3]Sayfa1!$B159</f>
        <v>FRACAS-GDM-158</v>
      </c>
      <c r="F162" s="123">
        <f>[3]Sayfa1!$E159</f>
        <v>45432</v>
      </c>
      <c r="G162" s="124">
        <f>[3]Sayfa1!$F159</f>
        <v>45432.416666666664</v>
      </c>
      <c r="H162" s="119" t="str">
        <f>[3]Sayfa1!$I159</f>
        <v>Depo/Depot</v>
      </c>
      <c r="I162" s="125" t="str">
        <f>IF([3]Sayfa1!$K159="SSH","Notified by Bozankaya","Notified by Customer")</f>
        <v>Notified by Customer</v>
      </c>
      <c r="J162" s="119" t="e">
        <f>VLOOKUP([3]Sayfa1!$AU159,#REF!,2,FALSE)</f>
        <v>#REF!</v>
      </c>
      <c r="K162" s="119" t="str">
        <f>[3]Sayfa1!$V159</f>
        <v>Wabtec Faiveley Turkey Ulaşım Siste</v>
      </c>
      <c r="L162" s="126" t="str">
        <f t="shared" si="22"/>
        <v>GDM7X4-FRACAS-GDM-158</v>
      </c>
      <c r="M162" s="127" t="str">
        <f>[3]Sayfa1!$L159</f>
        <v>3A sigorta</v>
      </c>
      <c r="N162" s="128" t="str">
        <f>[3]Sayfa1!$J159</f>
        <v>A-Sürüşü engeller</v>
      </c>
      <c r="O162" s="128" t="str">
        <f>[3]Sayfa1!$P159</f>
        <v>A(Hareket etmeyi engelleyen arıza)</v>
      </c>
      <c r="P162" s="128" t="str">
        <f>[3]Sayfa1!$Q159</f>
        <v>N.A(Yaralanma yok)</v>
      </c>
      <c r="Q162" s="129" t="str" cm="1">
        <f t="array" ref="Q162">_xlfn.IFS([3]Sayfa1!$R159="Bozankaya","Bozankaya",[3]Sayfa1!$R159="İşletme","Customer",[3]Sayfa1!$R159="Tedarikçi","Equipment Supplier")</f>
        <v>Bozankaya</v>
      </c>
      <c r="R162" s="130" t="str">
        <f>[3]Sayfa1!$M159</f>
        <v>RFB/+49 panoya ait RA-F01 ve RA-F02 sigortaları ilk enerji verildiğinde sigortalar 0 posizyonundaydı. Araç canlandırıldı tüm sistemler kontrollü olarak devreye alinirken sigortalarin 1 pozisyonunda devreyi tamamlanmadıgı tespit edildi. Üzerinde hiç enerji geçmemistir. 1 gün sonra 1 tanesini tekrar kontrol edildiğinde geçirdigi tespit edildi. Sigortalar stabil çalışmıyor.</v>
      </c>
      <c r="S162" s="147" t="str">
        <f>[3]Sayfa1!$AB159</f>
        <v>Ekipman değiştirilecek</v>
      </c>
      <c r="T162" s="147" t="str">
        <f>[3]Sayfa1!$AA159</f>
        <v>Evet</v>
      </c>
      <c r="U162" s="131">
        <f>[3]Sayfa1!$AN159</f>
        <v>1</v>
      </c>
      <c r="V162" s="132">
        <f>[3]Sayfa1!$T159</f>
        <v>45432</v>
      </c>
      <c r="W162" s="133">
        <f>[3]Sayfa1!$U159</f>
        <v>45432.458333333336</v>
      </c>
      <c r="X162" s="134">
        <f t="shared" si="23"/>
        <v>45432.458333333336</v>
      </c>
      <c r="Y162" s="123" t="str">
        <f>[3]Sayfa1!$AQ159</f>
        <v/>
      </c>
      <c r="Z162" s="135">
        <f>[3]Sayfa1!$AR159</f>
        <v>0</v>
      </c>
      <c r="AA162" s="134">
        <f t="shared" si="24"/>
        <v>0</v>
      </c>
      <c r="AB162" s="136">
        <f t="shared" si="25"/>
        <v>0</v>
      </c>
      <c r="AC162" s="137" t="str">
        <f t="shared" si="26"/>
        <v/>
      </c>
      <c r="AD162" s="135">
        <f t="shared" si="27"/>
        <v>0</v>
      </c>
      <c r="AE162" s="138">
        <f t="shared" si="28"/>
        <v>0</v>
      </c>
      <c r="AF162" s="139" t="str">
        <f>[3]Sayfa1!$AP159</f>
        <v>(I) İlk defa karşılaşılan arıza</v>
      </c>
      <c r="AG162" s="128" t="str">
        <f>IF([3]Sayfa1!$P159="C(Sisteme etki etmeyen arıza)","Bu Arıza Aracın Servise Verilmesine Engel Değil","Bu Arıza Aracın Servise Verilmesine Engel")</f>
        <v>Bu Arıza Aracın Servise Verilmesine Engel</v>
      </c>
      <c r="AH162" s="140">
        <f>[3]Sayfa1!$AC159</f>
        <v>0</v>
      </c>
      <c r="AI162" s="137"/>
      <c r="AJ162" s="137"/>
      <c r="AK162" s="138">
        <f t="shared" si="29"/>
        <v>0</v>
      </c>
      <c r="AL162" s="136">
        <f t="shared" si="30"/>
        <v>0</v>
      </c>
      <c r="AM162" s="136">
        <f t="shared" si="31"/>
        <v>0</v>
      </c>
      <c r="AN162" s="141" t="str">
        <f t="shared" si="32"/>
        <v>Wabtec Faiveley Turkey Ulaşım Siste</v>
      </c>
      <c r="AO162" s="141" t="str">
        <f>[3]Sayfa1!$X159</f>
        <v>E110-8054</v>
      </c>
      <c r="AP162" s="141">
        <f>[3]Sayfa1!$Z159</f>
        <v>0</v>
      </c>
      <c r="AQ162" s="122" t="str">
        <f>[3]Sayfa1!$W159</f>
        <v>3A SİGORTA 110V</v>
      </c>
      <c r="AR162" s="142">
        <f>[3]Sayfa1!$Y159</f>
        <v>2</v>
      </c>
      <c r="AS162" s="143">
        <f>[3]Sayfa1!$AD159</f>
        <v>0</v>
      </c>
      <c r="AT162" s="137">
        <f>[3]Sayfa1!$AE159</f>
        <v>45432</v>
      </c>
      <c r="AU162" s="137" t="str">
        <f>[3]Sayfa1!$AH159</f>
        <v/>
      </c>
      <c r="AV162" s="144">
        <v>158</v>
      </c>
      <c r="AW162" s="145" t="e">
        <f>U162*AB162*#REF!</f>
        <v>#REF!</v>
      </c>
    </row>
    <row r="163" spans="1:49" ht="101.25" customHeight="1">
      <c r="A163" s="119" t="s">
        <v>57</v>
      </c>
      <c r="B163" s="120" t="str">
        <f>[3]Sayfa1!$G160</f>
        <v>TS#6</v>
      </c>
      <c r="C163" s="121" t="str">
        <f>[3]Sayfa1!$H160</f>
        <v>Mc2</v>
      </c>
      <c r="D163" s="146">
        <f>[3]Sayfa1!$N160</f>
        <v>1</v>
      </c>
      <c r="E163" s="122" t="str">
        <f>[3]Sayfa1!$B160</f>
        <v>FRACAS-GDM-159</v>
      </c>
      <c r="F163" s="123">
        <f>[3]Sayfa1!$E160</f>
        <v>45432</v>
      </c>
      <c r="G163" s="124">
        <f>[3]Sayfa1!$F160</f>
        <v>45432.416666666664</v>
      </c>
      <c r="H163" s="119" t="str">
        <f>[3]Sayfa1!$I160</f>
        <v>Depo/Depot</v>
      </c>
      <c r="I163" s="125" t="str">
        <f>IF([3]Sayfa1!$K160="SSH","Notified by Bozankaya","Notified by Customer")</f>
        <v>Notified by Customer</v>
      </c>
      <c r="J163" s="119" t="e">
        <f>VLOOKUP([3]Sayfa1!$AU160,#REF!,2,FALSE)</f>
        <v>#REF!</v>
      </c>
      <c r="K163" s="119" t="str">
        <f>[3]Sayfa1!$V160</f>
        <v>Wabtec Faiveley Turkey Ulaşım Siste</v>
      </c>
      <c r="L163" s="126" t="str">
        <f t="shared" si="22"/>
        <v>GDM7X4-FRACAS-GDM-159</v>
      </c>
      <c r="M163" s="127" t="str">
        <f>[3]Sayfa1!$L160</f>
        <v>3A Sigorta</v>
      </c>
      <c r="N163" s="128" t="str">
        <f>[3]Sayfa1!$J160</f>
        <v>A-Sürüşü engeller</v>
      </c>
      <c r="O163" s="128" t="str">
        <f>[3]Sayfa1!$P160</f>
        <v>A(Hareket etmeyi engelleyen arıza)</v>
      </c>
      <c r="P163" s="128" t="str">
        <f>[3]Sayfa1!$Q160</f>
        <v>N.A(Yaralanma yok)</v>
      </c>
      <c r="Q163" s="129" t="str" cm="1">
        <f t="array" ref="Q163">_xlfn.IFS([3]Sayfa1!$R160="Bozankaya","Bozankaya",[3]Sayfa1!$R160="İşletme","Customer",[3]Sayfa1!$R160="Tedarikçi","Equipment Supplier")</f>
        <v>Bozankaya</v>
      </c>
      <c r="R163" s="130" t="str">
        <f>[3]Sayfa1!$M160</f>
        <v>RFA/+14 panoda DP-F01 sigortasında kısa devre sonucu sigorta alev alarak çalışmaz duruma gelmiştir. Araçlarda hepsi alev almasada 3A sigortalarda genel olarak bu tür problemler oluşmaktadır.</v>
      </c>
      <c r="S163" s="147" t="str">
        <f>[3]Sayfa1!$AB160</f>
        <v>Ekipman değiştirilecek</v>
      </c>
      <c r="T163" s="147" t="str">
        <f>[3]Sayfa1!$AA160</f>
        <v>Hayır</v>
      </c>
      <c r="U163" s="131">
        <f>[3]Sayfa1!$AN160</f>
        <v>1</v>
      </c>
      <c r="V163" s="132">
        <f>[3]Sayfa1!$T160</f>
        <v>45432</v>
      </c>
      <c r="W163" s="133">
        <f>[3]Sayfa1!$U160</f>
        <v>45432.458333333336</v>
      </c>
      <c r="X163" s="134">
        <f t="shared" si="23"/>
        <v>45432.458333333336</v>
      </c>
      <c r="Y163" s="123" t="str">
        <f>[3]Sayfa1!$AQ160</f>
        <v/>
      </c>
      <c r="Z163" s="135">
        <f>[3]Sayfa1!$AR160</f>
        <v>0</v>
      </c>
      <c r="AA163" s="134">
        <f t="shared" si="24"/>
        <v>0</v>
      </c>
      <c r="AB163" s="136">
        <f t="shared" si="25"/>
        <v>0</v>
      </c>
      <c r="AC163" s="137" t="str">
        <f t="shared" si="26"/>
        <v/>
      </c>
      <c r="AD163" s="135">
        <f t="shared" si="27"/>
        <v>0</v>
      </c>
      <c r="AE163" s="138">
        <f t="shared" si="28"/>
        <v>0</v>
      </c>
      <c r="AF163" s="139" t="str">
        <f>[3]Sayfa1!$AP160</f>
        <v>(II) Birden fazla karşılaşılan arıza</v>
      </c>
      <c r="AG163" s="128" t="str">
        <f>IF([3]Sayfa1!$P160="C(Sisteme etki etmeyen arıza)","Bu Arıza Aracın Servise Verilmesine Engel Değil","Bu Arıza Aracın Servise Verilmesine Engel")</f>
        <v>Bu Arıza Aracın Servise Verilmesine Engel</v>
      </c>
      <c r="AH163" s="140">
        <f>[3]Sayfa1!$AC160</f>
        <v>0</v>
      </c>
      <c r="AI163" s="137"/>
      <c r="AJ163" s="137"/>
      <c r="AK163" s="138">
        <f t="shared" si="29"/>
        <v>0</v>
      </c>
      <c r="AL163" s="136">
        <f t="shared" si="30"/>
        <v>0</v>
      </c>
      <c r="AM163" s="136">
        <f t="shared" si="31"/>
        <v>0</v>
      </c>
      <c r="AN163" s="141" t="str">
        <f t="shared" si="32"/>
        <v>Wabtec Faiveley Turkey Ulaşım Siste</v>
      </c>
      <c r="AO163" s="141" t="str">
        <f>[3]Sayfa1!$X160</f>
        <v>E110-8054</v>
      </c>
      <c r="AP163" s="141">
        <f>[3]Sayfa1!$Z160</f>
        <v>0</v>
      </c>
      <c r="AQ163" s="122" t="str">
        <f>[3]Sayfa1!$W160</f>
        <v>3A SİGORTA 110V</v>
      </c>
      <c r="AR163" s="142">
        <f>[3]Sayfa1!$Y160</f>
        <v>1</v>
      </c>
      <c r="AS163" s="143">
        <f>[3]Sayfa1!$AD160</f>
        <v>0</v>
      </c>
      <c r="AT163" s="137" t="str">
        <f>[3]Sayfa1!$AE160</f>
        <v/>
      </c>
      <c r="AU163" s="137" t="str">
        <f>[3]Sayfa1!$AH160</f>
        <v/>
      </c>
      <c r="AV163" s="144">
        <v>159</v>
      </c>
      <c r="AW163" s="145" t="e">
        <f>U163*AB163*#REF!</f>
        <v>#REF!</v>
      </c>
    </row>
    <row r="164" spans="1:49" ht="101.25" customHeight="1">
      <c r="A164" s="119" t="s">
        <v>57</v>
      </c>
      <c r="B164" s="120" t="str">
        <f>[3]Sayfa1!$G161</f>
        <v>TS#6</v>
      </c>
      <c r="C164" s="121" t="str">
        <f>[3]Sayfa1!$H161</f>
        <v>Mc2</v>
      </c>
      <c r="D164" s="146">
        <f>[3]Sayfa1!$N161</f>
        <v>1</v>
      </c>
      <c r="E164" s="122" t="str">
        <f>[3]Sayfa1!$B161</f>
        <v>FRACAS-GDM-160</v>
      </c>
      <c r="F164" s="123">
        <f>[3]Sayfa1!$E161</f>
        <v>45432</v>
      </c>
      <c r="G164" s="124">
        <f>[3]Sayfa1!$F161</f>
        <v>45432.416666666664</v>
      </c>
      <c r="H164" s="119" t="str">
        <f>[3]Sayfa1!$I161</f>
        <v>Depo/Depot</v>
      </c>
      <c r="I164" s="125" t="str">
        <f>IF([3]Sayfa1!$K161="SSH","Notified by Bozankaya","Notified by Customer")</f>
        <v>Notified by Customer</v>
      </c>
      <c r="J164" s="119" t="e">
        <f>VLOOKUP([3]Sayfa1!$AU161,#REF!,2,FALSE)</f>
        <v>#REF!</v>
      </c>
      <c r="K164" s="119" t="str">
        <f>[3]Sayfa1!$V161</f>
        <v>PİTON BİLGİSAYAR TEKNOLOJİLERİ EĞİT</v>
      </c>
      <c r="L164" s="126" t="str">
        <f t="shared" si="22"/>
        <v>GDM7X4-FRACAS-GDM-160</v>
      </c>
      <c r="M164" s="127" t="str">
        <f>[3]Sayfa1!$L161</f>
        <v>RF modülatör</v>
      </c>
      <c r="N164" s="128" t="str">
        <f>[3]Sayfa1!$J161</f>
        <v>C-Uyarı, sürüş devamlılığı</v>
      </c>
      <c r="O164" s="128" t="str">
        <f>[3]Sayfa1!$P161</f>
        <v>C(Sisteme etki etmeyen arıza)</v>
      </c>
      <c r="P164" s="128" t="str">
        <f>[3]Sayfa1!$Q161</f>
        <v>N.A(Yaralanma yok)</v>
      </c>
      <c r="Q164" s="129" t="str" cm="1">
        <f t="array" ref="Q164">_xlfn.IFS([3]Sayfa1!$R161="Bozankaya","Bozankaya",[3]Sayfa1!$R161="İşletme","Customer",[3]Sayfa1!$R161="Tedarikçi","Equipment Supplier")</f>
        <v>Equipment Supplier</v>
      </c>
      <c r="R164" s="130" t="str">
        <f>[3]Sayfa1!$M161</f>
        <v>Araçta MC2 modülünde bulunan 2adet RF modülatör de arızalı çıkmıştır. Besleme yapıldığında ekranları çalıştırılamadı.</v>
      </c>
      <c r="S164" s="147" t="str">
        <f>[3]Sayfa1!$AB161</f>
        <v>Arıza çözülecek</v>
      </c>
      <c r="T164" s="147" t="str">
        <f>[3]Sayfa1!$AA161</f>
        <v>Evet</v>
      </c>
      <c r="U164" s="131">
        <f>[3]Sayfa1!$AN161</f>
        <v>1</v>
      </c>
      <c r="V164" s="132">
        <f>[3]Sayfa1!$T161</f>
        <v>45432</v>
      </c>
      <c r="W164" s="133">
        <f>[3]Sayfa1!$U161</f>
        <v>45432.458333333336</v>
      </c>
      <c r="X164" s="134">
        <f t="shared" si="23"/>
        <v>45432.458333333336</v>
      </c>
      <c r="Y164" s="123" t="str">
        <f>[3]Sayfa1!$AQ161</f>
        <v/>
      </c>
      <c r="Z164" s="135">
        <f>[3]Sayfa1!$AR161</f>
        <v>0</v>
      </c>
      <c r="AA164" s="134">
        <f t="shared" si="24"/>
        <v>0</v>
      </c>
      <c r="AB164" s="136">
        <f t="shared" si="25"/>
        <v>0</v>
      </c>
      <c r="AC164" s="137" t="str">
        <f t="shared" si="26"/>
        <v/>
      </c>
      <c r="AD164" s="135">
        <f t="shared" si="27"/>
        <v>0</v>
      </c>
      <c r="AE164" s="138">
        <f t="shared" si="28"/>
        <v>0</v>
      </c>
      <c r="AF164" s="139" t="str">
        <f>[3]Sayfa1!$AP161</f>
        <v>(II) Birden fazla karşılaşılan arıza</v>
      </c>
      <c r="AG164" s="128" t="str">
        <f>IF([3]Sayfa1!$P161="C(Sisteme etki etmeyen arıza)","Bu Arıza Aracın Servise Verilmesine Engel Değil","Bu Arıza Aracın Servise Verilmesine Engel")</f>
        <v>Bu Arıza Aracın Servise Verilmesine Engel Değil</v>
      </c>
      <c r="AH164" s="140">
        <f>[3]Sayfa1!$AC161</f>
        <v>0</v>
      </c>
      <c r="AI164" s="137"/>
      <c r="AJ164" s="137"/>
      <c r="AK164" s="138">
        <f t="shared" si="29"/>
        <v>0</v>
      </c>
      <c r="AL164" s="136">
        <f t="shared" si="30"/>
        <v>0</v>
      </c>
      <c r="AM164" s="136">
        <f t="shared" si="31"/>
        <v>0</v>
      </c>
      <c r="AN164" s="141" t="str">
        <f t="shared" si="32"/>
        <v>PİTON BİLGİSAYAR TEKNOLOJİLERİ EĞİT</v>
      </c>
      <c r="AO164" s="141" t="str">
        <f>[3]Sayfa1!$X161</f>
        <v>E840-8010</v>
      </c>
      <c r="AP164" s="141" t="str">
        <f>[3]Sayfa1!$Z161</f>
        <v>869023002214 , 869023002230</v>
      </c>
      <c r="AQ164" s="122" t="str">
        <f>[3]Sayfa1!$W161</f>
        <v>Multiplexer</v>
      </c>
      <c r="AR164" s="142">
        <f>[3]Sayfa1!$Y161</f>
        <v>2</v>
      </c>
      <c r="AS164" s="143">
        <f>[3]Sayfa1!$AD161</f>
        <v>0</v>
      </c>
      <c r="AT164" s="137">
        <f>[3]Sayfa1!$AE161</f>
        <v>45432</v>
      </c>
      <c r="AU164" s="137">
        <f>[3]Sayfa1!$AH161</f>
        <v>45432</v>
      </c>
      <c r="AV164" s="144">
        <v>160</v>
      </c>
      <c r="AW164" s="145" t="e">
        <f>U164*AB164*#REF!</f>
        <v>#REF!</v>
      </c>
    </row>
    <row r="165" spans="1:49" ht="101.25" customHeight="1">
      <c r="A165" s="119" t="s">
        <v>57</v>
      </c>
      <c r="B165" s="120" t="str">
        <f>[3]Sayfa1!$G162</f>
        <v>TS#6</v>
      </c>
      <c r="C165" s="121" t="str">
        <f>[3]Sayfa1!$H162</f>
        <v>Mc2</v>
      </c>
      <c r="D165" s="146">
        <f>[3]Sayfa1!$N162</f>
        <v>1</v>
      </c>
      <c r="E165" s="122" t="str">
        <f>[3]Sayfa1!$B162</f>
        <v>FRACAS-GDM-161</v>
      </c>
      <c r="F165" s="123">
        <f>[3]Sayfa1!$E162</f>
        <v>45429</v>
      </c>
      <c r="G165" s="124">
        <f>[3]Sayfa1!$F162</f>
        <v>45429.443912037037</v>
      </c>
      <c r="H165" s="119" t="str">
        <f>[3]Sayfa1!$I162</f>
        <v>Depo/Depot</v>
      </c>
      <c r="I165" s="125" t="str">
        <f>IF([3]Sayfa1!$K162="SSH","Notified by Bozankaya","Notified by Customer")</f>
        <v>Notified by Bozankaya</v>
      </c>
      <c r="J165" s="119" t="e">
        <f>VLOOKUP([3]Sayfa1!$AU162,#REF!,2,FALSE)</f>
        <v>#REF!</v>
      </c>
      <c r="K165" s="119" t="str">
        <f>[3]Sayfa1!$V162</f>
        <v>PİTON BİLGİSAYAR TEKNOLOJİLERİ EĞİT</v>
      </c>
      <c r="L165" s="126" t="str">
        <f t="shared" si="22"/>
        <v>GDM7X4-FRACAS-GDM-161</v>
      </c>
      <c r="M165" s="127" t="str">
        <f>[3]Sayfa1!$L162</f>
        <v>RF modülatör arızası</v>
      </c>
      <c r="N165" s="128" t="str">
        <f>[3]Sayfa1!$J162</f>
        <v>C-Uyarı, sürüş devamlılığı</v>
      </c>
      <c r="O165" s="128" t="str">
        <f>[3]Sayfa1!$P162</f>
        <v>C(Sisteme etki etmeyen arıza)</v>
      </c>
      <c r="P165" s="128" t="str">
        <f>[3]Sayfa1!$Q162</f>
        <v>N.A(Yaralanma yok)</v>
      </c>
      <c r="Q165" s="129" t="str" cm="1">
        <f t="array" ref="Q165">_xlfn.IFS([3]Sayfa1!$R162="Bozankaya","Bozankaya",[3]Sayfa1!$R162="İşletme","Customer",[3]Sayfa1!$R162="Tedarikçi","Equipment Supplier")</f>
        <v>Equipment Supplier</v>
      </c>
      <c r="R165" s="130" t="str">
        <f>[3]Sayfa1!$M162</f>
        <v>Araçta MC2 modülünde bulunan 2adet RF modülatör de arızalı çıkmıştır. Besleme yapıldığında ekranları çalıştırılamadı.</v>
      </c>
      <c r="S165" s="147" t="str">
        <f>[3]Sayfa1!$AB162</f>
        <v>Ekipman değiştirilecek</v>
      </c>
      <c r="T165" s="147" t="str">
        <f>[3]Sayfa1!$AA162</f>
        <v>Evet</v>
      </c>
      <c r="U165" s="131">
        <f>[3]Sayfa1!$AN162</f>
        <v>1</v>
      </c>
      <c r="V165" s="132">
        <f>[3]Sayfa1!$T162</f>
        <v>45430</v>
      </c>
      <c r="W165" s="133">
        <f>[3]Sayfa1!$U162</f>
        <v>45430.445081018515</v>
      </c>
      <c r="X165" s="134">
        <f t="shared" si="23"/>
        <v>45430.445081018515</v>
      </c>
      <c r="Y165" s="123">
        <f>[3]Sayfa1!$AQ162</f>
        <v>45433</v>
      </c>
      <c r="Z165" s="135">
        <f>[3]Sayfa1!$AR162</f>
        <v>45433.447060185186</v>
      </c>
      <c r="AA165" s="134">
        <f t="shared" si="24"/>
        <v>45433.447060185186</v>
      </c>
      <c r="AB165" s="136">
        <f t="shared" si="25"/>
        <v>72.047500000102445</v>
      </c>
      <c r="AC165" s="137">
        <f t="shared" si="26"/>
        <v>45433</v>
      </c>
      <c r="AD165" s="135">
        <f t="shared" si="27"/>
        <v>45433.447060185186</v>
      </c>
      <c r="AE165" s="138">
        <f t="shared" si="28"/>
        <v>45433.447060185186</v>
      </c>
      <c r="AF165" s="139" t="str">
        <f>[3]Sayfa1!$AP162</f>
        <v>(II) Birden fazla karşılaşılan arıza</v>
      </c>
      <c r="AG165" s="128" t="str">
        <f>IF([3]Sayfa1!$P162="C(Sisteme etki etmeyen arıza)","Bu Arıza Aracın Servise Verilmesine Engel Değil","Bu Arıza Aracın Servise Verilmesine Engel")</f>
        <v>Bu Arıza Aracın Servise Verilmesine Engel Değil</v>
      </c>
      <c r="AH165" s="140">
        <f>[3]Sayfa1!$AC162</f>
        <v>0</v>
      </c>
      <c r="AI165" s="137"/>
      <c r="AJ165" s="137"/>
      <c r="AK165" s="138">
        <f t="shared" si="29"/>
        <v>0</v>
      </c>
      <c r="AL165" s="136">
        <f t="shared" si="30"/>
        <v>4322.8500000061467</v>
      </c>
      <c r="AM165" s="136">
        <f t="shared" si="31"/>
        <v>0</v>
      </c>
      <c r="AN165" s="141" t="str">
        <f t="shared" si="32"/>
        <v>PİTON BİLGİSAYAR TEKNOLOJİLERİ EĞİT</v>
      </c>
      <c r="AO165" s="141" t="str">
        <f>[3]Sayfa1!$X162</f>
        <v>E840-8010</v>
      </c>
      <c r="AP165" s="141" t="str">
        <f>[3]Sayfa1!$Z162</f>
        <v>869023002214, 86902300223*</v>
      </c>
      <c r="AQ165" s="122" t="str">
        <f>[3]Sayfa1!$W162</f>
        <v>Multiplexer</v>
      </c>
      <c r="AR165" s="142">
        <f>[3]Sayfa1!$Y162</f>
        <v>2</v>
      </c>
      <c r="AS165" s="143">
        <f>[3]Sayfa1!$AD162</f>
        <v>0</v>
      </c>
      <c r="AT165" s="137" t="str">
        <f>[3]Sayfa1!$AE162</f>
        <v/>
      </c>
      <c r="AU165" s="137" t="str">
        <f>[3]Sayfa1!$AH162</f>
        <v/>
      </c>
      <c r="AV165" s="144">
        <v>161</v>
      </c>
      <c r="AW165" s="145" t="e">
        <f>U165*AB165*#REF!</f>
        <v>#REF!</v>
      </c>
    </row>
    <row r="166" spans="1:49" ht="101.25" customHeight="1">
      <c r="A166" s="119" t="s">
        <v>57</v>
      </c>
      <c r="B166" s="120" t="str">
        <f>[3]Sayfa1!$G163</f>
        <v>TS#6</v>
      </c>
      <c r="C166" s="121" t="str">
        <f>[3]Sayfa1!$H163</f>
        <v>Mc2</v>
      </c>
      <c r="D166" s="146">
        <f>[3]Sayfa1!$N163</f>
        <v>1</v>
      </c>
      <c r="E166" s="122" t="str">
        <f>[3]Sayfa1!$B163</f>
        <v>FRACAS-GDM-162</v>
      </c>
      <c r="F166" s="123">
        <f>[3]Sayfa1!$E163</f>
        <v>45432</v>
      </c>
      <c r="G166" s="124">
        <f>[3]Sayfa1!$F163</f>
        <v>45432.458333333336</v>
      </c>
      <c r="H166" s="119" t="str">
        <f>[3]Sayfa1!$I163</f>
        <v>Depo/Depot</v>
      </c>
      <c r="I166" s="125" t="str">
        <f>IF([3]Sayfa1!$K163="SSH","Notified by Bozankaya","Notified by Customer")</f>
        <v>Notified by Bozankaya</v>
      </c>
      <c r="J166" s="119" t="e">
        <f>VLOOKUP([3]Sayfa1!$AU163,#REF!,2,FALSE)</f>
        <v>#REF!</v>
      </c>
      <c r="K166" s="119">
        <f>[3]Sayfa1!$V163</f>
        <v>0</v>
      </c>
      <c r="L166" s="126" t="str">
        <f t="shared" ref="L166:L171" si="33">A166&amp;"-"&amp;E166</f>
        <v>GDM7X4-FRACAS-GDM-162</v>
      </c>
      <c r="M166" s="127" t="str">
        <f>[3]Sayfa1!$L163</f>
        <v>3A sigorta 110V</v>
      </c>
      <c r="N166" s="128" t="str">
        <f>[3]Sayfa1!$J163</f>
        <v>A-Sürüşü engeller</v>
      </c>
      <c r="O166" s="128" t="str">
        <f>[3]Sayfa1!$P163</f>
        <v>A(Hareket etmeyi engelleyen arıza)</v>
      </c>
      <c r="P166" s="128" t="str">
        <f>[3]Sayfa1!$Q163</f>
        <v>N.A(Yaralanma yok)</v>
      </c>
      <c r="Q166" s="129" t="str" cm="1">
        <f t="array" ref="Q166">_xlfn.IFS([3]Sayfa1!$R163="Bozankaya","Bozankaya",[3]Sayfa1!$R163="İşletme","Customer",[3]Sayfa1!$R163="Tedarikçi","Equipment Supplier")</f>
        <v>Equipment Supplier</v>
      </c>
      <c r="R166" s="130" t="str">
        <f>[3]Sayfa1!$M163</f>
        <v>RFA/+14 panoda DP-F01 sigortasında kısa devre sonucu sigorta alev alarak çalışmaz duruma gelmiştir. Araçlarda hepsi alev almasada 3A sigortalarda genel olarak bu tür problemler oluşmaktadır.</v>
      </c>
      <c r="S166" s="147" t="str">
        <f>[3]Sayfa1!$AB163</f>
        <v>Ekipman değiştirilecek</v>
      </c>
      <c r="T166" s="147" t="str">
        <f>[3]Sayfa1!$AA163</f>
        <v>Evet</v>
      </c>
      <c r="U166" s="131">
        <f>[3]Sayfa1!$AN163</f>
        <v>0</v>
      </c>
      <c r="V166" s="132">
        <f>[3]Sayfa1!$T163</f>
        <v>45432</v>
      </c>
      <c r="W166" s="133">
        <f>[3]Sayfa1!$U163</f>
        <v>45432.541666666664</v>
      </c>
      <c r="X166" s="134">
        <f t="shared" ref="X166:X171" si="34">W166</f>
        <v>45432.541666666664</v>
      </c>
      <c r="Y166" s="123" t="str">
        <f>[3]Sayfa1!$AQ163</f>
        <v/>
      </c>
      <c r="Z166" s="135">
        <f>[3]Sayfa1!$AR163</f>
        <v>0</v>
      </c>
      <c r="AA166" s="134">
        <f t="shared" ref="AA166:AA171" si="35">Z166</f>
        <v>0</v>
      </c>
      <c r="AB166" s="136">
        <f t="shared" ref="AB166:AB171" si="36">IFERROR(IF(Y166-F166&gt;0,(AA166-X166)*24,IF(OR(AND(G166&gt;AR$1,G166&lt;AS$1),AND(G166&gt;AT$1,G166&lt;AU$1)),(AA166-X166)*24,0)),0)</f>
        <v>0</v>
      </c>
      <c r="AC166" s="137" t="str">
        <f t="shared" ref="AC166:AC171" si="37">Y166</f>
        <v/>
      </c>
      <c r="AD166" s="135">
        <f t="shared" ref="AD166:AD171" si="38">Z166</f>
        <v>0</v>
      </c>
      <c r="AE166" s="138">
        <f t="shared" ref="AE166:AE171" si="39">AD166</f>
        <v>0</v>
      </c>
      <c r="AF166" s="139" t="str">
        <f>[3]Sayfa1!$AP163</f>
        <v>(II) Birden fazla karşılaşılan arıza</v>
      </c>
      <c r="AG166" s="128" t="str">
        <f>IF([3]Sayfa1!$P163="C(Sisteme etki etmeyen arıza)","Bu Arıza Aracın Servise Verilmesine Engel Değil","Bu Arıza Aracın Servise Verilmesine Engel")</f>
        <v>Bu Arıza Aracın Servise Verilmesine Engel</v>
      </c>
      <c r="AH166" s="140">
        <f>[3]Sayfa1!$AC163</f>
        <v>0</v>
      </c>
      <c r="AI166" s="137"/>
      <c r="AJ166" s="137"/>
      <c r="AK166" s="138">
        <f t="shared" si="29"/>
        <v>0</v>
      </c>
      <c r="AL166" s="136">
        <f t="shared" si="30"/>
        <v>0</v>
      </c>
      <c r="AM166" s="136">
        <f t="shared" si="31"/>
        <v>0</v>
      </c>
      <c r="AN166" s="141">
        <f t="shared" ref="AN166:AN171" si="40">K166</f>
        <v>0</v>
      </c>
      <c r="AO166" s="141">
        <f>[3]Sayfa1!$X163</f>
        <v>0</v>
      </c>
      <c r="AP166" s="141">
        <f>[3]Sayfa1!$Z163</f>
        <v>0</v>
      </c>
      <c r="AQ166" s="122" t="str">
        <f>[3]Sayfa1!$W163</f>
        <v>3A SİGORTA 110V</v>
      </c>
      <c r="AR166" s="142">
        <f>[3]Sayfa1!$Y163</f>
        <v>1</v>
      </c>
      <c r="AS166" s="143">
        <f>[3]Sayfa1!$AD163</f>
        <v>0</v>
      </c>
      <c r="AT166" s="137" t="str">
        <f>[3]Sayfa1!$AE163</f>
        <v/>
      </c>
      <c r="AU166" s="137" t="str">
        <f>[3]Sayfa1!$AH163</f>
        <v/>
      </c>
      <c r="AV166" s="144">
        <v>162</v>
      </c>
      <c r="AW166" s="145" t="e">
        <f>U166*AB166*#REF!</f>
        <v>#REF!</v>
      </c>
    </row>
    <row r="167" spans="1:49" ht="101.25" customHeight="1">
      <c r="A167" s="119" t="s">
        <v>57</v>
      </c>
      <c r="B167" s="120" t="str">
        <f>[3]Sayfa1!$G164</f>
        <v>TS#6</v>
      </c>
      <c r="C167" s="121" t="str">
        <f>[3]Sayfa1!$H164</f>
        <v>Mc2</v>
      </c>
      <c r="D167" s="146">
        <f>[3]Sayfa1!$N164</f>
        <v>1</v>
      </c>
      <c r="E167" s="122" t="str">
        <f>[3]Sayfa1!$B164</f>
        <v>FRACAS-GDM-163</v>
      </c>
      <c r="F167" s="123">
        <f>[3]Sayfa1!$E164</f>
        <v>45429</v>
      </c>
      <c r="G167" s="124">
        <f>[3]Sayfa1!$F164</f>
        <v>45429.458333333336</v>
      </c>
      <c r="H167" s="119" t="str">
        <f>[3]Sayfa1!$I164</f>
        <v>Depo/Depot</v>
      </c>
      <c r="I167" s="125" t="str">
        <f>IF([3]Sayfa1!$K164="SSH","Notified by Bozankaya","Notified by Customer")</f>
        <v>Notified by Customer</v>
      </c>
      <c r="J167" s="119" t="e">
        <f>VLOOKUP([3]Sayfa1!$AU164,#REF!,2,FALSE)</f>
        <v>#REF!</v>
      </c>
      <c r="K167" s="119">
        <f>[3]Sayfa1!$V164</f>
        <v>0</v>
      </c>
      <c r="L167" s="126" t="str">
        <f t="shared" si="33"/>
        <v>GDM7X4-FRACAS-GDM-163</v>
      </c>
      <c r="M167" s="127" t="str">
        <f>[3]Sayfa1!$L164</f>
        <v>RF modülatör</v>
      </c>
      <c r="N167" s="128" t="str">
        <f>[3]Sayfa1!$J164</f>
        <v>A-Sürüşü engeller</v>
      </c>
      <c r="O167" s="128" t="str">
        <f>[3]Sayfa1!$P164</f>
        <v>A(Hareket etmeyi engelleyen arıza)</v>
      </c>
      <c r="P167" s="128" t="str">
        <f>[3]Sayfa1!$Q164</f>
        <v>N.A(Yaralanma yok)</v>
      </c>
      <c r="Q167" s="129" t="str" cm="1">
        <f t="array" ref="Q167">_xlfn.IFS([3]Sayfa1!$R164="Bozankaya","Bozankaya",[3]Sayfa1!$R164="İşletme","Customer",[3]Sayfa1!$R164="Tedarikçi","Equipment Supplier")</f>
        <v>Equipment Supplier</v>
      </c>
      <c r="R167" s="130" t="str">
        <f>[3]Sayfa1!$M164</f>
        <v>Araçta MC2 modülünde bulunan 2adet RF modülatör de arızalı çıkmıştır. Besleme yapıldığında ekranları çalıştırılamadı.</v>
      </c>
      <c r="S167" s="147" t="str">
        <f>[3]Sayfa1!$AB164</f>
        <v>Arıza çözülecek</v>
      </c>
      <c r="T167" s="147" t="str">
        <f>[3]Sayfa1!$AA164</f>
        <v>Evet</v>
      </c>
      <c r="U167" s="131">
        <f>[3]Sayfa1!$AN164</f>
        <v>1</v>
      </c>
      <c r="V167" s="132">
        <f>[3]Sayfa1!$T164</f>
        <v>45429</v>
      </c>
      <c r="W167" s="133">
        <f>[3]Sayfa1!$U164</f>
        <v>45429.461805555555</v>
      </c>
      <c r="X167" s="134">
        <f t="shared" si="34"/>
        <v>45429.461805555555</v>
      </c>
      <c r="Y167" s="123" t="str">
        <f>[3]Sayfa1!$AQ164</f>
        <v/>
      </c>
      <c r="Z167" s="135">
        <f>[3]Sayfa1!$AR164</f>
        <v>0</v>
      </c>
      <c r="AA167" s="134">
        <f t="shared" si="35"/>
        <v>0</v>
      </c>
      <c r="AB167" s="136">
        <f t="shared" si="36"/>
        <v>0</v>
      </c>
      <c r="AC167" s="137" t="str">
        <f t="shared" si="37"/>
        <v/>
      </c>
      <c r="AD167" s="135">
        <f t="shared" si="38"/>
        <v>0</v>
      </c>
      <c r="AE167" s="138">
        <f t="shared" si="39"/>
        <v>0</v>
      </c>
      <c r="AF167" s="139" t="str">
        <f>[3]Sayfa1!$AP164</f>
        <v>(II) Birden fazla karşılaşılan arıza</v>
      </c>
      <c r="AG167" s="128" t="str">
        <f>IF([3]Sayfa1!$P164="C(Sisteme etki etmeyen arıza)","Bu Arıza Aracın Servise Verilmesine Engel Değil","Bu Arıza Aracın Servise Verilmesine Engel")</f>
        <v>Bu Arıza Aracın Servise Verilmesine Engel</v>
      </c>
      <c r="AH167" s="140">
        <f>[3]Sayfa1!$AC164</f>
        <v>0</v>
      </c>
      <c r="AI167" s="137"/>
      <c r="AJ167" s="137"/>
      <c r="AK167" s="138">
        <f t="shared" si="29"/>
        <v>0</v>
      </c>
      <c r="AL167" s="136">
        <f t="shared" si="30"/>
        <v>0</v>
      </c>
      <c r="AM167" s="136">
        <f t="shared" si="31"/>
        <v>0</v>
      </c>
      <c r="AN167" s="141">
        <f t="shared" si="40"/>
        <v>0</v>
      </c>
      <c r="AO167" s="141">
        <f>[3]Sayfa1!$X164</f>
        <v>0</v>
      </c>
      <c r="AP167" s="141" t="str">
        <f>[3]Sayfa1!$Z164</f>
        <v>869023002214 , 869023002230</v>
      </c>
      <c r="AQ167" s="122" t="str">
        <f>[3]Sayfa1!$W164</f>
        <v>Multiplexer</v>
      </c>
      <c r="AR167" s="142">
        <f>[3]Sayfa1!$Y164</f>
        <v>2</v>
      </c>
      <c r="AS167" s="143">
        <f>[3]Sayfa1!$AD164</f>
        <v>0</v>
      </c>
      <c r="AT167" s="137" t="str">
        <f>[3]Sayfa1!$AE164</f>
        <v/>
      </c>
      <c r="AU167" s="137" t="str">
        <f>[3]Sayfa1!$AH164</f>
        <v/>
      </c>
      <c r="AV167" s="144">
        <v>163</v>
      </c>
      <c r="AW167" s="145" t="e">
        <f>U167*AB167*#REF!</f>
        <v>#REF!</v>
      </c>
    </row>
    <row r="168" spans="1:49" ht="101.25" customHeight="1">
      <c r="A168" s="119" t="s">
        <v>57</v>
      </c>
      <c r="B168" s="120" t="str">
        <f>[3]Sayfa1!$G165</f>
        <v>TS#6</v>
      </c>
      <c r="C168" s="121" t="str">
        <f>[3]Sayfa1!$H165</f>
        <v>Mc2</v>
      </c>
      <c r="D168" s="146">
        <f>[3]Sayfa1!$N165</f>
        <v>1</v>
      </c>
      <c r="E168" s="122" t="str">
        <f>[3]Sayfa1!$B165</f>
        <v>FRACAS-GDM-164</v>
      </c>
      <c r="F168" s="123">
        <f>[3]Sayfa1!$E165</f>
        <v>45429</v>
      </c>
      <c r="G168" s="124">
        <f>[3]Sayfa1!$F165</f>
        <v>45429.496874999997</v>
      </c>
      <c r="H168" s="119" t="str">
        <f>[3]Sayfa1!$I165</f>
        <v>Depo/Depot</v>
      </c>
      <c r="I168" s="125" t="str">
        <f>IF([3]Sayfa1!$K165="SSH","Notified by Bozankaya","Notified by Customer")</f>
        <v>Notified by Customer</v>
      </c>
      <c r="J168" s="119" t="e">
        <f>VLOOKUP([3]Sayfa1!$AU165,#REF!,2,FALSE)</f>
        <v>#REF!</v>
      </c>
      <c r="K168" s="119">
        <f>[3]Sayfa1!$V165</f>
        <v>0</v>
      </c>
      <c r="L168" s="126" t="str">
        <f t="shared" si="33"/>
        <v>GDM7X4-FRACAS-GDM-164</v>
      </c>
      <c r="M168" s="127" t="str">
        <f>[3]Sayfa1!$L165</f>
        <v>Korna Modülü - 110VDC Horn Amplifier</v>
      </c>
      <c r="N168" s="128" t="str">
        <f>[3]Sayfa1!$J165</f>
        <v>A-Sürüşü engeller</v>
      </c>
      <c r="O168" s="128" t="str">
        <f>[3]Sayfa1!$P165</f>
        <v>A(Hareket etmeyi engelleyen arıza)</v>
      </c>
      <c r="P168" s="128" t="str">
        <f>[3]Sayfa1!$Q165</f>
        <v>N.A(Yaralanma yok)</v>
      </c>
      <c r="Q168" s="129" t="str" cm="1">
        <f t="array" ref="Q168">_xlfn.IFS([3]Sayfa1!$R165="Bozankaya","Bozankaya",[3]Sayfa1!$R165="İşletme","Customer",[3]Sayfa1!$R165="Tedarikçi","Equipment Supplier")</f>
        <v>Equipment Supplier</v>
      </c>
      <c r="R168" s="130" t="str">
        <f>[3]Sayfa1!$M165</f>
        <v>Araçta MC2 modülde bulunan korna modülü hatalı kablolama sonucu yanmıştır. Cihazın beslemesi, giriş yerine çıkış kısmından bağlanmış.  110 V verildiğinde cihazın çalışmadığı görüldü. Kablolama hatası soket kısmından düzeltilmesine rağme çalışmadı.</v>
      </c>
      <c r="S168" s="147" t="str">
        <f>[3]Sayfa1!$AB165</f>
        <v>Ekipman değiştirilecek</v>
      </c>
      <c r="T168" s="147" t="str">
        <f>[3]Sayfa1!$AA165</f>
        <v>Evet</v>
      </c>
      <c r="U168" s="131">
        <f>[3]Sayfa1!$AN165</f>
        <v>1</v>
      </c>
      <c r="V168" s="132">
        <f>[3]Sayfa1!$T165</f>
        <v>45430</v>
      </c>
      <c r="W168" s="133">
        <f>[3]Sayfa1!$U165</f>
        <v>45430.496527777781</v>
      </c>
      <c r="X168" s="134">
        <f t="shared" si="34"/>
        <v>45430.496527777781</v>
      </c>
      <c r="Y168" s="123" t="str">
        <f>[3]Sayfa1!$AQ165</f>
        <v/>
      </c>
      <c r="Z168" s="135">
        <f>[3]Sayfa1!$AR165</f>
        <v>0</v>
      </c>
      <c r="AA168" s="134">
        <f t="shared" si="35"/>
        <v>0</v>
      </c>
      <c r="AB168" s="136">
        <f t="shared" si="36"/>
        <v>0</v>
      </c>
      <c r="AC168" s="137" t="str">
        <f t="shared" si="37"/>
        <v/>
      </c>
      <c r="AD168" s="135">
        <f t="shared" si="38"/>
        <v>0</v>
      </c>
      <c r="AE168" s="138">
        <f t="shared" si="39"/>
        <v>0</v>
      </c>
      <c r="AF168" s="139" t="str">
        <f>[3]Sayfa1!$AP165</f>
        <v>(I) İlk defa karşılaşılan arıza</v>
      </c>
      <c r="AG168" s="128" t="str">
        <f>IF([3]Sayfa1!$P165="C(Sisteme etki etmeyen arıza)","Bu Arıza Aracın Servise Verilmesine Engel Değil","Bu Arıza Aracın Servise Verilmesine Engel")</f>
        <v>Bu Arıza Aracın Servise Verilmesine Engel</v>
      </c>
      <c r="AH168" s="140">
        <f>[3]Sayfa1!$AC165</f>
        <v>0</v>
      </c>
      <c r="AI168" s="137"/>
      <c r="AJ168" s="137"/>
      <c r="AK168" s="138">
        <f t="shared" si="29"/>
        <v>0</v>
      </c>
      <c r="AL168" s="136">
        <f t="shared" si="30"/>
        <v>0</v>
      </c>
      <c r="AM168" s="136">
        <f t="shared" si="31"/>
        <v>0</v>
      </c>
      <c r="AN168" s="141">
        <f t="shared" si="40"/>
        <v>0</v>
      </c>
      <c r="AO168" s="141">
        <f>[3]Sayfa1!$X165</f>
        <v>0</v>
      </c>
      <c r="AP168" s="141" t="str">
        <f>[3]Sayfa1!$Z165</f>
        <v>221004-0002</v>
      </c>
      <c r="AQ168" s="122" t="str">
        <f>[3]Sayfa1!$W165</f>
        <v>110VDC Horn Amplifier</v>
      </c>
      <c r="AR168" s="142">
        <f>[3]Sayfa1!$Y165</f>
        <v>1</v>
      </c>
      <c r="AS168" s="143">
        <f>[3]Sayfa1!$AD165</f>
        <v>0</v>
      </c>
      <c r="AT168" s="137" t="str">
        <f>[3]Sayfa1!$AE165</f>
        <v/>
      </c>
      <c r="AU168" s="137" t="str">
        <f>[3]Sayfa1!$AH165</f>
        <v/>
      </c>
      <c r="AV168" s="144">
        <v>164</v>
      </c>
      <c r="AW168" s="145" t="e">
        <f>U168*AB168*#REF!</f>
        <v>#REF!</v>
      </c>
    </row>
    <row r="169" spans="1:49" ht="101.25" customHeight="1">
      <c r="A169" s="119" t="s">
        <v>57</v>
      </c>
      <c r="B169" s="120" t="str">
        <f>[3]Sayfa1!$G166</f>
        <v>TS#1</v>
      </c>
      <c r="C169" s="121" t="str">
        <f>[3]Sayfa1!$H166</f>
        <v>Mc2</v>
      </c>
      <c r="D169" s="146">
        <f>[3]Sayfa1!$N166</f>
        <v>816</v>
      </c>
      <c r="E169" s="122" t="str">
        <f>[3]Sayfa1!$B166</f>
        <v>FRACAS-GDM-165</v>
      </c>
      <c r="F169" s="123">
        <f>[3]Sayfa1!$E166</f>
        <v>45432</v>
      </c>
      <c r="G169" s="124">
        <f>[3]Sayfa1!$F166</f>
        <v>45432.416666666664</v>
      </c>
      <c r="H169" s="119" t="str">
        <f>[3]Sayfa1!$I166</f>
        <v>Depo/Depot</v>
      </c>
      <c r="I169" s="125" t="str">
        <f>IF([3]Sayfa1!$K166="SSH","Notified by Bozankaya","Notified by Customer")</f>
        <v>Notified by Customer</v>
      </c>
      <c r="J169" s="119" t="e">
        <f>VLOOKUP([3]Sayfa1!$AU166,#REF!,2,FALSE)</f>
        <v>#REF!</v>
      </c>
      <c r="K169" s="119">
        <f>[3]Sayfa1!$V166</f>
        <v>0</v>
      </c>
      <c r="L169" s="126" t="str">
        <f t="shared" si="33"/>
        <v>GDM7X4-FRACAS-GDM-165</v>
      </c>
      <c r="M169" s="127" t="str">
        <f>[3]Sayfa1!$L166</f>
        <v>2 CO ARTECHE 110V RÖLE</v>
      </c>
      <c r="N169" s="128" t="str">
        <f>[3]Sayfa1!$J166</f>
        <v>A-Sürüşü engeller</v>
      </c>
      <c r="O169" s="128" t="str">
        <f>[3]Sayfa1!$P166</f>
        <v>A(Hareket etmeyi engelleyen arıza)</v>
      </c>
      <c r="P169" s="128" t="str">
        <f>[3]Sayfa1!$Q166</f>
        <v>N.A(Yaralanma yok)</v>
      </c>
      <c r="Q169" s="129" t="str" cm="1">
        <f t="array" ref="Q169">_xlfn.IFS([3]Sayfa1!$R166="Bozankaya","Bozankaya",[3]Sayfa1!$R166="İşletme","Customer",[3]Sayfa1!$R166="Tedarikçi","Equipment Supplier")</f>
        <v>Equipment Supplier</v>
      </c>
      <c r="R169" s="130" t="str">
        <f>[3]Sayfa1!$M166</f>
        <v>CBTC mod sıfır hız bilgisi kontrollerinde sisteme enerji verildiğinde sistemin yanıt vermediği görüldü. Kontroller sonucunda +49 ponoda RA-K05 rölesinin yandığı tespit edildi. Sebebi rölenin doğru voltajda montaj edilmediği 110V röle yerine 24v röle montajı yapıldığı enerji verildiğinde rölenin yandığı tespit edildi. Gerekli yere 2CO 110V röle montajı yapılacaktır. olması gereken röle malzeme no ya eklenmiştir.</v>
      </c>
      <c r="S169" s="147" t="str">
        <f>[3]Sayfa1!$AB166</f>
        <v>Ekipman değiştirilecek</v>
      </c>
      <c r="T169" s="147" t="str">
        <f>[3]Sayfa1!$AA166</f>
        <v>Evet</v>
      </c>
      <c r="U169" s="131">
        <f>[3]Sayfa1!$AN166</f>
        <v>1</v>
      </c>
      <c r="V169" s="132">
        <f>[3]Sayfa1!$T166</f>
        <v>45432</v>
      </c>
      <c r="W169" s="133">
        <f>[3]Sayfa1!$U166</f>
        <v>45432.625</v>
      </c>
      <c r="X169" s="134">
        <f t="shared" si="34"/>
        <v>45432.625</v>
      </c>
      <c r="Y169" s="123" t="str">
        <f>[3]Sayfa1!$AQ166</f>
        <v/>
      </c>
      <c r="Z169" s="135">
        <f>[3]Sayfa1!$AR166</f>
        <v>0</v>
      </c>
      <c r="AA169" s="134">
        <f t="shared" si="35"/>
        <v>0</v>
      </c>
      <c r="AB169" s="136">
        <f t="shared" si="36"/>
        <v>0</v>
      </c>
      <c r="AC169" s="137" t="str">
        <f t="shared" si="37"/>
        <v/>
      </c>
      <c r="AD169" s="135">
        <f t="shared" si="38"/>
        <v>0</v>
      </c>
      <c r="AE169" s="138">
        <f t="shared" si="39"/>
        <v>0</v>
      </c>
      <c r="AF169" s="139" t="str">
        <f>[3]Sayfa1!$AP166</f>
        <v>(I) İlk defa karşılaşılan arıza</v>
      </c>
      <c r="AG169" s="128" t="str">
        <f>IF([3]Sayfa1!$P166="C(Sisteme etki etmeyen arıza)","Bu Arıza Aracın Servise Verilmesine Engel Değil","Bu Arıza Aracın Servise Verilmesine Engel")</f>
        <v>Bu Arıza Aracın Servise Verilmesine Engel</v>
      </c>
      <c r="AH169" s="140">
        <f>[3]Sayfa1!$AC166</f>
        <v>0</v>
      </c>
      <c r="AI169" s="137"/>
      <c r="AJ169" s="137"/>
      <c r="AK169" s="138">
        <f t="shared" si="29"/>
        <v>0</v>
      </c>
      <c r="AL169" s="136">
        <f t="shared" si="30"/>
        <v>0</v>
      </c>
      <c r="AM169" s="136">
        <f t="shared" si="31"/>
        <v>0</v>
      </c>
      <c r="AN169" s="141">
        <f t="shared" si="40"/>
        <v>0</v>
      </c>
      <c r="AO169" s="141">
        <f>[3]Sayfa1!$X166</f>
        <v>0</v>
      </c>
      <c r="AP169" s="141">
        <f>[3]Sayfa1!$Z166</f>
        <v>0</v>
      </c>
      <c r="AQ169" s="122" t="str">
        <f>[3]Sayfa1!$W166</f>
        <v>2 CO ARTECHE 110V RÖLE</v>
      </c>
      <c r="AR169" s="142">
        <f>[3]Sayfa1!$Y166</f>
        <v>1</v>
      </c>
      <c r="AS169" s="143">
        <f>[3]Sayfa1!$AD166</f>
        <v>0</v>
      </c>
      <c r="AT169" s="137" t="str">
        <f>[3]Sayfa1!$AE166</f>
        <v/>
      </c>
      <c r="AU169" s="137" t="str">
        <f>[3]Sayfa1!$AH166</f>
        <v/>
      </c>
      <c r="AV169" s="144">
        <v>165</v>
      </c>
      <c r="AW169" s="145" t="e">
        <f>U169*AB169*#REF!</f>
        <v>#REF!</v>
      </c>
    </row>
    <row r="170" spans="1:49" ht="101.25" customHeight="1">
      <c r="A170" s="119" t="s">
        <v>57</v>
      </c>
      <c r="B170" s="120" t="str">
        <f>[3]Sayfa1!$G167</f>
        <v>TS#4</v>
      </c>
      <c r="C170" s="121" t="str">
        <f>[3]Sayfa1!$H167</f>
        <v>Mc1</v>
      </c>
      <c r="D170" s="146">
        <f>[3]Sayfa1!$N167</f>
        <v>1</v>
      </c>
      <c r="E170" s="122" t="str">
        <f>[3]Sayfa1!$B167</f>
        <v>FRACAS-GDM-166</v>
      </c>
      <c r="F170" s="123">
        <f>[3]Sayfa1!$E167</f>
        <v>45433</v>
      </c>
      <c r="G170" s="124">
        <f>[3]Sayfa1!$F167</f>
        <v>45433.416666666664</v>
      </c>
      <c r="H170" s="119" t="str">
        <f>[3]Sayfa1!$I167</f>
        <v>Depo/Depot</v>
      </c>
      <c r="I170" s="125" t="str">
        <f>IF([3]Sayfa1!$K167="SSH","Notified by Bozankaya","Notified by Customer")</f>
        <v>Notified by Customer</v>
      </c>
      <c r="J170" s="119" t="e">
        <f>VLOOKUP([3]Sayfa1!$AU167,#REF!,2,FALSE)</f>
        <v>#REF!</v>
      </c>
      <c r="K170" s="119">
        <f>[3]Sayfa1!$V167</f>
        <v>0</v>
      </c>
      <c r="L170" s="126" t="str">
        <f t="shared" si="33"/>
        <v>GDM7X4-FRACAS-GDM-166</v>
      </c>
      <c r="M170" s="127" t="str">
        <f>[3]Sayfa1!$L167</f>
        <v>AYDINLATMA KAPAĞI</v>
      </c>
      <c r="N170" s="128" t="str">
        <f>[3]Sayfa1!$J167</f>
        <v>A-Sürüşü engeller</v>
      </c>
      <c r="O170" s="128" t="str">
        <f>[3]Sayfa1!$P167</f>
        <v>A(Hareket etmeyi engelleyen arıza)</v>
      </c>
      <c r="P170" s="128" t="str">
        <f>[3]Sayfa1!$Q167</f>
        <v>N.A(Yaralanma yok)</v>
      </c>
      <c r="Q170" s="129" t="str" cm="1">
        <f t="array" ref="Q170">_xlfn.IFS([3]Sayfa1!$R167="Bozankaya","Bozankaya",[3]Sayfa1!$R167="İşletme","Customer",[3]Sayfa1!$R167="Tedarikçi","Equipment Supplier")</f>
        <v>Bozankaya</v>
      </c>
      <c r="R170" s="130" t="str">
        <f>[3]Sayfa1!$M167</f>
        <v>Körük aydınlatmasının ortasındaki kapak sabitlendiği yerden ayrılarak düştüğü tespit edildi. Araçlar güneşte kaldığında ısının artması sonucu olduğunu tahmin ediyoruz.</v>
      </c>
      <c r="S170" s="147" t="str">
        <f>[3]Sayfa1!$AB167</f>
        <v>Arıza çözülecek</v>
      </c>
      <c r="T170" s="147" t="str">
        <f>[3]Sayfa1!$AA167</f>
        <v>Hayır</v>
      </c>
      <c r="U170" s="131">
        <f>[3]Sayfa1!$AN167</f>
        <v>0</v>
      </c>
      <c r="V170" s="132">
        <f>[3]Sayfa1!$T167</f>
        <v>45433</v>
      </c>
      <c r="W170" s="133">
        <f>[3]Sayfa1!$U167</f>
        <v>45433.458333333336</v>
      </c>
      <c r="X170" s="134">
        <f t="shared" si="34"/>
        <v>45433.458333333336</v>
      </c>
      <c r="Y170" s="123" t="str">
        <f>[3]Sayfa1!$AQ167</f>
        <v/>
      </c>
      <c r="Z170" s="135">
        <f>[3]Sayfa1!$AR167</f>
        <v>0</v>
      </c>
      <c r="AA170" s="134">
        <f t="shared" si="35"/>
        <v>0</v>
      </c>
      <c r="AB170" s="136">
        <f t="shared" si="36"/>
        <v>0</v>
      </c>
      <c r="AC170" s="137" t="str">
        <f t="shared" si="37"/>
        <v/>
      </c>
      <c r="AD170" s="135">
        <f t="shared" si="38"/>
        <v>0</v>
      </c>
      <c r="AE170" s="138">
        <f t="shared" si="39"/>
        <v>0</v>
      </c>
      <c r="AF170" s="139" t="str">
        <f>[3]Sayfa1!$AP167</f>
        <v>(I) İlk defa karşılaşılan arıza</v>
      </c>
      <c r="AG170" s="128" t="str">
        <f>IF([3]Sayfa1!$P167="C(Sisteme etki etmeyen arıza)","Bu Arıza Aracın Servise Verilmesine Engel Değil","Bu Arıza Aracın Servise Verilmesine Engel")</f>
        <v>Bu Arıza Aracın Servise Verilmesine Engel</v>
      </c>
      <c r="AH170" s="140">
        <f>[3]Sayfa1!$AC167</f>
        <v>0</v>
      </c>
      <c r="AI170" s="137"/>
      <c r="AJ170" s="137"/>
      <c r="AK170" s="138">
        <f t="shared" si="29"/>
        <v>0</v>
      </c>
      <c r="AL170" s="136">
        <f t="shared" si="30"/>
        <v>0</v>
      </c>
      <c r="AM170" s="136">
        <f t="shared" si="31"/>
        <v>0</v>
      </c>
      <c r="AN170" s="141">
        <f t="shared" si="40"/>
        <v>0</v>
      </c>
      <c r="AO170" s="141">
        <f>[3]Sayfa1!$X167</f>
        <v>0</v>
      </c>
      <c r="AP170" s="141">
        <f>[3]Sayfa1!$Z167</f>
        <v>0</v>
      </c>
      <c r="AQ170" s="122">
        <f>[3]Sayfa1!$W167</f>
        <v>0</v>
      </c>
      <c r="AR170" s="142">
        <f>[3]Sayfa1!$Y167</f>
        <v>1</v>
      </c>
      <c r="AS170" s="143">
        <f>[3]Sayfa1!$AD167</f>
        <v>0</v>
      </c>
      <c r="AT170" s="137" t="str">
        <f>[3]Sayfa1!$AE167</f>
        <v/>
      </c>
      <c r="AU170" s="137" t="str">
        <f>[3]Sayfa1!$AH167</f>
        <v/>
      </c>
      <c r="AV170" s="144">
        <v>166</v>
      </c>
      <c r="AW170" s="145" t="e">
        <f>U170*AB170*#REF!</f>
        <v>#REF!</v>
      </c>
    </row>
    <row r="171" spans="1:49" ht="101.25" customHeight="1">
      <c r="A171" s="119" t="s">
        <v>57</v>
      </c>
      <c r="B171" s="120" t="str">
        <f>[3]Sayfa1!$G168</f>
        <v>TS#2</v>
      </c>
      <c r="C171" s="121" t="str">
        <f>[3]Sayfa1!$H168</f>
        <v>Mc1</v>
      </c>
      <c r="D171" s="146">
        <f>[3]Sayfa1!$N168</f>
        <v>1</v>
      </c>
      <c r="E171" s="122" t="str">
        <f>[3]Sayfa1!$B168</f>
        <v>FRACAS-GDM-167</v>
      </c>
      <c r="F171" s="123">
        <f>[3]Sayfa1!$E168</f>
        <v>45441</v>
      </c>
      <c r="G171" s="124">
        <f>[3]Sayfa1!$F168</f>
        <v>45441.416666666664</v>
      </c>
      <c r="H171" s="119" t="str">
        <f>[3]Sayfa1!$I168</f>
        <v>Depo/Depot</v>
      </c>
      <c r="I171" s="125" t="str">
        <f>IF([3]Sayfa1!$K168="SSH","Notified by Bozankaya","Notified by Customer")</f>
        <v>Notified by Customer</v>
      </c>
      <c r="J171" s="119" t="e">
        <f>VLOOKUP([3]Sayfa1!$AU168,#REF!,2,FALSE)</f>
        <v>#REF!</v>
      </c>
      <c r="K171" s="119" t="str">
        <f>[3]Sayfa1!$V168</f>
        <v>PİTON BİLGİSAYAR TEKNOLOJİLERİ EĞİT</v>
      </c>
      <c r="L171" s="126" t="str">
        <f t="shared" si="33"/>
        <v>GDM7X4-FRACAS-GDM-167</v>
      </c>
      <c r="M171" s="127" t="str">
        <f>[3]Sayfa1!$L168</f>
        <v>Kuğu Boynu Mikrofonu</v>
      </c>
      <c r="N171" s="128" t="str">
        <f>[3]Sayfa1!$J168</f>
        <v>A-Sürüşü engeller</v>
      </c>
      <c r="O171" s="128" t="str">
        <f>[3]Sayfa1!$P168</f>
        <v>A(Hareket etmeyi engelleyen arıza)</v>
      </c>
      <c r="P171" s="128" t="str">
        <f>[3]Sayfa1!$Q168</f>
        <v>N.A(Yaralanma yok)</v>
      </c>
      <c r="Q171" s="129" t="str" cm="1">
        <f t="array" ref="Q171">_xlfn.IFS([3]Sayfa1!$R168="Bozankaya","Bozankaya",[3]Sayfa1!$R168="İşletme","Customer",[3]Sayfa1!$R168="Tedarikçi","Equipment Supplier")</f>
        <v>Equipment Supplier</v>
      </c>
      <c r="R171" s="130" t="str">
        <f>[3]Sayfa1!$M168</f>
        <v>GDM2 aracı mc1 modüldeki swanneck mikrofon devreye alma sürecinde çalışmadığı görülmüş, çalışan sistemde tekrardan denenip kontrolü yapılmış arızalı olduğuna kanaat getirilmiştir.</v>
      </c>
      <c r="S171" s="147" t="str">
        <f>[3]Sayfa1!$AB168</f>
        <v>Ekipman değiştirilecek</v>
      </c>
      <c r="T171" s="147" t="str">
        <f>[3]Sayfa1!$AA168</f>
        <v>Evet</v>
      </c>
      <c r="U171" s="131">
        <f>[3]Sayfa1!$AN168</f>
        <v>0</v>
      </c>
      <c r="V171" s="132">
        <f>[3]Sayfa1!$T168</f>
        <v>45441</v>
      </c>
      <c r="W171" s="133">
        <f>[3]Sayfa1!$U168</f>
        <v>45441.458333333336</v>
      </c>
      <c r="X171" s="134">
        <f t="shared" si="34"/>
        <v>45441.458333333336</v>
      </c>
      <c r="Y171" s="123" t="str">
        <f>[3]Sayfa1!$AQ168</f>
        <v/>
      </c>
      <c r="Z171" s="135">
        <f>[3]Sayfa1!$AR168</f>
        <v>0</v>
      </c>
      <c r="AA171" s="134">
        <f t="shared" si="35"/>
        <v>0</v>
      </c>
      <c r="AB171" s="136">
        <f t="shared" si="36"/>
        <v>0</v>
      </c>
      <c r="AC171" s="137" t="str">
        <f t="shared" si="37"/>
        <v/>
      </c>
      <c r="AD171" s="135">
        <f t="shared" si="38"/>
        <v>0</v>
      </c>
      <c r="AE171" s="138">
        <f t="shared" si="39"/>
        <v>0</v>
      </c>
      <c r="AF171" s="139" t="str">
        <f>[3]Sayfa1!$AP168</f>
        <v>(I) İlk defa karşılaşılan arıza</v>
      </c>
      <c r="AG171" s="128" t="str">
        <f>IF([3]Sayfa1!$P168="C(Sisteme etki etmeyen arıza)","Bu Arıza Aracın Servise Verilmesine Engel Değil","Bu Arıza Aracın Servise Verilmesine Engel")</f>
        <v>Bu Arıza Aracın Servise Verilmesine Engel</v>
      </c>
      <c r="AH171" s="140">
        <f>[3]Sayfa1!$AC168</f>
        <v>0</v>
      </c>
      <c r="AI171" s="137"/>
      <c r="AJ171" s="137"/>
      <c r="AK171" s="138">
        <f t="shared" si="29"/>
        <v>0</v>
      </c>
      <c r="AL171" s="136">
        <f t="shared" si="30"/>
        <v>0</v>
      </c>
      <c r="AM171" s="136">
        <f t="shared" si="31"/>
        <v>0</v>
      </c>
      <c r="AN171" s="141" t="str">
        <f t="shared" si="40"/>
        <v>PİTON BİLGİSAYAR TEKNOLOJİLERİ EĞİT</v>
      </c>
      <c r="AO171" s="141">
        <f>[3]Sayfa1!$X168</f>
        <v>0</v>
      </c>
      <c r="AP171" s="141" t="str">
        <f>[3]Sayfa1!$Z168</f>
        <v>S000006</v>
      </c>
      <c r="AQ171" s="122" t="str">
        <f>[3]Sayfa1!$W168</f>
        <v>E820-8006/Kuğu Boynu Mikrofon 2 Tuşlu</v>
      </c>
      <c r="AR171" s="142">
        <f>[3]Sayfa1!$Y168</f>
        <v>1</v>
      </c>
      <c r="AS171" s="143">
        <f>[3]Sayfa1!$AD168</f>
        <v>0</v>
      </c>
      <c r="AT171" s="137" t="str">
        <f>[3]Sayfa1!$AE168</f>
        <v/>
      </c>
      <c r="AU171" s="137" t="str">
        <f>[3]Sayfa1!$AH168</f>
        <v/>
      </c>
      <c r="AV171" s="144">
        <v>167</v>
      </c>
      <c r="AW171" s="145" t="e">
        <f>U171*AB171*#REF!</f>
        <v>#REF!</v>
      </c>
    </row>
    <row r="172" spans="1:49" ht="101.25" customHeight="1">
      <c r="A172" s="119" t="s">
        <v>57</v>
      </c>
      <c r="B172" s="120" t="str">
        <f>[3]Sayfa1!$G169</f>
        <v>TS#7</v>
      </c>
      <c r="C172" s="121" t="str">
        <f>[3]Sayfa1!$H169</f>
        <v>T</v>
      </c>
      <c r="D172" s="146">
        <f>[3]Sayfa1!$N169</f>
        <v>2</v>
      </c>
      <c r="E172" s="122" t="str">
        <f>[3]Sayfa1!$B169</f>
        <v>FRACAS-GDM-168</v>
      </c>
      <c r="F172" s="123">
        <f>[3]Sayfa1!$E169</f>
        <v>45636</v>
      </c>
      <c r="G172" s="124">
        <f>[3]Sayfa1!$F169</f>
        <v>45636.449131944442</v>
      </c>
      <c r="H172" s="119" t="str">
        <f>[3]Sayfa1!$I169</f>
        <v>Depo/Depot</v>
      </c>
      <c r="I172" s="125" t="str">
        <f>IF([3]Sayfa1!$K169="SSH","Notified by Bozankaya","Notified by Customer")</f>
        <v>Notified by Bozankaya</v>
      </c>
      <c r="J172" s="119" t="e">
        <f>VLOOKUP([3]Sayfa1!$AU169,#REF!,2,FALSE)</f>
        <v>#REF!</v>
      </c>
      <c r="K172" s="119" t="str">
        <f>[3]Sayfa1!$V169</f>
        <v>Wabtec Faiveley Turkey Ulaşım Siste</v>
      </c>
      <c r="L172" s="126" t="str">
        <f t="shared" ref="L172:L173" si="41">A172&amp;"-"&amp;E172</f>
        <v>GDM7X4-FRACAS-GDM-168</v>
      </c>
      <c r="M172" s="127" t="str">
        <f>[3]Sayfa1!$L169</f>
        <v>3A sigorta kırılması</v>
      </c>
      <c r="N172" s="128" t="str">
        <f>[3]Sayfa1!$J169</f>
        <v>C-Uyarı, sürüş devamlılığı</v>
      </c>
      <c r="O172" s="128" t="str">
        <f>[3]Sayfa1!$P169</f>
        <v>C(Sisteme etki etmeyen arıza)</v>
      </c>
      <c r="P172" s="128" t="str">
        <f>[3]Sayfa1!$Q169</f>
        <v>N.A(Yaralanma yok)</v>
      </c>
      <c r="Q172" s="129" t="str" cm="1">
        <f t="array" ref="Q172">_xlfn.IFS([3]Sayfa1!$R169="Bozankaya","Bozankaya",[3]Sayfa1!$R169="İşletme","Customer",[3]Sayfa1!$R169="Tedarikçi","Equipment Supplier")</f>
        <v>Bozankaya</v>
      </c>
      <c r="R172" s="130" t="str">
        <f>[3]Sayfa1!$M169</f>
        <v>SSH stoktan değiştirildi</v>
      </c>
      <c r="S172" s="147" t="str">
        <f>[3]Sayfa1!$AB169</f>
        <v>Ekipman değiştirilecek</v>
      </c>
      <c r="T172" s="147" t="str">
        <f>[3]Sayfa1!$AA169</f>
        <v>Hayır</v>
      </c>
      <c r="U172" s="131">
        <f>[3]Sayfa1!$AN169</f>
        <v>0</v>
      </c>
      <c r="V172" s="132">
        <f>[3]Sayfa1!$T169</f>
        <v>45441</v>
      </c>
      <c r="W172" s="133">
        <f>[3]Sayfa1!$U169</f>
        <v>45441.451307870368</v>
      </c>
      <c r="X172" s="134">
        <f t="shared" ref="X172:X173" si="42">W172</f>
        <v>45441.451307870368</v>
      </c>
      <c r="Y172" s="123" t="str">
        <f>[3]Sayfa1!$AQ169</f>
        <v/>
      </c>
      <c r="Z172" s="135">
        <f>[3]Sayfa1!$AR169</f>
        <v>0</v>
      </c>
      <c r="AA172" s="134">
        <f t="shared" ref="AA172:AA173" si="43">Z172</f>
        <v>0</v>
      </c>
      <c r="AB172" s="136">
        <f t="shared" ref="AB172:AB173" si="44">IFERROR(IF(Y172-F172&gt;0,(AA172-X172)*24,IF(OR(AND(G172&gt;AR$1,G172&lt;AS$1),AND(G172&gt;AT$1,G172&lt;AU$1)),(AA172-X172)*24,0)),0)</f>
        <v>0</v>
      </c>
      <c r="AC172" s="137" t="str">
        <f t="shared" ref="AC172:AC173" si="45">Y172</f>
        <v/>
      </c>
      <c r="AD172" s="135">
        <f t="shared" ref="AD172:AD173" si="46">Z172</f>
        <v>0</v>
      </c>
      <c r="AE172" s="138">
        <f t="shared" ref="AE172:AE173" si="47">AD172</f>
        <v>0</v>
      </c>
      <c r="AF172" s="139" t="str">
        <f>[3]Sayfa1!$AP169</f>
        <v>(I) İlk defa karşılaşılan arıza</v>
      </c>
      <c r="AG172" s="128" t="str">
        <f>IF([3]Sayfa1!$P169="C(Sisteme etki etmeyen arıza)","Bu Arıza Aracın Servise Verilmesine Engel Değil","Bu Arıza Aracın Servise Verilmesine Engel")</f>
        <v>Bu Arıza Aracın Servise Verilmesine Engel Değil</v>
      </c>
      <c r="AH172" s="140">
        <f>[3]Sayfa1!$AC169</f>
        <v>0</v>
      </c>
      <c r="AI172" s="137"/>
      <c r="AJ172" s="137"/>
      <c r="AK172" s="138">
        <f t="shared" si="29"/>
        <v>0</v>
      </c>
      <c r="AL172" s="136">
        <f t="shared" si="30"/>
        <v>0</v>
      </c>
      <c r="AM172" s="136">
        <f t="shared" si="31"/>
        <v>0</v>
      </c>
      <c r="AN172" s="141" t="str">
        <f t="shared" ref="AN172:AN173" si="48">K172</f>
        <v>Wabtec Faiveley Turkey Ulaşım Siste</v>
      </c>
      <c r="AO172" s="141">
        <f>[3]Sayfa1!$X169</f>
        <v>0</v>
      </c>
      <c r="AP172" s="141" t="str">
        <f>[3]Sayfa1!$Z169</f>
        <v>2220R</v>
      </c>
      <c r="AQ172" s="122" t="str">
        <f>[3]Sayfa1!$W169</f>
        <v>E110-8054/3A SİGORTA 110V</v>
      </c>
      <c r="AR172" s="142">
        <f>[3]Sayfa1!$Y169</f>
        <v>1</v>
      </c>
      <c r="AS172" s="143">
        <f>[3]Sayfa1!$AD169</f>
        <v>0</v>
      </c>
      <c r="AT172" s="137" t="str">
        <f>[3]Sayfa1!$AE169</f>
        <v/>
      </c>
      <c r="AU172" s="137" t="str">
        <f>[3]Sayfa1!$AH169</f>
        <v/>
      </c>
      <c r="AV172" s="144">
        <v>168</v>
      </c>
      <c r="AW172" s="145" t="e">
        <f>U172*AB172*#REF!</f>
        <v>#REF!</v>
      </c>
    </row>
    <row r="173" spans="1:49" ht="134.25" customHeight="1">
      <c r="A173" s="119" t="s">
        <v>57</v>
      </c>
      <c r="B173" s="120" t="str">
        <f>[3]Sayfa1!$G170</f>
        <v>TS#2</v>
      </c>
      <c r="C173" s="121" t="str">
        <f>[3]Sayfa1!$H170</f>
        <v>Mc2</v>
      </c>
      <c r="D173" s="146">
        <f>[3]Sayfa1!$N170</f>
        <v>2</v>
      </c>
      <c r="E173" s="122" t="str">
        <f>[3]Sayfa1!$B170</f>
        <v>FRACAS-GDM-169</v>
      </c>
      <c r="F173" s="123">
        <f>[3]Sayfa1!$E170</f>
        <v>45447</v>
      </c>
      <c r="G173" s="124">
        <f>[3]Sayfa1!$F170</f>
        <v>45447.461076388892</v>
      </c>
      <c r="H173" s="119" t="str">
        <f>[3]Sayfa1!$I170</f>
        <v>Depo/Depot</v>
      </c>
      <c r="I173" s="125" t="str">
        <f>IF([3]Sayfa1!$K170="SSH","Notified by Bozankaya","Notified by Customer")</f>
        <v>Notified by Bozankaya</v>
      </c>
      <c r="J173" s="119" t="e">
        <f>VLOOKUP([3]Sayfa1!$AU170,#REF!,2,FALSE)</f>
        <v>#REF!</v>
      </c>
      <c r="K173" s="119" t="str">
        <f>[3]Sayfa1!$V170</f>
        <v>PİTON BİLGİSAYAR TEKNOLOJİLERİ EĞİT</v>
      </c>
      <c r="L173" s="126" t="str">
        <f t="shared" si="41"/>
        <v>GDM7X4-FRACAS-GDM-169</v>
      </c>
      <c r="M173" s="127" t="str">
        <f>[3]Sayfa1!$L170</f>
        <v>Tap dağıtıcı arızası</v>
      </c>
      <c r="N173" s="128" t="str">
        <f>[3]Sayfa1!$J170</f>
        <v>C-Uyarı, sürüş devamlılığı</v>
      </c>
      <c r="O173" s="128" t="str">
        <f>[3]Sayfa1!$P170</f>
        <v>C(Sisteme etki etmeyen arıza)</v>
      </c>
      <c r="P173" s="128" t="str">
        <f>[3]Sayfa1!$Q170</f>
        <v>N.A(Yaralanma yok)</v>
      </c>
      <c r="Q173" s="129" t="str" cm="1">
        <f t="array" ref="Q173">_xlfn.IFS([3]Sayfa1!$R170="Bozankaya","Bozankaya",[3]Sayfa1!$R170="İşletme","Customer",[3]Sayfa1!$R170="Tedarikçi","Equipment Supplier")</f>
        <v>Equipment Supplier</v>
      </c>
      <c r="R173" s="130" t="str">
        <f>[3]Sayfa1!$M170</f>
        <v>SSH stok malzemesinden değiştirildi</v>
      </c>
      <c r="S173" s="147" t="str">
        <f>[3]Sayfa1!$AB170</f>
        <v>Ekipman değiştirilecek</v>
      </c>
      <c r="T173" s="147" t="str">
        <f>[3]Sayfa1!$AA170</f>
        <v>Evet</v>
      </c>
      <c r="U173" s="131">
        <f>[3]Sayfa1!$AN170</f>
        <v>1</v>
      </c>
      <c r="V173" s="132">
        <f>[3]Sayfa1!$T170</f>
        <v>45450</v>
      </c>
      <c r="W173" s="133">
        <f>[3]Sayfa1!$U170</f>
        <v>45450.464756944442</v>
      </c>
      <c r="X173" s="134">
        <f t="shared" si="42"/>
        <v>45450.464756944442</v>
      </c>
      <c r="Y173" s="123">
        <f>[3]Sayfa1!$AQ170</f>
        <v>45450</v>
      </c>
      <c r="Z173" s="135">
        <f>[3]Sayfa1!$AR170</f>
        <v>45450.464050925926</v>
      </c>
      <c r="AA173" s="134">
        <f t="shared" si="43"/>
        <v>45450.464050925926</v>
      </c>
      <c r="AB173" s="136">
        <f t="shared" si="44"/>
        <v>-1.6944444389082491E-2</v>
      </c>
      <c r="AC173" s="137">
        <f t="shared" si="45"/>
        <v>45450</v>
      </c>
      <c r="AD173" s="135">
        <f t="shared" si="46"/>
        <v>45450.464050925926</v>
      </c>
      <c r="AE173" s="138">
        <f t="shared" si="47"/>
        <v>45450.464050925926</v>
      </c>
      <c r="AF173" s="139" t="str">
        <f>[3]Sayfa1!$AP170</f>
        <v>(II) Birden fazla karşılaşılan arıza</v>
      </c>
      <c r="AG173" s="128" t="str">
        <f>IF([3]Sayfa1!$P170="C(Sisteme etki etmeyen arıza)","Bu Arıza Aracın Servise Verilmesine Engel Değil","Bu Arıza Aracın Servise Verilmesine Engel")</f>
        <v>Bu Arıza Aracın Servise Verilmesine Engel Değil</v>
      </c>
      <c r="AH173" s="140">
        <f>[3]Sayfa1!$AC170</f>
        <v>0</v>
      </c>
      <c r="AI173" s="137"/>
      <c r="AJ173" s="137"/>
      <c r="AK173" s="138">
        <f t="shared" si="29"/>
        <v>0</v>
      </c>
      <c r="AL173" s="136">
        <f t="shared" si="30"/>
        <v>-1.0166666633449495</v>
      </c>
      <c r="AM173" s="136">
        <f t="shared" si="31"/>
        <v>0</v>
      </c>
      <c r="AN173" s="141" t="str">
        <f t="shared" si="48"/>
        <v>PİTON BİLGİSAYAR TEKNOLOJİLERİ EĞİT</v>
      </c>
      <c r="AO173" s="141">
        <f>[3]Sayfa1!$X170</f>
        <v>0</v>
      </c>
      <c r="AP173" s="141">
        <f>[3]Sayfa1!$Z170</f>
        <v>0</v>
      </c>
      <c r="AQ173" s="122">
        <f>[3]Sayfa1!$W170</f>
        <v>0</v>
      </c>
      <c r="AR173" s="142">
        <f>[3]Sayfa1!$Y170</f>
        <v>1</v>
      </c>
      <c r="AS173" s="143">
        <f>[3]Sayfa1!$AD170</f>
        <v>0</v>
      </c>
      <c r="AT173" s="137" t="str">
        <f>[3]Sayfa1!$AE170</f>
        <v/>
      </c>
      <c r="AU173" s="137" t="str">
        <f>[3]Sayfa1!$AH170</f>
        <v/>
      </c>
      <c r="AV173" s="144">
        <v>169</v>
      </c>
      <c r="AW173" s="145" t="e">
        <f>U173*AB173*#REF!</f>
        <v>#REF!</v>
      </c>
    </row>
    <row r="174" spans="1:49" ht="101.25" customHeight="1">
      <c r="A174" s="119" t="s">
        <v>57</v>
      </c>
      <c r="B174" s="120" t="str">
        <f>[3]Sayfa1!$G171</f>
        <v>TS#2</v>
      </c>
      <c r="C174" s="121" t="str">
        <f>[3]Sayfa1!$H171</f>
        <v>Mc1</v>
      </c>
      <c r="D174" s="146">
        <f>[3]Sayfa1!$N171</f>
        <v>1</v>
      </c>
      <c r="E174" s="122" t="str">
        <f>[3]Sayfa1!$B171</f>
        <v>FRACAS-GDM-170</v>
      </c>
      <c r="F174" s="123">
        <f>[3]Sayfa1!$E171</f>
        <v>45448</v>
      </c>
      <c r="G174" s="124">
        <f>[3]Sayfa1!$F171</f>
        <v>45448.460590277777</v>
      </c>
      <c r="H174" s="119" t="str">
        <f>[3]Sayfa1!$I171</f>
        <v>Depo/Depot</v>
      </c>
      <c r="I174" s="125" t="str">
        <f>IF([3]Sayfa1!$K171="SSH","Notified by Bozankaya","Notified by Customer")</f>
        <v>Notified by Customer</v>
      </c>
      <c r="J174" s="119" t="e">
        <f>VLOOKUP([3]Sayfa1!$AU171,#REF!,2,FALSE)</f>
        <v>#REF!</v>
      </c>
      <c r="K174" s="119" t="str">
        <f>[3]Sayfa1!$V171</f>
        <v>WAGO ELEKTRİK SAN.VE TİC.LTD.ŞTİ.</v>
      </c>
      <c r="L174" s="126" t="str">
        <f t="shared" ref="L174:L191" si="49">A174&amp;"-"&amp;E174</f>
        <v>GDM7X4-FRACAS-GDM-170</v>
      </c>
      <c r="M174" s="127" t="str">
        <f>[3]Sayfa1!$L171</f>
        <v>Diotlu klemens arızası</v>
      </c>
      <c r="N174" s="128" t="str">
        <f>[3]Sayfa1!$J171</f>
        <v>C-Uyarı, sürüş devamlılığı</v>
      </c>
      <c r="O174" s="128" t="str">
        <f>[3]Sayfa1!$P171</f>
        <v>A(Hareket etmeyi engelleyen arıza)</v>
      </c>
      <c r="P174" s="128" t="str">
        <f>[3]Sayfa1!$Q171</f>
        <v>N.A(Yaralanma yok)</v>
      </c>
      <c r="Q174" s="129" t="str" cm="1">
        <f t="array" ref="Q174">_xlfn.IFS([3]Sayfa1!$R171="Bozankaya","Bozankaya",[3]Sayfa1!$R171="İşletme","Customer",[3]Sayfa1!$R171="Tedarikçi","Equipment Supplier")</f>
        <v>Equipment Supplier</v>
      </c>
      <c r="R174" s="130" t="str">
        <f>[3]Sayfa1!$M171</f>
        <v>MC1 +49 panoda iki adet diotlu klemensin ölçülerek arızalı olduğu tespit edilmiş, SSH stoğundan yenisiyle değiştirilmiştir.</v>
      </c>
      <c r="S174" s="147" t="str">
        <f>[3]Sayfa1!$AB171</f>
        <v>Ekipman değiştirilecek</v>
      </c>
      <c r="T174" s="147">
        <f>[3]Sayfa1!$AA171</f>
        <v>0</v>
      </c>
      <c r="U174" s="131">
        <f>[3]Sayfa1!$AN171</f>
        <v>1</v>
      </c>
      <c r="V174" s="132">
        <f>[3]Sayfa1!$T171</f>
        <v>45418</v>
      </c>
      <c r="W174" s="133">
        <f>[3]Sayfa1!$U171</f>
        <v>45418.423611111109</v>
      </c>
      <c r="X174" s="134">
        <f t="shared" ref="X174:X191" si="50">W174</f>
        <v>45418.423611111109</v>
      </c>
      <c r="Y174" s="123">
        <f>[3]Sayfa1!$AQ171</f>
        <v>45449</v>
      </c>
      <c r="Z174" s="135">
        <f>[3]Sayfa1!$AR171</f>
        <v>45449.423726851855</v>
      </c>
      <c r="AA174" s="134">
        <f t="shared" ref="AA174:AA191" si="51">Z174</f>
        <v>45449.423726851855</v>
      </c>
      <c r="AB174" s="136">
        <f t="shared" ref="AB174:AB191" si="52">IFERROR(IF(Y174-F174&gt;0,(AA174-X174)*24,IF(OR(AND(G174&gt;AR$1,G174&lt;AS$1),AND(G174&gt;AT$1,G174&lt;AU$1)),(AA174-X174)*24,0)),0)</f>
        <v>744.00277777790325</v>
      </c>
      <c r="AC174" s="137">
        <f t="shared" ref="AC174:AC191" si="53">Y174</f>
        <v>45449</v>
      </c>
      <c r="AD174" s="135">
        <f t="shared" ref="AD174:AD191" si="54">Z174</f>
        <v>45449.423726851855</v>
      </c>
      <c r="AE174" s="138">
        <f t="shared" ref="AE174:AE191" si="55">AD174</f>
        <v>45449.423726851855</v>
      </c>
      <c r="AF174" s="139" t="str">
        <f>[3]Sayfa1!$AP171</f>
        <v>(I) İlk defa karşılaşılan arıza</v>
      </c>
      <c r="AG174" s="128" t="str">
        <f>IF([3]Sayfa1!$P171="C(Sisteme etki etmeyen arıza)","Bu Arıza Aracın Servise Verilmesine Engel Değil","Bu Arıza Aracın Servise Verilmesine Engel")</f>
        <v>Bu Arıza Aracın Servise Verilmesine Engel</v>
      </c>
      <c r="AH174" s="140">
        <f>[3]Sayfa1!$AC171</f>
        <v>0</v>
      </c>
      <c r="AI174" s="137"/>
      <c r="AJ174" s="137"/>
      <c r="AK174" s="138">
        <f t="shared" ref="AK174:AK191" si="56">AI174+AJ174</f>
        <v>0</v>
      </c>
      <c r="AL174" s="136">
        <f t="shared" ref="AL174:AL191" si="57">IFERROR(IF(AND(O174&lt;&gt;"D:Arıza Değil",AG174="Bu Arıza Aracın Servise Verilmesine Engel Değil"),IF(Y174-F174&gt;0,(AA174-X174)*24,IF(OR(AND(G174&gt;AR$1,G174&lt;AS$1),AND(G174&gt;AT$1,G174&lt;AU$1)),(AK174-X174)*24,0))*60,AM174),0)</f>
        <v>44640.166666674195</v>
      </c>
      <c r="AM174" s="136">
        <f t="shared" ref="AM174:AM191" si="58">IFERROR(IF(O174&lt;&gt;"C(Sisteme etki etmeyen arıza)",AB174*60,0),0)</f>
        <v>44640.166666674195</v>
      </c>
      <c r="AN174" s="141" t="str">
        <f t="shared" ref="AN174:AN191" si="59">K174</f>
        <v>WAGO ELEKTRİK SAN.VE TİC.LTD.ŞTİ.</v>
      </c>
      <c r="AO174" s="141">
        <f>[3]Sayfa1!$X171</f>
        <v>0</v>
      </c>
      <c r="AP174" s="141">
        <f>[3]Sayfa1!$Z171</f>
        <v>0</v>
      </c>
      <c r="AQ174" s="122" t="str">
        <f>[3]Sayfa1!$W171</f>
        <v>E110-7298/4mm2  dörtlü (diyotlu)</v>
      </c>
      <c r="AR174" s="142">
        <f>[3]Sayfa1!$Y171</f>
        <v>1</v>
      </c>
      <c r="AS174" s="143">
        <f>[3]Sayfa1!$AD171</f>
        <v>0</v>
      </c>
      <c r="AT174" s="137" t="str">
        <f>[3]Sayfa1!$AE171</f>
        <v/>
      </c>
      <c r="AU174" s="137" t="str">
        <f>[3]Sayfa1!$AH171</f>
        <v/>
      </c>
      <c r="AV174" s="144">
        <v>170</v>
      </c>
      <c r="AW174" s="145" t="e">
        <f>U174*AB174*#REF!</f>
        <v>#REF!</v>
      </c>
    </row>
    <row r="175" spans="1:49" ht="101.25" customHeight="1">
      <c r="A175" s="119" t="s">
        <v>57</v>
      </c>
      <c r="B175" s="120" t="str">
        <f>[3]Sayfa1!$G172</f>
        <v>TS#2</v>
      </c>
      <c r="C175" s="121" t="str">
        <f>[3]Sayfa1!$H172</f>
        <v>T</v>
      </c>
      <c r="D175" s="146">
        <f>[3]Sayfa1!$N172</f>
        <v>2</v>
      </c>
      <c r="E175" s="122" t="str">
        <f>[3]Sayfa1!$B172</f>
        <v>FRACAS-GDM-171</v>
      </c>
      <c r="F175" s="123">
        <f>[3]Sayfa1!$E172</f>
        <v>45447</v>
      </c>
      <c r="G175" s="124">
        <f>[3]Sayfa1!$F172</f>
        <v>45447.465104166666</v>
      </c>
      <c r="H175" s="119" t="str">
        <f>[3]Sayfa1!$I172</f>
        <v>Depo/Depot</v>
      </c>
      <c r="I175" s="125" t="str">
        <f>IF([3]Sayfa1!$K172="SSH","Notified by Bozankaya","Notified by Customer")</f>
        <v>Notified by Bozankaya</v>
      </c>
      <c r="J175" s="119" t="e">
        <f>VLOOKUP([3]Sayfa1!$AU172,#REF!,2,FALSE)</f>
        <v>#REF!</v>
      </c>
      <c r="K175" s="119" t="str">
        <f>[3]Sayfa1!$V172</f>
        <v>PİTON BİLGİSAYAR TEKNOLOJİLERİ EĞİT</v>
      </c>
      <c r="L175" s="126" t="str">
        <f t="shared" si="49"/>
        <v>GDM7X4-FRACAS-GDM-171</v>
      </c>
      <c r="M175" s="127" t="str">
        <f>[3]Sayfa1!$L172</f>
        <v>Analog kablo tv bina yükselticisi arızası</v>
      </c>
      <c r="N175" s="128" t="str">
        <f>[3]Sayfa1!$J172</f>
        <v>C-Uyarı, sürüş devamlılığı</v>
      </c>
      <c r="O175" s="128" t="str">
        <f>[3]Sayfa1!$P172</f>
        <v>C(Sisteme etki etmeyen arıza)</v>
      </c>
      <c r="P175" s="128" t="str">
        <f>[3]Sayfa1!$Q172</f>
        <v>N.A(Yaralanma yok)</v>
      </c>
      <c r="Q175" s="129" t="str" cm="1">
        <f t="array" ref="Q175">_xlfn.IFS([3]Sayfa1!$R172="Bozankaya","Bozankaya",[3]Sayfa1!$R172="İşletme","Customer",[3]Sayfa1!$R172="Tedarikçi","Equipment Supplier")</f>
        <v>Equipment Supplier</v>
      </c>
      <c r="R175" s="130" t="str">
        <f>[3]Sayfa1!$M172</f>
        <v>SSH stok malzemeden değiştirildi</v>
      </c>
      <c r="S175" s="147" t="str">
        <f>[3]Sayfa1!$AB172</f>
        <v>Ekipman değiştirilecek</v>
      </c>
      <c r="T175" s="147" t="str">
        <f>[3]Sayfa1!$AA172</f>
        <v>Evet</v>
      </c>
      <c r="U175" s="131">
        <f>[3]Sayfa1!$AN172</f>
        <v>1</v>
      </c>
      <c r="V175" s="132">
        <f>[3]Sayfa1!$T172</f>
        <v>45457</v>
      </c>
      <c r="W175" s="133">
        <f>[3]Sayfa1!$U172</f>
        <v>45457.466238425928</v>
      </c>
      <c r="X175" s="134">
        <f t="shared" si="50"/>
        <v>45457.466238425928</v>
      </c>
      <c r="Y175" s="123">
        <f>[3]Sayfa1!$AQ172</f>
        <v>45456</v>
      </c>
      <c r="Z175" s="135">
        <f>[3]Sayfa1!$AR172</f>
        <v>45456.468298611115</v>
      </c>
      <c r="AA175" s="134">
        <f t="shared" si="51"/>
        <v>45456.468298611115</v>
      </c>
      <c r="AB175" s="136">
        <f t="shared" si="52"/>
        <v>-23.950555555522442</v>
      </c>
      <c r="AC175" s="137">
        <f t="shared" si="53"/>
        <v>45456</v>
      </c>
      <c r="AD175" s="135">
        <f t="shared" si="54"/>
        <v>45456.468298611115</v>
      </c>
      <c r="AE175" s="138">
        <f t="shared" si="55"/>
        <v>45456.468298611115</v>
      </c>
      <c r="AF175" s="139" t="str">
        <f>[3]Sayfa1!$AP172</f>
        <v>(II) Birden fazla karşılaşılan arıza</v>
      </c>
      <c r="AG175" s="128" t="str">
        <f>IF([3]Sayfa1!$P172="C(Sisteme etki etmeyen arıza)","Bu Arıza Aracın Servise Verilmesine Engel Değil","Bu Arıza Aracın Servise Verilmesine Engel")</f>
        <v>Bu Arıza Aracın Servise Verilmesine Engel Değil</v>
      </c>
      <c r="AH175" s="140">
        <f>[3]Sayfa1!$AC172</f>
        <v>0</v>
      </c>
      <c r="AI175" s="137"/>
      <c r="AJ175" s="137"/>
      <c r="AK175" s="138">
        <f t="shared" si="56"/>
        <v>0</v>
      </c>
      <c r="AL175" s="136">
        <f t="shared" si="57"/>
        <v>-1437.0333333313465</v>
      </c>
      <c r="AM175" s="136">
        <f t="shared" si="58"/>
        <v>0</v>
      </c>
      <c r="AN175" s="141" t="str">
        <f t="shared" si="59"/>
        <v>PİTON BİLGİSAYAR TEKNOLOJİLERİ EĞİT</v>
      </c>
      <c r="AO175" s="141">
        <f>[3]Sayfa1!$X172</f>
        <v>0</v>
      </c>
      <c r="AP175" s="141">
        <f>[3]Sayfa1!$Z172</f>
        <v>0</v>
      </c>
      <c r="AQ175" s="122">
        <f>[3]Sayfa1!$W172</f>
        <v>0</v>
      </c>
      <c r="AR175" s="142">
        <f>[3]Sayfa1!$Y172</f>
        <v>1</v>
      </c>
      <c r="AS175" s="143">
        <f>[3]Sayfa1!$AD172</f>
        <v>0</v>
      </c>
      <c r="AT175" s="137" t="str">
        <f>[3]Sayfa1!$AE172</f>
        <v/>
      </c>
      <c r="AU175" s="137" t="str">
        <f>[3]Sayfa1!$AH172</f>
        <v/>
      </c>
      <c r="AV175" s="144">
        <v>171</v>
      </c>
      <c r="AW175" s="145" t="e">
        <f>U175*AB175*#REF!</f>
        <v>#REF!</v>
      </c>
    </row>
    <row r="176" spans="1:49" ht="101.25" customHeight="1">
      <c r="A176" s="119" t="s">
        <v>57</v>
      </c>
      <c r="B176" s="120" t="str">
        <f>[3]Sayfa1!$G173</f>
        <v>TS#2</v>
      </c>
      <c r="C176" s="121" t="str">
        <f>[3]Sayfa1!$H173</f>
        <v>Mc1 , Mc2</v>
      </c>
      <c r="D176" s="146">
        <f>[3]Sayfa1!$N173</f>
        <v>2</v>
      </c>
      <c r="E176" s="122" t="str">
        <f>[3]Sayfa1!$B173</f>
        <v>FRACAS-GDM-172</v>
      </c>
      <c r="F176" s="123">
        <f>[3]Sayfa1!$E173</f>
        <v>45447</v>
      </c>
      <c r="G176" s="124">
        <f>[3]Sayfa1!$F173</f>
        <v>45447.470300925925</v>
      </c>
      <c r="H176" s="119" t="str">
        <f>[3]Sayfa1!$I173</f>
        <v>Depo/Depot</v>
      </c>
      <c r="I176" s="125" t="str">
        <f>IF([3]Sayfa1!$K173="SSH","Notified by Bozankaya","Notified by Customer")</f>
        <v>Notified by Bozankaya</v>
      </c>
      <c r="J176" s="119" t="e">
        <f>VLOOKUP([3]Sayfa1!$AU173,#REF!,2,FALSE)</f>
        <v>#REF!</v>
      </c>
      <c r="K176" s="119" t="str">
        <f>[3]Sayfa1!$V173</f>
        <v>PİTON BİLGİSAYAR TEKNOLOJİLERİ EĞİT</v>
      </c>
      <c r="L176" s="126" t="str">
        <f t="shared" si="49"/>
        <v>GDM7X4-FRACAS-GDM-172</v>
      </c>
      <c r="M176" s="127" t="str">
        <f>[3]Sayfa1!$L173</f>
        <v>RF modülatör arızası</v>
      </c>
      <c r="N176" s="128" t="str">
        <f>[3]Sayfa1!$J173</f>
        <v>C-Uyarı, sürüş devamlılığı</v>
      </c>
      <c r="O176" s="128" t="str">
        <f>[3]Sayfa1!$P173</f>
        <v>C(Sisteme etki etmeyen arıza)</v>
      </c>
      <c r="P176" s="128" t="str">
        <f>[3]Sayfa1!$Q173</f>
        <v>N.A(Yaralanma yok)</v>
      </c>
      <c r="Q176" s="129" t="str" cm="1">
        <f t="array" ref="Q176">_xlfn.IFS([3]Sayfa1!$R173="Bozankaya","Bozankaya",[3]Sayfa1!$R173="İşletme","Customer",[3]Sayfa1!$R173="Tedarikçi","Equipment Supplier")</f>
        <v>Equipment Supplier</v>
      </c>
      <c r="R176" s="130" t="str">
        <f>[3]Sayfa1!$M173</f>
        <v>SSH stok malzemeden değiştirildi</v>
      </c>
      <c r="S176" s="147" t="str">
        <f>[3]Sayfa1!$AB173</f>
        <v>Ekipman değiştirilecek</v>
      </c>
      <c r="T176" s="147" t="str">
        <f>[3]Sayfa1!$AA173</f>
        <v>Evet</v>
      </c>
      <c r="U176" s="131">
        <f>[3]Sayfa1!$AN173</f>
        <v>1</v>
      </c>
      <c r="V176" s="132">
        <f>[3]Sayfa1!$T173</f>
        <v>45450</v>
      </c>
      <c r="W176" s="133">
        <f>[3]Sayfa1!$U173</f>
        <v>45450.483564814815</v>
      </c>
      <c r="X176" s="134">
        <f t="shared" si="50"/>
        <v>45450.483564814815</v>
      </c>
      <c r="Y176" s="123">
        <f>[3]Sayfa1!$AQ173</f>
        <v>45450</v>
      </c>
      <c r="Z176" s="135">
        <f>[3]Sayfa1!$AR173</f>
        <v>45450.482835648145</v>
      </c>
      <c r="AA176" s="134">
        <f t="shared" si="51"/>
        <v>45450.482835648145</v>
      </c>
      <c r="AB176" s="136">
        <f t="shared" si="52"/>
        <v>-1.7500000074505806E-2</v>
      </c>
      <c r="AC176" s="137">
        <f t="shared" si="53"/>
        <v>45450</v>
      </c>
      <c r="AD176" s="135">
        <f t="shared" si="54"/>
        <v>45450.482835648145</v>
      </c>
      <c r="AE176" s="138">
        <f t="shared" si="55"/>
        <v>45450.482835648145</v>
      </c>
      <c r="AF176" s="139" t="str">
        <f>[3]Sayfa1!$AP173</f>
        <v>(II) Birden fazla karşılaşılan arıza</v>
      </c>
      <c r="AG176" s="128" t="str">
        <f>IF([3]Sayfa1!$P173="C(Sisteme etki etmeyen arıza)","Bu Arıza Aracın Servise Verilmesine Engel Değil","Bu Arıza Aracın Servise Verilmesine Engel")</f>
        <v>Bu Arıza Aracın Servise Verilmesine Engel Değil</v>
      </c>
      <c r="AH176" s="140">
        <f>[3]Sayfa1!$AC173</f>
        <v>0</v>
      </c>
      <c r="AI176" s="137"/>
      <c r="AJ176" s="137"/>
      <c r="AK176" s="138">
        <f t="shared" si="56"/>
        <v>0</v>
      </c>
      <c r="AL176" s="136">
        <f t="shared" si="57"/>
        <v>-1.0500000044703484</v>
      </c>
      <c r="AM176" s="136">
        <f t="shared" si="58"/>
        <v>0</v>
      </c>
      <c r="AN176" s="141" t="str">
        <f t="shared" si="59"/>
        <v>PİTON BİLGİSAYAR TEKNOLOJİLERİ EĞİT</v>
      </c>
      <c r="AO176" s="141">
        <f>[3]Sayfa1!$X173</f>
        <v>0</v>
      </c>
      <c r="AP176" s="141">
        <f>[3]Sayfa1!$Z173</f>
        <v>8.6902300225886893E+35</v>
      </c>
      <c r="AQ176" s="122" t="str">
        <f>[3]Sayfa1!$W173</f>
        <v>E840-8010/Multiplexer</v>
      </c>
      <c r="AR176" s="142">
        <f>[3]Sayfa1!$Y173</f>
        <v>3</v>
      </c>
      <c r="AS176" s="143">
        <f>[3]Sayfa1!$AD173</f>
        <v>0</v>
      </c>
      <c r="AT176" s="137" t="str">
        <f>[3]Sayfa1!$AE173</f>
        <v/>
      </c>
      <c r="AU176" s="137" t="str">
        <f>[3]Sayfa1!$AH173</f>
        <v/>
      </c>
      <c r="AV176" s="144">
        <v>172</v>
      </c>
      <c r="AW176" s="145" t="e">
        <f>U176*AB176*#REF!</f>
        <v>#REF!</v>
      </c>
    </row>
    <row r="177" spans="1:49" ht="101.25" customHeight="1">
      <c r="A177" s="119" t="s">
        <v>57</v>
      </c>
      <c r="B177" s="120" t="str">
        <f>[3]Sayfa1!$G174</f>
        <v>TS#2</v>
      </c>
      <c r="C177" s="121" t="str">
        <f>[3]Sayfa1!$H174</f>
        <v>Mc1</v>
      </c>
      <c r="D177" s="146">
        <f>[3]Sayfa1!$N174</f>
        <v>2</v>
      </c>
      <c r="E177" s="122" t="str">
        <f>[3]Sayfa1!$B174</f>
        <v>FRACAS-GDM-173</v>
      </c>
      <c r="F177" s="123">
        <f>[3]Sayfa1!$E174</f>
        <v>45636</v>
      </c>
      <c r="G177" s="124">
        <f>[3]Sayfa1!$F174</f>
        <v>45636.483888888892</v>
      </c>
      <c r="H177" s="119" t="str">
        <f>[3]Sayfa1!$I174</f>
        <v>Depo/Depot</v>
      </c>
      <c r="I177" s="125" t="str">
        <f>IF([3]Sayfa1!$K174="SSH","Notified by Bozankaya","Notified by Customer")</f>
        <v>Notified by Bozankaya</v>
      </c>
      <c r="J177" s="119" t="e">
        <f>VLOOKUP([3]Sayfa1!$AU174,#REF!,2,FALSE)</f>
        <v>#REF!</v>
      </c>
      <c r="K177" s="119" t="str">
        <f>[3]Sayfa1!$V174</f>
        <v>KNORR-BREMSE, SYSTEME FÜR</v>
      </c>
      <c r="L177" s="126" t="str">
        <f t="shared" si="49"/>
        <v>GDM7X4-FRACAS-GDM-173</v>
      </c>
      <c r="M177" s="127" t="str">
        <f>[3]Sayfa1!$L174</f>
        <v>Gateway valf arızası</v>
      </c>
      <c r="N177" s="128" t="str">
        <f>[3]Sayfa1!$J174</f>
        <v>C-Uyarı, sürüş devamlılığı</v>
      </c>
      <c r="O177" s="128" t="str">
        <f>[3]Sayfa1!$P174</f>
        <v>B(Servisten çekmeye etki eden arızalar)</v>
      </c>
      <c r="P177" s="128" t="str">
        <f>[3]Sayfa1!$Q174</f>
        <v>N.A(Yaralanma yok)</v>
      </c>
      <c r="Q177" s="129" t="str" cm="1">
        <f t="array" ref="Q177">_xlfn.IFS([3]Sayfa1!$R174="Bozankaya","Bozankaya",[3]Sayfa1!$R174="İşletme","Customer",[3]Sayfa1!$R174="Tedarikçi","Equipment Supplier")</f>
        <v>Equipment Supplier</v>
      </c>
      <c r="R177" s="130" t="str">
        <f>[3]Sayfa1!$M174</f>
        <v>SSH stok malzemeden değiştirildi</v>
      </c>
      <c r="S177" s="147" t="str">
        <f>[3]Sayfa1!$AB174</f>
        <v>Ekipman değiştirilecek</v>
      </c>
      <c r="T177" s="147" t="str">
        <f>[3]Sayfa1!$AA174</f>
        <v>Evet</v>
      </c>
      <c r="U177" s="131">
        <f>[3]Sayfa1!$AN174</f>
        <v>2</v>
      </c>
      <c r="V177" s="132">
        <f>[3]Sayfa1!$T174</f>
        <v>45451</v>
      </c>
      <c r="W177" s="133">
        <f>[3]Sayfa1!$U174</f>
        <v>45451.484895833331</v>
      </c>
      <c r="X177" s="134">
        <f t="shared" si="50"/>
        <v>45451.484895833331</v>
      </c>
      <c r="Y177" s="123">
        <f>[3]Sayfa1!$AQ174</f>
        <v>45455</v>
      </c>
      <c r="Z177" s="135">
        <f>[3]Sayfa1!$AR174</f>
        <v>45455.486724537041</v>
      </c>
      <c r="AA177" s="134">
        <f t="shared" si="51"/>
        <v>45455.486724537041</v>
      </c>
      <c r="AB177" s="136">
        <f t="shared" si="52"/>
        <v>0</v>
      </c>
      <c r="AC177" s="137">
        <f t="shared" si="53"/>
        <v>45455</v>
      </c>
      <c r="AD177" s="135">
        <f t="shared" si="54"/>
        <v>45455.486724537041</v>
      </c>
      <c r="AE177" s="138">
        <f t="shared" si="55"/>
        <v>45455.486724537041</v>
      </c>
      <c r="AF177" s="139" t="str">
        <f>[3]Sayfa1!$AP174</f>
        <v>(I) İlk defa karşılaşılan arıza</v>
      </c>
      <c r="AG177" s="128" t="str">
        <f>IF([3]Sayfa1!$P174="C(Sisteme etki etmeyen arıza)","Bu Arıza Aracın Servise Verilmesine Engel Değil","Bu Arıza Aracın Servise Verilmesine Engel")</f>
        <v>Bu Arıza Aracın Servise Verilmesine Engel</v>
      </c>
      <c r="AH177" s="140">
        <f>[3]Sayfa1!$AC174</f>
        <v>0</v>
      </c>
      <c r="AI177" s="137"/>
      <c r="AJ177" s="137"/>
      <c r="AK177" s="138">
        <f t="shared" si="56"/>
        <v>0</v>
      </c>
      <c r="AL177" s="136">
        <f t="shared" si="57"/>
        <v>0</v>
      </c>
      <c r="AM177" s="136">
        <f t="shared" si="58"/>
        <v>0</v>
      </c>
      <c r="AN177" s="141" t="str">
        <f t="shared" si="59"/>
        <v>KNORR-BREMSE, SYSTEME FÜR</v>
      </c>
      <c r="AO177" s="141">
        <f>[3]Sayfa1!$X174</f>
        <v>0</v>
      </c>
      <c r="AP177" s="141" t="str">
        <f>[3]Sayfa1!$Z174</f>
        <v>2214002GBZ</v>
      </c>
      <c r="AQ177" s="122" t="str">
        <f>[3]Sayfa1!$W174</f>
        <v>S306-8131/EP2002 GV2 KUTUSU B37</v>
      </c>
      <c r="AR177" s="142">
        <f>[3]Sayfa1!$Y174</f>
        <v>1</v>
      </c>
      <c r="AS177" s="143">
        <f>[3]Sayfa1!$AD174</f>
        <v>0</v>
      </c>
      <c r="AT177" s="137" t="str">
        <f>[3]Sayfa1!$AE174</f>
        <v/>
      </c>
      <c r="AU177" s="137" t="str">
        <f>[3]Sayfa1!$AH174</f>
        <v/>
      </c>
      <c r="AV177" s="144">
        <v>173</v>
      </c>
      <c r="AW177" s="145" t="e">
        <f>U177*AB177*#REF!</f>
        <v>#REF!</v>
      </c>
    </row>
    <row r="178" spans="1:49" ht="101.25" customHeight="1">
      <c r="A178" s="119" t="s">
        <v>57</v>
      </c>
      <c r="B178" s="120" t="str">
        <f>[3]Sayfa1!$G175</f>
        <v>TS#6</v>
      </c>
      <c r="C178" s="121" t="str">
        <f>[3]Sayfa1!$H175</f>
        <v>Mc2</v>
      </c>
      <c r="D178" s="146">
        <f>[3]Sayfa1!$N175</f>
        <v>1</v>
      </c>
      <c r="E178" s="122" t="str">
        <f>[3]Sayfa1!$B175</f>
        <v>FRACAS-GDM-174</v>
      </c>
      <c r="F178" s="123">
        <f>[3]Sayfa1!$E175</f>
        <v>45475</v>
      </c>
      <c r="G178" s="124">
        <f>[3]Sayfa1!$F175</f>
        <v>45475.487280092595</v>
      </c>
      <c r="H178" s="119" t="str">
        <f>[3]Sayfa1!$I175</f>
        <v>Depo/Depot</v>
      </c>
      <c r="I178" s="125" t="str">
        <f>IF([3]Sayfa1!$K175="SSH","Notified by Bozankaya","Notified by Customer")</f>
        <v>Notified by Bozankaya</v>
      </c>
      <c r="J178" s="119" t="e">
        <f>VLOOKUP([3]Sayfa1!$AU175,#REF!,2,FALSE)</f>
        <v>#REF!</v>
      </c>
      <c r="K178" s="119" t="str">
        <f>[3]Sayfa1!$V175</f>
        <v>PİTON BİLGİSAYAR TEKNOLOJİLERİ EĞİT</v>
      </c>
      <c r="L178" s="126" t="str">
        <f t="shared" si="49"/>
        <v>GDM7X4-FRACAS-GDM-174</v>
      </c>
      <c r="M178" s="127" t="str">
        <f>[3]Sayfa1!$L175</f>
        <v>LCD display ekranda kırılma</v>
      </c>
      <c r="N178" s="128" t="str">
        <f>[3]Sayfa1!$J175</f>
        <v>C-Uyarı, sürüş devamlılığı</v>
      </c>
      <c r="O178" s="128" t="str">
        <f>[3]Sayfa1!$P175</f>
        <v>C(Sisteme etki etmeyen arıza)</v>
      </c>
      <c r="P178" s="128" t="str">
        <f>[3]Sayfa1!$Q175</f>
        <v>N.A(Yaralanma yok)</v>
      </c>
      <c r="Q178" s="129" t="str" cm="1">
        <f t="array" ref="Q178">_xlfn.IFS([3]Sayfa1!$R175="Bozankaya","Bozankaya",[3]Sayfa1!$R175="İşletme","Customer",[3]Sayfa1!$R175="Tedarikçi","Equipment Supplier")</f>
        <v>Bozankaya</v>
      </c>
      <c r="R178" s="130" t="str">
        <f>[3]Sayfa1!$M175</f>
        <v>SSH stok malzemeden değiştirildi</v>
      </c>
      <c r="S178" s="147" t="str">
        <f>[3]Sayfa1!$AB175</f>
        <v>Ekipman değiştirilecek</v>
      </c>
      <c r="T178" s="147" t="str">
        <f>[3]Sayfa1!$AA175</f>
        <v>Hayır</v>
      </c>
      <c r="U178" s="131">
        <f>[3]Sayfa1!$AN175</f>
        <v>1</v>
      </c>
      <c r="V178" s="132">
        <f>[3]Sayfa1!$T175</f>
        <v>45484</v>
      </c>
      <c r="W178" s="133">
        <f>[3]Sayfa1!$U175</f>
        <v>45484.507106481484</v>
      </c>
      <c r="X178" s="134">
        <f t="shared" si="50"/>
        <v>45484.507106481484</v>
      </c>
      <c r="Y178" s="123" t="str">
        <f>[3]Sayfa1!$AQ175</f>
        <v/>
      </c>
      <c r="Z178" s="135">
        <f>[3]Sayfa1!$AR175</f>
        <v>0</v>
      </c>
      <c r="AA178" s="134">
        <f t="shared" si="51"/>
        <v>0</v>
      </c>
      <c r="AB178" s="136">
        <f t="shared" si="52"/>
        <v>0</v>
      </c>
      <c r="AC178" s="137" t="str">
        <f t="shared" si="53"/>
        <v/>
      </c>
      <c r="AD178" s="135">
        <f t="shared" si="54"/>
        <v>0</v>
      </c>
      <c r="AE178" s="138">
        <f t="shared" si="55"/>
        <v>0</v>
      </c>
      <c r="AF178" s="139" t="str">
        <f>[3]Sayfa1!$AP175</f>
        <v>(I) İlk defa karşılaşılan arıza</v>
      </c>
      <c r="AG178" s="128" t="str">
        <f>IF([3]Sayfa1!$P175="C(Sisteme etki etmeyen arıza)","Bu Arıza Aracın Servise Verilmesine Engel Değil","Bu Arıza Aracın Servise Verilmesine Engel")</f>
        <v>Bu Arıza Aracın Servise Verilmesine Engel Değil</v>
      </c>
      <c r="AH178" s="140">
        <f>[3]Sayfa1!$AC175</f>
        <v>0</v>
      </c>
      <c r="AI178" s="137"/>
      <c r="AJ178" s="137"/>
      <c r="AK178" s="138">
        <f t="shared" si="56"/>
        <v>0</v>
      </c>
      <c r="AL178" s="136">
        <f t="shared" si="57"/>
        <v>0</v>
      </c>
      <c r="AM178" s="136">
        <f t="shared" si="58"/>
        <v>0</v>
      </c>
      <c r="AN178" s="141" t="str">
        <f t="shared" si="59"/>
        <v>PİTON BİLGİSAYAR TEKNOLOJİLERİ EĞİT</v>
      </c>
      <c r="AO178" s="141">
        <f>[3]Sayfa1!$X175</f>
        <v>0</v>
      </c>
      <c r="AP178" s="141">
        <f>[3]Sayfa1!$Z175</f>
        <v>869023001107</v>
      </c>
      <c r="AQ178" s="122" t="str">
        <f>[3]Sayfa1!$W175</f>
        <v>E840-8005/LCD Display</v>
      </c>
      <c r="AR178" s="142">
        <f>[3]Sayfa1!$Y175</f>
        <v>1</v>
      </c>
      <c r="AS178" s="143">
        <f>[3]Sayfa1!$AD175</f>
        <v>0</v>
      </c>
      <c r="AT178" s="137" t="str">
        <f>[3]Sayfa1!$AE175</f>
        <v/>
      </c>
      <c r="AU178" s="137" t="str">
        <f>[3]Sayfa1!$AH175</f>
        <v/>
      </c>
      <c r="AV178" s="144">
        <v>174</v>
      </c>
      <c r="AW178" s="145" t="e">
        <f>U178*AB178*#REF!</f>
        <v>#REF!</v>
      </c>
    </row>
    <row r="179" spans="1:49" ht="101.25" customHeight="1">
      <c r="A179" s="119" t="s">
        <v>57</v>
      </c>
      <c r="B179" s="120" t="str">
        <f>[3]Sayfa1!$G176</f>
        <v>TS#6</v>
      </c>
      <c r="C179" s="121" t="str">
        <f>[3]Sayfa1!$H176</f>
        <v>Mc1 , Mc2</v>
      </c>
      <c r="D179" s="146">
        <f>[3]Sayfa1!$N176</f>
        <v>12</v>
      </c>
      <c r="E179" s="122" t="str">
        <f>[3]Sayfa1!$B176</f>
        <v>FRACAS-GDM-175</v>
      </c>
      <c r="F179" s="123">
        <f>[3]Sayfa1!$E176</f>
        <v>45505</v>
      </c>
      <c r="G179" s="124">
        <f>[3]Sayfa1!$F176</f>
        <v>45505.507453703707</v>
      </c>
      <c r="H179" s="119" t="str">
        <f>[3]Sayfa1!$I176</f>
        <v>Depo/Depot</v>
      </c>
      <c r="I179" s="125" t="str">
        <f>IF([3]Sayfa1!$K176="SSH","Notified by Bozankaya","Notified by Customer")</f>
        <v>Notified by Bozankaya</v>
      </c>
      <c r="J179" s="119" t="e">
        <f>VLOOKUP([3]Sayfa1!$AU176,#REF!,2,FALSE)</f>
        <v>#REF!</v>
      </c>
      <c r="K179" s="119" t="str">
        <f>[3]Sayfa1!$V176</f>
        <v>PSV Wipers Ltd</v>
      </c>
      <c r="L179" s="126" t="str">
        <f t="shared" si="49"/>
        <v>GDM7X4-FRACAS-GDM-175</v>
      </c>
      <c r="M179" s="127" t="str">
        <f>[3]Sayfa1!$L176</f>
        <v>Silecek motoru arızası</v>
      </c>
      <c r="N179" s="128" t="str">
        <f>[3]Sayfa1!$J176</f>
        <v>C-Uyarı, sürüş devamlılığı</v>
      </c>
      <c r="O179" s="128" t="str">
        <f>[3]Sayfa1!$P176</f>
        <v>C(Sisteme etki etmeyen arıza)</v>
      </c>
      <c r="P179" s="128" t="str">
        <f>[3]Sayfa1!$Q176</f>
        <v>N.A(Yaralanma yok)</v>
      </c>
      <c r="Q179" s="129" t="str" cm="1">
        <f t="array" ref="Q179">_xlfn.IFS([3]Sayfa1!$R176="Bozankaya","Bozankaya",[3]Sayfa1!$R176="İşletme","Customer",[3]Sayfa1!$R176="Tedarikçi","Equipment Supplier")</f>
        <v>Equipment Supplier</v>
      </c>
      <c r="R179" s="130" t="str">
        <f>[3]Sayfa1!$M176</f>
        <v>MC1 ve MC2 de bulunan silecek motorlarına enerji verildiğinde sigortaları attırıyor.Devreye alma aşamasında motorların bozuk olduğu tespit edilmiştir. SSH stoğundaki malzemeler denenerek sistemin çalıştığı motorların arızalı olduğu görülmüştür.</v>
      </c>
      <c r="S179" s="147" t="str">
        <f>[3]Sayfa1!$AB176</f>
        <v>Ekipman değiştirilecek</v>
      </c>
      <c r="T179" s="147" t="str">
        <f>[3]Sayfa1!$AA176</f>
        <v>Evet</v>
      </c>
      <c r="U179" s="131">
        <f>[3]Sayfa1!$AN176</f>
        <v>1</v>
      </c>
      <c r="V179" s="132">
        <f>[3]Sayfa1!$T176</f>
        <v>45512</v>
      </c>
      <c r="W179" s="133">
        <f>[3]Sayfa1!$U176</f>
        <v>45512.584236111114</v>
      </c>
      <c r="X179" s="134">
        <f t="shared" si="50"/>
        <v>45512.584236111114</v>
      </c>
      <c r="Y179" s="123" t="str">
        <f>[3]Sayfa1!$AQ176</f>
        <v/>
      </c>
      <c r="Z179" s="135">
        <f>[3]Sayfa1!$AR176</f>
        <v>0</v>
      </c>
      <c r="AA179" s="134">
        <f t="shared" si="51"/>
        <v>0</v>
      </c>
      <c r="AB179" s="136">
        <f t="shared" si="52"/>
        <v>0</v>
      </c>
      <c r="AC179" s="137" t="str">
        <f t="shared" si="53"/>
        <v/>
      </c>
      <c r="AD179" s="135">
        <f t="shared" si="54"/>
        <v>0</v>
      </c>
      <c r="AE179" s="138">
        <f t="shared" si="55"/>
        <v>0</v>
      </c>
      <c r="AF179" s="139" t="str">
        <f>[3]Sayfa1!$AP176</f>
        <v>(I) İlk defa karşılaşılan arıza</v>
      </c>
      <c r="AG179" s="128" t="str">
        <f>IF([3]Sayfa1!$P176="C(Sisteme etki etmeyen arıza)","Bu Arıza Aracın Servise Verilmesine Engel Değil","Bu Arıza Aracın Servise Verilmesine Engel")</f>
        <v>Bu Arıza Aracın Servise Verilmesine Engel Değil</v>
      </c>
      <c r="AH179" s="140">
        <f>[3]Sayfa1!$AC176</f>
        <v>0</v>
      </c>
      <c r="AI179" s="137"/>
      <c r="AJ179" s="137"/>
      <c r="AK179" s="138">
        <f t="shared" si="56"/>
        <v>0</v>
      </c>
      <c r="AL179" s="136">
        <f t="shared" si="57"/>
        <v>0</v>
      </c>
      <c r="AM179" s="136">
        <f t="shared" si="58"/>
        <v>0</v>
      </c>
      <c r="AN179" s="141" t="str">
        <f t="shared" si="59"/>
        <v>PSV Wipers Ltd</v>
      </c>
      <c r="AO179" s="141">
        <f>[3]Sayfa1!$X176</f>
        <v>0</v>
      </c>
      <c r="AP179" s="141">
        <f>[3]Sayfa1!$Z176</f>
        <v>0</v>
      </c>
      <c r="AQ179" s="122" t="str">
        <f>[3]Sayfa1!$W176</f>
        <v>M100-8001/Silecek Motoru ve Mekanizması</v>
      </c>
      <c r="AR179" s="142">
        <f>[3]Sayfa1!$Y176</f>
        <v>2</v>
      </c>
      <c r="AS179" s="143">
        <f>[3]Sayfa1!$AD176</f>
        <v>0</v>
      </c>
      <c r="AT179" s="137" t="str">
        <f>[3]Sayfa1!$AE176</f>
        <v/>
      </c>
      <c r="AU179" s="137" t="str">
        <f>[3]Sayfa1!$AH176</f>
        <v/>
      </c>
      <c r="AV179" s="144">
        <v>175</v>
      </c>
      <c r="AW179" s="145" t="e">
        <f>U179*AB179*#REF!</f>
        <v>#REF!</v>
      </c>
    </row>
    <row r="180" spans="1:49" ht="101.25" customHeight="1">
      <c r="A180" s="119" t="s">
        <v>57</v>
      </c>
      <c r="B180" s="120" t="str">
        <f>[3]Sayfa1!$G177</f>
        <v>TS#3</v>
      </c>
      <c r="C180" s="121" t="str">
        <f>[3]Sayfa1!$H177</f>
        <v>Mc1 , Mc2</v>
      </c>
      <c r="D180" s="146">
        <f>[3]Sayfa1!$N177</f>
        <v>124</v>
      </c>
      <c r="E180" s="122" t="str">
        <f>[3]Sayfa1!$B177</f>
        <v>FRACAS-GDM-176</v>
      </c>
      <c r="F180" s="123">
        <f>[3]Sayfa1!$E177</f>
        <v>45511</v>
      </c>
      <c r="G180" s="124">
        <f>[3]Sayfa1!$F177</f>
        <v>45511.584699074076</v>
      </c>
      <c r="H180" s="119" t="str">
        <f>[3]Sayfa1!$I177</f>
        <v>Depo/Depot</v>
      </c>
      <c r="I180" s="125" t="str">
        <f>IF([3]Sayfa1!$K177="SSH","Notified by Bozankaya","Notified by Customer")</f>
        <v>Notified by Bozankaya</v>
      </c>
      <c r="J180" s="119" t="e">
        <f>VLOOKUP([3]Sayfa1!$AU177,#REF!,2,FALSE)</f>
        <v>#REF!</v>
      </c>
      <c r="K180" s="119" t="str">
        <f>[3]Sayfa1!$V177</f>
        <v>PSV Wipers Ltd</v>
      </c>
      <c r="L180" s="126" t="str">
        <f t="shared" si="49"/>
        <v>GDM7X4-FRACAS-GDM-176</v>
      </c>
      <c r="M180" s="127" t="str">
        <f>[3]Sayfa1!$L177</f>
        <v>Silecek  motoru sigorta attırıyor</v>
      </c>
      <c r="N180" s="128" t="str">
        <f>[3]Sayfa1!$J177</f>
        <v>C-Uyarı, sürüş devamlılığı</v>
      </c>
      <c r="O180" s="128" t="str">
        <f>[3]Sayfa1!$P177</f>
        <v>C(Sisteme etki etmeyen arıza)</v>
      </c>
      <c r="P180" s="128" t="str">
        <f>[3]Sayfa1!$Q177</f>
        <v>N.A(Yaralanma yok)</v>
      </c>
      <c r="Q180" s="129" t="str" cm="1">
        <f t="array" ref="Q180">_xlfn.IFS([3]Sayfa1!$R177="Bozankaya","Bozankaya",[3]Sayfa1!$R177="İşletme","Customer",[3]Sayfa1!$R177="Tedarikçi","Equipment Supplier")</f>
        <v>Equipment Supplier</v>
      </c>
      <c r="R180" s="130" t="str">
        <f>[3]Sayfa1!$M177</f>
        <v>MC1 ve MC2 de bulunan silecek motorlarına enerji verildiğinde sigortaları attırıyor.Devreye alma aşamasında motorların bozuk olduğu tespit edilmiştir. SSH stoğundaki malzemeler denenerek sistemin çalıştığı motorların arızalı olduğu görülmüştür.</v>
      </c>
      <c r="S180" s="147" t="str">
        <f>[3]Sayfa1!$AB177</f>
        <v>Ekipman değiştirilecek</v>
      </c>
      <c r="T180" s="147" t="str">
        <f>[3]Sayfa1!$AA177</f>
        <v>Evet</v>
      </c>
      <c r="U180" s="131">
        <f>[3]Sayfa1!$AN177</f>
        <v>1</v>
      </c>
      <c r="V180" s="132">
        <f>[3]Sayfa1!$T177</f>
        <v>45513</v>
      </c>
      <c r="W180" s="133">
        <f>[3]Sayfa1!$U177</f>
        <v>45513.58834490741</v>
      </c>
      <c r="X180" s="134">
        <f t="shared" si="50"/>
        <v>45513.58834490741</v>
      </c>
      <c r="Y180" s="123" t="str">
        <f>[3]Sayfa1!$AQ177</f>
        <v/>
      </c>
      <c r="Z180" s="135">
        <f>[3]Sayfa1!$AR177</f>
        <v>0</v>
      </c>
      <c r="AA180" s="134">
        <f t="shared" si="51"/>
        <v>0</v>
      </c>
      <c r="AB180" s="136">
        <f t="shared" si="52"/>
        <v>0</v>
      </c>
      <c r="AC180" s="137" t="str">
        <f t="shared" si="53"/>
        <v/>
      </c>
      <c r="AD180" s="135">
        <f t="shared" si="54"/>
        <v>0</v>
      </c>
      <c r="AE180" s="138">
        <f t="shared" si="55"/>
        <v>0</v>
      </c>
      <c r="AF180" s="139" t="str">
        <f>[3]Sayfa1!$AP177</f>
        <v>(II) Birden fazla karşılaşılan arıza</v>
      </c>
      <c r="AG180" s="128" t="str">
        <f>IF([3]Sayfa1!$P177="C(Sisteme etki etmeyen arıza)","Bu Arıza Aracın Servise Verilmesine Engel Değil","Bu Arıza Aracın Servise Verilmesine Engel")</f>
        <v>Bu Arıza Aracın Servise Verilmesine Engel Değil</v>
      </c>
      <c r="AH180" s="140" t="e">
        <f>[3]Sayfa1!$AC177</f>
        <v>#NAME?</v>
      </c>
      <c r="AI180" s="137"/>
      <c r="AJ180" s="137"/>
      <c r="AK180" s="138">
        <f t="shared" si="56"/>
        <v>0</v>
      </c>
      <c r="AL180" s="136">
        <f t="shared" si="57"/>
        <v>0</v>
      </c>
      <c r="AM180" s="136">
        <f t="shared" si="58"/>
        <v>0</v>
      </c>
      <c r="AN180" s="141" t="str">
        <f t="shared" si="59"/>
        <v>PSV Wipers Ltd</v>
      </c>
      <c r="AO180" s="141">
        <f>[3]Sayfa1!$X177</f>
        <v>0</v>
      </c>
      <c r="AP180" s="141" t="str">
        <f>[3]Sayfa1!$Z177</f>
        <v>mc1: w-10824788 05224  mc2: w10824788 05227</v>
      </c>
      <c r="AQ180" s="122" t="str">
        <f>[3]Sayfa1!$W177</f>
        <v>M100-8001/Silecek Motoru ve Mekanizması</v>
      </c>
      <c r="AR180" s="142">
        <f>[3]Sayfa1!$Y177</f>
        <v>2</v>
      </c>
      <c r="AS180" s="143">
        <f>[3]Sayfa1!$AD177</f>
        <v>0</v>
      </c>
      <c r="AT180" s="137" t="str">
        <f>[3]Sayfa1!$AE177</f>
        <v/>
      </c>
      <c r="AU180" s="137" t="str">
        <f>[3]Sayfa1!$AH177</f>
        <v/>
      </c>
      <c r="AV180" s="144">
        <v>176</v>
      </c>
      <c r="AW180" s="145" t="e">
        <f>U180*AB180*#REF!</f>
        <v>#REF!</v>
      </c>
    </row>
    <row r="181" spans="1:49" ht="101.25" customHeight="1">
      <c r="A181" s="119" t="s">
        <v>57</v>
      </c>
      <c r="B181" s="120" t="str">
        <f>[3]Sayfa1!$G178</f>
        <v>TS#3</v>
      </c>
      <c r="C181" s="121" t="str">
        <f>[3]Sayfa1!$H178</f>
        <v>Mc2 , Mc1</v>
      </c>
      <c r="D181" s="146">
        <f>[3]Sayfa1!$N178</f>
        <v>124</v>
      </c>
      <c r="E181" s="122" t="str">
        <f>[3]Sayfa1!$B178</f>
        <v>FRACAS-GDM-177</v>
      </c>
      <c r="F181" s="123">
        <f>[3]Sayfa1!$E178</f>
        <v>45505</v>
      </c>
      <c r="G181" s="124">
        <f>[3]Sayfa1!$F178</f>
        <v>45505.589282407411</v>
      </c>
      <c r="H181" s="119" t="str">
        <f>[3]Sayfa1!$I178</f>
        <v>Depo/Depot</v>
      </c>
      <c r="I181" s="125" t="str">
        <f>IF([3]Sayfa1!$K178="SSH","Notified by Bozankaya","Notified by Customer")</f>
        <v>Notified by Bozankaya</v>
      </c>
      <c r="J181" s="119" t="e">
        <f>VLOOKUP([3]Sayfa1!$AU178,#REF!,2,FALSE)</f>
        <v>#REF!</v>
      </c>
      <c r="K181" s="119" t="str">
        <f>[3]Sayfa1!$V178</f>
        <v>AYPA MÜHENDİSLİK PROJE DANIŞMANLIK</v>
      </c>
      <c r="L181" s="126" t="str">
        <f t="shared" si="49"/>
        <v>GDM7X4-FRACAS-GDM-177</v>
      </c>
      <c r="M181" s="127" t="str">
        <f>[3]Sayfa1!$L178</f>
        <v>4Co 110V röle arızası</v>
      </c>
      <c r="N181" s="128" t="str">
        <f>[3]Sayfa1!$J178</f>
        <v>C-Uyarı, sürüş devamlılığı</v>
      </c>
      <c r="O181" s="128" t="str">
        <f>[3]Sayfa1!$P178</f>
        <v>C(Sisteme etki etmeyen arıza)</v>
      </c>
      <c r="P181" s="128" t="str">
        <f>[3]Sayfa1!$Q178</f>
        <v>N.A(Yaralanma yok)</v>
      </c>
      <c r="Q181" s="129" t="str" cm="1">
        <f t="array" ref="Q181">_xlfn.IFS([3]Sayfa1!$R178="Bozankaya","Bozankaya",[3]Sayfa1!$R178="İşletme","Customer",[3]Sayfa1!$R178="Tedarikçi","Equipment Supplier")</f>
        <v>Equipment Supplier</v>
      </c>
      <c r="R181" s="130" t="str">
        <f>[3]Sayfa1!$M178</f>
        <v>MC1 , MC2 de 2 adet röle  , +59 pano JG-K13 sigortasının arızalı olduğu tespit edilmiş, Röle tetiklence dahi manevra almıyor.  SSH stoğundan malzeme alınarak değiştirilmiştir.</v>
      </c>
      <c r="S181" s="147" t="str">
        <f>[3]Sayfa1!$AB178</f>
        <v>Ekipman değiştirilecek</v>
      </c>
      <c r="T181" s="147" t="str">
        <f>[3]Sayfa1!$AA178</f>
        <v>Evet</v>
      </c>
      <c r="U181" s="131">
        <f>[3]Sayfa1!$AN178</f>
        <v>1</v>
      </c>
      <c r="V181" s="132">
        <f>[3]Sayfa1!$T178</f>
        <v>45514</v>
      </c>
      <c r="W181" s="133">
        <f>[3]Sayfa1!$U178</f>
        <v>45514.594351851854</v>
      </c>
      <c r="X181" s="134">
        <f t="shared" si="50"/>
        <v>45514.594351851854</v>
      </c>
      <c r="Y181" s="123" t="str">
        <f>[3]Sayfa1!$AQ178</f>
        <v/>
      </c>
      <c r="Z181" s="135">
        <f>[3]Sayfa1!$AR178</f>
        <v>0</v>
      </c>
      <c r="AA181" s="134">
        <f t="shared" si="51"/>
        <v>0</v>
      </c>
      <c r="AB181" s="136">
        <f t="shared" si="52"/>
        <v>0</v>
      </c>
      <c r="AC181" s="137" t="str">
        <f t="shared" si="53"/>
        <v/>
      </c>
      <c r="AD181" s="135">
        <f t="shared" si="54"/>
        <v>0</v>
      </c>
      <c r="AE181" s="138">
        <f t="shared" si="55"/>
        <v>0</v>
      </c>
      <c r="AF181" s="139" t="str">
        <f>[3]Sayfa1!$AP178</f>
        <v>(II) Birden fazla karşılaşılan arıza</v>
      </c>
      <c r="AG181" s="128" t="str">
        <f>IF([3]Sayfa1!$P178="C(Sisteme etki etmeyen arıza)","Bu Arıza Aracın Servise Verilmesine Engel Değil","Bu Arıza Aracın Servise Verilmesine Engel")</f>
        <v>Bu Arıza Aracın Servise Verilmesine Engel Değil</v>
      </c>
      <c r="AH181" s="140">
        <f>[3]Sayfa1!$AC178</f>
        <v>0</v>
      </c>
      <c r="AI181" s="137"/>
      <c r="AJ181" s="137"/>
      <c r="AK181" s="138">
        <f t="shared" si="56"/>
        <v>0</v>
      </c>
      <c r="AL181" s="136">
        <f t="shared" si="57"/>
        <v>0</v>
      </c>
      <c r="AM181" s="136">
        <f t="shared" si="58"/>
        <v>0</v>
      </c>
      <c r="AN181" s="141" t="str">
        <f t="shared" si="59"/>
        <v>AYPA MÜHENDİSLİK PROJE DANIŞMANLIK</v>
      </c>
      <c r="AO181" s="141">
        <f>[3]Sayfa1!$X178</f>
        <v>0</v>
      </c>
      <c r="AP181" s="141">
        <f>[3]Sayfa1!$Z178</f>
        <v>0</v>
      </c>
      <c r="AQ181" s="122" t="str">
        <f>[3]Sayfa1!$W178</f>
        <v>E110-8018/4 CO ARTECHE 110V RÖLE</v>
      </c>
      <c r="AR181" s="142">
        <f>[3]Sayfa1!$Y178</f>
        <v>2</v>
      </c>
      <c r="AS181" s="143">
        <f>[3]Sayfa1!$AD178</f>
        <v>0</v>
      </c>
      <c r="AT181" s="137">
        <f>[3]Sayfa1!$AE178</f>
        <v>45513</v>
      </c>
      <c r="AU181" s="137" t="str">
        <f>[3]Sayfa1!$AH178</f>
        <v/>
      </c>
      <c r="AV181" s="144">
        <v>177</v>
      </c>
      <c r="AW181" s="145" t="e">
        <f>U181*AB181*#REF!</f>
        <v>#REF!</v>
      </c>
    </row>
    <row r="182" spans="1:49" ht="101.25" customHeight="1">
      <c r="A182" s="119" t="s">
        <v>57</v>
      </c>
      <c r="B182" s="120" t="str">
        <f>[3]Sayfa1!$G179</f>
        <v>TS#4</v>
      </c>
      <c r="C182" s="121" t="str">
        <f>[3]Sayfa1!$H179</f>
        <v>T</v>
      </c>
      <c r="D182" s="146">
        <f>[3]Sayfa1!$N179</f>
        <v>124</v>
      </c>
      <c r="E182" s="122" t="str">
        <f>[3]Sayfa1!$B179</f>
        <v>FRACAS-GDM-178</v>
      </c>
      <c r="F182" s="123">
        <f>[3]Sayfa1!$E179</f>
        <v>45455</v>
      </c>
      <c r="G182" s="124">
        <f>[3]Sayfa1!$F179</f>
        <v>45455.609699074077</v>
      </c>
      <c r="H182" s="119" t="str">
        <f>[3]Sayfa1!$I179</f>
        <v>Depo/Depot</v>
      </c>
      <c r="I182" s="125" t="str">
        <f>IF([3]Sayfa1!$K179="SSH","Notified by Bozankaya","Notified by Customer")</f>
        <v>Notified by Bozankaya</v>
      </c>
      <c r="J182" s="119" t="e">
        <f>VLOOKUP([3]Sayfa1!$AU179,#REF!,2,FALSE)</f>
        <v>#REF!</v>
      </c>
      <c r="K182" s="119" t="str">
        <f>[3]Sayfa1!$V179</f>
        <v>SELECTRON SYSTEMS AG</v>
      </c>
      <c r="L182" s="126" t="str">
        <f t="shared" si="49"/>
        <v>GDM7X4-FRACAS-GDM-178</v>
      </c>
      <c r="M182" s="127" t="str">
        <f>[3]Sayfa1!$L179</f>
        <v>DOT modül haberleşme hatası</v>
      </c>
      <c r="N182" s="128" t="str">
        <f>[3]Sayfa1!$J179</f>
        <v>C-Uyarı, sürüş devamlılığı</v>
      </c>
      <c r="O182" s="128" t="str">
        <f>[3]Sayfa1!$P179</f>
        <v>C(Sisteme etki etmeyen arıza)</v>
      </c>
      <c r="P182" s="128" t="str">
        <f>[3]Sayfa1!$Q179</f>
        <v>N.A(Yaralanma yok)</v>
      </c>
      <c r="Q182" s="129" t="str" cm="1">
        <f t="array" ref="Q182">_xlfn.IFS([3]Sayfa1!$R179="Bozankaya","Bozankaya",[3]Sayfa1!$R179="İşletme","Customer",[3]Sayfa1!$R179="Tedarikçi","Equipment Supplier")</f>
        <v>Equipment Supplier</v>
      </c>
      <c r="R182" s="130" t="str">
        <f>[3]Sayfa1!$M179</f>
        <v>T '+49 panoda dot1 modülde haberleşme arızası görülmüş SSH stoğundan sağlam malzeme temin edilip,değiştirilmiştir.</v>
      </c>
      <c r="S182" s="147" t="str">
        <f>[3]Sayfa1!$AB179</f>
        <v>Ekipman değiştirilecek</v>
      </c>
      <c r="T182" s="147" t="str">
        <f>[3]Sayfa1!$AA179</f>
        <v>Evet</v>
      </c>
      <c r="U182" s="131">
        <f>[3]Sayfa1!$AN179</f>
        <v>1</v>
      </c>
      <c r="V182" s="132">
        <f>[3]Sayfa1!$T179</f>
        <v>45511</v>
      </c>
      <c r="W182" s="133">
        <f>[3]Sayfa1!$U179</f>
        <v>45511.613298611112</v>
      </c>
      <c r="X182" s="134">
        <f t="shared" si="50"/>
        <v>45511.613298611112</v>
      </c>
      <c r="Y182" s="123">
        <f>[3]Sayfa1!$AQ179</f>
        <v>45511</v>
      </c>
      <c r="Z182" s="135">
        <f>[3]Sayfa1!$AR179</f>
        <v>45511.612835648149</v>
      </c>
      <c r="AA182" s="134">
        <f t="shared" si="51"/>
        <v>45511.612835648149</v>
      </c>
      <c r="AB182" s="136">
        <f t="shared" si="52"/>
        <v>-1.111111108912155E-2</v>
      </c>
      <c r="AC182" s="137">
        <f t="shared" si="53"/>
        <v>45511</v>
      </c>
      <c r="AD182" s="135">
        <f t="shared" si="54"/>
        <v>45511.612835648149</v>
      </c>
      <c r="AE182" s="138">
        <f t="shared" si="55"/>
        <v>45511.612835648149</v>
      </c>
      <c r="AF182" s="139" t="str">
        <f>[3]Sayfa1!$AP179</f>
        <v>(I) İlk defa karşılaşılan arıza</v>
      </c>
      <c r="AG182" s="128" t="str">
        <f>IF([3]Sayfa1!$P179="C(Sisteme etki etmeyen arıza)","Bu Arıza Aracın Servise Verilmesine Engel Değil","Bu Arıza Aracın Servise Verilmesine Engel")</f>
        <v>Bu Arıza Aracın Servise Verilmesine Engel Değil</v>
      </c>
      <c r="AH182" s="140">
        <f>[3]Sayfa1!$AC179</f>
        <v>0</v>
      </c>
      <c r="AI182" s="137"/>
      <c r="AJ182" s="137"/>
      <c r="AK182" s="138">
        <f t="shared" si="56"/>
        <v>0</v>
      </c>
      <c r="AL182" s="136">
        <f t="shared" si="57"/>
        <v>-0.66666666534729302</v>
      </c>
      <c r="AM182" s="136">
        <f t="shared" si="58"/>
        <v>0</v>
      </c>
      <c r="AN182" s="141" t="str">
        <f t="shared" si="59"/>
        <v>SELECTRON SYSTEMS AG</v>
      </c>
      <c r="AO182" s="141">
        <f>[3]Sayfa1!$X179</f>
        <v>0</v>
      </c>
      <c r="AP182" s="141">
        <f>[3]Sayfa1!$Z179</f>
        <v>2200061</v>
      </c>
      <c r="AQ182" s="122" t="str">
        <f>[3]Sayfa1!$W179</f>
        <v>E110-8007/DOT 732-TW</v>
      </c>
      <c r="AR182" s="142">
        <f>[3]Sayfa1!$Y179</f>
        <v>1</v>
      </c>
      <c r="AS182" s="143">
        <f>[3]Sayfa1!$AD179</f>
        <v>0</v>
      </c>
      <c r="AT182" s="137">
        <f>[3]Sayfa1!$AE179</f>
        <v>45463</v>
      </c>
      <c r="AU182" s="137" t="str">
        <f>[3]Sayfa1!$AH179</f>
        <v/>
      </c>
      <c r="AV182" s="144">
        <v>178</v>
      </c>
      <c r="AW182" s="145" t="e">
        <f>U182*AB182*#REF!</f>
        <v>#REF!</v>
      </c>
    </row>
    <row r="183" spans="1:49" ht="101.25" customHeight="1">
      <c r="A183" s="119" t="s">
        <v>57</v>
      </c>
      <c r="B183" s="120" t="str">
        <f>[3]Sayfa1!$G180</f>
        <v>TS#1</v>
      </c>
      <c r="C183" s="121" t="str">
        <f>[3]Sayfa1!$H180</f>
        <v>T</v>
      </c>
      <c r="D183" s="146">
        <f>[3]Sayfa1!$N180</f>
        <v>830</v>
      </c>
      <c r="E183" s="122" t="str">
        <f>[3]Sayfa1!$B180</f>
        <v>FRACAS-GDM-179</v>
      </c>
      <c r="F183" s="123">
        <f>[3]Sayfa1!$E180</f>
        <v>45636</v>
      </c>
      <c r="G183" s="124">
        <f>[3]Sayfa1!$F180</f>
        <v>45636.613599537035</v>
      </c>
      <c r="H183" s="119" t="str">
        <f>[3]Sayfa1!$I180</f>
        <v>Depo/Depot</v>
      </c>
      <c r="I183" s="125" t="str">
        <f>IF([3]Sayfa1!$K180="SSH","Notified by Bozankaya","Notified by Customer")</f>
        <v>Notified by Bozankaya</v>
      </c>
      <c r="J183" s="119" t="e">
        <f>VLOOKUP([3]Sayfa1!$AU180,#REF!,2,FALSE)</f>
        <v>#REF!</v>
      </c>
      <c r="K183" s="119" t="str">
        <f>[3]Sayfa1!$V180</f>
        <v>SELECTRON SYSTEMS AG</v>
      </c>
      <c r="L183" s="126" t="str">
        <f t="shared" si="49"/>
        <v>GDM7X4-FRACAS-GDM-179</v>
      </c>
      <c r="M183" s="127" t="str">
        <f>[3]Sayfa1!$L180</f>
        <v>AAT modülde arıza</v>
      </c>
      <c r="N183" s="128" t="str">
        <f>[3]Sayfa1!$J180</f>
        <v>C-Uyarı, sürüş devamlılığı</v>
      </c>
      <c r="O183" s="128" t="str">
        <f>[3]Sayfa1!$P180</f>
        <v>C(Sisteme etki etmeyen arıza)</v>
      </c>
      <c r="P183" s="128" t="str">
        <f>[3]Sayfa1!$Q180</f>
        <v>N.A(Yaralanma yok)</v>
      </c>
      <c r="Q183" s="129" t="str" cm="1">
        <f t="array" ref="Q183">_xlfn.IFS([3]Sayfa1!$R180="Bozankaya","Bozankaya",[3]Sayfa1!$R180="İşletme","Customer",[3]Sayfa1!$R180="Tedarikçi","Equipment Supplier")</f>
        <v>Equipment Supplier</v>
      </c>
      <c r="R183" s="130" t="str">
        <f>[3]Sayfa1!$M180</f>
        <v>T +41 panoda analog modülde (AAT) arıza meydana geldi. Modül içerisindeki arızaların detaylarını bilmiyoruz. Malzeme ssh stoğundan değiştirilmiştir.</v>
      </c>
      <c r="S183" s="147" t="str">
        <f>[3]Sayfa1!$AB180</f>
        <v>Ekipman değiştirilecek</v>
      </c>
      <c r="T183" s="147" t="str">
        <f>[3]Sayfa1!$AA180</f>
        <v>Evet</v>
      </c>
      <c r="U183" s="131">
        <f>[3]Sayfa1!$AN180</f>
        <v>1</v>
      </c>
      <c r="V183" s="132">
        <f>[3]Sayfa1!$T180</f>
        <v>45526</v>
      </c>
      <c r="W183" s="133">
        <f>[3]Sayfa1!$U180</f>
        <v>45526.615613425929</v>
      </c>
      <c r="X183" s="134">
        <f t="shared" si="50"/>
        <v>45526.615613425929</v>
      </c>
      <c r="Y183" s="123" t="str">
        <f>[3]Sayfa1!$AQ180</f>
        <v/>
      </c>
      <c r="Z183" s="135">
        <f>[3]Sayfa1!$AR180</f>
        <v>0</v>
      </c>
      <c r="AA183" s="134">
        <f t="shared" si="51"/>
        <v>0</v>
      </c>
      <c r="AB183" s="136">
        <f t="shared" si="52"/>
        <v>0</v>
      </c>
      <c r="AC183" s="137" t="str">
        <f t="shared" si="53"/>
        <v/>
      </c>
      <c r="AD183" s="135">
        <f t="shared" si="54"/>
        <v>0</v>
      </c>
      <c r="AE183" s="138">
        <f t="shared" si="55"/>
        <v>0</v>
      </c>
      <c r="AF183" s="139" t="str">
        <f>[3]Sayfa1!$AP180</f>
        <v>(II) Birden fazla karşılaşılan arıza</v>
      </c>
      <c r="AG183" s="128" t="str">
        <f>IF([3]Sayfa1!$P180="C(Sisteme etki etmeyen arıza)","Bu Arıza Aracın Servise Verilmesine Engel Değil","Bu Arıza Aracın Servise Verilmesine Engel")</f>
        <v>Bu Arıza Aracın Servise Verilmesine Engel Değil</v>
      </c>
      <c r="AH183" s="140">
        <f>[3]Sayfa1!$AC180</f>
        <v>0</v>
      </c>
      <c r="AI183" s="137"/>
      <c r="AJ183" s="137"/>
      <c r="AK183" s="138">
        <f t="shared" si="56"/>
        <v>0</v>
      </c>
      <c r="AL183" s="136">
        <f t="shared" si="57"/>
        <v>0</v>
      </c>
      <c r="AM183" s="136">
        <f t="shared" si="58"/>
        <v>0</v>
      </c>
      <c r="AN183" s="141" t="str">
        <f t="shared" si="59"/>
        <v>SELECTRON SYSTEMS AG</v>
      </c>
      <c r="AO183" s="141">
        <f>[3]Sayfa1!$X180</f>
        <v>0</v>
      </c>
      <c r="AP183" s="141">
        <f>[3]Sayfa1!$Z180</f>
        <v>220200308</v>
      </c>
      <c r="AQ183" s="122" t="str">
        <f>[3]Sayfa1!$W180</f>
        <v>E110-8008/AAT 731-TG/12B</v>
      </c>
      <c r="AR183" s="142">
        <f>[3]Sayfa1!$Y180</f>
        <v>1</v>
      </c>
      <c r="AS183" s="143">
        <f>[3]Sayfa1!$AD180</f>
        <v>0</v>
      </c>
      <c r="AT183" s="137" t="str">
        <f>[3]Sayfa1!$AE180</f>
        <v/>
      </c>
      <c r="AU183" s="137" t="str">
        <f>[3]Sayfa1!$AH180</f>
        <v/>
      </c>
      <c r="AV183" s="144">
        <v>179</v>
      </c>
      <c r="AW183" s="145" t="e">
        <f>U183*AB183*#REF!</f>
        <v>#REF!</v>
      </c>
    </row>
    <row r="184" spans="1:49" ht="101.25" customHeight="1">
      <c r="A184" s="119" t="s">
        <v>57</v>
      </c>
      <c r="B184" s="120" t="str">
        <f>[3]Sayfa1!$G181</f>
        <v>TS#6</v>
      </c>
      <c r="C184" s="121" t="str">
        <f>[3]Sayfa1!$H181</f>
        <v>T</v>
      </c>
      <c r="D184" s="146">
        <f>[3]Sayfa1!$N181</f>
        <v>89</v>
      </c>
      <c r="E184" s="122" t="str">
        <f>[3]Sayfa1!$B181</f>
        <v>FRACAS-GDM-180</v>
      </c>
      <c r="F184" s="123">
        <f>[3]Sayfa1!$E181</f>
        <v>45636</v>
      </c>
      <c r="G184" s="124">
        <f>[3]Sayfa1!$F181</f>
        <v>45636.615717592591</v>
      </c>
      <c r="H184" s="119" t="str">
        <f>[3]Sayfa1!$I181</f>
        <v>Depo/Depot</v>
      </c>
      <c r="I184" s="125" t="str">
        <f>IF([3]Sayfa1!$K181="SSH","Notified by Bozankaya","Notified by Customer")</f>
        <v>Notified by Bozankaya</v>
      </c>
      <c r="J184" s="119" t="e">
        <f>VLOOKUP([3]Sayfa1!$AU181,#REF!,2,FALSE)</f>
        <v>#REF!</v>
      </c>
      <c r="K184" s="119" t="str">
        <f>[3]Sayfa1!$V181</f>
        <v>Wabtec Faiveley Turkey Ulaşım Siste</v>
      </c>
      <c r="L184" s="126" t="str">
        <f t="shared" si="49"/>
        <v>GDM7X4-FRACAS-GDM-180</v>
      </c>
      <c r="M184" s="127" t="str">
        <f>[3]Sayfa1!$L181</f>
        <v>6A sigorta arızası</v>
      </c>
      <c r="N184" s="128" t="str">
        <f>[3]Sayfa1!$J181</f>
        <v>C-Uyarı, sürüş devamlılığı</v>
      </c>
      <c r="O184" s="128" t="str">
        <f>[3]Sayfa1!$P181</f>
        <v>C(Sisteme etki etmeyen arıza)</v>
      </c>
      <c r="P184" s="128" t="str">
        <f>[3]Sayfa1!$Q181</f>
        <v>N.A(Yaralanma yok)</v>
      </c>
      <c r="Q184" s="129" t="str" cm="1">
        <f t="array" ref="Q184">_xlfn.IFS([3]Sayfa1!$R181="Bozankaya","Bozankaya",[3]Sayfa1!$R181="İşletme","Customer",[3]Sayfa1!$R181="Tedarikçi","Equipment Supplier")</f>
        <v>Equipment Supplier</v>
      </c>
      <c r="R184" s="130" t="str">
        <f>[3]Sayfa1!$M181</f>
        <v>Üretim ekiplerinin çalışması esnasında T +41 panoda 6A sigortada kablo sıkıştırma vidalarından birisi sıkıştığı için sigorta kullanılamaz hale geldi.</v>
      </c>
      <c r="S184" s="147" t="str">
        <f>[3]Sayfa1!$AB181</f>
        <v>Ekipman değiştirilecek</v>
      </c>
      <c r="T184" s="147" t="str">
        <f>[3]Sayfa1!$AA181</f>
        <v>Hayır</v>
      </c>
      <c r="U184" s="131">
        <f>[3]Sayfa1!$AN181</f>
        <v>1</v>
      </c>
      <c r="V184" s="132">
        <f>[3]Sayfa1!$T181</f>
        <v>45525</v>
      </c>
      <c r="W184" s="133">
        <f>[3]Sayfa1!$U181</f>
        <v>45525.617743055554</v>
      </c>
      <c r="X184" s="134">
        <f t="shared" si="50"/>
        <v>45525.617743055554</v>
      </c>
      <c r="Y184" s="123">
        <f>[3]Sayfa1!$AQ181</f>
        <v>45527</v>
      </c>
      <c r="Z184" s="135">
        <f>[3]Sayfa1!$AR181</f>
        <v>45527.619097222225</v>
      </c>
      <c r="AA184" s="134">
        <f t="shared" si="51"/>
        <v>45527.619097222225</v>
      </c>
      <c r="AB184" s="136">
        <f t="shared" si="52"/>
        <v>0</v>
      </c>
      <c r="AC184" s="137">
        <f t="shared" si="53"/>
        <v>45527</v>
      </c>
      <c r="AD184" s="135">
        <f t="shared" si="54"/>
        <v>45527.619097222225</v>
      </c>
      <c r="AE184" s="138">
        <f t="shared" si="55"/>
        <v>45527.619097222225</v>
      </c>
      <c r="AF184" s="139" t="str">
        <f>[3]Sayfa1!$AP181</f>
        <v>(I) İlk defa karşılaşılan arıza</v>
      </c>
      <c r="AG184" s="128" t="str">
        <f>IF([3]Sayfa1!$P181="C(Sisteme etki etmeyen arıza)","Bu Arıza Aracın Servise Verilmesine Engel Değil","Bu Arıza Aracın Servise Verilmesine Engel")</f>
        <v>Bu Arıza Aracın Servise Verilmesine Engel Değil</v>
      </c>
      <c r="AH184" s="140">
        <f>[3]Sayfa1!$AC181</f>
        <v>0</v>
      </c>
      <c r="AI184" s="137"/>
      <c r="AJ184" s="137"/>
      <c r="AK184" s="138">
        <f t="shared" si="56"/>
        <v>0</v>
      </c>
      <c r="AL184" s="136">
        <f t="shared" si="57"/>
        <v>0</v>
      </c>
      <c r="AM184" s="136">
        <f t="shared" si="58"/>
        <v>0</v>
      </c>
      <c r="AN184" s="141" t="str">
        <f t="shared" si="59"/>
        <v>Wabtec Faiveley Turkey Ulaşım Siste</v>
      </c>
      <c r="AO184" s="141">
        <f>[3]Sayfa1!$X181</f>
        <v>0</v>
      </c>
      <c r="AP184" s="141">
        <f>[3]Sayfa1!$Z181</f>
        <v>0</v>
      </c>
      <c r="AQ184" s="122" t="str">
        <f>[3]Sayfa1!$W181</f>
        <v>E110-8056/6A  SİGORTA 110V</v>
      </c>
      <c r="AR184" s="142">
        <f>[3]Sayfa1!$Y181</f>
        <v>1</v>
      </c>
      <c r="AS184" s="143">
        <f>[3]Sayfa1!$AD181</f>
        <v>0</v>
      </c>
      <c r="AT184" s="137">
        <f>[3]Sayfa1!$AE181</f>
        <v>45525</v>
      </c>
      <c r="AU184" s="137" t="str">
        <f>[3]Sayfa1!$AH181</f>
        <v/>
      </c>
      <c r="AV184" s="144">
        <v>180</v>
      </c>
      <c r="AW184" s="145" t="e">
        <f>U184*AB184*#REF!</f>
        <v>#REF!</v>
      </c>
    </row>
    <row r="185" spans="1:49" ht="101.25" customHeight="1">
      <c r="A185" s="119" t="s">
        <v>57</v>
      </c>
      <c r="B185" s="120" t="str">
        <f>[3]Sayfa1!$G182</f>
        <v>TS#7</v>
      </c>
      <c r="C185" s="121" t="str">
        <f>[3]Sayfa1!$H182</f>
        <v>M</v>
      </c>
      <c r="D185" s="146">
        <f>[3]Sayfa1!$N182</f>
        <v>181</v>
      </c>
      <c r="E185" s="122" t="str">
        <f>[3]Sayfa1!$B182</f>
        <v>FRACAS-GDM-181</v>
      </c>
      <c r="F185" s="123">
        <f>[3]Sayfa1!$E182</f>
        <v>45559</v>
      </c>
      <c r="G185" s="124">
        <f>[3]Sayfa1!$F182</f>
        <v>45559.619444444441</v>
      </c>
      <c r="H185" s="119" t="str">
        <f>[3]Sayfa1!$I182</f>
        <v>Depo/Depot</v>
      </c>
      <c r="I185" s="125" t="str">
        <f>IF([3]Sayfa1!$K182="SSH","Notified by Bozankaya","Notified by Customer")</f>
        <v>Notified by Bozankaya</v>
      </c>
      <c r="J185" s="119" t="e">
        <f>VLOOKUP([3]Sayfa1!$AU182,#REF!,2,FALSE)</f>
        <v>#REF!</v>
      </c>
      <c r="K185" s="119">
        <f>[3]Sayfa1!$V182</f>
        <v>0</v>
      </c>
      <c r="L185" s="126" t="str">
        <f t="shared" si="49"/>
        <v>GDM7X4-FRACAS-GDM-181</v>
      </c>
      <c r="M185" s="127" t="str">
        <f>[3]Sayfa1!$L182</f>
        <v>DCU arızası</v>
      </c>
      <c r="N185" s="128" t="str">
        <f>[3]Sayfa1!$J182</f>
        <v>C-Uyarı, sürüş devamlılığı</v>
      </c>
      <c r="O185" s="128" t="str">
        <f>[3]Sayfa1!$P182</f>
        <v>C(Sisteme etki etmeyen arıza)</v>
      </c>
      <c r="P185" s="128" t="str">
        <f>[3]Sayfa1!$Q182</f>
        <v>N.A(Yaralanma yok)</v>
      </c>
      <c r="Q185" s="129" t="str" cm="1">
        <f t="array" ref="Q185">_xlfn.IFS([3]Sayfa1!$R182="Bozankaya","Bozankaya",[3]Sayfa1!$R182="İşletme","Customer",[3]Sayfa1!$R182="Tedarikçi","Equipment Supplier")</f>
        <v>Equipment Supplier</v>
      </c>
      <c r="R185" s="130" t="str">
        <f>[3]Sayfa1!$M182</f>
        <v>Gdm-7 aracının 14. kapısının kapı kontrol ünitesi (DCU) sürekli olarak arıza ışığı yakması ve kablosal olarak bi arıza bulunamaması sonucunda stoktaki sağlam DCU ile değiştirilmiş ve arızanın eski DCU da olduğu görülmüştür.</v>
      </c>
      <c r="S185" s="147" t="str">
        <f>[3]Sayfa1!$AB182</f>
        <v>Ekipman değiştirilecek</v>
      </c>
      <c r="T185" s="147" t="str">
        <f>[3]Sayfa1!$AA182</f>
        <v>Evet</v>
      </c>
      <c r="U185" s="131">
        <f>[3]Sayfa1!$AN182</f>
        <v>1</v>
      </c>
      <c r="V185" s="132">
        <f>[3]Sayfa1!$T182</f>
        <v>45562</v>
      </c>
      <c r="W185" s="133">
        <f>[3]Sayfa1!$U182</f>
        <v>45562.623831018522</v>
      </c>
      <c r="X185" s="134">
        <f t="shared" si="50"/>
        <v>45562.623831018522</v>
      </c>
      <c r="Y185" s="123">
        <f>[3]Sayfa1!$AQ182</f>
        <v>45560</v>
      </c>
      <c r="Z185" s="135">
        <f>[3]Sayfa1!$AR182</f>
        <v>45560.623391203706</v>
      </c>
      <c r="AA185" s="134">
        <f t="shared" si="51"/>
        <v>45560.623391203706</v>
      </c>
      <c r="AB185" s="136">
        <f t="shared" si="52"/>
        <v>-48.010555555578321</v>
      </c>
      <c r="AC185" s="137">
        <f t="shared" si="53"/>
        <v>45560</v>
      </c>
      <c r="AD185" s="135">
        <f t="shared" si="54"/>
        <v>45560.623391203706</v>
      </c>
      <c r="AE185" s="138">
        <f t="shared" si="55"/>
        <v>45560.623391203706</v>
      </c>
      <c r="AF185" s="139" t="str">
        <f>[3]Sayfa1!$AP182</f>
        <v>(I) İlk defa karşılaşılan arıza</v>
      </c>
      <c r="AG185" s="128" t="str">
        <f>IF([3]Sayfa1!$P182="C(Sisteme etki etmeyen arıza)","Bu Arıza Aracın Servise Verilmesine Engel Değil","Bu Arıza Aracın Servise Verilmesine Engel")</f>
        <v>Bu Arıza Aracın Servise Verilmesine Engel Değil</v>
      </c>
      <c r="AH185" s="140">
        <f>[3]Sayfa1!$AC182</f>
        <v>0</v>
      </c>
      <c r="AI185" s="137"/>
      <c r="AJ185" s="137"/>
      <c r="AK185" s="138">
        <f t="shared" si="56"/>
        <v>0</v>
      </c>
      <c r="AL185" s="136">
        <f t="shared" si="57"/>
        <v>-2880.6333333346993</v>
      </c>
      <c r="AM185" s="136">
        <f t="shared" si="58"/>
        <v>0</v>
      </c>
      <c r="AN185" s="141">
        <f t="shared" si="59"/>
        <v>0</v>
      </c>
      <c r="AO185" s="141">
        <f>[3]Sayfa1!$X182</f>
        <v>0</v>
      </c>
      <c r="AP185" s="141">
        <f>[3]Sayfa1!$Z182</f>
        <v>463546380012</v>
      </c>
      <c r="AQ185" s="122">
        <f>[3]Sayfa1!$W182</f>
        <v>0</v>
      </c>
      <c r="AR185" s="142">
        <f>[3]Sayfa1!$Y182</f>
        <v>0</v>
      </c>
      <c r="AS185" s="143">
        <f>[3]Sayfa1!$AD182</f>
        <v>0</v>
      </c>
      <c r="AT185" s="137">
        <f>[3]Sayfa1!$AE182</f>
        <v>45559</v>
      </c>
      <c r="AU185" s="137" t="str">
        <f>[3]Sayfa1!$AH182</f>
        <v/>
      </c>
      <c r="AV185" s="144">
        <v>181</v>
      </c>
      <c r="AW185" s="145" t="e">
        <f>U185*AB185*#REF!</f>
        <v>#REF!</v>
      </c>
    </row>
    <row r="186" spans="1:49" ht="101.25" customHeight="1">
      <c r="A186" s="119" t="s">
        <v>57</v>
      </c>
      <c r="B186" s="120" t="str">
        <f>[3]Sayfa1!$G183</f>
        <v>TS#6</v>
      </c>
      <c r="C186" s="121" t="str">
        <f>[3]Sayfa1!$H183</f>
        <v>T</v>
      </c>
      <c r="D186" s="146">
        <f>[3]Sayfa1!$N183</f>
        <v>181</v>
      </c>
      <c r="E186" s="122" t="str">
        <f>[3]Sayfa1!$B183</f>
        <v>FRACAS-GDM-182</v>
      </c>
      <c r="F186" s="123">
        <f>[3]Sayfa1!$E183</f>
        <v>45555</v>
      </c>
      <c r="G186" s="124">
        <f>[3]Sayfa1!$F183</f>
        <v>45555.624085648145</v>
      </c>
      <c r="H186" s="119" t="str">
        <f>[3]Sayfa1!$I183</f>
        <v>Depo/Depot</v>
      </c>
      <c r="I186" s="125" t="str">
        <f>IF([3]Sayfa1!$K183="SSH","Notified by Bozankaya","Notified by Customer")</f>
        <v>Notified by Bozankaya</v>
      </c>
      <c r="J186" s="119" t="e">
        <f>VLOOKUP([3]Sayfa1!$AU183,#REF!,2,FALSE)</f>
        <v>#REF!</v>
      </c>
      <c r="K186" s="119" t="str">
        <f>[3]Sayfa1!$V183</f>
        <v>ASPİLSAN ENERJİ SAN.ve TİC.A.Ş.</v>
      </c>
      <c r="L186" s="126" t="str">
        <f t="shared" si="49"/>
        <v>GDM7X4-FRACAS-GDM-182</v>
      </c>
      <c r="M186" s="127" t="str">
        <f>[3]Sayfa1!$L183</f>
        <v>Batarya kutusu kapağı menteşesinin kırılması</v>
      </c>
      <c r="N186" s="128" t="str">
        <f>[3]Sayfa1!$J183</f>
        <v>C-Uyarı, sürüş devamlılığı</v>
      </c>
      <c r="O186" s="128" t="str">
        <f>[3]Sayfa1!$P183</f>
        <v>C(Sisteme etki etmeyen arıza)</v>
      </c>
      <c r="P186" s="128" t="str">
        <f>[3]Sayfa1!$Q183</f>
        <v>N.A(Yaralanma yok)</v>
      </c>
      <c r="Q186" s="129" t="str" cm="1">
        <f t="array" ref="Q186">_xlfn.IFS([3]Sayfa1!$R183="Bozankaya","Bozankaya",[3]Sayfa1!$R183="İşletme","Customer",[3]Sayfa1!$R183="Tedarikçi","Equipment Supplier")</f>
        <v>Equipment Supplier</v>
      </c>
      <c r="R186" s="130" t="str">
        <f>[3]Sayfa1!$M183</f>
        <v>GDM6 aracı bakımlarının yapıldığı esnada batarya voltajları ölçülmek üzere kapak açıldığında kapağın menteşesinin kırık olduğu görülmüş. Kapak yerine oturtulup, kilitlenip bırakılmıştır.</v>
      </c>
      <c r="S186" s="147" t="str">
        <f>[3]Sayfa1!$AB183</f>
        <v>Ekipman değiştirilecek</v>
      </c>
      <c r="T186" s="147" t="str">
        <f>[3]Sayfa1!$AA183</f>
        <v>Evet</v>
      </c>
      <c r="U186" s="131">
        <f>[3]Sayfa1!$AN183</f>
        <v>1</v>
      </c>
      <c r="V186" s="132">
        <f>[3]Sayfa1!$T183</f>
        <v>45561</v>
      </c>
      <c r="W186" s="133">
        <f>[3]Sayfa1!$U183</f>
        <v>45561.6252662037</v>
      </c>
      <c r="X186" s="134">
        <f t="shared" si="50"/>
        <v>45561.6252662037</v>
      </c>
      <c r="Y186" s="123" t="str">
        <f>[3]Sayfa1!$AQ183</f>
        <v/>
      </c>
      <c r="Z186" s="135">
        <f>[3]Sayfa1!$AR183</f>
        <v>0</v>
      </c>
      <c r="AA186" s="134">
        <f t="shared" si="51"/>
        <v>0</v>
      </c>
      <c r="AB186" s="136">
        <f t="shared" si="52"/>
        <v>0</v>
      </c>
      <c r="AC186" s="137" t="str">
        <f t="shared" si="53"/>
        <v/>
      </c>
      <c r="AD186" s="135">
        <f t="shared" si="54"/>
        <v>0</v>
      </c>
      <c r="AE186" s="138">
        <f t="shared" si="55"/>
        <v>0</v>
      </c>
      <c r="AF186" s="139" t="str">
        <f>[3]Sayfa1!$AP183</f>
        <v>(III) Birden fazla aynı araçta karşılaşılan arıza</v>
      </c>
      <c r="AG186" s="128" t="str">
        <f>IF([3]Sayfa1!$P183="C(Sisteme etki etmeyen arıza)","Bu Arıza Aracın Servise Verilmesine Engel Değil","Bu Arıza Aracın Servise Verilmesine Engel")</f>
        <v>Bu Arıza Aracın Servise Verilmesine Engel Değil</v>
      </c>
      <c r="AH186" s="140">
        <f>[3]Sayfa1!$AC183</f>
        <v>0</v>
      </c>
      <c r="AI186" s="137"/>
      <c r="AJ186" s="137"/>
      <c r="AK186" s="138">
        <f t="shared" si="56"/>
        <v>0</v>
      </c>
      <c r="AL186" s="136">
        <f t="shared" si="57"/>
        <v>0</v>
      </c>
      <c r="AM186" s="136">
        <f t="shared" si="58"/>
        <v>0</v>
      </c>
      <c r="AN186" s="141" t="str">
        <f t="shared" si="59"/>
        <v>ASPİLSAN ENERJİ SAN.ve TİC.A.Ş.</v>
      </c>
      <c r="AO186" s="141">
        <f>[3]Sayfa1!$X183</f>
        <v>0</v>
      </c>
      <c r="AP186" s="141">
        <f>[3]Sayfa1!$Z183</f>
        <v>0</v>
      </c>
      <c r="AQ186" s="122" t="str">
        <f>[3]Sayfa1!$W183</f>
        <v>P680-8001/110V BATARYA KUTUSU</v>
      </c>
      <c r="AR186" s="142">
        <f>[3]Sayfa1!$Y183</f>
        <v>1</v>
      </c>
      <c r="AS186" s="143">
        <f>[3]Sayfa1!$AD183</f>
        <v>0</v>
      </c>
      <c r="AT186" s="137" t="str">
        <f>[3]Sayfa1!$AE183</f>
        <v/>
      </c>
      <c r="AU186" s="137" t="str">
        <f>[3]Sayfa1!$AH183</f>
        <v/>
      </c>
      <c r="AV186" s="144">
        <v>182</v>
      </c>
      <c r="AW186" s="145" t="e">
        <f>U186*AB186*#REF!</f>
        <v>#REF!</v>
      </c>
    </row>
    <row r="187" spans="1:49" ht="101.25" customHeight="1">
      <c r="A187" s="119" t="s">
        <v>57</v>
      </c>
      <c r="B187" s="120" t="str">
        <f>[3]Sayfa1!$G184</f>
        <v>TS#7</v>
      </c>
      <c r="C187" s="121" t="str">
        <f>[3]Sayfa1!$H184</f>
        <v>Mc1</v>
      </c>
      <c r="D187" s="146">
        <f>[3]Sayfa1!$N184</f>
        <v>191</v>
      </c>
      <c r="E187" s="122" t="str">
        <f>[3]Sayfa1!$B184</f>
        <v>FRACAS-GDM-183</v>
      </c>
      <c r="F187" s="123">
        <f>[3]Sayfa1!$E184</f>
        <v>45569</v>
      </c>
      <c r="G187" s="124">
        <f>[3]Sayfa1!$F184</f>
        <v>45569.632453703707</v>
      </c>
      <c r="H187" s="119" t="str">
        <f>[3]Sayfa1!$I184</f>
        <v>Depo/Depot</v>
      </c>
      <c r="I187" s="125" t="str">
        <f>IF([3]Sayfa1!$K184="SSH","Notified by Bozankaya","Notified by Customer")</f>
        <v>Notified by Bozankaya</v>
      </c>
      <c r="J187" s="119" t="e">
        <f>VLOOKUP([3]Sayfa1!$AU184,#REF!,2,FALSE)</f>
        <v>#REF!</v>
      </c>
      <c r="K187" s="119" t="str">
        <f>[3]Sayfa1!$V184</f>
        <v>KNORR-BREMSE, SYSTEME FÜR</v>
      </c>
      <c r="L187" s="126" t="str">
        <f t="shared" si="49"/>
        <v>GDM7X4-FRACAS-GDM-183</v>
      </c>
      <c r="M187" s="127" t="str">
        <f>[3]Sayfa1!$L184</f>
        <v>Manyetik valf arızası</v>
      </c>
      <c r="N187" s="128" t="str">
        <f>[3]Sayfa1!$J184</f>
        <v>C-Uyarı, sürüş devamlılığı</v>
      </c>
      <c r="O187" s="128" t="str">
        <f>[3]Sayfa1!$P184</f>
        <v>C(Sisteme etki etmeyen arıza)</v>
      </c>
      <c r="P187" s="128" t="str">
        <f>[3]Sayfa1!$Q184</f>
        <v>N.A(Yaralanma yok)</v>
      </c>
      <c r="Q187" s="129" t="str" cm="1">
        <f t="array" ref="Q187">_xlfn.IFS([3]Sayfa1!$R184="Bozankaya","Bozankaya",[3]Sayfa1!$R184="İşletme","Customer",[3]Sayfa1!$R184="Tedarikçi","Equipment Supplier")</f>
        <v>Equipment Supplier</v>
      </c>
      <c r="R187" s="130" t="str">
        <f>[3]Sayfa1!$M184</f>
        <v>GDM7 aracında yapılan fonksiyon kontrol çalışmaları sırasında aracın MC1 modülünde kuplajı çözdüğü fakat geri kuramadığı fark edilmiş. Yapılan kablolama kontrolü sonrası arızanın kablolamada olmadığı görülmüş ve kuplajın manyetik valfi stoktaki sağlam parçayla değiştirilip sistem tekrar denendiğinde sistem çalışmıştır.</v>
      </c>
      <c r="S187" s="147" t="str">
        <f>[3]Sayfa1!$AB184</f>
        <v>Ekipman değiştirilecek</v>
      </c>
      <c r="T187" s="147" t="str">
        <f>[3]Sayfa1!$AA184</f>
        <v>Evet</v>
      </c>
      <c r="U187" s="131">
        <f>[3]Sayfa1!$AN184</f>
        <v>1</v>
      </c>
      <c r="V187" s="132">
        <f>[3]Sayfa1!$T184</f>
        <v>45570</v>
      </c>
      <c r="W187" s="133">
        <f>[3]Sayfa1!$U184</f>
        <v>45570.633344907408</v>
      </c>
      <c r="X187" s="134">
        <f t="shared" si="50"/>
        <v>45570.633344907408</v>
      </c>
      <c r="Y187" s="123">
        <f>[3]Sayfa1!$AQ184</f>
        <v>45574</v>
      </c>
      <c r="Z187" s="135">
        <f>[3]Sayfa1!$AR184</f>
        <v>45574.634930555556</v>
      </c>
      <c r="AA187" s="134">
        <f t="shared" si="51"/>
        <v>45574.634930555556</v>
      </c>
      <c r="AB187" s="136">
        <f t="shared" si="52"/>
        <v>96.038055555545725</v>
      </c>
      <c r="AC187" s="137">
        <f t="shared" si="53"/>
        <v>45574</v>
      </c>
      <c r="AD187" s="135">
        <f t="shared" si="54"/>
        <v>45574.634930555556</v>
      </c>
      <c r="AE187" s="138">
        <f t="shared" si="55"/>
        <v>45574.634930555556</v>
      </c>
      <c r="AF187" s="139" t="str">
        <f>[3]Sayfa1!$AP184</f>
        <v>(I) İlk defa karşılaşılan arıza</v>
      </c>
      <c r="AG187" s="128" t="str">
        <f>IF([3]Sayfa1!$P184="C(Sisteme etki etmeyen arıza)","Bu Arıza Aracın Servise Verilmesine Engel Değil","Bu Arıza Aracın Servise Verilmesine Engel")</f>
        <v>Bu Arıza Aracın Servise Verilmesine Engel Değil</v>
      </c>
      <c r="AH187" s="140">
        <f>[3]Sayfa1!$AC184</f>
        <v>0</v>
      </c>
      <c r="AI187" s="137"/>
      <c r="AJ187" s="137"/>
      <c r="AK187" s="138">
        <f t="shared" si="56"/>
        <v>0</v>
      </c>
      <c r="AL187" s="136">
        <f t="shared" si="57"/>
        <v>5762.2833333327435</v>
      </c>
      <c r="AM187" s="136">
        <f t="shared" si="58"/>
        <v>0</v>
      </c>
      <c r="AN187" s="141" t="str">
        <f t="shared" si="59"/>
        <v>KNORR-BREMSE, SYSTEME FÜR</v>
      </c>
      <c r="AO187" s="141">
        <f>[3]Sayfa1!$X184</f>
        <v>0</v>
      </c>
      <c r="AP187" s="141">
        <f>[3]Sayfa1!$Z184</f>
        <v>160030669</v>
      </c>
      <c r="AQ187" s="122" t="str">
        <f>[3]Sayfa1!$W184</f>
        <v>S306-8125/MANYETİK VALF W06</v>
      </c>
      <c r="AR187" s="142">
        <f>[3]Sayfa1!$Y184</f>
        <v>1</v>
      </c>
      <c r="AS187" s="143">
        <f>[3]Sayfa1!$AD184</f>
        <v>0</v>
      </c>
      <c r="AT187" s="137" t="str">
        <f>[3]Sayfa1!$AE184</f>
        <v/>
      </c>
      <c r="AU187" s="137" t="str">
        <f>[3]Sayfa1!$AH184</f>
        <v/>
      </c>
      <c r="AV187" s="144">
        <v>183</v>
      </c>
      <c r="AW187" s="145" t="e">
        <f>U187*AB187*#REF!</f>
        <v>#REF!</v>
      </c>
    </row>
    <row r="188" spans="1:49" ht="101.25" customHeight="1">
      <c r="A188" s="119" t="s">
        <v>57</v>
      </c>
      <c r="B188" s="120" t="str">
        <f>[3]Sayfa1!$G185</f>
        <v>TS#3</v>
      </c>
      <c r="C188" s="121" t="str">
        <f>[3]Sayfa1!$H185</f>
        <v>Mc1</v>
      </c>
      <c r="D188" s="146">
        <f>[3]Sayfa1!$N185</f>
        <v>191</v>
      </c>
      <c r="E188" s="122" t="str">
        <f>[3]Sayfa1!$B185</f>
        <v>FRACAS-GDM-184</v>
      </c>
      <c r="F188" s="123">
        <f>[3]Sayfa1!$E185</f>
        <v>45576</v>
      </c>
      <c r="G188" s="124">
        <f>[3]Sayfa1!$F185</f>
        <v>45576.635578703703</v>
      </c>
      <c r="H188" s="119" t="str">
        <f>[3]Sayfa1!$I185</f>
        <v>Depo/Depot</v>
      </c>
      <c r="I188" s="125" t="str">
        <f>IF([3]Sayfa1!$K185="SSH","Notified by Bozankaya","Notified by Customer")</f>
        <v>Notified by Bozankaya</v>
      </c>
      <c r="J188" s="119" t="e">
        <f>VLOOKUP([3]Sayfa1!$AU185,#REF!,2,FALSE)</f>
        <v>#REF!</v>
      </c>
      <c r="K188" s="119" t="str">
        <f>[3]Sayfa1!$V185</f>
        <v>ARESKOM İLETİŞİM SİS TİC LTD ŞTİ</v>
      </c>
      <c r="L188" s="126" t="str">
        <f t="shared" si="49"/>
        <v>GDM7X4-FRACAS-GDM-184</v>
      </c>
      <c r="M188" s="127" t="str">
        <f>[3]Sayfa1!$L185</f>
        <v>Yönetilebilir 12 port ethernet switch arızası</v>
      </c>
      <c r="N188" s="128" t="str">
        <f>[3]Sayfa1!$J185</f>
        <v>C-Uyarı, sürüş devamlılığı</v>
      </c>
      <c r="O188" s="128" t="str">
        <f>[3]Sayfa1!$P185</f>
        <v>C(Sisteme etki etmeyen arıza)</v>
      </c>
      <c r="P188" s="128" t="str">
        <f>[3]Sayfa1!$Q185</f>
        <v>N.A(Yaralanma yok)</v>
      </c>
      <c r="Q188" s="129" t="str" cm="1">
        <f t="array" ref="Q188">_xlfn.IFS([3]Sayfa1!$R185="Bozankaya","Bozankaya",[3]Sayfa1!$R185="İşletme","Customer",[3]Sayfa1!$R185="Tedarikçi","Equipment Supplier")</f>
        <v>Equipment Supplier</v>
      </c>
      <c r="R188" s="130" t="str">
        <f>[3]Sayfa1!$M185</f>
        <v>GDM3 MC1 modüldeki ethernet switch'in power verildiğinde çalışmadığı, araç ile haberleşmediği görülmüştür. Stokta bulunan switch denendiğinde çalıştığı, hatta bir problem olmadığı; arızanın switch'te olduğu tespit edilmiştir.</v>
      </c>
      <c r="S188" s="147" t="str">
        <f>[3]Sayfa1!$AB185</f>
        <v>Ekipman değiştirilecek</v>
      </c>
      <c r="T188" s="147" t="str">
        <f>[3]Sayfa1!$AA185</f>
        <v>Evet</v>
      </c>
      <c r="U188" s="131">
        <f>[3]Sayfa1!$AN185</f>
        <v>1</v>
      </c>
      <c r="V188" s="132">
        <f>[3]Sayfa1!$T185</f>
        <v>45576</v>
      </c>
      <c r="W188" s="133">
        <f>[3]Sayfa1!$U185</f>
        <v>45576.63689814815</v>
      </c>
      <c r="X188" s="134">
        <f t="shared" si="50"/>
        <v>45576.63689814815</v>
      </c>
      <c r="Y188" s="123" t="str">
        <f>[3]Sayfa1!$AQ185</f>
        <v/>
      </c>
      <c r="Z188" s="135">
        <f>[3]Sayfa1!$AR185</f>
        <v>0</v>
      </c>
      <c r="AA188" s="134">
        <f t="shared" si="51"/>
        <v>0</v>
      </c>
      <c r="AB188" s="136">
        <f t="shared" si="52"/>
        <v>0</v>
      </c>
      <c r="AC188" s="137" t="str">
        <f t="shared" si="53"/>
        <v/>
      </c>
      <c r="AD188" s="135">
        <f t="shared" si="54"/>
        <v>0</v>
      </c>
      <c r="AE188" s="138">
        <f t="shared" si="55"/>
        <v>0</v>
      </c>
      <c r="AF188" s="139" t="str">
        <f>[3]Sayfa1!$AP185</f>
        <v>(I) İlk defa karşılaşılan arıza</v>
      </c>
      <c r="AG188" s="128" t="str">
        <f>IF([3]Sayfa1!$P185="C(Sisteme etki etmeyen arıza)","Bu Arıza Aracın Servise Verilmesine Engel Değil","Bu Arıza Aracın Servise Verilmesine Engel")</f>
        <v>Bu Arıza Aracın Servise Verilmesine Engel Değil</v>
      </c>
      <c r="AH188" s="140">
        <f>[3]Sayfa1!$AC185</f>
        <v>0</v>
      </c>
      <c r="AI188" s="137"/>
      <c r="AJ188" s="137"/>
      <c r="AK188" s="138">
        <f t="shared" si="56"/>
        <v>0</v>
      </c>
      <c r="AL188" s="136">
        <f t="shared" si="57"/>
        <v>0</v>
      </c>
      <c r="AM188" s="136">
        <f t="shared" si="58"/>
        <v>0</v>
      </c>
      <c r="AN188" s="141" t="str">
        <f t="shared" si="59"/>
        <v>ARESKOM İLETİŞİM SİS TİC LTD ŞTİ</v>
      </c>
      <c r="AO188" s="141">
        <f>[3]Sayfa1!$X185</f>
        <v>0</v>
      </c>
      <c r="AP188" s="141">
        <f>[3]Sayfa1!$Z185</f>
        <v>43193</v>
      </c>
      <c r="AQ188" s="122" t="str">
        <f>[3]Sayfa1!$W185</f>
        <v>E855-8001/Yönetilebilir 12 Port Ethernet Switch</v>
      </c>
      <c r="AR188" s="142">
        <f>[3]Sayfa1!$Y185</f>
        <v>1</v>
      </c>
      <c r="AS188" s="143">
        <f>[3]Sayfa1!$AD185</f>
        <v>0</v>
      </c>
      <c r="AT188" s="137" t="str">
        <f>[3]Sayfa1!$AE185</f>
        <v/>
      </c>
      <c r="AU188" s="137" t="str">
        <f>[3]Sayfa1!$AH185</f>
        <v/>
      </c>
      <c r="AV188" s="144">
        <v>184</v>
      </c>
      <c r="AW188" s="145" t="e">
        <f>U188*AB188*#REF!</f>
        <v>#REF!</v>
      </c>
    </row>
    <row r="189" spans="1:49" ht="101.25" customHeight="1">
      <c r="A189" s="119" t="s">
        <v>57</v>
      </c>
      <c r="B189" s="120" t="str">
        <f>[3]Sayfa1!$G186</f>
        <v>TS#3</v>
      </c>
      <c r="C189" s="121" t="str">
        <f>[3]Sayfa1!$H186</f>
        <v>Mc1 , T , M , Mc2</v>
      </c>
      <c r="D189" s="146">
        <f>[3]Sayfa1!$N186</f>
        <v>159</v>
      </c>
      <c r="E189" s="122" t="str">
        <f>[3]Sayfa1!$B186</f>
        <v>FRACAS-GDM-185</v>
      </c>
      <c r="F189" s="123">
        <f>[3]Sayfa1!$E186</f>
        <v>45579</v>
      </c>
      <c r="G189" s="124">
        <f>[3]Sayfa1!$F186</f>
        <v>45579.63857638889</v>
      </c>
      <c r="H189" s="119" t="str">
        <f>[3]Sayfa1!$I186</f>
        <v>Depo/Depot</v>
      </c>
      <c r="I189" s="125" t="str">
        <f>IF([3]Sayfa1!$K186="SSH","Notified by Bozankaya","Notified by Customer")</f>
        <v>Notified by Bozankaya</v>
      </c>
      <c r="J189" s="119" t="e">
        <f>VLOOKUP([3]Sayfa1!$AU186,#REF!,2,FALSE)</f>
        <v>#REF!</v>
      </c>
      <c r="K189" s="119" t="str">
        <f>[3]Sayfa1!$V186</f>
        <v>PİTON BİLGİSAYAR TEKNOLOJİLERİ EĞİT</v>
      </c>
      <c r="L189" s="126" t="str">
        <f t="shared" si="49"/>
        <v>GDM7X4-FRACAS-GDM-185</v>
      </c>
      <c r="M189" s="127" t="str">
        <f>[3]Sayfa1!$L186</f>
        <v>LCD ekran arızası</v>
      </c>
      <c r="N189" s="128" t="str">
        <f>[3]Sayfa1!$J186</f>
        <v>C-Uyarı, sürüş devamlılığı</v>
      </c>
      <c r="O189" s="128" t="str">
        <f>[3]Sayfa1!$P186</f>
        <v>C(Sisteme etki etmeyen arıza)</v>
      </c>
      <c r="P189" s="128" t="str">
        <f>[3]Sayfa1!$Q186</f>
        <v>N.A(Yaralanma yok)</v>
      </c>
      <c r="Q189" s="129" t="str" cm="1">
        <f t="array" ref="Q189">_xlfn.IFS([3]Sayfa1!$R186="Bozankaya","Bozankaya",[3]Sayfa1!$R186="İşletme","Customer",[3]Sayfa1!$R186="Tedarikçi","Equipment Supplier")</f>
        <v>Equipment Supplier</v>
      </c>
      <c r="R189" s="130" t="str">
        <f>[3]Sayfa1!$M186</f>
        <v>Araçtaki bazı 18.5 inç yolcu bilgilendirme ekranlarına enerjinin geldiği fakat ekranların canlanmadığı görülmüş, hat kontrolü yapıldıktan sonra hattın sağlam olduğu, sorunun ekranda olduğu tespit edilmiştir. Ekranlar SSH stoğundan değiştirilmiştir.</v>
      </c>
      <c r="S189" s="147" t="str">
        <f>[3]Sayfa1!$AB186</f>
        <v>Ekipman değiştirilecek</v>
      </c>
      <c r="T189" s="147" t="str">
        <f>[3]Sayfa1!$AA186</f>
        <v>Evet</v>
      </c>
      <c r="U189" s="131">
        <f>[3]Sayfa1!$AN186</f>
        <v>1</v>
      </c>
      <c r="V189" s="132">
        <f>[3]Sayfa1!$T186</f>
        <v>45581</v>
      </c>
      <c r="W189" s="133">
        <f>[3]Sayfa1!$U186</f>
        <v>45581.641898148147</v>
      </c>
      <c r="X189" s="134">
        <f t="shared" si="50"/>
        <v>45581.641898148147</v>
      </c>
      <c r="Y189" s="123" t="str">
        <f>[3]Sayfa1!$AQ186</f>
        <v/>
      </c>
      <c r="Z189" s="135">
        <f>[3]Sayfa1!$AR186</f>
        <v>0</v>
      </c>
      <c r="AA189" s="134">
        <f t="shared" si="51"/>
        <v>0</v>
      </c>
      <c r="AB189" s="136">
        <f t="shared" si="52"/>
        <v>0</v>
      </c>
      <c r="AC189" s="137" t="str">
        <f t="shared" si="53"/>
        <v/>
      </c>
      <c r="AD189" s="135">
        <f t="shared" si="54"/>
        <v>0</v>
      </c>
      <c r="AE189" s="138">
        <f t="shared" si="55"/>
        <v>0</v>
      </c>
      <c r="AF189" s="139" t="str">
        <f>[3]Sayfa1!$AP186</f>
        <v>(II) Birden fazla karşılaşılan arıza</v>
      </c>
      <c r="AG189" s="128" t="str">
        <f>IF([3]Sayfa1!$P186="C(Sisteme etki etmeyen arıza)","Bu Arıza Aracın Servise Verilmesine Engel Değil","Bu Arıza Aracın Servise Verilmesine Engel")</f>
        <v>Bu Arıza Aracın Servise Verilmesine Engel Değil</v>
      </c>
      <c r="AH189" s="140">
        <f>[3]Sayfa1!$AC186</f>
        <v>0</v>
      </c>
      <c r="AI189" s="137"/>
      <c r="AJ189" s="137"/>
      <c r="AK189" s="138">
        <f t="shared" si="56"/>
        <v>0</v>
      </c>
      <c r="AL189" s="136">
        <f t="shared" si="57"/>
        <v>0</v>
      </c>
      <c r="AM189" s="136">
        <f t="shared" si="58"/>
        <v>0</v>
      </c>
      <c r="AN189" s="141" t="str">
        <f t="shared" si="59"/>
        <v>PİTON BİLGİSAYAR TEKNOLOJİLERİ EĞİT</v>
      </c>
      <c r="AO189" s="141">
        <f>[3]Sayfa1!$X186</f>
        <v>0</v>
      </c>
      <c r="AP189" s="141" t="str">
        <f>[3]Sayfa1!$Z186</f>
        <v>869024001884-869024001887-869023001845-869023001863</v>
      </c>
      <c r="AQ189" s="122" t="str">
        <f>[3]Sayfa1!$W186</f>
        <v>E840-8006/LCD EKRAN</v>
      </c>
      <c r="AR189" s="142">
        <f>[3]Sayfa1!$Y186</f>
        <v>4</v>
      </c>
      <c r="AS189" s="143">
        <f>[3]Sayfa1!$AD186</f>
        <v>0</v>
      </c>
      <c r="AT189" s="137">
        <f>[3]Sayfa1!$AE186</f>
        <v>45581</v>
      </c>
      <c r="AU189" s="137" t="str">
        <f>[3]Sayfa1!$AH186</f>
        <v/>
      </c>
      <c r="AV189" s="144">
        <v>185</v>
      </c>
      <c r="AW189" s="145" t="e">
        <f>U189*AB189*#REF!</f>
        <v>#REF!</v>
      </c>
    </row>
    <row r="190" spans="1:49" ht="101.25" customHeight="1">
      <c r="A190" s="119" t="s">
        <v>57</v>
      </c>
      <c r="B190" s="120" t="str">
        <f>[3]Sayfa1!$G187</f>
        <v>TS#3</v>
      </c>
      <c r="C190" s="121" t="str">
        <f>[3]Sayfa1!$H187</f>
        <v>Mc1 , T , M , Mc2</v>
      </c>
      <c r="D190" s="146">
        <f>[3]Sayfa1!$N187</f>
        <v>159</v>
      </c>
      <c r="E190" s="122" t="str">
        <f>[3]Sayfa1!$B187</f>
        <v>FRACAS-GDM-186</v>
      </c>
      <c r="F190" s="123">
        <f>[3]Sayfa1!$E187</f>
        <v>45579</v>
      </c>
      <c r="G190" s="124">
        <f>[3]Sayfa1!$F187</f>
        <v>45579.642141203702</v>
      </c>
      <c r="H190" s="119" t="str">
        <f>[3]Sayfa1!$I187</f>
        <v>Depo/Depot</v>
      </c>
      <c r="I190" s="125" t="str">
        <f>IF([3]Sayfa1!$K187="SSH","Notified by Bozankaya","Notified by Customer")</f>
        <v>Notified by Bozankaya</v>
      </c>
      <c r="J190" s="119" t="e">
        <f>VLOOKUP([3]Sayfa1!$AU187,#REF!,2,FALSE)</f>
        <v>#REF!</v>
      </c>
      <c r="K190" s="119" t="str">
        <f>[3]Sayfa1!$V187</f>
        <v>PİTON BİLGİSAYAR TEKNOLOJİLERİ EĞİT</v>
      </c>
      <c r="L190" s="126" t="str">
        <f t="shared" si="49"/>
        <v>GDM7X4-FRACAS-GDM-186</v>
      </c>
      <c r="M190" s="127" t="str">
        <f>[3]Sayfa1!$L187</f>
        <v>Strech ekranlarda arıza</v>
      </c>
      <c r="N190" s="128" t="str">
        <f>[3]Sayfa1!$J187</f>
        <v>C-Uyarı, sürüş devamlılığı</v>
      </c>
      <c r="O190" s="128" t="str">
        <f>[3]Sayfa1!$P187</f>
        <v>C(Sisteme etki etmeyen arıza)</v>
      </c>
      <c r="P190" s="128" t="str">
        <f>[3]Sayfa1!$Q187</f>
        <v>N.A(Yaralanma yok)</v>
      </c>
      <c r="Q190" s="129" t="str" cm="1">
        <f t="array" ref="Q190">_xlfn.IFS([3]Sayfa1!$R187="Bozankaya","Bozankaya",[3]Sayfa1!$R187="İşletme","Customer",[3]Sayfa1!$R187="Tedarikçi","Equipment Supplier")</f>
        <v>Equipment Supplier</v>
      </c>
      <c r="R190" s="130" t="str">
        <f>[3]Sayfa1!$M187</f>
        <v>Araçtaki bazı 24 inç yolcu bilgilendirme ekranlarına enerjinin geldiği fakat ekranların canlanmadığı görülmüş, hat kontrolü yapıldıktan sonra hattın sağlam olduğu, sorunun ekranda olduğu tespit edilmiştir. Ekranlar SSH stoğundan değiştirilmiştir.</v>
      </c>
      <c r="S190" s="147" t="str">
        <f>[3]Sayfa1!$AB187</f>
        <v>Ekipman değiştirilecek</v>
      </c>
      <c r="T190" s="147" t="str">
        <f>[3]Sayfa1!$AA187</f>
        <v>Evet</v>
      </c>
      <c r="U190" s="131">
        <f>[3]Sayfa1!$AN187</f>
        <v>2</v>
      </c>
      <c r="V190" s="132">
        <f>[3]Sayfa1!$T187</f>
        <v>45581</v>
      </c>
      <c r="W190" s="133">
        <f>[3]Sayfa1!$U187</f>
        <v>45581.643113425926</v>
      </c>
      <c r="X190" s="134">
        <f t="shared" si="50"/>
        <v>45581.643113425926</v>
      </c>
      <c r="Y190" s="123">
        <f>[3]Sayfa1!$AQ187</f>
        <v>45583</v>
      </c>
      <c r="Z190" s="135">
        <f>[3]Sayfa1!$AR187</f>
        <v>45583.644178240742</v>
      </c>
      <c r="AA190" s="134">
        <f t="shared" si="51"/>
        <v>45583.644178240742</v>
      </c>
      <c r="AB190" s="136">
        <f t="shared" si="52"/>
        <v>48.025555555592291</v>
      </c>
      <c r="AC190" s="137">
        <f t="shared" si="53"/>
        <v>45583</v>
      </c>
      <c r="AD190" s="135">
        <f t="shared" si="54"/>
        <v>45583.644178240742</v>
      </c>
      <c r="AE190" s="138">
        <f t="shared" si="55"/>
        <v>45583.644178240742</v>
      </c>
      <c r="AF190" s="139" t="str">
        <f>[3]Sayfa1!$AP187</f>
        <v>(II) Birden fazla karşılaşılan arıza</v>
      </c>
      <c r="AG190" s="128" t="str">
        <f>IF([3]Sayfa1!$P187="C(Sisteme etki etmeyen arıza)","Bu Arıza Aracın Servise Verilmesine Engel Değil","Bu Arıza Aracın Servise Verilmesine Engel")</f>
        <v>Bu Arıza Aracın Servise Verilmesine Engel Değil</v>
      </c>
      <c r="AH190" s="140">
        <f>[3]Sayfa1!$AC187</f>
        <v>0</v>
      </c>
      <c r="AI190" s="137"/>
      <c r="AJ190" s="137"/>
      <c r="AK190" s="138">
        <f t="shared" si="56"/>
        <v>0</v>
      </c>
      <c r="AL190" s="136">
        <f t="shared" si="57"/>
        <v>2881.5333333355375</v>
      </c>
      <c r="AM190" s="136">
        <f t="shared" si="58"/>
        <v>0</v>
      </c>
      <c r="AN190" s="141" t="str">
        <f t="shared" si="59"/>
        <v>PİTON BİLGİSAYAR TEKNOLOJİLERİ EĞİT</v>
      </c>
      <c r="AO190" s="141">
        <f>[3]Sayfa1!$X187</f>
        <v>0</v>
      </c>
      <c r="AP190" s="141" t="str">
        <f>[3]Sayfa1!$Z187</f>
        <v>869023001657-869023001642-869023001608</v>
      </c>
      <c r="AQ190" s="122" t="str">
        <f>[3]Sayfa1!$W187</f>
        <v>E840-8007/Strech Ekran</v>
      </c>
      <c r="AR190" s="142">
        <f>[3]Sayfa1!$Y187</f>
        <v>3</v>
      </c>
      <c r="AS190" s="143">
        <f>[3]Sayfa1!$AD187</f>
        <v>0</v>
      </c>
      <c r="AT190" s="137" t="str">
        <f>[3]Sayfa1!$AE187</f>
        <v/>
      </c>
      <c r="AU190" s="137" t="str">
        <f>[3]Sayfa1!$AH187</f>
        <v/>
      </c>
      <c r="AV190" s="144">
        <v>186</v>
      </c>
      <c r="AW190" s="145" t="e">
        <f>U190*AB190*#REF!</f>
        <v>#REF!</v>
      </c>
    </row>
    <row r="191" spans="1:49" ht="101.25" customHeight="1">
      <c r="A191" s="119" t="s">
        <v>57</v>
      </c>
      <c r="B191" s="120" t="str">
        <f>[3]Sayfa1!$G188</f>
        <v>TS#3</v>
      </c>
      <c r="C191" s="121" t="str">
        <f>[3]Sayfa1!$H188</f>
        <v>Mc2</v>
      </c>
      <c r="D191" s="146">
        <f>[3]Sayfa1!$N188</f>
        <v>159</v>
      </c>
      <c r="E191" s="122" t="str">
        <f>[3]Sayfa1!$B188</f>
        <v>FRACAS-GDM-187</v>
      </c>
      <c r="F191" s="123">
        <f>[3]Sayfa1!$E188</f>
        <v>45579</v>
      </c>
      <c r="G191" s="124">
        <f>[3]Sayfa1!$F188</f>
        <v>45579.645185185182</v>
      </c>
      <c r="H191" s="119" t="str">
        <f>[3]Sayfa1!$I188</f>
        <v>Depo/Depot</v>
      </c>
      <c r="I191" s="125" t="str">
        <f>IF([3]Sayfa1!$K188="SSH","Notified by Bozankaya","Notified by Customer")</f>
        <v>Notified by Bozankaya</v>
      </c>
      <c r="J191" s="119" t="e">
        <f>VLOOKUP([3]Sayfa1!$AU188,#REF!,2,FALSE)</f>
        <v>#REF!</v>
      </c>
      <c r="K191" s="119" t="str">
        <f>[3]Sayfa1!$V188</f>
        <v>PİTON BİLGİSAYAR TEKNOLOJİLERİ EĞİT</v>
      </c>
      <c r="L191" s="126" t="str">
        <f t="shared" si="49"/>
        <v>GDM7X4-FRACAS-GDM-187</v>
      </c>
      <c r="M191" s="127" t="str">
        <f>[3]Sayfa1!$L188</f>
        <v>PAPIS arızası</v>
      </c>
      <c r="N191" s="128" t="str">
        <f>[3]Sayfa1!$J188</f>
        <v>C-Uyarı, sürüş devamlılığı</v>
      </c>
      <c r="O191" s="128" t="str">
        <f>[3]Sayfa1!$P188</f>
        <v>C(Sisteme etki etmeyen arıza)</v>
      </c>
      <c r="P191" s="128" t="str">
        <f>[3]Sayfa1!$Q188</f>
        <v>N.A(Yaralanma yok)</v>
      </c>
      <c r="Q191" s="129" t="str" cm="1">
        <f t="array" ref="Q191">_xlfn.IFS([3]Sayfa1!$R188="Bozankaya","Bozankaya",[3]Sayfa1!$R188="İşletme","Customer",[3]Sayfa1!$R188="Tedarikçi","Equipment Supplier")</f>
        <v>Equipment Supplier</v>
      </c>
      <c r="R191" s="130" t="str">
        <f>[3]Sayfa1!$M188</f>
        <v>GDM3 aracı MC2 modülde PAPIS'in sisteminin stabil olmadığı, çalışmadığı görülmüştür. SSH stoğundaki pc ile değiştirilmiş piton tarafından yazılımın yüklenmesi bekleniyor.</v>
      </c>
      <c r="S191" s="147" t="str">
        <f>[3]Sayfa1!$AB188</f>
        <v>Ekipman değiştirilecek</v>
      </c>
      <c r="T191" s="147" t="str">
        <f>[3]Sayfa1!$AA188</f>
        <v>Evet</v>
      </c>
      <c r="U191" s="131">
        <f>[3]Sayfa1!$AN188</f>
        <v>1</v>
      </c>
      <c r="V191" s="132">
        <f>[3]Sayfa1!$T188</f>
        <v>45582</v>
      </c>
      <c r="W191" s="133">
        <f>[3]Sayfa1!$U188</f>
        <v>45582.646145833336</v>
      </c>
      <c r="X191" s="134">
        <f t="shared" si="50"/>
        <v>45582.646145833336</v>
      </c>
      <c r="Y191" s="123">
        <f>[3]Sayfa1!$AQ188</f>
        <v>45583</v>
      </c>
      <c r="Z191" s="135">
        <f>[3]Sayfa1!$AR188</f>
        <v>45583.647094907406</v>
      </c>
      <c r="AA191" s="134">
        <f t="shared" si="51"/>
        <v>45583.647094907406</v>
      </c>
      <c r="AB191" s="136">
        <f t="shared" si="52"/>
        <v>24.022777777689043</v>
      </c>
      <c r="AC191" s="137">
        <f t="shared" si="53"/>
        <v>45583</v>
      </c>
      <c r="AD191" s="135">
        <f t="shared" si="54"/>
        <v>45583.647094907406</v>
      </c>
      <c r="AE191" s="138">
        <f t="shared" si="55"/>
        <v>45583.647094907406</v>
      </c>
      <c r="AF191" s="139" t="str">
        <f>[3]Sayfa1!$AP188</f>
        <v>(I) İlk defa karşılaşılan arıza</v>
      </c>
      <c r="AG191" s="128" t="str">
        <f>IF([3]Sayfa1!$P188="C(Sisteme etki etmeyen arıza)","Bu Arıza Aracın Servise Verilmesine Engel Değil","Bu Arıza Aracın Servise Verilmesine Engel")</f>
        <v>Bu Arıza Aracın Servise Verilmesine Engel Değil</v>
      </c>
      <c r="AH191" s="140">
        <f>[3]Sayfa1!$AC188</f>
        <v>0</v>
      </c>
      <c r="AI191" s="137"/>
      <c r="AJ191" s="137"/>
      <c r="AK191" s="138">
        <f t="shared" si="56"/>
        <v>0</v>
      </c>
      <c r="AL191" s="136">
        <f t="shared" si="57"/>
        <v>1441.3666666613426</v>
      </c>
      <c r="AM191" s="136">
        <f t="shared" si="58"/>
        <v>0</v>
      </c>
      <c r="AN191" s="141" t="str">
        <f t="shared" si="59"/>
        <v>PİTON BİLGİSAYAR TEKNOLOJİLERİ EĞİT</v>
      </c>
      <c r="AO191" s="141">
        <f>[3]Sayfa1!$X188</f>
        <v>0</v>
      </c>
      <c r="AP191" s="141" t="str">
        <f>[3]Sayfa1!$Z188</f>
        <v>TSCCC1005571</v>
      </c>
      <c r="AQ191" s="122" t="str">
        <f>[3]Sayfa1!$W188</f>
        <v>E840-8001/PC</v>
      </c>
      <c r="AR191" s="142">
        <f>[3]Sayfa1!$Y188</f>
        <v>1</v>
      </c>
      <c r="AS191" s="143">
        <f>[3]Sayfa1!$AD188</f>
        <v>0</v>
      </c>
      <c r="AT191" s="137" t="str">
        <f>[3]Sayfa1!$AE188</f>
        <v/>
      </c>
      <c r="AU191" s="137" t="str">
        <f>[3]Sayfa1!$AH188</f>
        <v/>
      </c>
      <c r="AV191" s="144">
        <v>187</v>
      </c>
      <c r="AW191" s="145" t="e">
        <f>U191*AB191*#REF!</f>
        <v>#REF!</v>
      </c>
    </row>
    <row r="192" spans="1:49" ht="101.25" customHeight="1">
      <c r="A192" s="119" t="s">
        <v>57</v>
      </c>
      <c r="B192" s="120" t="str">
        <f>[3]Sayfa1!$G189</f>
        <v>TS#3</v>
      </c>
      <c r="C192" s="121" t="str">
        <f>[3]Sayfa1!$H189</f>
        <v>Mc2</v>
      </c>
      <c r="D192" s="146">
        <f>[3]Sayfa1!$N189</f>
        <v>159</v>
      </c>
      <c r="E192" s="122" t="str">
        <f>[3]Sayfa1!$B189</f>
        <v>FRACAS-GDM-188</v>
      </c>
      <c r="F192" s="123">
        <f>[3]Sayfa1!$E189</f>
        <v>45636</v>
      </c>
      <c r="G192" s="124">
        <f>[3]Sayfa1!$F189</f>
        <v>45636.647476851853</v>
      </c>
      <c r="H192" s="119" t="str">
        <f>[3]Sayfa1!$I189</f>
        <v>Depo/Depot</v>
      </c>
      <c r="I192" s="125" t="str">
        <f>IF([3]Sayfa1!$K189="SSH","Notified by Bozankaya","Notified by Customer")</f>
        <v>Notified by Bozankaya</v>
      </c>
      <c r="J192" s="119" t="e">
        <f>VLOOKUP([3]Sayfa1!$AU189,#REF!,2,FALSE)</f>
        <v>#REF!</v>
      </c>
      <c r="K192" s="119" t="str">
        <f>[3]Sayfa1!$V189</f>
        <v>AYPA MÜHENDİSLİK PROJE DANIŞMANLIK</v>
      </c>
      <c r="L192" s="126" t="str">
        <f t="shared" ref="L192:L205" si="60">A192&amp;"-"&amp;E192</f>
        <v>GDM7X4-FRACAS-GDM-188</v>
      </c>
      <c r="M192" s="127" t="str">
        <f>[3]Sayfa1!$L189</f>
        <v>2CO röle arızası</v>
      </c>
      <c r="N192" s="128" t="str">
        <f>[3]Sayfa1!$J189</f>
        <v>C-Uyarı, sürüş devamlılığı</v>
      </c>
      <c r="O192" s="128" t="str">
        <f>[3]Sayfa1!$P189</f>
        <v>C(Sisteme etki etmeyen arıza)</v>
      </c>
      <c r="P192" s="128" t="str">
        <f>[3]Sayfa1!$Q189</f>
        <v>N.A(Yaralanma yok)</v>
      </c>
      <c r="Q192" s="129" t="str" cm="1">
        <f t="array" ref="Q192">_xlfn.IFS([3]Sayfa1!$R189="Bozankaya","Bozankaya",[3]Sayfa1!$R189="İşletme","Customer",[3]Sayfa1!$R189="Tedarikçi","Equipment Supplier")</f>
        <v>Equipment Supplier</v>
      </c>
      <c r="R192" s="130" t="str">
        <f>[3]Sayfa1!$M189</f>
        <v>GDM3 aracı MC2 de reklam ekranlarının depot ya da katener enerjisi olmadan çalıştığı görülmüş, yapılan hat kontrolü sonucunda PD-K07 rölesinin arızalı olduğu tespit edilmiş, SSH stoğundan değiştirilmiştir.</v>
      </c>
      <c r="S192" s="147" t="str">
        <f>[3]Sayfa1!$AB189</f>
        <v>Ekipman değiştirilecek</v>
      </c>
      <c r="T192" s="147" t="str">
        <f>[3]Sayfa1!$AA189</f>
        <v>Evet</v>
      </c>
      <c r="U192" s="131">
        <f>[3]Sayfa1!$AN189</f>
        <v>1</v>
      </c>
      <c r="V192" s="132">
        <f>[3]Sayfa1!$T189</f>
        <v>45581</v>
      </c>
      <c r="W192" s="133">
        <f>[3]Sayfa1!$U189</f>
        <v>45581.650069444448</v>
      </c>
      <c r="X192" s="134">
        <f t="shared" ref="X192:X205" si="61">W192</f>
        <v>45581.650069444448</v>
      </c>
      <c r="Y192" s="123" t="str">
        <f>[3]Sayfa1!$AQ189</f>
        <v/>
      </c>
      <c r="Z192" s="135">
        <f>[3]Sayfa1!$AR189</f>
        <v>0</v>
      </c>
      <c r="AA192" s="134">
        <f t="shared" ref="AA192:AA205" si="62">Z192</f>
        <v>0</v>
      </c>
      <c r="AB192" s="136">
        <f t="shared" ref="AB192:AB205" si="63">IFERROR(IF(Y192-F192&gt;0,(AA192-X192)*24,IF(OR(AND(G192&gt;AR$1,G192&lt;AS$1),AND(G192&gt;AT$1,G192&lt;AU$1)),(AA192-X192)*24,0)),0)</f>
        <v>0</v>
      </c>
      <c r="AC192" s="137" t="str">
        <f t="shared" ref="AC192:AC205" si="64">Y192</f>
        <v/>
      </c>
      <c r="AD192" s="135">
        <f t="shared" ref="AD192:AD205" si="65">Z192</f>
        <v>0</v>
      </c>
      <c r="AE192" s="138">
        <f t="shared" ref="AE192:AE205" si="66">AD192</f>
        <v>0</v>
      </c>
      <c r="AF192" s="139" t="str">
        <f>[3]Sayfa1!$AP189</f>
        <v>(I) İlk defa karşılaşılan arıza</v>
      </c>
      <c r="AG192" s="128" t="str">
        <f>IF([3]Sayfa1!$P189="C(Sisteme etki etmeyen arıza)","Bu Arıza Aracın Servise Verilmesine Engel Değil","Bu Arıza Aracın Servise Verilmesine Engel")</f>
        <v>Bu Arıza Aracın Servise Verilmesine Engel Değil</v>
      </c>
      <c r="AH192" s="140">
        <f>[3]Sayfa1!$AC189</f>
        <v>0</v>
      </c>
      <c r="AI192" s="137"/>
      <c r="AJ192" s="137"/>
      <c r="AK192" s="138">
        <f t="shared" ref="AK192:AK205" si="67">AI192+AJ192</f>
        <v>0</v>
      </c>
      <c r="AL192" s="136">
        <f t="shared" ref="AL192:AL205" si="68">IFERROR(IF(AND(O192&lt;&gt;"D:Arıza Değil",AG192="Bu Arıza Aracın Servise Verilmesine Engel Değil"),IF(Y192-F192&gt;0,(AA192-X192)*24,IF(OR(AND(G192&gt;AR$1,G192&lt;AS$1),AND(G192&gt;AT$1,G192&lt;AU$1)),(AK192-X192)*24,0))*60,AM192),0)</f>
        <v>0</v>
      </c>
      <c r="AM192" s="136">
        <f t="shared" ref="AM192:AM205" si="69">IFERROR(IF(O192&lt;&gt;"C(Sisteme etki etmeyen arıza)",AB192*60,0),0)</f>
        <v>0</v>
      </c>
      <c r="AN192" s="141" t="str">
        <f t="shared" ref="AN192:AN205" si="70">K192</f>
        <v>AYPA MÜHENDİSLİK PROJE DANIŞMANLIK</v>
      </c>
      <c r="AO192" s="141">
        <f>[3]Sayfa1!$X189</f>
        <v>0</v>
      </c>
      <c r="AP192" s="141">
        <f>[3]Sayfa1!$Z189</f>
        <v>220044001909</v>
      </c>
      <c r="AQ192" s="122" t="str">
        <f>[3]Sayfa1!$W189</f>
        <v>E110-8017/2 CO ARTECHE 110V RÖLE</v>
      </c>
      <c r="AR192" s="142">
        <f>[3]Sayfa1!$Y189</f>
        <v>1</v>
      </c>
      <c r="AS192" s="143">
        <f>[3]Sayfa1!$AD189</f>
        <v>0</v>
      </c>
      <c r="AT192" s="137" t="str">
        <f>[3]Sayfa1!$AE189</f>
        <v/>
      </c>
      <c r="AU192" s="137" t="str">
        <f>[3]Sayfa1!$AH189</f>
        <v/>
      </c>
      <c r="AV192" s="144">
        <v>188</v>
      </c>
      <c r="AW192" s="145" t="e">
        <f>U192*AB192*#REF!</f>
        <v>#REF!</v>
      </c>
    </row>
    <row r="193" spans="1:49" ht="101.25" customHeight="1">
      <c r="A193" s="119" t="s">
        <v>57</v>
      </c>
      <c r="B193" s="120" t="str">
        <f>[3]Sayfa1!$G190</f>
        <v>TS#3</v>
      </c>
      <c r="C193" s="121" t="str">
        <f>[3]Sayfa1!$H190</f>
        <v>T</v>
      </c>
      <c r="D193" s="146">
        <f>[3]Sayfa1!$N190</f>
        <v>159</v>
      </c>
      <c r="E193" s="122" t="str">
        <f>[3]Sayfa1!$B190</f>
        <v>FRACAS-GDM-189</v>
      </c>
      <c r="F193" s="123">
        <f>[3]Sayfa1!$E190</f>
        <v>45642</v>
      </c>
      <c r="G193" s="124">
        <f>[3]Sayfa1!$F190</f>
        <v>45642.650405092594</v>
      </c>
      <c r="H193" s="119" t="str">
        <f>[3]Sayfa1!$I190</f>
        <v>Depo/Depot</v>
      </c>
      <c r="I193" s="125" t="str">
        <f>IF([3]Sayfa1!$K190="SSH","Notified by Bozankaya","Notified by Customer")</f>
        <v>Notified by Bozankaya</v>
      </c>
      <c r="J193" s="119" t="e">
        <f>VLOOKUP([3]Sayfa1!$AU190,#REF!,2,FALSE)</f>
        <v>#REF!</v>
      </c>
      <c r="K193" s="119" t="str">
        <f>[3]Sayfa1!$V190</f>
        <v>PİTON BİLGİSAYAR TEKNOLOJİLERİ EĞİT</v>
      </c>
      <c r="L193" s="126" t="str">
        <f t="shared" si="60"/>
        <v>GDM7X4-FRACAS-GDM-189</v>
      </c>
      <c r="M193" s="127" t="str">
        <f>[3]Sayfa1!$L190</f>
        <v>Kablo tv sinyal yükseltici</v>
      </c>
      <c r="N193" s="128" t="str">
        <f>[3]Sayfa1!$J190</f>
        <v>C-Uyarı, sürüş devamlılığı</v>
      </c>
      <c r="O193" s="128" t="str">
        <f>[3]Sayfa1!$P190</f>
        <v>C(Sisteme etki etmeyen arıza)</v>
      </c>
      <c r="P193" s="128" t="str">
        <f>[3]Sayfa1!$Q190</f>
        <v>N.A(Yaralanma yok)</v>
      </c>
      <c r="Q193" s="129" t="str" cm="1">
        <f t="array" ref="Q193">_xlfn.IFS([3]Sayfa1!$R190="Bozankaya","Bozankaya",[3]Sayfa1!$R190="İşletme","Customer",[3]Sayfa1!$R190="Tedarikçi","Equipment Supplier")</f>
        <v>Equipment Supplier</v>
      </c>
      <c r="R193" s="130" t="str">
        <f>[3]Sayfa1!$M190</f>
        <v>GDM 3 aracı Piton sistemini düzeltme çalışmalarında ekranlara görüntü gelmediğinden hat kontrol edilip, analog yükselticinin sinyali yükseltmediği tespit edilmiştir. SSH stoğundan yenisiyle değiştirilmiştir.</v>
      </c>
      <c r="S193" s="147" t="str">
        <f>[3]Sayfa1!$AB190</f>
        <v>Ekipman değiştirilecek</v>
      </c>
      <c r="T193" s="147" t="str">
        <f>[3]Sayfa1!$AA190</f>
        <v>Evet</v>
      </c>
      <c r="U193" s="131">
        <f>[3]Sayfa1!$AN190</f>
        <v>0</v>
      </c>
      <c r="V193" s="132">
        <f>[3]Sayfa1!$T190</f>
        <v>45582</v>
      </c>
      <c r="W193" s="133">
        <f>[3]Sayfa1!$U190</f>
        <v>45582.651990740742</v>
      </c>
      <c r="X193" s="134">
        <f t="shared" si="61"/>
        <v>45582.651990740742</v>
      </c>
      <c r="Y193" s="123" t="str">
        <f>[3]Sayfa1!$AQ190</f>
        <v/>
      </c>
      <c r="Z193" s="135">
        <f>[3]Sayfa1!$AR190</f>
        <v>0</v>
      </c>
      <c r="AA193" s="134">
        <f t="shared" si="62"/>
        <v>0</v>
      </c>
      <c r="AB193" s="136">
        <f t="shared" si="63"/>
        <v>0</v>
      </c>
      <c r="AC193" s="137" t="str">
        <f t="shared" si="64"/>
        <v/>
      </c>
      <c r="AD193" s="135">
        <f t="shared" si="65"/>
        <v>0</v>
      </c>
      <c r="AE193" s="138">
        <f t="shared" si="66"/>
        <v>0</v>
      </c>
      <c r="AF193" s="139" t="str">
        <f>[3]Sayfa1!$AP190</f>
        <v>(II) Birden fazla karşılaşılan arıza</v>
      </c>
      <c r="AG193" s="128" t="str">
        <f>IF([3]Sayfa1!$P190="C(Sisteme etki etmeyen arıza)","Bu Arıza Aracın Servise Verilmesine Engel Değil","Bu Arıza Aracın Servise Verilmesine Engel")</f>
        <v>Bu Arıza Aracın Servise Verilmesine Engel Değil</v>
      </c>
      <c r="AH193" s="140">
        <f>[3]Sayfa1!$AC190</f>
        <v>0</v>
      </c>
      <c r="AI193" s="137"/>
      <c r="AJ193" s="137"/>
      <c r="AK193" s="138">
        <f t="shared" si="67"/>
        <v>0</v>
      </c>
      <c r="AL193" s="136">
        <f t="shared" si="68"/>
        <v>0</v>
      </c>
      <c r="AM193" s="136">
        <f t="shared" si="69"/>
        <v>0</v>
      </c>
      <c r="AN193" s="141" t="str">
        <f t="shared" si="70"/>
        <v>PİTON BİLGİSAYAR TEKNOLOJİLERİ EĞİT</v>
      </c>
      <c r="AO193" s="141">
        <f>[3]Sayfa1!$X190</f>
        <v>0</v>
      </c>
      <c r="AP193" s="141">
        <f>[3]Sayfa1!$Z190</f>
        <v>0</v>
      </c>
      <c r="AQ193" s="122">
        <f>[3]Sayfa1!$W190</f>
        <v>0</v>
      </c>
      <c r="AR193" s="142">
        <f>[3]Sayfa1!$Y190</f>
        <v>1</v>
      </c>
      <c r="AS193" s="143">
        <f>[3]Sayfa1!$AD190</f>
        <v>0</v>
      </c>
      <c r="AT193" s="137">
        <f>[3]Sayfa1!$AE190</f>
        <v>45584</v>
      </c>
      <c r="AU193" s="137" t="str">
        <f>[3]Sayfa1!$AH190</f>
        <v/>
      </c>
      <c r="AV193" s="144">
        <v>189</v>
      </c>
      <c r="AW193" s="145" t="e">
        <f>U193*AB193*#REF!</f>
        <v>#REF!</v>
      </c>
    </row>
    <row r="194" spans="1:49" ht="101.25" customHeight="1">
      <c r="A194" s="119" t="s">
        <v>57</v>
      </c>
      <c r="B194" s="120" t="str">
        <f>[3]Sayfa1!$G191</f>
        <v>TS#2</v>
      </c>
      <c r="C194" s="121" t="str">
        <f>[3]Sayfa1!$H191</f>
        <v>Mc2</v>
      </c>
      <c r="D194" s="146">
        <f>[3]Sayfa1!$N191</f>
        <v>113</v>
      </c>
      <c r="E194" s="122" t="str">
        <f>[3]Sayfa1!$B191</f>
        <v>FRACAS-GDM-190</v>
      </c>
      <c r="F194" s="123">
        <f>[3]Sayfa1!$E191</f>
        <v>45589</v>
      </c>
      <c r="G194" s="124">
        <f>[3]Sayfa1!$F191</f>
        <v>45589.654178240744</v>
      </c>
      <c r="H194" s="119" t="str">
        <f>[3]Sayfa1!$I191</f>
        <v>Depo/Depot</v>
      </c>
      <c r="I194" s="125" t="str">
        <f>IF([3]Sayfa1!$K191="SSH","Notified by Bozankaya","Notified by Customer")</f>
        <v>Notified by Bozankaya</v>
      </c>
      <c r="J194" s="119" t="e">
        <f>VLOOKUP([3]Sayfa1!$AU191,#REF!,2,FALSE)</f>
        <v>#REF!</v>
      </c>
      <c r="K194" s="119">
        <f>[3]Sayfa1!$V191</f>
        <v>0</v>
      </c>
      <c r="L194" s="126" t="str">
        <f t="shared" si="60"/>
        <v>GDM7X4-FRACAS-GDM-190</v>
      </c>
      <c r="M194" s="127" t="str">
        <f>[3]Sayfa1!$L191</f>
        <v>Can splitter arızası</v>
      </c>
      <c r="N194" s="128" t="str">
        <f>[3]Sayfa1!$J191</f>
        <v>C-Uyarı, sürüş devamlılığı</v>
      </c>
      <c r="O194" s="128" t="str">
        <f>[3]Sayfa1!$P191</f>
        <v>C(Sisteme etki etmeyen arıza)</v>
      </c>
      <c r="P194" s="128" t="str">
        <f>[3]Sayfa1!$Q191</f>
        <v>N.A(Yaralanma yok)</v>
      </c>
      <c r="Q194" s="129" t="str" cm="1">
        <f t="array" ref="Q194">_xlfn.IFS([3]Sayfa1!$R191="Bozankaya","Bozankaya",[3]Sayfa1!$R191="İşletme","Customer",[3]Sayfa1!$R191="Tedarikçi","Equipment Supplier")</f>
        <v>Bozankaya</v>
      </c>
      <c r="R194" s="130" t="str">
        <f>[3]Sayfa1!$M191</f>
        <v>GDM2 aracında gateway valfin görülmemesi üzerine hat kontrolü yapılmıştır. Bu kontrol sonrası CAN hattını bozan parçanın splitter kutususnun içinde olan kısa devre olduğu anlaşılmış, SSH stoğundaki sağlam ürün ile değiştirilmiştir.</v>
      </c>
      <c r="S194" s="147" t="str">
        <f>[3]Sayfa1!$AB191</f>
        <v>Ekipman değiştirilecek</v>
      </c>
      <c r="T194" s="147" t="str">
        <f>[3]Sayfa1!$AA191</f>
        <v>Hayır</v>
      </c>
      <c r="U194" s="131">
        <f>[3]Sayfa1!$AN191</f>
        <v>1</v>
      </c>
      <c r="V194" s="132">
        <f>[3]Sayfa1!$T191</f>
        <v>45590</v>
      </c>
      <c r="W194" s="133">
        <f>[3]Sayfa1!$U191</f>
        <v>45590.662719907406</v>
      </c>
      <c r="X194" s="134">
        <f t="shared" si="61"/>
        <v>45590.662719907406</v>
      </c>
      <c r="Y194" s="123" t="str">
        <f>[3]Sayfa1!$AQ191</f>
        <v/>
      </c>
      <c r="Z194" s="135">
        <f>[3]Sayfa1!$AR191</f>
        <v>0</v>
      </c>
      <c r="AA194" s="134">
        <f t="shared" si="62"/>
        <v>0</v>
      </c>
      <c r="AB194" s="136">
        <f t="shared" si="63"/>
        <v>0</v>
      </c>
      <c r="AC194" s="137" t="str">
        <f t="shared" si="64"/>
        <v/>
      </c>
      <c r="AD194" s="135">
        <f t="shared" si="65"/>
        <v>0</v>
      </c>
      <c r="AE194" s="138">
        <f t="shared" si="66"/>
        <v>0</v>
      </c>
      <c r="AF194" s="139" t="str">
        <f>[3]Sayfa1!$AP191</f>
        <v>(I) İlk defa karşılaşılan arıza</v>
      </c>
      <c r="AG194" s="128" t="str">
        <f>IF([3]Sayfa1!$P191="C(Sisteme etki etmeyen arıza)","Bu Arıza Aracın Servise Verilmesine Engel Değil","Bu Arıza Aracın Servise Verilmesine Engel")</f>
        <v>Bu Arıza Aracın Servise Verilmesine Engel Değil</v>
      </c>
      <c r="AH194" s="140">
        <f>[3]Sayfa1!$AC191</f>
        <v>0</v>
      </c>
      <c r="AI194" s="137"/>
      <c r="AJ194" s="137"/>
      <c r="AK194" s="138">
        <f t="shared" si="67"/>
        <v>0</v>
      </c>
      <c r="AL194" s="136">
        <f t="shared" si="68"/>
        <v>0</v>
      </c>
      <c r="AM194" s="136">
        <f t="shared" si="69"/>
        <v>0</v>
      </c>
      <c r="AN194" s="141">
        <f t="shared" si="70"/>
        <v>0</v>
      </c>
      <c r="AO194" s="141">
        <f>[3]Sayfa1!$X191</f>
        <v>0</v>
      </c>
      <c r="AP194" s="141">
        <f>[3]Sayfa1!$Z191</f>
        <v>0</v>
      </c>
      <c r="AQ194" s="122" t="str">
        <f>[3]Sayfa1!$W191</f>
        <v>E110-7533/CAN SPLITTER KUTU KOMPLESİ</v>
      </c>
      <c r="AR194" s="142">
        <f>[3]Sayfa1!$Y191</f>
        <v>1</v>
      </c>
      <c r="AS194" s="143">
        <f>[3]Sayfa1!$AD191</f>
        <v>0</v>
      </c>
      <c r="AT194" s="137" t="str">
        <f>[3]Sayfa1!$AE191</f>
        <v/>
      </c>
      <c r="AU194" s="137" t="str">
        <f>[3]Sayfa1!$AH191</f>
        <v/>
      </c>
      <c r="AV194" s="144">
        <v>190</v>
      </c>
      <c r="AW194" s="145" t="e">
        <f>U194*AB194*#REF!</f>
        <v>#REF!</v>
      </c>
    </row>
    <row r="195" spans="1:49" ht="101.25" customHeight="1">
      <c r="A195" s="119" t="s">
        <v>57</v>
      </c>
      <c r="B195" s="120" t="str">
        <f>[3]Sayfa1!$G192</f>
        <v>TS#4</v>
      </c>
      <c r="C195" s="121" t="str">
        <f>[3]Sayfa1!$H192</f>
        <v>T</v>
      </c>
      <c r="D195" s="146">
        <f>[3]Sayfa1!$N192</f>
        <v>79</v>
      </c>
      <c r="E195" s="122" t="str">
        <f>[3]Sayfa1!$B192</f>
        <v>FRACAS-GDM-191</v>
      </c>
      <c r="F195" s="123">
        <f>[3]Sayfa1!$E192</f>
        <v>45617</v>
      </c>
      <c r="G195" s="124">
        <f>[3]Sayfa1!$F192</f>
        <v>45617.663877314815</v>
      </c>
      <c r="H195" s="119" t="str">
        <f>[3]Sayfa1!$I192</f>
        <v>Depo/Depot</v>
      </c>
      <c r="I195" s="125" t="str">
        <f>IF([3]Sayfa1!$K192="SSH","Notified by Bozankaya","Notified by Customer")</f>
        <v>Notified by Bozankaya</v>
      </c>
      <c r="J195" s="119" t="e">
        <f>VLOOKUP([3]Sayfa1!$AU192,#REF!,2,FALSE)</f>
        <v>#REF!</v>
      </c>
      <c r="K195" s="119" t="str">
        <f>[3]Sayfa1!$V192</f>
        <v>PİTON BİLGİSAYAR TEKNOLOJİLERİ EĞİT</v>
      </c>
      <c r="L195" s="126" t="str">
        <f t="shared" si="60"/>
        <v>GDM7X4-FRACAS-GDM-191</v>
      </c>
      <c r="M195" s="127" t="str">
        <f>[3]Sayfa1!$L192</f>
        <v>LCD display ekranında fiziksel hasar</v>
      </c>
      <c r="N195" s="128" t="str">
        <f>[3]Sayfa1!$J192</f>
        <v>C-Uyarı, sürüş devamlılığı</v>
      </c>
      <c r="O195" s="128" t="str">
        <f>[3]Sayfa1!$P192</f>
        <v>C(Sisteme etki etmeyen arıza)</v>
      </c>
      <c r="P195" s="128" t="str">
        <f>[3]Sayfa1!$Q192</f>
        <v>N.A(Yaralanma yok)</v>
      </c>
      <c r="Q195" s="129" t="str" cm="1">
        <f t="array" ref="Q195">_xlfn.IFS([3]Sayfa1!$R192="Bozankaya","Bozankaya",[3]Sayfa1!$R192="İşletme","Customer",[3]Sayfa1!$R192="Tedarikçi","Equipment Supplier")</f>
        <v>Bozankaya</v>
      </c>
      <c r="R195" s="130" t="str">
        <f>[3]Sayfa1!$M192</f>
        <v>GDM4 T modülde reklam ekranında darbeye bağlı çatlama olduğu görüldü. Ekran ssh stoğundan değiştirildi.</v>
      </c>
      <c r="S195" s="147" t="str">
        <f>[3]Sayfa1!$AB192</f>
        <v>Ekipman değiştirilecek</v>
      </c>
      <c r="T195" s="147" t="str">
        <f>[3]Sayfa1!$AA192</f>
        <v>Hayır</v>
      </c>
      <c r="U195" s="131">
        <f>[3]Sayfa1!$AN192</f>
        <v>1</v>
      </c>
      <c r="V195" s="132">
        <f>[3]Sayfa1!$T192</f>
        <v>45618</v>
      </c>
      <c r="W195" s="133">
        <f>[3]Sayfa1!$U192</f>
        <v>45618.666250000002</v>
      </c>
      <c r="X195" s="134">
        <f t="shared" si="61"/>
        <v>45618.666250000002</v>
      </c>
      <c r="Y195" s="123">
        <f>[3]Sayfa1!$AQ192</f>
        <v>45618</v>
      </c>
      <c r="Z195" s="135">
        <f>[3]Sayfa1!$AR192</f>
        <v>45618.665879629632</v>
      </c>
      <c r="AA195" s="134">
        <f t="shared" si="62"/>
        <v>45618.665879629632</v>
      </c>
      <c r="AB195" s="136">
        <f t="shared" si="63"/>
        <v>-8.8888888712972403E-3</v>
      </c>
      <c r="AC195" s="137">
        <f t="shared" si="64"/>
        <v>45618</v>
      </c>
      <c r="AD195" s="135">
        <f t="shared" si="65"/>
        <v>45618.665879629632</v>
      </c>
      <c r="AE195" s="138">
        <f t="shared" si="66"/>
        <v>45618.665879629632</v>
      </c>
      <c r="AF195" s="139" t="str">
        <f>[3]Sayfa1!$AP192</f>
        <v>(I) İlk defa karşılaşılan arıza</v>
      </c>
      <c r="AG195" s="128" t="str">
        <f>IF([3]Sayfa1!$P192="C(Sisteme etki etmeyen arıza)","Bu Arıza Aracın Servise Verilmesine Engel Değil","Bu Arıza Aracın Servise Verilmesine Engel")</f>
        <v>Bu Arıza Aracın Servise Verilmesine Engel Değil</v>
      </c>
      <c r="AH195" s="140">
        <f>[3]Sayfa1!$AC192</f>
        <v>0</v>
      </c>
      <c r="AI195" s="137"/>
      <c r="AJ195" s="137"/>
      <c r="AK195" s="138">
        <f t="shared" si="67"/>
        <v>0</v>
      </c>
      <c r="AL195" s="136">
        <f t="shared" si="68"/>
        <v>-0.53333333227783442</v>
      </c>
      <c r="AM195" s="136">
        <f t="shared" si="69"/>
        <v>0</v>
      </c>
      <c r="AN195" s="141" t="str">
        <f t="shared" si="70"/>
        <v>PİTON BİLGİSAYAR TEKNOLOJİLERİ EĞİT</v>
      </c>
      <c r="AO195" s="141">
        <f>[3]Sayfa1!$X192</f>
        <v>0</v>
      </c>
      <c r="AP195" s="141">
        <f>[3]Sayfa1!$Z192</f>
        <v>869023001175</v>
      </c>
      <c r="AQ195" s="122" t="str">
        <f>[3]Sayfa1!$W192</f>
        <v>E840-8005/LCD Display</v>
      </c>
      <c r="AR195" s="142">
        <f>[3]Sayfa1!$Y192</f>
        <v>1</v>
      </c>
      <c r="AS195" s="143">
        <f>[3]Sayfa1!$AD192</f>
        <v>0</v>
      </c>
      <c r="AT195" s="137" t="str">
        <f>[3]Sayfa1!$AE192</f>
        <v/>
      </c>
      <c r="AU195" s="137" t="str">
        <f>[3]Sayfa1!$AH192</f>
        <v/>
      </c>
      <c r="AV195" s="144">
        <v>191</v>
      </c>
      <c r="AW195" s="145" t="e">
        <f>U195*AB195*#REF!</f>
        <v>#REF!</v>
      </c>
    </row>
    <row r="196" spans="1:49" ht="101.25" customHeight="1">
      <c r="A196" s="119" t="s">
        <v>57</v>
      </c>
      <c r="B196" s="120" t="str">
        <f>[3]Sayfa1!$G193</f>
        <v>TS#4</v>
      </c>
      <c r="C196" s="121" t="str">
        <f>[3]Sayfa1!$H193</f>
        <v>Mc2</v>
      </c>
      <c r="D196" s="146">
        <f>[3]Sayfa1!$N193</f>
        <v>79</v>
      </c>
      <c r="E196" s="122" t="str">
        <f>[3]Sayfa1!$B193</f>
        <v>FRACAS-GDM-192</v>
      </c>
      <c r="F196" s="123">
        <f>[3]Sayfa1!$E193</f>
        <v>45632</v>
      </c>
      <c r="G196" s="124">
        <f>[3]Sayfa1!$F193</f>
        <v>45632.66646990741</v>
      </c>
      <c r="H196" s="119" t="str">
        <f>[3]Sayfa1!$I193</f>
        <v>Depo/Depot</v>
      </c>
      <c r="I196" s="125" t="str">
        <f>IF([3]Sayfa1!$K193="SSH","Notified by Bozankaya","Notified by Customer")</f>
        <v>Notified by Bozankaya</v>
      </c>
      <c r="J196" s="119" t="e">
        <f>VLOOKUP([3]Sayfa1!$AU193,#REF!,2,FALSE)</f>
        <v>#REF!</v>
      </c>
      <c r="K196" s="119" t="str">
        <f>[3]Sayfa1!$V193</f>
        <v>PİTON BİLGİSAYAR TEKNOLOJİLERİ EĞİT</v>
      </c>
      <c r="L196" s="126" t="str">
        <f t="shared" si="60"/>
        <v>GDM7X4-FRACAS-GDM-192</v>
      </c>
      <c r="M196" s="127" t="str">
        <f>[3]Sayfa1!$L193</f>
        <v>LCD display arızası</v>
      </c>
      <c r="N196" s="128" t="str">
        <f>[3]Sayfa1!$J193</f>
        <v>C-Uyarı, sürüş devamlılığı</v>
      </c>
      <c r="O196" s="128" t="str">
        <f>[3]Sayfa1!$P193</f>
        <v>C(Sisteme etki etmeyen arıza)</v>
      </c>
      <c r="P196" s="128" t="str">
        <f>[3]Sayfa1!$Q193</f>
        <v>N.A(Yaralanma yok)</v>
      </c>
      <c r="Q196" s="129" t="str" cm="1">
        <f t="array" ref="Q196">_xlfn.IFS([3]Sayfa1!$R193="Bozankaya","Bozankaya",[3]Sayfa1!$R193="İşletme","Customer",[3]Sayfa1!$R193="Tedarikçi","Equipment Supplier")</f>
        <v>Equipment Supplier</v>
      </c>
      <c r="R196" s="130" t="str">
        <f>[3]Sayfa1!$M193</f>
        <v>GDM4 MC2 araçta ekranın çalışmadığı görülmüştür. Elektrik hattı kontrol edildiğinde eksisi ve artısının olduğu fakan ekranın çalışmadığı tespit edilip, SSH stoğundan değiştirilmiştir.</v>
      </c>
      <c r="S196" s="147" t="str">
        <f>[3]Sayfa1!$AB193</f>
        <v>Ekipman değiştirilecek</v>
      </c>
      <c r="T196" s="147" t="str">
        <f>[3]Sayfa1!$AA193</f>
        <v>Evet</v>
      </c>
      <c r="U196" s="131">
        <f>[3]Sayfa1!$AN193</f>
        <v>1</v>
      </c>
      <c r="V196" s="132">
        <f>[3]Sayfa1!$T193</f>
        <v>45633</v>
      </c>
      <c r="W196" s="133">
        <f>[3]Sayfa1!$U193</f>
        <v>45633.668703703705</v>
      </c>
      <c r="X196" s="134">
        <f t="shared" si="61"/>
        <v>45633.668703703705</v>
      </c>
      <c r="Y196" s="123" t="str">
        <f>[3]Sayfa1!$AQ193</f>
        <v/>
      </c>
      <c r="Z196" s="135">
        <f>[3]Sayfa1!$AR193</f>
        <v>0</v>
      </c>
      <c r="AA196" s="134">
        <f t="shared" si="62"/>
        <v>0</v>
      </c>
      <c r="AB196" s="136">
        <f t="shared" si="63"/>
        <v>0</v>
      </c>
      <c r="AC196" s="137" t="str">
        <f t="shared" si="64"/>
        <v/>
      </c>
      <c r="AD196" s="135">
        <f t="shared" si="65"/>
        <v>0</v>
      </c>
      <c r="AE196" s="138">
        <f t="shared" si="66"/>
        <v>0</v>
      </c>
      <c r="AF196" s="139" t="str">
        <f>[3]Sayfa1!$AP193</f>
        <v>(I) İlk defa karşılaşılan arıza</v>
      </c>
      <c r="AG196" s="128" t="str">
        <f>IF([3]Sayfa1!$P193="C(Sisteme etki etmeyen arıza)","Bu Arıza Aracın Servise Verilmesine Engel Değil","Bu Arıza Aracın Servise Verilmesine Engel")</f>
        <v>Bu Arıza Aracın Servise Verilmesine Engel Değil</v>
      </c>
      <c r="AH196" s="140">
        <f>[3]Sayfa1!$AC193</f>
        <v>0</v>
      </c>
      <c r="AI196" s="137"/>
      <c r="AJ196" s="137"/>
      <c r="AK196" s="138">
        <f t="shared" si="67"/>
        <v>0</v>
      </c>
      <c r="AL196" s="136">
        <f t="shared" si="68"/>
        <v>0</v>
      </c>
      <c r="AM196" s="136">
        <f t="shared" si="69"/>
        <v>0</v>
      </c>
      <c r="AN196" s="141" t="str">
        <f t="shared" si="70"/>
        <v>PİTON BİLGİSAYAR TEKNOLOJİLERİ EĞİT</v>
      </c>
      <c r="AO196" s="141">
        <f>[3]Sayfa1!$X193</f>
        <v>0</v>
      </c>
      <c r="AP196" s="141">
        <f>[3]Sayfa1!$Z193</f>
        <v>869023001122</v>
      </c>
      <c r="AQ196" s="122" t="str">
        <f>[3]Sayfa1!$W193</f>
        <v>E840-8005/LCD Display</v>
      </c>
      <c r="AR196" s="142">
        <f>[3]Sayfa1!$Y193</f>
        <v>1</v>
      </c>
      <c r="AS196" s="143">
        <f>[3]Sayfa1!$AD193</f>
        <v>0</v>
      </c>
      <c r="AT196" s="137">
        <f>[3]Sayfa1!$AE193</f>
        <v>45634</v>
      </c>
      <c r="AU196" s="137" t="str">
        <f>[3]Sayfa1!$AH193</f>
        <v/>
      </c>
      <c r="AV196" s="144">
        <v>192</v>
      </c>
      <c r="AW196" s="145" t="e">
        <f>U196*AB196*#REF!</f>
        <v>#REF!</v>
      </c>
    </row>
    <row r="197" spans="1:49" ht="101.25" customHeight="1">
      <c r="A197" s="119" t="s">
        <v>57</v>
      </c>
      <c r="B197" s="120" t="str">
        <f>[3]Sayfa1!$G194</f>
        <v>TS#6</v>
      </c>
      <c r="C197" s="121" t="str">
        <f>[3]Sayfa1!$H194</f>
        <v>Mc2</v>
      </c>
      <c r="D197" s="146">
        <f>[3]Sayfa1!$N194</f>
        <v>160</v>
      </c>
      <c r="E197" s="122" t="str">
        <f>[3]Sayfa1!$B194</f>
        <v>FRACAS-GDM-193</v>
      </c>
      <c r="F197" s="123">
        <f>[3]Sayfa1!$E194</f>
        <v>45632</v>
      </c>
      <c r="G197" s="124">
        <f>[3]Sayfa1!$F194</f>
        <v>45632.670092592591</v>
      </c>
      <c r="H197" s="119" t="str">
        <f>[3]Sayfa1!$I194</f>
        <v>Depo/Depot</v>
      </c>
      <c r="I197" s="125" t="str">
        <f>IF([3]Sayfa1!$K194="SSH","Notified by Bozankaya","Notified by Customer")</f>
        <v>Notified by Bozankaya</v>
      </c>
      <c r="J197" s="119" t="e">
        <f>VLOOKUP([3]Sayfa1!$AU194,#REF!,2,FALSE)</f>
        <v>#REF!</v>
      </c>
      <c r="K197" s="119" t="str">
        <f>[3]Sayfa1!$V194</f>
        <v>ERA ELEKTRONIK SANAYİ VE TİCARET A.</v>
      </c>
      <c r="L197" s="126" t="str">
        <f t="shared" si="60"/>
        <v>GDM7X4-FRACAS-GDM-193</v>
      </c>
      <c r="M197" s="127" t="str">
        <f>[3]Sayfa1!$L194</f>
        <v>Led driver arızası</v>
      </c>
      <c r="N197" s="128" t="str">
        <f>[3]Sayfa1!$J194</f>
        <v>C-Uyarı, sürüş devamlılığı</v>
      </c>
      <c r="O197" s="128" t="str">
        <f>[3]Sayfa1!$P194</f>
        <v>C(Sisteme etki etmeyen arıza)</v>
      </c>
      <c r="P197" s="128" t="str">
        <f>[3]Sayfa1!$Q194</f>
        <v>N.A(Yaralanma yok)</v>
      </c>
      <c r="Q197" s="129" t="str" cm="1">
        <f t="array" ref="Q197">_xlfn.IFS([3]Sayfa1!$R194="Bozankaya","Bozankaya",[3]Sayfa1!$R194="İşletme","Customer",[3]Sayfa1!$R194="Tedarikçi","Equipment Supplier")</f>
        <v>Bozankaya</v>
      </c>
      <c r="R197" s="130" t="str">
        <f>[3]Sayfa1!$M194</f>
        <v>GDM6 MC2 araçta LED'lerin sönük yanması dolayısıyla driver kontrol edilmiş, arızalı olduğu tespit edilmiş ve SSH Stok malzemeden değiştirilmiştir</v>
      </c>
      <c r="S197" s="147" t="str">
        <f>[3]Sayfa1!$AB194</f>
        <v>Ekipman değiştirilecek</v>
      </c>
      <c r="T197" s="147" t="str">
        <f>[3]Sayfa1!$AA194</f>
        <v>Evet</v>
      </c>
      <c r="U197" s="131">
        <f>[3]Sayfa1!$AN194</f>
        <v>1</v>
      </c>
      <c r="V197" s="132">
        <f>[3]Sayfa1!$T194</f>
        <v>45633</v>
      </c>
      <c r="W197" s="133">
        <f>[3]Sayfa1!$U194</f>
        <v>45633.673182870371</v>
      </c>
      <c r="X197" s="134">
        <f t="shared" si="61"/>
        <v>45633.673182870371</v>
      </c>
      <c r="Y197" s="123" t="str">
        <f>[3]Sayfa1!$AQ194</f>
        <v/>
      </c>
      <c r="Z197" s="135">
        <f>[3]Sayfa1!$AR194</f>
        <v>0</v>
      </c>
      <c r="AA197" s="134">
        <f t="shared" si="62"/>
        <v>0</v>
      </c>
      <c r="AB197" s="136">
        <f t="shared" si="63"/>
        <v>0</v>
      </c>
      <c r="AC197" s="137" t="str">
        <f t="shared" si="64"/>
        <v/>
      </c>
      <c r="AD197" s="135">
        <f t="shared" si="65"/>
        <v>0</v>
      </c>
      <c r="AE197" s="138">
        <f t="shared" si="66"/>
        <v>0</v>
      </c>
      <c r="AF197" s="139" t="str">
        <f>[3]Sayfa1!$AP194</f>
        <v>(I) İlk defa karşılaşılan arıza</v>
      </c>
      <c r="AG197" s="128" t="str">
        <f>IF([3]Sayfa1!$P194="C(Sisteme etki etmeyen arıza)","Bu Arıza Aracın Servise Verilmesine Engel Değil","Bu Arıza Aracın Servise Verilmesine Engel")</f>
        <v>Bu Arıza Aracın Servise Verilmesine Engel Değil</v>
      </c>
      <c r="AH197" s="140">
        <f>[3]Sayfa1!$AC194</f>
        <v>0</v>
      </c>
      <c r="AI197" s="137"/>
      <c r="AJ197" s="137"/>
      <c r="AK197" s="138">
        <f t="shared" si="67"/>
        <v>0</v>
      </c>
      <c r="AL197" s="136">
        <f t="shared" si="68"/>
        <v>0</v>
      </c>
      <c r="AM197" s="136">
        <f t="shared" si="69"/>
        <v>0</v>
      </c>
      <c r="AN197" s="141" t="str">
        <f t="shared" si="70"/>
        <v>ERA ELEKTRONIK SANAYİ VE TİCARET A.</v>
      </c>
      <c r="AO197" s="141">
        <f>[3]Sayfa1!$X194</f>
        <v>0</v>
      </c>
      <c r="AP197" s="141" t="str">
        <f>[3]Sayfa1!$Z194</f>
        <v>23/2398.</v>
      </c>
      <c r="AQ197" s="122" t="str">
        <f>[3]Sayfa1!$W194</f>
        <v>E826-8015/Led driver</v>
      </c>
      <c r="AR197" s="142">
        <f>[3]Sayfa1!$Y194</f>
        <v>1</v>
      </c>
      <c r="AS197" s="143">
        <f>[3]Sayfa1!$AD194</f>
        <v>0</v>
      </c>
      <c r="AT197" s="137" t="str">
        <f>[3]Sayfa1!$AE194</f>
        <v/>
      </c>
      <c r="AU197" s="137" t="str">
        <f>[3]Sayfa1!$AH194</f>
        <v/>
      </c>
      <c r="AV197" s="144">
        <v>193</v>
      </c>
      <c r="AW197" s="145" t="e">
        <f>U197*AB197*#REF!</f>
        <v>#REF!</v>
      </c>
    </row>
    <row r="198" spans="1:49" ht="101.25" customHeight="1">
      <c r="A198" s="119" t="s">
        <v>57</v>
      </c>
      <c r="B198" s="120" t="str">
        <f>[3]Sayfa1!$G195</f>
        <v>TS#3</v>
      </c>
      <c r="C198" s="121" t="str">
        <f>[3]Sayfa1!$H195</f>
        <v>Mc2</v>
      </c>
      <c r="D198" s="146">
        <f>[3]Sayfa1!$N195</f>
        <v>166</v>
      </c>
      <c r="E198" s="122" t="str">
        <f>[3]Sayfa1!$B195</f>
        <v>FRACAS-GDM-194</v>
      </c>
      <c r="F198" s="123">
        <f>[3]Sayfa1!$E195</f>
        <v>45649</v>
      </c>
      <c r="G198" s="124">
        <f>[3]Sayfa1!$F195</f>
        <v>45649.688287037039</v>
      </c>
      <c r="H198" s="119" t="str">
        <f>[3]Sayfa1!$I195</f>
        <v>Depo/Depot</v>
      </c>
      <c r="I198" s="125" t="str">
        <f>IF([3]Sayfa1!$K195="SSH","Notified by Bozankaya","Notified by Customer")</f>
        <v>Notified by Bozankaya</v>
      </c>
      <c r="J198" s="119" t="e">
        <f>VLOOKUP([3]Sayfa1!$AU195,#REF!,2,FALSE)</f>
        <v>#REF!</v>
      </c>
      <c r="K198" s="119" t="str">
        <f>[3]Sayfa1!$V195</f>
        <v>Bozankaya</v>
      </c>
      <c r="L198" s="126" t="str">
        <f t="shared" si="60"/>
        <v>GDM7X4-FRACAS-GDM-194</v>
      </c>
      <c r="M198" s="127" t="str">
        <f>[3]Sayfa1!$L195</f>
        <v>Telsiz anten kablosu çekilmiş.</v>
      </c>
      <c r="N198" s="128" t="str">
        <f>[3]Sayfa1!$J195</f>
        <v>A-Sürüşü engeller</v>
      </c>
      <c r="O198" s="128" t="str">
        <f>[3]Sayfa1!$P195</f>
        <v>C(Sisteme etki etmeyen arıza)</v>
      </c>
      <c r="P198" s="128" t="str">
        <f>[3]Sayfa1!$Q195</f>
        <v>N.A(Yaralanma yok)</v>
      </c>
      <c r="Q198" s="129" t="str" cm="1">
        <f t="array" ref="Q198">_xlfn.IFS([3]Sayfa1!$R195="Bozankaya","Bozankaya",[3]Sayfa1!$R195="İşletme","Customer",[3]Sayfa1!$R195="Tedarikçi","Equipment Supplier")</f>
        <v>Bozankaya</v>
      </c>
      <c r="R198" s="130" t="str">
        <f>[3]Sayfa1!$M195</f>
        <v>Vericiden alıcıya kablo çekildi.</v>
      </c>
      <c r="S198" s="147">
        <f>[3]Sayfa1!$AB195</f>
        <v>0</v>
      </c>
      <c r="T198" s="147" t="str">
        <f>[3]Sayfa1!$AA195</f>
        <v>Hayır</v>
      </c>
      <c r="U198" s="131">
        <f>[3]Sayfa1!$AN195</f>
        <v>2</v>
      </c>
      <c r="V198" s="132">
        <f>[3]Sayfa1!$T195</f>
        <v>45649</v>
      </c>
      <c r="W198" s="133">
        <f>[3]Sayfa1!$U195</f>
        <v>45649.690972222219</v>
      </c>
      <c r="X198" s="134">
        <f t="shared" si="61"/>
        <v>45649.690972222219</v>
      </c>
      <c r="Y198" s="123" t="str">
        <f>[3]Sayfa1!$AQ195</f>
        <v/>
      </c>
      <c r="Z198" s="135">
        <f>[3]Sayfa1!$AR195</f>
        <v>0</v>
      </c>
      <c r="AA198" s="134">
        <f t="shared" si="62"/>
        <v>0</v>
      </c>
      <c r="AB198" s="136">
        <f t="shared" si="63"/>
        <v>0</v>
      </c>
      <c r="AC198" s="137" t="str">
        <f t="shared" si="64"/>
        <v/>
      </c>
      <c r="AD198" s="135">
        <f t="shared" si="65"/>
        <v>0</v>
      </c>
      <c r="AE198" s="138">
        <f t="shared" si="66"/>
        <v>0</v>
      </c>
      <c r="AF198" s="139" t="str">
        <f>[3]Sayfa1!$AP195</f>
        <v>(I) İlk defa karşılaşılan arıza</v>
      </c>
      <c r="AG198" s="128" t="str">
        <f>IF([3]Sayfa1!$P195="C(Sisteme etki etmeyen arıza)","Bu Arıza Aracın Servise Verilmesine Engel Değil","Bu Arıza Aracın Servise Verilmesine Engel")</f>
        <v>Bu Arıza Aracın Servise Verilmesine Engel Değil</v>
      </c>
      <c r="AH198" s="140">
        <f>[3]Sayfa1!$AC195</f>
        <v>0</v>
      </c>
      <c r="AI198" s="137"/>
      <c r="AJ198" s="137"/>
      <c r="AK198" s="138">
        <f t="shared" si="67"/>
        <v>0</v>
      </c>
      <c r="AL198" s="136">
        <f t="shared" si="68"/>
        <v>0</v>
      </c>
      <c r="AM198" s="136">
        <f t="shared" si="69"/>
        <v>0</v>
      </c>
      <c r="AN198" s="141" t="str">
        <f t="shared" si="70"/>
        <v>Bozankaya</v>
      </c>
      <c r="AO198" s="141">
        <f>[3]Sayfa1!$X195</f>
        <v>0</v>
      </c>
      <c r="AP198" s="141">
        <f>[3]Sayfa1!$Z195</f>
        <v>0</v>
      </c>
      <c r="AQ198" s="122" t="str">
        <f>[3]Sayfa1!$W195</f>
        <v>B000-0000/Bozankaya</v>
      </c>
      <c r="AR198" s="142">
        <f>[3]Sayfa1!$Y195</f>
        <v>1</v>
      </c>
      <c r="AS198" s="143">
        <f>[3]Sayfa1!$AD195</f>
        <v>0</v>
      </c>
      <c r="AT198" s="137" t="str">
        <f>[3]Sayfa1!$AE195</f>
        <v/>
      </c>
      <c r="AU198" s="137" t="str">
        <f>[3]Sayfa1!$AH195</f>
        <v/>
      </c>
      <c r="AV198" s="144">
        <v>194</v>
      </c>
      <c r="AW198" s="145" t="e">
        <f>U198*AB198*#REF!</f>
        <v>#REF!</v>
      </c>
    </row>
    <row r="199" spans="1:49" ht="101.25" customHeight="1">
      <c r="A199" s="119" t="s">
        <v>57</v>
      </c>
      <c r="B199" s="120" t="str">
        <f>[3]Sayfa1!$G196</f>
        <v>TS#3</v>
      </c>
      <c r="C199" s="121" t="str">
        <f>[3]Sayfa1!$H196</f>
        <v>Mc1</v>
      </c>
      <c r="D199" s="146">
        <f>[3]Sayfa1!$N196</f>
        <v>166</v>
      </c>
      <c r="E199" s="122" t="str">
        <f>[3]Sayfa1!$B196</f>
        <v>FRACAS-GDM-195</v>
      </c>
      <c r="F199" s="123">
        <f>[3]Sayfa1!$E196</f>
        <v>45649</v>
      </c>
      <c r="G199" s="124">
        <f>[3]Sayfa1!$F196</f>
        <v>45649.709074074075</v>
      </c>
      <c r="H199" s="119" t="str">
        <f>[3]Sayfa1!$I196</f>
        <v>Depo/Depot</v>
      </c>
      <c r="I199" s="125" t="str">
        <f>IF([3]Sayfa1!$K196="SSH","Notified by Bozankaya","Notified by Customer")</f>
        <v>Notified by Bozankaya</v>
      </c>
      <c r="J199" s="119" t="e">
        <f>VLOOKUP([3]Sayfa1!$AU196,#REF!,2,FALSE)</f>
        <v>#REF!</v>
      </c>
      <c r="K199" s="119">
        <f>[3]Sayfa1!$V196</f>
        <v>0</v>
      </c>
      <c r="L199" s="126" t="str">
        <f t="shared" si="60"/>
        <v>GDM7X4-FRACAS-GDM-195</v>
      </c>
      <c r="M199" s="127" t="str">
        <f>[3]Sayfa1!$L196</f>
        <v>Telsiz kablosu eksik</v>
      </c>
      <c r="N199" s="128" t="str">
        <f>[3]Sayfa1!$J196</f>
        <v>A-Sürüşü engeller</v>
      </c>
      <c r="O199" s="128" t="str">
        <f>[3]Sayfa1!$P196</f>
        <v>C(Sisteme etki etmeyen arıza)</v>
      </c>
      <c r="P199" s="128" t="str">
        <f>[3]Sayfa1!$Q196</f>
        <v>N.A(Yaralanma yok)</v>
      </c>
      <c r="Q199" s="129" t="str" cm="1">
        <f t="array" ref="Q199">_xlfn.IFS([3]Sayfa1!$R196="Bozankaya","Bozankaya",[3]Sayfa1!$R196="İşletme","Customer",[3]Sayfa1!$R196="Tedarikçi","Equipment Supplier")</f>
        <v>Bozankaya</v>
      </c>
      <c r="R199" s="130" t="str">
        <f>[3]Sayfa1!$M196</f>
        <v>Telsiz koblosu alıcı ve verici arası eksik</v>
      </c>
      <c r="S199" s="147" t="str">
        <f>[3]Sayfa1!$AB196</f>
        <v>Arıza çözülecek</v>
      </c>
      <c r="T199" s="147" t="str">
        <f>[3]Sayfa1!$AA196</f>
        <v>Hayır</v>
      </c>
      <c r="U199" s="131">
        <f>[3]Sayfa1!$AN196</f>
        <v>2</v>
      </c>
      <c r="V199" s="132">
        <f>[3]Sayfa1!$T196</f>
        <v>45649</v>
      </c>
      <c r="W199" s="133">
        <f>[3]Sayfa1!$U196</f>
        <v>45649.711805555555</v>
      </c>
      <c r="X199" s="134">
        <f t="shared" si="61"/>
        <v>45649.711805555555</v>
      </c>
      <c r="Y199" s="123" t="str">
        <f>[3]Sayfa1!$AQ196</f>
        <v/>
      </c>
      <c r="Z199" s="135">
        <f>[3]Sayfa1!$AR196</f>
        <v>0</v>
      </c>
      <c r="AA199" s="134">
        <f t="shared" si="62"/>
        <v>0</v>
      </c>
      <c r="AB199" s="136">
        <f t="shared" si="63"/>
        <v>0</v>
      </c>
      <c r="AC199" s="137" t="str">
        <f t="shared" si="64"/>
        <v/>
      </c>
      <c r="AD199" s="135">
        <f t="shared" si="65"/>
        <v>0</v>
      </c>
      <c r="AE199" s="138">
        <f t="shared" si="66"/>
        <v>0</v>
      </c>
      <c r="AF199" s="139" t="str">
        <f>[3]Sayfa1!$AP196</f>
        <v>(I) İlk defa karşılaşılan arıza</v>
      </c>
      <c r="AG199" s="128" t="str">
        <f>IF([3]Sayfa1!$P196="C(Sisteme etki etmeyen arıza)","Bu Arıza Aracın Servise Verilmesine Engel Değil","Bu Arıza Aracın Servise Verilmesine Engel")</f>
        <v>Bu Arıza Aracın Servise Verilmesine Engel Değil</v>
      </c>
      <c r="AH199" s="140">
        <f>[3]Sayfa1!$AC196</f>
        <v>0</v>
      </c>
      <c r="AI199" s="137"/>
      <c r="AJ199" s="137"/>
      <c r="AK199" s="138">
        <f t="shared" si="67"/>
        <v>0</v>
      </c>
      <c r="AL199" s="136">
        <f t="shared" si="68"/>
        <v>0</v>
      </c>
      <c r="AM199" s="136">
        <f t="shared" si="69"/>
        <v>0</v>
      </c>
      <c r="AN199" s="141">
        <f t="shared" si="70"/>
        <v>0</v>
      </c>
      <c r="AO199" s="141">
        <f>[3]Sayfa1!$X196</f>
        <v>0</v>
      </c>
      <c r="AP199" s="141">
        <f>[3]Sayfa1!$Z196</f>
        <v>0</v>
      </c>
      <c r="AQ199" s="122">
        <f>[3]Sayfa1!$W196</f>
        <v>0</v>
      </c>
      <c r="AR199" s="142">
        <f>[3]Sayfa1!$Y196</f>
        <v>1</v>
      </c>
      <c r="AS199" s="143">
        <f>[3]Sayfa1!$AD196</f>
        <v>0</v>
      </c>
      <c r="AT199" s="137" t="str">
        <f>[3]Sayfa1!$AE196</f>
        <v/>
      </c>
      <c r="AU199" s="137" t="str">
        <f>[3]Sayfa1!$AH196</f>
        <v/>
      </c>
      <c r="AV199" s="144">
        <v>195</v>
      </c>
      <c r="AW199" s="145" t="e">
        <f>U199*AB199*#REF!</f>
        <v>#REF!</v>
      </c>
    </row>
    <row r="200" spans="1:49" ht="101.25" customHeight="1">
      <c r="A200" s="119" t="s">
        <v>57</v>
      </c>
      <c r="B200" s="120" t="str">
        <f>[3]Sayfa1!$G197</f>
        <v>TS#3</v>
      </c>
      <c r="C200" s="121" t="str">
        <f>[3]Sayfa1!$H197</f>
        <v>T</v>
      </c>
      <c r="D200" s="146">
        <f>[3]Sayfa1!$N197</f>
        <v>166</v>
      </c>
      <c r="E200" s="122" t="str">
        <f>[3]Sayfa1!$B197</f>
        <v>FRACAS-GDM-196</v>
      </c>
      <c r="F200" s="123">
        <f>[3]Sayfa1!$E197</f>
        <v>45644</v>
      </c>
      <c r="G200" s="124">
        <f>[3]Sayfa1!$F197</f>
        <v>45644.654166666667</v>
      </c>
      <c r="H200" s="119" t="str">
        <f>[3]Sayfa1!$I197</f>
        <v>Depo/Depot</v>
      </c>
      <c r="I200" s="125" t="str">
        <f>IF([3]Sayfa1!$K197="SSH","Notified by Bozankaya","Notified by Customer")</f>
        <v>Notified by Bozankaya</v>
      </c>
      <c r="J200" s="119" t="e">
        <f>VLOOKUP([3]Sayfa1!$AU197,#REF!,2,FALSE)</f>
        <v>#REF!</v>
      </c>
      <c r="K200" s="119" t="str">
        <f>[3]Sayfa1!$V197</f>
        <v>Bozankaya</v>
      </c>
      <c r="L200" s="126" t="str">
        <f t="shared" si="60"/>
        <v>GDM7X4-FRACAS-GDM-196</v>
      </c>
      <c r="M200" s="127" t="str">
        <f>[3]Sayfa1!$L197</f>
        <v>Ud-x144 klemens grubunun 4. Klemensinden schaltbau nun a2 sine giden hc4001.01 kablosu eksi yükü iletmediği için araç uyku moduna geçmiyor, direkt olarak ölüyordu</v>
      </c>
      <c r="N200" s="128" t="str">
        <f>[3]Sayfa1!$J197</f>
        <v>C-Uyarı, sürüş devamlılığı</v>
      </c>
      <c r="O200" s="128" t="str">
        <f>[3]Sayfa1!$P197</f>
        <v>B(Servisten çekmeye etki eden arızalar)</v>
      </c>
      <c r="P200" s="128" t="str">
        <f>[3]Sayfa1!$Q197</f>
        <v>N.A(Yaralanma yok)</v>
      </c>
      <c r="Q200" s="129" t="str" cm="1">
        <f t="array" ref="Q200">_xlfn.IFS([3]Sayfa1!$R197="Bozankaya","Bozankaya",[3]Sayfa1!$R197="İşletme","Customer",[3]Sayfa1!$R197="Tedarikçi","Equipment Supplier")</f>
        <v>Bozankaya</v>
      </c>
      <c r="R200" s="130" t="str">
        <f>[3]Sayfa1!$M197</f>
        <v>Sorun bulundu, kablo çekildi. Hata düzeltildi</v>
      </c>
      <c r="S200" s="147" t="str">
        <f>[3]Sayfa1!$AB197</f>
        <v>Arıza çözülecek</v>
      </c>
      <c r="T200" s="147" t="str">
        <f>[3]Sayfa1!$AA197</f>
        <v>Hayır</v>
      </c>
      <c r="U200" s="131">
        <f>[3]Sayfa1!$AN197</f>
        <v>3</v>
      </c>
      <c r="V200" s="132">
        <f>[3]Sayfa1!$T197</f>
        <v>45645</v>
      </c>
      <c r="W200" s="133">
        <f>[3]Sayfa1!$U197</f>
        <v>45645.656944444447</v>
      </c>
      <c r="X200" s="134">
        <f t="shared" si="61"/>
        <v>45645.656944444447</v>
      </c>
      <c r="Y200" s="123" t="str">
        <f>[3]Sayfa1!$AQ197</f>
        <v/>
      </c>
      <c r="Z200" s="135">
        <f>[3]Sayfa1!$AR197</f>
        <v>0</v>
      </c>
      <c r="AA200" s="134">
        <f t="shared" si="62"/>
        <v>0</v>
      </c>
      <c r="AB200" s="136">
        <f t="shared" si="63"/>
        <v>0</v>
      </c>
      <c r="AC200" s="137" t="str">
        <f t="shared" si="64"/>
        <v/>
      </c>
      <c r="AD200" s="135">
        <f t="shared" si="65"/>
        <v>0</v>
      </c>
      <c r="AE200" s="138">
        <f t="shared" si="66"/>
        <v>0</v>
      </c>
      <c r="AF200" s="139" t="str">
        <f>[3]Sayfa1!$AP197</f>
        <v>(I) İlk defa karşılaşılan arıza</v>
      </c>
      <c r="AG200" s="128" t="str">
        <f>IF([3]Sayfa1!$P197="C(Sisteme etki etmeyen arıza)","Bu Arıza Aracın Servise Verilmesine Engel Değil","Bu Arıza Aracın Servise Verilmesine Engel")</f>
        <v>Bu Arıza Aracın Servise Verilmesine Engel</v>
      </c>
      <c r="AH200" s="140">
        <f>[3]Sayfa1!$AC197</f>
        <v>0</v>
      </c>
      <c r="AI200" s="137"/>
      <c r="AJ200" s="137"/>
      <c r="AK200" s="138">
        <f t="shared" si="67"/>
        <v>0</v>
      </c>
      <c r="AL200" s="136">
        <f t="shared" si="68"/>
        <v>0</v>
      </c>
      <c r="AM200" s="136">
        <f t="shared" si="69"/>
        <v>0</v>
      </c>
      <c r="AN200" s="141" t="str">
        <f t="shared" si="70"/>
        <v>Bozankaya</v>
      </c>
      <c r="AO200" s="141">
        <f>[3]Sayfa1!$X197</f>
        <v>0</v>
      </c>
      <c r="AP200" s="141">
        <f>[3]Sayfa1!$Z197</f>
        <v>0</v>
      </c>
      <c r="AQ200" s="122" t="str">
        <f>[3]Sayfa1!$W197</f>
        <v>B000-0000/Bozankaya</v>
      </c>
      <c r="AR200" s="142">
        <f>[3]Sayfa1!$Y197</f>
        <v>1</v>
      </c>
      <c r="AS200" s="143">
        <f>[3]Sayfa1!$AD197</f>
        <v>0</v>
      </c>
      <c r="AT200" s="137" t="str">
        <f>[3]Sayfa1!$AE197</f>
        <v/>
      </c>
      <c r="AU200" s="137">
        <f>[3]Sayfa1!$AH197</f>
        <v>45646</v>
      </c>
      <c r="AV200" s="144">
        <v>196</v>
      </c>
      <c r="AW200" s="145" t="e">
        <f>U200*AB200*#REF!</f>
        <v>#REF!</v>
      </c>
    </row>
    <row r="201" spans="1:49" ht="101.25" customHeight="1">
      <c r="A201" s="119" t="s">
        <v>57</v>
      </c>
      <c r="B201" s="120" t="str">
        <f>[3]Sayfa1!$G198</f>
        <v>TS#3</v>
      </c>
      <c r="C201" s="121" t="str">
        <f>[3]Sayfa1!$H198</f>
        <v>Mc2</v>
      </c>
      <c r="D201" s="146">
        <f>[3]Sayfa1!$N198</f>
        <v>166</v>
      </c>
      <c r="E201" s="122" t="str">
        <f>[3]Sayfa1!$B198</f>
        <v>FRACAS-GDM-197</v>
      </c>
      <c r="F201" s="123">
        <f>[3]Sayfa1!$E198</f>
        <v>45644</v>
      </c>
      <c r="G201" s="124">
        <f>[3]Sayfa1!$F198</f>
        <v>45644.658333333333</v>
      </c>
      <c r="H201" s="119" t="str">
        <f>[3]Sayfa1!$I198</f>
        <v>Depo/Depot</v>
      </c>
      <c r="I201" s="125" t="str">
        <f>IF([3]Sayfa1!$K198="SSH","Notified by Bozankaya","Notified by Customer")</f>
        <v>Notified by Bozankaya</v>
      </c>
      <c r="J201" s="119" t="e">
        <f>VLOOKUP([3]Sayfa1!$AU198,#REF!,2,FALSE)</f>
        <v>#REF!</v>
      </c>
      <c r="K201" s="119" t="str">
        <f>[3]Sayfa1!$V198</f>
        <v>Bozankaya</v>
      </c>
      <c r="L201" s="126" t="str">
        <f t="shared" si="60"/>
        <v>GDM7X4-FRACAS-GDM-197</v>
      </c>
      <c r="M201" s="127" t="str">
        <f>[3]Sayfa1!$L198</f>
        <v>Atc onay ve eb reset butonları mc2 modülden çalışmıyor</v>
      </c>
      <c r="N201" s="128" t="str">
        <f>[3]Sayfa1!$J198</f>
        <v>C-Uyarı, sürüş devamlılığı</v>
      </c>
      <c r="O201" s="128" t="str">
        <f>[3]Sayfa1!$P198</f>
        <v>B(Servisten çekmeye etki eden arızalar)</v>
      </c>
      <c r="P201" s="128" t="str">
        <f>[3]Sayfa1!$Q198</f>
        <v>N.A(Yaralanma yok)</v>
      </c>
      <c r="Q201" s="129" t="str" cm="1">
        <f t="array" ref="Q201">_xlfn.IFS([3]Sayfa1!$R198="Bozankaya","Bozankaya",[3]Sayfa1!$R198="İşletme","Customer",[3]Sayfa1!$R198="Tedarikçi","Equipment Supplier")</f>
        <v>Bozankaya</v>
      </c>
      <c r="R201" s="130" t="str">
        <f>[3]Sayfa1!$M198</f>
        <v>Gc-k07.1 3. Bacağından fc-kdca2.1 5. Bacağına giden gc5055.02 kablosu yoktu. Çekildi.</v>
      </c>
      <c r="S201" s="147" t="str">
        <f>[3]Sayfa1!$AB198</f>
        <v>Arıza çözülecek</v>
      </c>
      <c r="T201" s="147" t="str">
        <f>[3]Sayfa1!$AA198</f>
        <v>Hayır</v>
      </c>
      <c r="U201" s="131">
        <f>[3]Sayfa1!$AN198</f>
        <v>1</v>
      </c>
      <c r="V201" s="132">
        <f>[3]Sayfa1!$T198</f>
        <v>45645</v>
      </c>
      <c r="W201" s="133">
        <f>[3]Sayfa1!$U198</f>
        <v>45645.660416666666</v>
      </c>
      <c r="X201" s="134">
        <f t="shared" si="61"/>
        <v>45645.660416666666</v>
      </c>
      <c r="Y201" s="123">
        <f>[3]Sayfa1!$AQ198</f>
        <v>45646</v>
      </c>
      <c r="Z201" s="135">
        <f>[3]Sayfa1!$AR198</f>
        <v>45646.661111111112</v>
      </c>
      <c r="AA201" s="134">
        <f t="shared" si="62"/>
        <v>45646.661111111112</v>
      </c>
      <c r="AB201" s="136">
        <f t="shared" si="63"/>
        <v>24.016666666720994</v>
      </c>
      <c r="AC201" s="137">
        <f t="shared" si="64"/>
        <v>45646</v>
      </c>
      <c r="AD201" s="135">
        <f t="shared" si="65"/>
        <v>45646.661111111112</v>
      </c>
      <c r="AE201" s="138">
        <f t="shared" si="66"/>
        <v>45646.661111111112</v>
      </c>
      <c r="AF201" s="139" t="str">
        <f>[3]Sayfa1!$AP198</f>
        <v>(I) İlk defa karşılaşılan arıza</v>
      </c>
      <c r="AG201" s="128" t="str">
        <f>IF([3]Sayfa1!$P198="C(Sisteme etki etmeyen arıza)","Bu Arıza Aracın Servise Verilmesine Engel Değil","Bu Arıza Aracın Servise Verilmesine Engel")</f>
        <v>Bu Arıza Aracın Servise Verilmesine Engel</v>
      </c>
      <c r="AH201" s="140">
        <f>[3]Sayfa1!$AC198</f>
        <v>0</v>
      </c>
      <c r="AI201" s="137"/>
      <c r="AJ201" s="137"/>
      <c r="AK201" s="138">
        <f t="shared" si="67"/>
        <v>0</v>
      </c>
      <c r="AL201" s="136">
        <f t="shared" si="68"/>
        <v>1441.0000000032596</v>
      </c>
      <c r="AM201" s="136">
        <f t="shared" si="69"/>
        <v>1441.0000000032596</v>
      </c>
      <c r="AN201" s="141" t="str">
        <f t="shared" si="70"/>
        <v>Bozankaya</v>
      </c>
      <c r="AO201" s="141">
        <f>[3]Sayfa1!$X198</f>
        <v>0</v>
      </c>
      <c r="AP201" s="141">
        <f>[3]Sayfa1!$Z198</f>
        <v>0</v>
      </c>
      <c r="AQ201" s="122" t="str">
        <f>[3]Sayfa1!$W198</f>
        <v>B000-0000/Bozankaya</v>
      </c>
      <c r="AR201" s="142">
        <f>[3]Sayfa1!$Y198</f>
        <v>0</v>
      </c>
      <c r="AS201" s="143">
        <f>[3]Sayfa1!$AD198</f>
        <v>0</v>
      </c>
      <c r="AT201" s="137" t="str">
        <f>[3]Sayfa1!$AE198</f>
        <v/>
      </c>
      <c r="AU201" s="137" t="str">
        <f>[3]Sayfa1!$AH198</f>
        <v/>
      </c>
      <c r="AV201" s="144">
        <v>197</v>
      </c>
      <c r="AW201" s="145" t="e">
        <f>U201*AB201*#REF!</f>
        <v>#REF!</v>
      </c>
    </row>
    <row r="202" spans="1:49" ht="101.25" customHeight="1">
      <c r="A202" s="119" t="s">
        <v>57</v>
      </c>
      <c r="B202" s="120" t="str">
        <f>[3]Sayfa1!$G199</f>
        <v>TS#4</v>
      </c>
      <c r="C202" s="121" t="str">
        <f>[3]Sayfa1!$H199</f>
        <v>Mc2</v>
      </c>
      <c r="D202" s="146">
        <f>[3]Sayfa1!$N199</f>
        <v>79</v>
      </c>
      <c r="E202" s="122" t="str">
        <f>[3]Sayfa1!$B199</f>
        <v>FRACAS-GDM-198</v>
      </c>
      <c r="F202" s="123">
        <f>[3]Sayfa1!$E199</f>
        <v>45630</v>
      </c>
      <c r="G202" s="124">
        <f>[3]Sayfa1!$F199</f>
        <v>45630.661805555559</v>
      </c>
      <c r="H202" s="119" t="str">
        <f>[3]Sayfa1!$I199</f>
        <v>Depo/Depot</v>
      </c>
      <c r="I202" s="125" t="str">
        <f>IF([3]Sayfa1!$K199="SSH","Notified by Bozankaya","Notified by Customer")</f>
        <v>Notified by Bozankaya</v>
      </c>
      <c r="J202" s="119" t="e">
        <f>VLOOKUP([3]Sayfa1!$AU199,#REF!,2,FALSE)</f>
        <v>#REF!</v>
      </c>
      <c r="K202" s="119" t="str">
        <f>[3]Sayfa1!$V199</f>
        <v>Bozankaya</v>
      </c>
      <c r="L202" s="126" t="str">
        <f t="shared" si="60"/>
        <v>GDM7X4-FRACAS-GDM-198</v>
      </c>
      <c r="M202" s="127" t="str">
        <f>[3]Sayfa1!$L199</f>
        <v>Araç eb loop kurmuyordu</v>
      </c>
      <c r="N202" s="128" t="str">
        <f>[3]Sayfa1!$J199</f>
        <v>A-Sürüşü engeller</v>
      </c>
      <c r="O202" s="128" t="str">
        <f>[3]Sayfa1!$P199</f>
        <v>B(Servisten çekmeye etki eden arızalar)</v>
      </c>
      <c r="P202" s="128" t="str">
        <f>[3]Sayfa1!$Q199</f>
        <v>N.A(Yaralanma yok)</v>
      </c>
      <c r="Q202" s="129" t="str" cm="1">
        <f t="array" ref="Q202">_xlfn.IFS([3]Sayfa1!$R199="Bozankaya","Bozankaya",[3]Sayfa1!$R199="İşletme","Customer",[3]Sayfa1!$R199="Tedarikçi","Equipment Supplier")</f>
        <v>Bozankaya</v>
      </c>
      <c r="R202" s="130" t="str">
        <f>[3]Sayfa1!$M199</f>
        <v>Ra-k05 in 2. Bacağından ud-x406 nın cd41 ine giden ra1681.01 kablosunun olmadığı görülmüş ve kablo çekilmiştir</v>
      </c>
      <c r="S202" s="147" t="str">
        <f>[3]Sayfa1!$AB199</f>
        <v>Arıza çözülecek</v>
      </c>
      <c r="T202" s="147" t="str">
        <f>[3]Sayfa1!$AA199</f>
        <v>Hayır</v>
      </c>
      <c r="U202" s="131">
        <f>[3]Sayfa1!$AN199</f>
        <v>1</v>
      </c>
      <c r="V202" s="132">
        <f>[3]Sayfa1!$T199</f>
        <v>45631</v>
      </c>
      <c r="W202" s="133">
        <f>[3]Sayfa1!$U199</f>
        <v>45631.668055555558</v>
      </c>
      <c r="X202" s="134">
        <f t="shared" si="61"/>
        <v>45631.668055555558</v>
      </c>
      <c r="Y202" s="123">
        <f>[3]Sayfa1!$AQ199</f>
        <v>45632</v>
      </c>
      <c r="Z202" s="135">
        <f>[3]Sayfa1!$AR199</f>
        <v>45632.669444444444</v>
      </c>
      <c r="AA202" s="134">
        <f t="shared" si="62"/>
        <v>45632.669444444444</v>
      </c>
      <c r="AB202" s="136">
        <f t="shared" si="63"/>
        <v>24.033333333267365</v>
      </c>
      <c r="AC202" s="137">
        <f t="shared" si="64"/>
        <v>45632</v>
      </c>
      <c r="AD202" s="135">
        <f t="shared" si="65"/>
        <v>45632.669444444444</v>
      </c>
      <c r="AE202" s="138">
        <f t="shared" si="66"/>
        <v>45632.669444444444</v>
      </c>
      <c r="AF202" s="139" t="str">
        <f>[3]Sayfa1!$AP199</f>
        <v>(I) İlk defa karşılaşılan arıza</v>
      </c>
      <c r="AG202" s="128" t="str">
        <f>IF([3]Sayfa1!$P199="C(Sisteme etki etmeyen arıza)","Bu Arıza Aracın Servise Verilmesine Engel Değil","Bu Arıza Aracın Servise Verilmesine Engel")</f>
        <v>Bu Arıza Aracın Servise Verilmesine Engel</v>
      </c>
      <c r="AH202" s="140">
        <f>[3]Sayfa1!$AC199</f>
        <v>0</v>
      </c>
      <c r="AI202" s="137"/>
      <c r="AJ202" s="137"/>
      <c r="AK202" s="138">
        <f t="shared" si="67"/>
        <v>0</v>
      </c>
      <c r="AL202" s="136">
        <f t="shared" si="68"/>
        <v>1441.9999999960419</v>
      </c>
      <c r="AM202" s="136">
        <f t="shared" si="69"/>
        <v>1441.9999999960419</v>
      </c>
      <c r="AN202" s="141" t="str">
        <f t="shared" si="70"/>
        <v>Bozankaya</v>
      </c>
      <c r="AO202" s="141">
        <f>[3]Sayfa1!$X199</f>
        <v>0</v>
      </c>
      <c r="AP202" s="141">
        <f>[3]Sayfa1!$Z199</f>
        <v>0</v>
      </c>
      <c r="AQ202" s="122" t="str">
        <f>[3]Sayfa1!$W199</f>
        <v>B000-0000/Bozankaya</v>
      </c>
      <c r="AR202" s="142">
        <f>[3]Sayfa1!$Y199</f>
        <v>0</v>
      </c>
      <c r="AS202" s="143">
        <f>[3]Sayfa1!$AD199</f>
        <v>0</v>
      </c>
      <c r="AT202" s="137" t="str">
        <f>[3]Sayfa1!$AE199</f>
        <v/>
      </c>
      <c r="AU202" s="137" t="str">
        <f>[3]Sayfa1!$AH199</f>
        <v/>
      </c>
      <c r="AV202" s="144">
        <v>198</v>
      </c>
      <c r="AW202" s="145" t="e">
        <f>U202*AB202*#REF!</f>
        <v>#REF!</v>
      </c>
    </row>
    <row r="203" spans="1:49" ht="101.25" customHeight="1">
      <c r="A203" s="119" t="s">
        <v>57</v>
      </c>
      <c r="B203" s="120" t="str">
        <f>[3]Sayfa1!$G200</f>
        <v>TS#4</v>
      </c>
      <c r="C203" s="121" t="str">
        <f>[3]Sayfa1!$H200</f>
        <v>Mc1</v>
      </c>
      <c r="D203" s="146">
        <f>[3]Sayfa1!$N200</f>
        <v>79</v>
      </c>
      <c r="E203" s="122" t="str">
        <f>[3]Sayfa1!$B200</f>
        <v>FRACAS-GDM-199</v>
      </c>
      <c r="F203" s="123">
        <f>[3]Sayfa1!$E200</f>
        <v>45630</v>
      </c>
      <c r="G203" s="124">
        <f>[3]Sayfa1!$F200</f>
        <v>45630.669444444444</v>
      </c>
      <c r="H203" s="119" t="str">
        <f>[3]Sayfa1!$I200</f>
        <v>Depo/Depot</v>
      </c>
      <c r="I203" s="125" t="str">
        <f>IF([3]Sayfa1!$K200="SSH","Notified by Bozankaya","Notified by Customer")</f>
        <v>Notified by Bozankaya</v>
      </c>
      <c r="J203" s="119" t="e">
        <f>VLOOKUP([3]Sayfa1!$AU200,#REF!,2,FALSE)</f>
        <v>#REF!</v>
      </c>
      <c r="K203" s="119" t="str">
        <f>[3]Sayfa1!$V200</f>
        <v>Bozankaya</v>
      </c>
      <c r="L203" s="126" t="str">
        <f t="shared" si="60"/>
        <v>GDM7X4-FRACAS-GDM-199</v>
      </c>
      <c r="M203" s="127" t="str">
        <f>[3]Sayfa1!$L200</f>
        <v>Araç eb loop kurmuyor</v>
      </c>
      <c r="N203" s="128" t="str">
        <f>[3]Sayfa1!$J200</f>
        <v>A-Sürüşü engeller</v>
      </c>
      <c r="O203" s="128" t="str">
        <f>[3]Sayfa1!$P200</f>
        <v>A(Hareket etmeyi engelleyen arıza)</v>
      </c>
      <c r="P203" s="128" t="str">
        <f>[3]Sayfa1!$Q200</f>
        <v>N.A(Yaralanma yok)</v>
      </c>
      <c r="Q203" s="129" t="str" cm="1">
        <f t="array" ref="Q203">_xlfn.IFS([3]Sayfa1!$R200="Bozankaya","Bozankaya",[3]Sayfa1!$R200="İşletme","Customer",[3]Sayfa1!$R200="Tedarikçi","Equipment Supplier")</f>
        <v>Bozankaya</v>
      </c>
      <c r="R203" s="130" t="str">
        <f>[3]Sayfa1!$M200</f>
        <v>Hat kontrol edildi. 49 panodaki Ra-K05 in 2. Bacağından ud-x411 in cd38 ine giden ra1680.09 kablosunun olmadığı görülmüş, kablo çekilmiştir.</v>
      </c>
      <c r="S203" s="147" t="str">
        <f>[3]Sayfa1!$AB200</f>
        <v>Arıza çözülecek</v>
      </c>
      <c r="T203" s="147" t="str">
        <f>[3]Sayfa1!$AA200</f>
        <v>Hayır</v>
      </c>
      <c r="U203" s="131">
        <f>[3]Sayfa1!$AN200</f>
        <v>1</v>
      </c>
      <c r="V203" s="132">
        <f>[3]Sayfa1!$T200</f>
        <v>45631</v>
      </c>
      <c r="W203" s="133">
        <f>[3]Sayfa1!$U200</f>
        <v>45631.671527777777</v>
      </c>
      <c r="X203" s="134">
        <f t="shared" si="61"/>
        <v>45631.671527777777</v>
      </c>
      <c r="Y203" s="123">
        <f>[3]Sayfa1!$AQ200</f>
        <v>45632</v>
      </c>
      <c r="Z203" s="135">
        <f>[3]Sayfa1!$AR200</f>
        <v>45632.672222222223</v>
      </c>
      <c r="AA203" s="134">
        <f t="shared" si="62"/>
        <v>45632.672222222223</v>
      </c>
      <c r="AB203" s="136">
        <f t="shared" si="63"/>
        <v>24.016666666720994</v>
      </c>
      <c r="AC203" s="137">
        <f t="shared" si="64"/>
        <v>45632</v>
      </c>
      <c r="AD203" s="135">
        <f t="shared" si="65"/>
        <v>45632.672222222223</v>
      </c>
      <c r="AE203" s="138">
        <f t="shared" si="66"/>
        <v>45632.672222222223</v>
      </c>
      <c r="AF203" s="139" t="str">
        <f>[3]Sayfa1!$AP200</f>
        <v>(III) Birden fazla aynı araçta karşılaşılan arıza</v>
      </c>
      <c r="AG203" s="128" t="str">
        <f>IF([3]Sayfa1!$P200="C(Sisteme etki etmeyen arıza)","Bu Arıza Aracın Servise Verilmesine Engel Değil","Bu Arıza Aracın Servise Verilmesine Engel")</f>
        <v>Bu Arıza Aracın Servise Verilmesine Engel</v>
      </c>
      <c r="AH203" s="140">
        <f>[3]Sayfa1!$AC200</f>
        <v>0</v>
      </c>
      <c r="AI203" s="137"/>
      <c r="AJ203" s="137"/>
      <c r="AK203" s="138">
        <f t="shared" si="67"/>
        <v>0</v>
      </c>
      <c r="AL203" s="136">
        <f t="shared" si="68"/>
        <v>1441.0000000032596</v>
      </c>
      <c r="AM203" s="136">
        <f t="shared" si="69"/>
        <v>1441.0000000032596</v>
      </c>
      <c r="AN203" s="141" t="str">
        <f t="shared" si="70"/>
        <v>Bozankaya</v>
      </c>
      <c r="AO203" s="141">
        <f>[3]Sayfa1!$X200</f>
        <v>0</v>
      </c>
      <c r="AP203" s="141">
        <f>[3]Sayfa1!$Z200</f>
        <v>0</v>
      </c>
      <c r="AQ203" s="122" t="str">
        <f>[3]Sayfa1!$W200</f>
        <v>B000-0000/Bozankaya</v>
      </c>
      <c r="AR203" s="142">
        <f>[3]Sayfa1!$Y200</f>
        <v>0</v>
      </c>
      <c r="AS203" s="143">
        <f>[3]Sayfa1!$AD200</f>
        <v>0</v>
      </c>
      <c r="AT203" s="137" t="str">
        <f>[3]Sayfa1!$AE200</f>
        <v/>
      </c>
      <c r="AU203" s="137" t="str">
        <f>[3]Sayfa1!$AH200</f>
        <v/>
      </c>
      <c r="AV203" s="144">
        <v>199</v>
      </c>
      <c r="AW203" s="145" t="e">
        <f>U203*AB203*#REF!</f>
        <v>#REF!</v>
      </c>
    </row>
    <row r="204" spans="1:49" ht="101.25" customHeight="1">
      <c r="A204" s="119" t="s">
        <v>57</v>
      </c>
      <c r="B204" s="120" t="str">
        <f>[3]Sayfa1!$G201</f>
        <v>TS#3</v>
      </c>
      <c r="C204" s="121" t="str">
        <f>[3]Sayfa1!$H201</f>
        <v>M</v>
      </c>
      <c r="D204" s="146">
        <f>[3]Sayfa1!$N201</f>
        <v>166</v>
      </c>
      <c r="E204" s="122" t="str">
        <f>[3]Sayfa1!$B201</f>
        <v>FRACAS-GDM-200</v>
      </c>
      <c r="F204" s="123">
        <f>[3]Sayfa1!$E201</f>
        <v>45644</v>
      </c>
      <c r="G204" s="124">
        <f>[3]Sayfa1!$F201</f>
        <v>45644.675000000003</v>
      </c>
      <c r="H204" s="119" t="str">
        <f>[3]Sayfa1!$I201</f>
        <v>Depo/Depot</v>
      </c>
      <c r="I204" s="125" t="str">
        <f>IF([3]Sayfa1!$K201="SSH","Notified by Bozankaya","Notified by Customer")</f>
        <v>Notified by Bozankaya</v>
      </c>
      <c r="J204" s="119" t="e">
        <f>VLOOKUP([3]Sayfa1!$AU201,#REF!,2,FALSE)</f>
        <v>#REF!</v>
      </c>
      <c r="K204" s="119" t="str">
        <f>[3]Sayfa1!$V201</f>
        <v>Bozankaya</v>
      </c>
      <c r="L204" s="126" t="str">
        <f t="shared" si="60"/>
        <v>GDM7X4-FRACAS-GDM-200</v>
      </c>
      <c r="M204" s="127" t="str">
        <f>[3]Sayfa1!$L201</f>
        <v>Alçak basınç bypass anahtarı 1 konumuna getirildiğinde ra-k52.2 rölesi enerjilenmiyordu</v>
      </c>
      <c r="N204" s="128" t="str">
        <f>[3]Sayfa1!$J201</f>
        <v>C-Uyarı, sürüş devamlılığı</v>
      </c>
      <c r="O204" s="128" t="str">
        <f>[3]Sayfa1!$P201</f>
        <v>C(Sisteme etki etmeyen arıza)</v>
      </c>
      <c r="P204" s="128" t="str">
        <f>[3]Sayfa1!$Q201</f>
        <v>N.A(Yaralanma yok)</v>
      </c>
      <c r="Q204" s="129" t="str" cm="1">
        <f t="array" ref="Q204">_xlfn.IFS([3]Sayfa1!$R201="Bozankaya","Bozankaya",[3]Sayfa1!$R201="İşletme","Customer",[3]Sayfa1!$R201="Tedarikçi","Equipment Supplier")</f>
        <v>Bozankaya</v>
      </c>
      <c r="R204" s="130" t="str">
        <f>[3]Sayfa1!$M201</f>
        <v>Hatta buzzer atıldı. Mc1-m vagonları arasındaki ud-x803 jumper’ında ef20 deki ra5300.09 kablosunun pini geri kaçmıştı. Düzeltildi</v>
      </c>
      <c r="S204" s="147" t="str">
        <f>[3]Sayfa1!$AB201</f>
        <v>Arıza çözülecek</v>
      </c>
      <c r="T204" s="147" t="str">
        <f>[3]Sayfa1!$AA201</f>
        <v>Hayır</v>
      </c>
      <c r="U204" s="131">
        <f>[3]Sayfa1!$AN201</f>
        <v>2</v>
      </c>
      <c r="V204" s="132">
        <f>[3]Sayfa1!$T201</f>
        <v>45631</v>
      </c>
      <c r="W204" s="133">
        <f>[3]Sayfa1!$U201</f>
        <v>45631.677777777775</v>
      </c>
      <c r="X204" s="134">
        <f t="shared" si="61"/>
        <v>45631.677777777775</v>
      </c>
      <c r="Y204" s="123">
        <f>[3]Sayfa1!$AQ201</f>
        <v>45632</v>
      </c>
      <c r="Z204" s="135">
        <f>[3]Sayfa1!$AR201</f>
        <v>45632.678472222222</v>
      </c>
      <c r="AA204" s="134">
        <f t="shared" si="62"/>
        <v>45632.678472222222</v>
      </c>
      <c r="AB204" s="136">
        <f t="shared" si="63"/>
        <v>0</v>
      </c>
      <c r="AC204" s="137">
        <f t="shared" si="64"/>
        <v>45632</v>
      </c>
      <c r="AD204" s="135">
        <f t="shared" si="65"/>
        <v>45632.678472222222</v>
      </c>
      <c r="AE204" s="138">
        <f t="shared" si="66"/>
        <v>45632.678472222222</v>
      </c>
      <c r="AF204" s="139" t="str">
        <f>[3]Sayfa1!$AP201</f>
        <v>(II) Birden fazla karşılaşılan arıza</v>
      </c>
      <c r="AG204" s="128" t="str">
        <f>IF([3]Sayfa1!$P201="C(Sisteme etki etmeyen arıza)","Bu Arıza Aracın Servise Verilmesine Engel Değil","Bu Arıza Aracın Servise Verilmesine Engel")</f>
        <v>Bu Arıza Aracın Servise Verilmesine Engel Değil</v>
      </c>
      <c r="AH204" s="140" t="e">
        <f>[3]Sayfa1!$AC201</f>
        <v>#NAME?</v>
      </c>
      <c r="AI204" s="137"/>
      <c r="AJ204" s="137"/>
      <c r="AK204" s="138">
        <f t="shared" si="67"/>
        <v>0</v>
      </c>
      <c r="AL204" s="136">
        <f t="shared" si="68"/>
        <v>0</v>
      </c>
      <c r="AM204" s="136">
        <f t="shared" si="69"/>
        <v>0</v>
      </c>
      <c r="AN204" s="141" t="str">
        <f t="shared" si="70"/>
        <v>Bozankaya</v>
      </c>
      <c r="AO204" s="141">
        <f>[3]Sayfa1!$X201</f>
        <v>0</v>
      </c>
      <c r="AP204" s="141">
        <f>[3]Sayfa1!$Z201</f>
        <v>0</v>
      </c>
      <c r="AQ204" s="122" t="str">
        <f>[3]Sayfa1!$W201</f>
        <v>B000-0000/Bozankaya</v>
      </c>
      <c r="AR204" s="142">
        <f>[3]Sayfa1!$Y201</f>
        <v>0</v>
      </c>
      <c r="AS204" s="143">
        <f>[3]Sayfa1!$AD201</f>
        <v>0</v>
      </c>
      <c r="AT204" s="137" t="str">
        <f>[3]Sayfa1!$AE201</f>
        <v/>
      </c>
      <c r="AU204" s="137" t="str">
        <f>[3]Sayfa1!$AH201</f>
        <v/>
      </c>
      <c r="AV204" s="144">
        <v>200</v>
      </c>
      <c r="AW204" s="145" t="e">
        <f>U204*AB204*#REF!</f>
        <v>#REF!</v>
      </c>
    </row>
    <row r="205" spans="1:49" ht="101.25" customHeight="1">
      <c r="A205" s="119" t="s">
        <v>57</v>
      </c>
      <c r="B205" s="120" t="str">
        <f>[3]Sayfa1!$G202</f>
        <v>TS#7</v>
      </c>
      <c r="C205" s="121" t="str">
        <f>[3]Sayfa1!$H202</f>
        <v>T</v>
      </c>
      <c r="D205" s="146">
        <f>[3]Sayfa1!$N202</f>
        <v>203</v>
      </c>
      <c r="E205" s="122" t="str">
        <f>[3]Sayfa1!$B202</f>
        <v>FRACAS-GDM-201</v>
      </c>
      <c r="F205" s="123">
        <f>[3]Sayfa1!$E202</f>
        <v>45660</v>
      </c>
      <c r="G205" s="124">
        <f>[3]Sayfa1!$F202</f>
        <v>45660.354166666664</v>
      </c>
      <c r="H205" s="119" t="str">
        <f>[3]Sayfa1!$I202</f>
        <v>Depo/Depot</v>
      </c>
      <c r="I205" s="125" t="str">
        <f>IF([3]Sayfa1!$K202="SSH","Notified by Bozankaya","Notified by Customer")</f>
        <v>Notified by Bozankaya</v>
      </c>
      <c r="J205" s="119" t="e">
        <f>VLOOKUP([3]Sayfa1!$AU202,#REF!,2,FALSE)</f>
        <v>#REF!</v>
      </c>
      <c r="K205" s="119" t="str">
        <f>[3]Sayfa1!$V202</f>
        <v>FAİVELEY TRANSPORT TOURS SAS</v>
      </c>
      <c r="L205" s="126" t="str">
        <f t="shared" si="60"/>
        <v>GDM7X4-FRACAS-GDM-201</v>
      </c>
      <c r="M205" s="127" t="str">
        <f>[3]Sayfa1!$L202</f>
        <v>Eventrecorder Arızası</v>
      </c>
      <c r="N205" s="128" t="str">
        <f>[3]Sayfa1!$J202</f>
        <v>A-Sürüşü engeller</v>
      </c>
      <c r="O205" s="128" t="str">
        <f>[3]Sayfa1!$P202</f>
        <v>A(Hareket etmeyi engelleyen arıza)</v>
      </c>
      <c r="P205" s="128" t="str">
        <f>[3]Sayfa1!$Q202</f>
        <v>N.A(Yaralanma yok)</v>
      </c>
      <c r="Q205" s="129" t="str" cm="1">
        <f t="array" ref="Q205">_xlfn.IFS([3]Sayfa1!$R202="Bozankaya","Bozankaya",[3]Sayfa1!$R202="İşletme","Customer",[3]Sayfa1!$R202="Tedarikçi","Equipment Supplier")</f>
        <v>Equipment Supplier</v>
      </c>
      <c r="R205" s="130" t="str">
        <f>[3]Sayfa1!$M202</f>
        <v>Aracın sıfır hız bilgisi yoktu. Panolardaki sigortaları kontrol ederken eventrecorder cihazının sigortasının(JC-F01) aşağıda olduğu tespit edildi. Sigorta kaldırıldığında eventrecorder enerjilenmediği görüldü. Yeni eventrecorder cihazı takıldıpında sistem çalış duruma geldi.</v>
      </c>
      <c r="S205" s="147" t="str">
        <f>[3]Sayfa1!$AB202</f>
        <v>Arıza çözülecek</v>
      </c>
      <c r="T205" s="147" t="str">
        <f>[3]Sayfa1!$AA202</f>
        <v>Evet</v>
      </c>
      <c r="U205" s="131">
        <f>[3]Sayfa1!$AN202</f>
        <v>1</v>
      </c>
      <c r="V205" s="132">
        <f>[3]Sayfa1!$T202</f>
        <v>45660</v>
      </c>
      <c r="W205" s="133">
        <f>[3]Sayfa1!$U202</f>
        <v>45660.364583333336</v>
      </c>
      <c r="X205" s="134">
        <f t="shared" si="61"/>
        <v>45660.364583333336</v>
      </c>
      <c r="Y205" s="123">
        <f>[3]Sayfa1!$AQ202</f>
        <v>45660</v>
      </c>
      <c r="Z205" s="135">
        <f>[3]Sayfa1!$AR202</f>
        <v>45660.458333333336</v>
      </c>
      <c r="AA205" s="134">
        <f t="shared" si="62"/>
        <v>45660.458333333336</v>
      </c>
      <c r="AB205" s="136">
        <f t="shared" si="63"/>
        <v>0</v>
      </c>
      <c r="AC205" s="137">
        <f t="shared" si="64"/>
        <v>45660</v>
      </c>
      <c r="AD205" s="135">
        <f t="shared" si="65"/>
        <v>45660.458333333336</v>
      </c>
      <c r="AE205" s="138">
        <f t="shared" si="66"/>
        <v>45660.458333333336</v>
      </c>
      <c r="AF205" s="139" t="str">
        <f>[3]Sayfa1!$AP202</f>
        <v>(I) İlk defa karşılaşılan arıza</v>
      </c>
      <c r="AG205" s="128" t="str">
        <f>IF([3]Sayfa1!$P202="C(Sisteme etki etmeyen arıza)","Bu Arıza Aracın Servise Verilmesine Engel Değil","Bu Arıza Aracın Servise Verilmesine Engel")</f>
        <v>Bu Arıza Aracın Servise Verilmesine Engel</v>
      </c>
      <c r="AH205" s="140" t="e">
        <f>[3]Sayfa1!$AC202</f>
        <v>#NAME?</v>
      </c>
      <c r="AI205" s="137"/>
      <c r="AJ205" s="137"/>
      <c r="AK205" s="138">
        <f t="shared" si="67"/>
        <v>0</v>
      </c>
      <c r="AL205" s="136">
        <f t="shared" si="68"/>
        <v>0</v>
      </c>
      <c r="AM205" s="136">
        <f t="shared" si="69"/>
        <v>0</v>
      </c>
      <c r="AN205" s="141" t="str">
        <f t="shared" si="70"/>
        <v>FAİVELEY TRANSPORT TOURS SAS</v>
      </c>
      <c r="AO205" s="141">
        <f>[3]Sayfa1!$X202</f>
        <v>0</v>
      </c>
      <c r="AP205" s="141" t="str">
        <f>[3]Sayfa1!$Z202</f>
        <v>00007-2239</v>
      </c>
      <c r="AQ205" s="122" t="str">
        <f>[3]Sayfa1!$W202</f>
        <v>E815-8001/OLAY KAYDEDİCİ CİHAZ</v>
      </c>
      <c r="AR205" s="142">
        <f>[3]Sayfa1!$Y202</f>
        <v>1</v>
      </c>
      <c r="AS205" s="143">
        <f>[3]Sayfa1!$AD202</f>
        <v>0</v>
      </c>
      <c r="AT205" s="137" t="str">
        <f>[3]Sayfa1!$AE202</f>
        <v/>
      </c>
      <c r="AU205" s="137" t="str">
        <f>[3]Sayfa1!$AH202</f>
        <v/>
      </c>
      <c r="AV205" s="144">
        <v>201</v>
      </c>
      <c r="AW205" s="145" t="e">
        <f>U205*AB205*#REF!</f>
        <v>#REF!</v>
      </c>
    </row>
    <row r="206" spans="1:49" ht="101.25" customHeight="1">
      <c r="A206" s="119" t="s">
        <v>57</v>
      </c>
      <c r="B206" s="120" t="str">
        <f>[3]Sayfa1!$G203</f>
        <v>TS#6</v>
      </c>
      <c r="C206" s="121" t="str">
        <f>[3]Sayfa1!$H203</f>
        <v>Mc2</v>
      </c>
      <c r="D206" s="146">
        <f>[3]Sayfa1!$N203</f>
        <v>150</v>
      </c>
      <c r="E206" s="122" t="str">
        <f>[3]Sayfa1!$B203</f>
        <v>FRACAS-GDM-202</v>
      </c>
      <c r="F206" s="123">
        <f>[3]Sayfa1!$E203</f>
        <v>45660</v>
      </c>
      <c r="G206" s="124">
        <f>[3]Sayfa1!$F203</f>
        <v>45660.756030092591</v>
      </c>
      <c r="H206" s="119" t="str">
        <f>[3]Sayfa1!$I203</f>
        <v>Depo/Depot</v>
      </c>
      <c r="I206" s="125" t="str">
        <f>IF([3]Sayfa1!$K203="SSH","Notified by Bozankaya","Notified by Customer")</f>
        <v>Notified by Bozankaya</v>
      </c>
      <c r="J206" s="119" t="e">
        <f>VLOOKUP([3]Sayfa1!$AU203,#REF!,2,FALSE)</f>
        <v>#REF!</v>
      </c>
      <c r="K206" s="119" t="str">
        <f>[3]Sayfa1!$V203</f>
        <v>PSV Wipers Ltd</v>
      </c>
      <c r="L206" s="126" t="str">
        <f t="shared" ref="L206:L207" si="71">A206&amp;"-"&amp;E206</f>
        <v>GDM7X4-FRACAS-GDM-202</v>
      </c>
      <c r="M206" s="127" t="str">
        <f>[3]Sayfa1!$L203</f>
        <v>Silecek motor arızası</v>
      </c>
      <c r="N206" s="128" t="str">
        <f>[3]Sayfa1!$J203</f>
        <v>C-Uyarı, sürüş devamlılığı</v>
      </c>
      <c r="O206" s="128" t="str">
        <f>[3]Sayfa1!$P203</f>
        <v>A(Hareket etmeyi engelleyen arıza)</v>
      </c>
      <c r="P206" s="128" t="str">
        <f>[3]Sayfa1!$Q203</f>
        <v>N.A(Yaralanma yok)</v>
      </c>
      <c r="Q206" s="129" t="str" cm="1">
        <f t="array" ref="Q206">_xlfn.IFS([3]Sayfa1!$R203="Bozankaya","Bozankaya",[3]Sayfa1!$R203="İşletme","Customer",[3]Sayfa1!$R203="Tedarikçi","Equipment Supplier")</f>
        <v>Equipment Supplier</v>
      </c>
      <c r="R206" s="130" t="str">
        <f>[3]Sayfa1!$M203</f>
        <v>Motora enerji verildinde sigorta attirdiği tespit edildi. Motor boşa alınarak tekrar enerji verildinde tekrar sigorta attirdiği tespit edildi.</v>
      </c>
      <c r="S206" s="147" t="str">
        <f>[3]Sayfa1!$AB203</f>
        <v>Arıza çözülecek</v>
      </c>
      <c r="T206" s="147" t="str">
        <f>[3]Sayfa1!$AA203</f>
        <v>Evet</v>
      </c>
      <c r="U206" s="131">
        <f>[3]Sayfa1!$AN203</f>
        <v>2</v>
      </c>
      <c r="V206" s="132">
        <f>[3]Sayfa1!$T203</f>
        <v>45660</v>
      </c>
      <c r="W206" s="133">
        <f>[3]Sayfa1!$U203</f>
        <v>45660.552083333336</v>
      </c>
      <c r="X206" s="134">
        <f t="shared" ref="X206:X207" si="72">W206</f>
        <v>45660.552083333336</v>
      </c>
      <c r="Y206" s="123" t="str">
        <f>[3]Sayfa1!$AQ203</f>
        <v/>
      </c>
      <c r="Z206" s="135">
        <f>[3]Sayfa1!$AR203</f>
        <v>0</v>
      </c>
      <c r="AA206" s="134">
        <f t="shared" ref="AA206:AA207" si="73">Z206</f>
        <v>0</v>
      </c>
      <c r="AB206" s="136">
        <f t="shared" ref="AB206:AB207" si="74">IFERROR(IF(Y206-F206&gt;0,(AA206-X206)*24,IF(OR(AND(G206&gt;AR$1,G206&lt;AS$1),AND(G206&gt;AT$1,G206&lt;AU$1)),(AA206-X206)*24,0)),0)</f>
        <v>0</v>
      </c>
      <c r="AC206" s="137" t="str">
        <f t="shared" ref="AC206:AC207" si="75">Y206</f>
        <v/>
      </c>
      <c r="AD206" s="135">
        <f t="shared" ref="AD206:AD207" si="76">Z206</f>
        <v>0</v>
      </c>
      <c r="AE206" s="138">
        <f t="shared" ref="AE206:AE207" si="77">AD206</f>
        <v>0</v>
      </c>
      <c r="AF206" s="139" t="str">
        <f>[3]Sayfa1!$AP203</f>
        <v>(II) Birden fazla karşılaşılan arıza</v>
      </c>
      <c r="AG206" s="128" t="str">
        <f>IF([3]Sayfa1!$P203="C(Sisteme etki etmeyen arıza)","Bu Arıza Aracın Servise Verilmesine Engel Değil","Bu Arıza Aracın Servise Verilmesine Engel")</f>
        <v>Bu Arıza Aracın Servise Verilmesine Engel</v>
      </c>
      <c r="AH206" s="140" t="e">
        <f>[3]Sayfa1!$AC203</f>
        <v>#NAME?</v>
      </c>
      <c r="AI206" s="137"/>
      <c r="AJ206" s="137"/>
      <c r="AK206" s="138">
        <f t="shared" ref="AK206:AK207" si="78">AI206+AJ206</f>
        <v>0</v>
      </c>
      <c r="AL206" s="136">
        <f t="shared" ref="AL206:AL207" si="79">IFERROR(IF(AND(O206&lt;&gt;"D:Arıza Değil",AG206="Bu Arıza Aracın Servise Verilmesine Engel Değil"),IF(Y206-F206&gt;0,(AA206-X206)*24,IF(OR(AND(G206&gt;AR$1,G206&lt;AS$1),AND(G206&gt;AT$1,G206&lt;AU$1)),(AK206-X206)*24,0))*60,AM206),0)</f>
        <v>0</v>
      </c>
      <c r="AM206" s="136">
        <f t="shared" ref="AM206:AM207" si="80">IFERROR(IF(O206&lt;&gt;"C(Sisteme etki etmeyen arıza)",AB206*60,0),0)</f>
        <v>0</v>
      </c>
      <c r="AN206" s="141" t="str">
        <f t="shared" ref="AN206:AN207" si="81">K206</f>
        <v>PSV Wipers Ltd</v>
      </c>
      <c r="AO206" s="141">
        <f>[3]Sayfa1!$X203</f>
        <v>0</v>
      </c>
      <c r="AP206" s="141" t="str">
        <f>[3]Sayfa1!$Z203</f>
        <v>W-10824788-05221</v>
      </c>
      <c r="AQ206" s="122" t="str">
        <f>[3]Sayfa1!$W203</f>
        <v>M100-8001/Silecek Motoru ve Mekanizması</v>
      </c>
      <c r="AR206" s="142">
        <f>[3]Sayfa1!$Y203</f>
        <v>1</v>
      </c>
      <c r="AS206" s="143">
        <f>[3]Sayfa1!$AD203</f>
        <v>0</v>
      </c>
      <c r="AT206" s="137" t="str">
        <f>[3]Sayfa1!$AE203</f>
        <v/>
      </c>
      <c r="AU206" s="137" t="str">
        <f>[3]Sayfa1!$AH203</f>
        <v/>
      </c>
      <c r="AV206" s="144">
        <v>202</v>
      </c>
      <c r="AW206" s="145" t="e">
        <f>U206*AB206*#REF!</f>
        <v>#REF!</v>
      </c>
    </row>
    <row r="207" spans="1:49" ht="101.25" customHeight="1">
      <c r="A207" s="119" t="s">
        <v>57</v>
      </c>
      <c r="B207" s="120" t="str">
        <f>[3]Sayfa1!$G204</f>
        <v>TS#6</v>
      </c>
      <c r="C207" s="121" t="str">
        <f>[3]Sayfa1!$H204</f>
        <v>Mc2</v>
      </c>
      <c r="D207" s="146">
        <f>[3]Sayfa1!$N204</f>
        <v>150</v>
      </c>
      <c r="E207" s="122" t="str">
        <f>[3]Sayfa1!$B204</f>
        <v>FRACAS-GDM-203</v>
      </c>
      <c r="F207" s="123">
        <f>[3]Sayfa1!$E204</f>
        <v>45660</v>
      </c>
      <c r="G207" s="124">
        <f>[3]Sayfa1!$F204</f>
        <v>45660.688194444447</v>
      </c>
      <c r="H207" s="119" t="str">
        <f>[3]Sayfa1!$I204</f>
        <v>Depo/Depot</v>
      </c>
      <c r="I207" s="125" t="str">
        <f>IF([3]Sayfa1!$K204="SSH","Notified by Bozankaya","Notified by Customer")</f>
        <v>Notified by Bozankaya</v>
      </c>
      <c r="J207" s="119" t="e">
        <f>VLOOKUP([3]Sayfa1!$AU204,#REF!,2,FALSE)</f>
        <v>#REF!</v>
      </c>
      <c r="K207" s="119" t="str">
        <f>[3]Sayfa1!$V204</f>
        <v>Psv wipers ( sonradan eklendi)</v>
      </c>
      <c r="L207" s="126" t="str">
        <f t="shared" si="71"/>
        <v>GDM7X4-FRACAS-GDM-203</v>
      </c>
      <c r="M207" s="127" t="str">
        <f>[3]Sayfa1!$L204</f>
        <v>Silecek modu hatası</v>
      </c>
      <c r="N207" s="128" t="str">
        <f>[3]Sayfa1!$J204</f>
        <v>C-Uyarı, sürüş devamlılığı</v>
      </c>
      <c r="O207" s="128" t="str">
        <f>[3]Sayfa1!$P204</f>
        <v>C(Sisteme etki etmeyen arıza)</v>
      </c>
      <c r="P207" s="128" t="str">
        <f>[3]Sayfa1!$Q204</f>
        <v>N.A(Yaralanma yok)</v>
      </c>
      <c r="Q207" s="129" t="str" cm="1">
        <f t="array" ref="Q207">_xlfn.IFS([3]Sayfa1!$R204="Bozankaya","Bozankaya",[3]Sayfa1!$R204="İşletme","Customer",[3]Sayfa1!$R204="Tedarikçi","Equipment Supplier")</f>
        <v>Bozankaya</v>
      </c>
      <c r="R207" s="130" t="str">
        <f>[3]Sayfa1!$M204</f>
        <v>Silecek modlarından 1 modunun çalışmadığı görülmüş, 1 moduna gelen kabloda enerji olmadığı tespit edilmiştir.</v>
      </c>
      <c r="S207" s="147" t="str">
        <f>[3]Sayfa1!$AB204</f>
        <v>Arıza çözülecek</v>
      </c>
      <c r="T207" s="147" t="str">
        <f>[3]Sayfa1!$AA204</f>
        <v>Evet</v>
      </c>
      <c r="U207" s="131">
        <f>[3]Sayfa1!$AN204</f>
        <v>2</v>
      </c>
      <c r="V207" s="132">
        <f>[3]Sayfa1!$T204</f>
        <v>45663</v>
      </c>
      <c r="W207" s="133">
        <f>[3]Sayfa1!$U204</f>
        <v>45663.56527777778</v>
      </c>
      <c r="X207" s="134">
        <f t="shared" si="72"/>
        <v>45663.56527777778</v>
      </c>
      <c r="Y207" s="123">
        <f>[3]Sayfa1!$AQ204</f>
        <v>45663</v>
      </c>
      <c r="Z207" s="135">
        <f>[3]Sayfa1!$AR204</f>
        <v>45663.692361111112</v>
      </c>
      <c r="AA207" s="134">
        <f t="shared" si="73"/>
        <v>45663.692361111112</v>
      </c>
      <c r="AB207" s="136">
        <f t="shared" si="74"/>
        <v>3.0499999999883585</v>
      </c>
      <c r="AC207" s="137">
        <f t="shared" si="75"/>
        <v>45663</v>
      </c>
      <c r="AD207" s="135">
        <f t="shared" si="76"/>
        <v>45663.692361111112</v>
      </c>
      <c r="AE207" s="138">
        <f t="shared" si="77"/>
        <v>45663.692361111112</v>
      </c>
      <c r="AF207" s="139" t="str">
        <f>[3]Sayfa1!$AP204</f>
        <v>(I) İlk defa karşılaşılan arıza</v>
      </c>
      <c r="AG207" s="128" t="str">
        <f>IF([3]Sayfa1!$P204="C(Sisteme etki etmeyen arıza)","Bu Arıza Aracın Servise Verilmesine Engel Değil","Bu Arıza Aracın Servise Verilmesine Engel")</f>
        <v>Bu Arıza Aracın Servise Verilmesine Engel Değil</v>
      </c>
      <c r="AH207" s="140" t="e">
        <f>[3]Sayfa1!$AC204</f>
        <v>#NAME?</v>
      </c>
      <c r="AI207" s="137"/>
      <c r="AJ207" s="137"/>
      <c r="AK207" s="138">
        <f t="shared" si="78"/>
        <v>0</v>
      </c>
      <c r="AL207" s="136">
        <f t="shared" si="79"/>
        <v>182.99999999930151</v>
      </c>
      <c r="AM207" s="136">
        <f t="shared" si="80"/>
        <v>0</v>
      </c>
      <c r="AN207" s="141" t="str">
        <f t="shared" si="81"/>
        <v>Psv wipers ( sonradan eklendi)</v>
      </c>
      <c r="AO207" s="141">
        <f>[3]Sayfa1!$X204</f>
        <v>0</v>
      </c>
      <c r="AP207" s="141">
        <f>[3]Sayfa1!$Z204</f>
        <v>0</v>
      </c>
      <c r="AQ207" s="122" t="str">
        <f>[3]Sayfa1!$W204</f>
        <v>M100-0801/SİLECEK SİSTEMİ MONTAJI</v>
      </c>
      <c r="AR207" s="142">
        <f>[3]Sayfa1!$Y204</f>
        <v>0</v>
      </c>
      <c r="AS207" s="143">
        <f>[3]Sayfa1!$AD204</f>
        <v>0</v>
      </c>
      <c r="AT207" s="137" t="str">
        <f>[3]Sayfa1!$AE204</f>
        <v/>
      </c>
      <c r="AU207" s="137">
        <f>[3]Sayfa1!$AH204</f>
        <v>45663</v>
      </c>
      <c r="AV207" s="144">
        <v>203</v>
      </c>
      <c r="AW207" s="145" t="e">
        <f>U207*AB207*#REF!</f>
        <v>#REF!</v>
      </c>
    </row>
    <row r="208" spans="1:49" ht="101.25" customHeight="1">
      <c r="A208" s="119" t="s">
        <v>57</v>
      </c>
      <c r="B208" s="120" t="str">
        <f>[3]Sayfa1!$G205</f>
        <v>TS#3</v>
      </c>
      <c r="C208" s="121" t="str">
        <f>[3]Sayfa1!$H205</f>
        <v>Mc1</v>
      </c>
      <c r="D208" s="146">
        <f>[3]Sayfa1!$N205</f>
        <v>165</v>
      </c>
      <c r="E208" s="122" t="str">
        <f>[3]Sayfa1!$B205</f>
        <v>FRACAS-GDM-204</v>
      </c>
      <c r="F208" s="123">
        <f>[3]Sayfa1!$E205</f>
        <v>45664</v>
      </c>
      <c r="G208" s="124">
        <f>[3]Sayfa1!$F205</f>
        <v>45664.506249999999</v>
      </c>
      <c r="H208" s="119" t="str">
        <f>[3]Sayfa1!$I205</f>
        <v>Depo/Depot</v>
      </c>
      <c r="I208" s="125" t="str">
        <f>IF([3]Sayfa1!$K205="SSH","Notified by Bozankaya","Notified by Customer")</f>
        <v>Notified by Bozankaya</v>
      </c>
      <c r="J208" s="119" t="e">
        <f>VLOOKUP([3]Sayfa1!$AU205,#REF!,2,FALSE)</f>
        <v>#REF!</v>
      </c>
      <c r="K208" s="119" t="str">
        <f>[3]Sayfa1!$V205</f>
        <v>AYPA MÜHENDİSLİK PROJE DANIŞMANLIK</v>
      </c>
      <c r="L208" s="126" t="str">
        <f t="shared" ref="L208:L232" si="82">A208&amp;"-"&amp;E208</f>
        <v>GDM7X4-FRACAS-GDM-204</v>
      </c>
      <c r="M208" s="127" t="str">
        <f>[3]Sayfa1!$L205</f>
        <v>Silecek motoruna sürekli olarak high mode sinyali gidiyor</v>
      </c>
      <c r="N208" s="128" t="str">
        <f>[3]Sayfa1!$J205</f>
        <v>C-Uyarı, sürüş devamlılığı</v>
      </c>
      <c r="O208" s="128" t="str">
        <f>[3]Sayfa1!$P205</f>
        <v>C(Sisteme etki etmeyen arıza)</v>
      </c>
      <c r="P208" s="128" t="str">
        <f>[3]Sayfa1!$Q205</f>
        <v>N.A(Yaralanma yok)</v>
      </c>
      <c r="Q208" s="129" t="str" cm="1">
        <f t="array" ref="Q208">_xlfn.IFS([3]Sayfa1!$R205="Bozankaya","Bozankaya",[3]Sayfa1!$R205="İşletme","Customer",[3]Sayfa1!$R205="Tedarikçi","Equipment Supplier")</f>
        <v>Equipment Supplier</v>
      </c>
      <c r="R208" s="130" t="str">
        <f>[3]Sayfa1!$M205</f>
        <v>Hattı kontrol edildi. JG-K13 rölesinin arızalı olduğu görüldü ve ssh stok malzemeden değiştirildi.</v>
      </c>
      <c r="S208" s="147" t="str">
        <f>[3]Sayfa1!$AB205</f>
        <v>Ekipman değiştirilecek</v>
      </c>
      <c r="T208" s="147" t="str">
        <f>[3]Sayfa1!$AA205</f>
        <v>Evet</v>
      </c>
      <c r="U208" s="131">
        <f>[3]Sayfa1!$AN205</f>
        <v>2</v>
      </c>
      <c r="V208" s="132">
        <f>[3]Sayfa1!$T205</f>
        <v>45664</v>
      </c>
      <c r="W208" s="133">
        <f>[3]Sayfa1!$U205</f>
        <v>45664.625</v>
      </c>
      <c r="X208" s="134">
        <f t="shared" ref="X208:X232" si="83">W208</f>
        <v>45664.625</v>
      </c>
      <c r="Y208" s="123" t="str">
        <f>[3]Sayfa1!$AQ205</f>
        <v/>
      </c>
      <c r="Z208" s="135">
        <f>[3]Sayfa1!$AR205</f>
        <v>0</v>
      </c>
      <c r="AA208" s="134">
        <f t="shared" ref="AA208:AA232" si="84">Z208</f>
        <v>0</v>
      </c>
      <c r="AB208" s="136">
        <f t="shared" ref="AB208:AB232" si="85">IFERROR(IF(Y208-F208&gt;0,(AA208-X208)*24,IF(OR(AND(G208&gt;AR$1,G208&lt;AS$1),AND(G208&gt;AT$1,G208&lt;AU$1)),(AA208-X208)*24,0)),0)</f>
        <v>0</v>
      </c>
      <c r="AC208" s="137" t="str">
        <f t="shared" ref="AC208:AC232" si="86">Y208</f>
        <v/>
      </c>
      <c r="AD208" s="135">
        <f t="shared" ref="AD208:AD232" si="87">Z208</f>
        <v>0</v>
      </c>
      <c r="AE208" s="138">
        <f t="shared" ref="AE208:AE232" si="88">AD208</f>
        <v>0</v>
      </c>
      <c r="AF208" s="139" t="str">
        <f>[3]Sayfa1!$AP205</f>
        <v>(I) İlk defa karşılaşılan arıza</v>
      </c>
      <c r="AG208" s="128" t="str">
        <f>IF([3]Sayfa1!$P205="C(Sisteme etki etmeyen arıza)","Bu Arıza Aracın Servise Verilmesine Engel Değil","Bu Arıza Aracın Servise Verilmesine Engel")</f>
        <v>Bu Arıza Aracın Servise Verilmesine Engel Değil</v>
      </c>
      <c r="AH208" s="140" t="e">
        <f>[3]Sayfa1!$AC205</f>
        <v>#NAME?</v>
      </c>
      <c r="AI208" s="137"/>
      <c r="AJ208" s="137"/>
      <c r="AK208" s="138">
        <f t="shared" ref="AK208:AK232" si="89">AI208+AJ208</f>
        <v>0</v>
      </c>
      <c r="AL208" s="136">
        <f t="shared" ref="AL208:AL232" si="90">IFERROR(IF(AND(O208&lt;&gt;"D:Arıza Değil",AG208="Bu Arıza Aracın Servise Verilmesine Engel Değil"),IF(Y208-F208&gt;0,(AA208-X208)*24,IF(OR(AND(G208&gt;AR$1,G208&lt;AS$1),AND(G208&gt;AT$1,G208&lt;AU$1)),(AK208-X208)*24,0))*60,AM208),0)</f>
        <v>0</v>
      </c>
      <c r="AM208" s="136">
        <f t="shared" ref="AM208:AM232" si="91">IFERROR(IF(O208&lt;&gt;"C(Sisteme etki etmeyen arıza)",AB208*60,0),0)</f>
        <v>0</v>
      </c>
      <c r="AN208" s="141" t="str">
        <f t="shared" ref="AN208:AN232" si="92">K208</f>
        <v>AYPA MÜHENDİSLİK PROJE DANIŞMANLIK</v>
      </c>
      <c r="AO208" s="141">
        <f>[3]Sayfa1!$X205</f>
        <v>0</v>
      </c>
      <c r="AP208" s="141">
        <f>[3]Sayfa1!$Z205</f>
        <v>220298501129</v>
      </c>
      <c r="AQ208" s="122" t="str">
        <f>[3]Sayfa1!$W205</f>
        <v>E110-8018/4 CO ARTECHE 110V RÖLE</v>
      </c>
      <c r="AR208" s="142">
        <f>[3]Sayfa1!$Y205</f>
        <v>1</v>
      </c>
      <c r="AS208" s="143">
        <f>[3]Sayfa1!$AD205</f>
        <v>0</v>
      </c>
      <c r="AT208" s="137" t="str">
        <f>[3]Sayfa1!$AE205</f>
        <v/>
      </c>
      <c r="AU208" s="137" t="str">
        <f>[3]Sayfa1!$AH205</f>
        <v/>
      </c>
      <c r="AV208" s="144">
        <v>204</v>
      </c>
      <c r="AW208" s="145" t="e">
        <f>U208*AB208*#REF!</f>
        <v>#REF!</v>
      </c>
    </row>
    <row r="209" spans="1:49" ht="101.25" customHeight="1">
      <c r="A209" s="119" t="s">
        <v>57</v>
      </c>
      <c r="B209" s="120" t="str">
        <f>[3]Sayfa1!$G206</f>
        <v>TS#6</v>
      </c>
      <c r="C209" s="121" t="str">
        <f>[3]Sayfa1!$H206</f>
        <v>Mc1</v>
      </c>
      <c r="D209" s="146">
        <f>[3]Sayfa1!$N206</f>
        <v>120</v>
      </c>
      <c r="E209" s="122" t="str">
        <f>[3]Sayfa1!$B206</f>
        <v>FRACAS-GDM-205</v>
      </c>
      <c r="F209" s="123">
        <f>[3]Sayfa1!$E206</f>
        <v>45665</v>
      </c>
      <c r="G209" s="124">
        <f>[3]Sayfa1!$F206</f>
        <v>45665.445567129631</v>
      </c>
      <c r="H209" s="119" t="str">
        <f>[3]Sayfa1!$I206</f>
        <v>Depo/Depot</v>
      </c>
      <c r="I209" s="125" t="str">
        <f>IF([3]Sayfa1!$K206="SSH","Notified by Bozankaya","Notified by Customer")</f>
        <v>Notified by Bozankaya</v>
      </c>
      <c r="J209" s="119" t="e">
        <f>VLOOKUP([3]Sayfa1!$AU206,#REF!,2,FALSE)</f>
        <v>#REF!</v>
      </c>
      <c r="K209" s="119" t="str">
        <f>[3]Sayfa1!$V206</f>
        <v>PSV Wipers Ltd</v>
      </c>
      <c r="L209" s="126" t="str">
        <f t="shared" si="82"/>
        <v>GDM7X4-FRACAS-GDM-205</v>
      </c>
      <c r="M209" s="127" t="str">
        <f>[3]Sayfa1!$L206</f>
        <v>Mc1 kabin silecek motoru çalışmıyor motor arızalı</v>
      </c>
      <c r="N209" s="128" t="str">
        <f>[3]Sayfa1!$J206</f>
        <v>C-Uyarı, sürüş devamlılığı</v>
      </c>
      <c r="O209" s="128" t="str">
        <f>[3]Sayfa1!$P206</f>
        <v>C(Sisteme etki etmeyen arıza)</v>
      </c>
      <c r="P209" s="128" t="str">
        <f>[3]Sayfa1!$Q206</f>
        <v>N.A(Yaralanma yok)</v>
      </c>
      <c r="Q209" s="129" t="str" cm="1">
        <f t="array" ref="Q209">_xlfn.IFS([3]Sayfa1!$R206="Bozankaya","Bozankaya",[3]Sayfa1!$R206="İşletme","Customer",[3]Sayfa1!$R206="Tedarikçi","Equipment Supplier")</f>
        <v>Equipment Supplier</v>
      </c>
      <c r="R209" s="130" t="str">
        <f>[3]Sayfa1!$M206</f>
        <v>Arızalı motor yenisiyle değiştirildi motor ve silecek ayarları düzeltildi.</v>
      </c>
      <c r="S209" s="147" t="str">
        <f>[3]Sayfa1!$AB206</f>
        <v>Ekipman değiştirilecek</v>
      </c>
      <c r="T209" s="147" t="str">
        <f>[3]Sayfa1!$AA206</f>
        <v>Evet</v>
      </c>
      <c r="U209" s="131">
        <f>[3]Sayfa1!$AN206</f>
        <v>1</v>
      </c>
      <c r="V209" s="132">
        <f>[3]Sayfa1!$T206</f>
        <v>45665</v>
      </c>
      <c r="W209" s="133">
        <f>[3]Sayfa1!$U206</f>
        <v>45665.45</v>
      </c>
      <c r="X209" s="134">
        <f t="shared" si="83"/>
        <v>45665.45</v>
      </c>
      <c r="Y209" s="123">
        <f>[3]Sayfa1!$AQ206</f>
        <v>45665</v>
      </c>
      <c r="Z209" s="135">
        <f>[3]Sayfa1!$AR206</f>
        <v>45665.457638888889</v>
      </c>
      <c r="AA209" s="134">
        <f t="shared" si="84"/>
        <v>45665.457638888889</v>
      </c>
      <c r="AB209" s="136">
        <f t="shared" si="85"/>
        <v>0</v>
      </c>
      <c r="AC209" s="137">
        <f t="shared" si="86"/>
        <v>45665</v>
      </c>
      <c r="AD209" s="135">
        <f t="shared" si="87"/>
        <v>45665.457638888889</v>
      </c>
      <c r="AE209" s="138">
        <f t="shared" si="88"/>
        <v>45665.457638888889</v>
      </c>
      <c r="AF209" s="139" t="str">
        <f>[3]Sayfa1!$AP206</f>
        <v>(II) Birden fazla karşılaşılan arıza</v>
      </c>
      <c r="AG209" s="128" t="str">
        <f>IF([3]Sayfa1!$P206="C(Sisteme etki etmeyen arıza)","Bu Arıza Aracın Servise Verilmesine Engel Değil","Bu Arıza Aracın Servise Verilmesine Engel")</f>
        <v>Bu Arıza Aracın Servise Verilmesine Engel Değil</v>
      </c>
      <c r="AH209" s="140" t="e">
        <f>[3]Sayfa1!$AC206</f>
        <v>#NAME?</v>
      </c>
      <c r="AI209" s="137"/>
      <c r="AJ209" s="137"/>
      <c r="AK209" s="138">
        <f t="shared" si="89"/>
        <v>0</v>
      </c>
      <c r="AL209" s="136">
        <f t="shared" si="90"/>
        <v>0</v>
      </c>
      <c r="AM209" s="136">
        <f t="shared" si="91"/>
        <v>0</v>
      </c>
      <c r="AN209" s="141" t="str">
        <f t="shared" si="92"/>
        <v>PSV Wipers Ltd</v>
      </c>
      <c r="AO209" s="141">
        <f>[3]Sayfa1!$X206</f>
        <v>0</v>
      </c>
      <c r="AP209" s="141" t="str">
        <f>[3]Sayfa1!$Z206</f>
        <v>W-1082478805229</v>
      </c>
      <c r="AQ209" s="122" t="str">
        <f>[3]Sayfa1!$W206</f>
        <v>M100-8001/Silecek Motoru ve Mekanizması</v>
      </c>
      <c r="AR209" s="142">
        <f>[3]Sayfa1!$Y206</f>
        <v>1</v>
      </c>
      <c r="AS209" s="143">
        <f>[3]Sayfa1!$AD206</f>
        <v>0</v>
      </c>
      <c r="AT209" s="137" t="str">
        <f>[3]Sayfa1!$AE206</f>
        <v/>
      </c>
      <c r="AU209" s="137" t="str">
        <f>[3]Sayfa1!$AH206</f>
        <v/>
      </c>
      <c r="AV209" s="144">
        <v>205</v>
      </c>
      <c r="AW209" s="145" t="e">
        <f>U209*AB209*#REF!</f>
        <v>#REF!</v>
      </c>
    </row>
    <row r="210" spans="1:49" ht="101.25" customHeight="1">
      <c r="A210" s="119" t="s">
        <v>57</v>
      </c>
      <c r="B210" s="120" t="str">
        <f>[3]Sayfa1!$G207</f>
        <v>TS#7</v>
      </c>
      <c r="C210" s="121" t="str">
        <f>[3]Sayfa1!$H207</f>
        <v>Mc1</v>
      </c>
      <c r="D210" s="146">
        <f>[3]Sayfa1!$N207</f>
        <v>202</v>
      </c>
      <c r="E210" s="122" t="str">
        <f>[3]Sayfa1!$B207</f>
        <v>FRACAS-GDM-206</v>
      </c>
      <c r="F210" s="123">
        <f>[3]Sayfa1!$E207</f>
        <v>45665</v>
      </c>
      <c r="G210" s="124">
        <f>[3]Sayfa1!$F207</f>
        <v>45665.717199074075</v>
      </c>
      <c r="H210" s="119" t="str">
        <f>[3]Sayfa1!$I207</f>
        <v>Depo/Depot</v>
      </c>
      <c r="I210" s="125" t="str">
        <f>IF([3]Sayfa1!$K207="SSH","Notified by Bozankaya","Notified by Customer")</f>
        <v>Notified by Bozankaya</v>
      </c>
      <c r="J210" s="119" t="e">
        <f>VLOOKUP([3]Sayfa1!$AU207,#REF!,2,FALSE)</f>
        <v>#REF!</v>
      </c>
      <c r="K210" s="119" t="str">
        <f>[3]Sayfa1!$V207</f>
        <v>PSV Wipers Ltd</v>
      </c>
      <c r="L210" s="126" t="str">
        <f t="shared" si="82"/>
        <v>GDM7X4-FRACAS-GDM-206</v>
      </c>
      <c r="M210" s="127" t="str">
        <f>[3]Sayfa1!$L207</f>
        <v>Cam sileceği arızası.</v>
      </c>
      <c r="N210" s="128" t="str">
        <f>[3]Sayfa1!$J207</f>
        <v>C-Uyarı, sürüş devamlılığı</v>
      </c>
      <c r="O210" s="128" t="str">
        <f>[3]Sayfa1!$P207</f>
        <v>C(Sisteme etki etmeyen arıza)</v>
      </c>
      <c r="P210" s="128" t="str">
        <f>[3]Sayfa1!$Q207</f>
        <v>N.A(Yaralanma yok)</v>
      </c>
      <c r="Q210" s="129" t="str" cm="1">
        <f t="array" ref="Q210">_xlfn.IFS([3]Sayfa1!$R207="Bozankaya","Bozankaya",[3]Sayfa1!$R207="İşletme","Customer",[3]Sayfa1!$R207="Tedarikçi","Equipment Supplier")</f>
        <v>Bozankaya</v>
      </c>
      <c r="R210" s="130" t="str">
        <f>[3]Sayfa1!$M207</f>
        <v>Silecek kolu bağlantı noktasından diş sıyırması mavcut . Yeni silecek kolu ile değişim yapıldı.</v>
      </c>
      <c r="S210" s="147" t="str">
        <f>[3]Sayfa1!$AB207</f>
        <v>Arıza çözülecek</v>
      </c>
      <c r="T210" s="147" t="str">
        <f>[3]Sayfa1!$AA207</f>
        <v>Hayır</v>
      </c>
      <c r="U210" s="131">
        <f>[3]Sayfa1!$AN207</f>
        <v>2</v>
      </c>
      <c r="V210" s="132">
        <f>[3]Sayfa1!$T207</f>
        <v>45665</v>
      </c>
      <c r="W210" s="133">
        <f>[3]Sayfa1!$U207</f>
        <v>45665.638888888891</v>
      </c>
      <c r="X210" s="134">
        <f t="shared" si="83"/>
        <v>45665.638888888891</v>
      </c>
      <c r="Y210" s="123">
        <f>[3]Sayfa1!$AQ207</f>
        <v>45665</v>
      </c>
      <c r="Z210" s="135">
        <f>[3]Sayfa1!$AR207</f>
        <v>45665.682638888888</v>
      </c>
      <c r="AA210" s="134">
        <f t="shared" si="84"/>
        <v>45665.682638888888</v>
      </c>
      <c r="AB210" s="136">
        <f t="shared" si="85"/>
        <v>0</v>
      </c>
      <c r="AC210" s="137">
        <f t="shared" si="86"/>
        <v>45665</v>
      </c>
      <c r="AD210" s="135">
        <f t="shared" si="87"/>
        <v>45665.682638888888</v>
      </c>
      <c r="AE210" s="138">
        <f t="shared" si="88"/>
        <v>45665.682638888888</v>
      </c>
      <c r="AF210" s="139" t="str">
        <f>[3]Sayfa1!$AP207</f>
        <v>(I) İlk defa karşılaşılan arıza</v>
      </c>
      <c r="AG210" s="128" t="str">
        <f>IF([3]Sayfa1!$P207="C(Sisteme etki etmeyen arıza)","Bu Arıza Aracın Servise Verilmesine Engel Değil","Bu Arıza Aracın Servise Verilmesine Engel")</f>
        <v>Bu Arıza Aracın Servise Verilmesine Engel Değil</v>
      </c>
      <c r="AH210" s="140" t="e">
        <f>[3]Sayfa1!$AC207</f>
        <v>#NAME?</v>
      </c>
      <c r="AI210" s="137"/>
      <c r="AJ210" s="137"/>
      <c r="AK210" s="138">
        <f t="shared" si="89"/>
        <v>0</v>
      </c>
      <c r="AL210" s="136">
        <f t="shared" si="90"/>
        <v>0</v>
      </c>
      <c r="AM210" s="136">
        <f t="shared" si="91"/>
        <v>0</v>
      </c>
      <c r="AN210" s="141" t="str">
        <f t="shared" si="92"/>
        <v>PSV Wipers Ltd</v>
      </c>
      <c r="AO210" s="141">
        <f>[3]Sayfa1!$X207</f>
        <v>0</v>
      </c>
      <c r="AP210" s="141">
        <f>[3]Sayfa1!$Z207</f>
        <v>0</v>
      </c>
      <c r="AQ210" s="122" t="str">
        <f>[3]Sayfa1!$W207</f>
        <v>M100-8002/Silecek Kolu ve Su Hortumu Seti</v>
      </c>
      <c r="AR210" s="142">
        <f>[3]Sayfa1!$Y207</f>
        <v>1</v>
      </c>
      <c r="AS210" s="143">
        <f>[3]Sayfa1!$AD207</f>
        <v>0</v>
      </c>
      <c r="AT210" s="137" t="str">
        <f>[3]Sayfa1!$AE207</f>
        <v/>
      </c>
      <c r="AU210" s="137" t="str">
        <f>[3]Sayfa1!$AH207</f>
        <v/>
      </c>
      <c r="AV210" s="144">
        <v>206</v>
      </c>
      <c r="AW210" s="145" t="e">
        <f>U210*AB210*#REF!</f>
        <v>#REF!</v>
      </c>
    </row>
    <row r="211" spans="1:49" ht="101.25" customHeight="1">
      <c r="A211" s="119" t="s">
        <v>57</v>
      </c>
      <c r="B211" s="120" t="str">
        <f>[3]Sayfa1!$G208</f>
        <v>TS#7</v>
      </c>
      <c r="C211" s="121" t="str">
        <f>[3]Sayfa1!$H208</f>
        <v>Mc2</v>
      </c>
      <c r="D211" s="146">
        <f>[3]Sayfa1!$N208</f>
        <v>125</v>
      </c>
      <c r="E211" s="122" t="str">
        <f>[3]Sayfa1!$B208</f>
        <v>FRACAS-GDM-207</v>
      </c>
      <c r="F211" s="123">
        <f>[3]Sayfa1!$E208</f>
        <v>45665</v>
      </c>
      <c r="G211" s="124">
        <f>[3]Sayfa1!$F208</f>
        <v>45665.727442129632</v>
      </c>
      <c r="H211" s="119" t="str">
        <f>[3]Sayfa1!$I208</f>
        <v>Depo/Depot</v>
      </c>
      <c r="I211" s="125" t="str">
        <f>IF([3]Sayfa1!$K208="SSH","Notified by Bozankaya","Notified by Customer")</f>
        <v>Notified by Bozankaya</v>
      </c>
      <c r="J211" s="119" t="e">
        <f>VLOOKUP([3]Sayfa1!$AU208,#REF!,2,FALSE)</f>
        <v>#REF!</v>
      </c>
      <c r="K211" s="119" t="str">
        <f>[3]Sayfa1!$V208</f>
        <v>PSV Wipers Ltd</v>
      </c>
      <c r="L211" s="126" t="str">
        <f t="shared" si="82"/>
        <v>GDM7X4-FRACAS-GDM-207</v>
      </c>
      <c r="M211" s="127" t="str">
        <f>[3]Sayfa1!$L208</f>
        <v>Silecek kolu</v>
      </c>
      <c r="N211" s="128" t="str">
        <f>[3]Sayfa1!$J208</f>
        <v>C-Uyarı, sürüş devamlılığı</v>
      </c>
      <c r="O211" s="128" t="str">
        <f>[3]Sayfa1!$P208</f>
        <v>C(Sisteme etki etmeyen arıza)</v>
      </c>
      <c r="P211" s="128" t="str">
        <f>[3]Sayfa1!$Q208</f>
        <v>N.A(Yaralanma yok)</v>
      </c>
      <c r="Q211" s="129" t="str" cm="1">
        <f t="array" ref="Q211">_xlfn.IFS([3]Sayfa1!$R208="Bozankaya","Bozankaya",[3]Sayfa1!$R208="İşletme","Customer",[3]Sayfa1!$R208="Tedarikçi","Equipment Supplier")</f>
        <v>Bozankaya</v>
      </c>
      <c r="R211" s="130" t="str">
        <f>[3]Sayfa1!$M208</f>
        <v>Silecek kolu söküldü ve mekanik akşamlar gözlemledi.</v>
      </c>
      <c r="S211" s="147" t="str">
        <f>[3]Sayfa1!$AB208</f>
        <v>Tamir edilecek</v>
      </c>
      <c r="T211" s="147" t="str">
        <f>[3]Sayfa1!$AA208</f>
        <v>Hayır</v>
      </c>
      <c r="U211" s="131">
        <f>[3]Sayfa1!$AN208</f>
        <v>2</v>
      </c>
      <c r="V211" s="132">
        <f>[3]Sayfa1!$T208</f>
        <v>45665</v>
      </c>
      <c r="W211" s="133">
        <f>[3]Sayfa1!$U208</f>
        <v>45665.604861111111</v>
      </c>
      <c r="X211" s="134">
        <f t="shared" si="83"/>
        <v>45665.604861111111</v>
      </c>
      <c r="Y211" s="123">
        <f>[3]Sayfa1!$AQ208</f>
        <v>45665</v>
      </c>
      <c r="Z211" s="135">
        <f>[3]Sayfa1!$AR208</f>
        <v>45665.65</v>
      </c>
      <c r="AA211" s="134">
        <f t="shared" si="84"/>
        <v>45665.65</v>
      </c>
      <c r="AB211" s="136">
        <f t="shared" si="85"/>
        <v>0</v>
      </c>
      <c r="AC211" s="137">
        <f t="shared" si="86"/>
        <v>45665</v>
      </c>
      <c r="AD211" s="135">
        <f t="shared" si="87"/>
        <v>45665.65</v>
      </c>
      <c r="AE211" s="138">
        <f t="shared" si="88"/>
        <v>45665.65</v>
      </c>
      <c r="AF211" s="139" t="str">
        <f>[3]Sayfa1!$AP208</f>
        <v>(II) Birden fazla karşılaşılan arıza</v>
      </c>
      <c r="AG211" s="128" t="str">
        <f>IF([3]Sayfa1!$P208="C(Sisteme etki etmeyen arıza)","Bu Arıza Aracın Servise Verilmesine Engel Değil","Bu Arıza Aracın Servise Verilmesine Engel")</f>
        <v>Bu Arıza Aracın Servise Verilmesine Engel Değil</v>
      </c>
      <c r="AH211" s="140" t="e">
        <f>[3]Sayfa1!$AC208</f>
        <v>#NAME?</v>
      </c>
      <c r="AI211" s="137"/>
      <c r="AJ211" s="137"/>
      <c r="AK211" s="138">
        <f t="shared" si="89"/>
        <v>0</v>
      </c>
      <c r="AL211" s="136">
        <f t="shared" si="90"/>
        <v>0</v>
      </c>
      <c r="AM211" s="136">
        <f t="shared" si="91"/>
        <v>0</v>
      </c>
      <c r="AN211" s="141" t="str">
        <f t="shared" si="92"/>
        <v>PSV Wipers Ltd</v>
      </c>
      <c r="AO211" s="141">
        <f>[3]Sayfa1!$X208</f>
        <v>0</v>
      </c>
      <c r="AP211" s="141">
        <f>[3]Sayfa1!$Z208</f>
        <v>0</v>
      </c>
      <c r="AQ211" s="122" t="str">
        <f>[3]Sayfa1!$W208</f>
        <v>M100-8002/Silecek Kolu ve Su Hortumu Seti</v>
      </c>
      <c r="AR211" s="142">
        <f>[3]Sayfa1!$Y208</f>
        <v>0</v>
      </c>
      <c r="AS211" s="143">
        <f>[3]Sayfa1!$AD208</f>
        <v>0</v>
      </c>
      <c r="AT211" s="137" t="str">
        <f>[3]Sayfa1!$AE208</f>
        <v/>
      </c>
      <c r="AU211" s="137" t="str">
        <f>[3]Sayfa1!$AH208</f>
        <v/>
      </c>
      <c r="AV211" s="144">
        <v>207</v>
      </c>
      <c r="AW211" s="145" t="e">
        <f>U211*AB211*#REF!</f>
        <v>#REF!</v>
      </c>
    </row>
    <row r="212" spans="1:49" ht="101.25" customHeight="1">
      <c r="A212" s="119" t="s">
        <v>57</v>
      </c>
      <c r="B212" s="120" t="str">
        <f>[3]Sayfa1!$G209</f>
        <v>TS#2</v>
      </c>
      <c r="C212" s="121" t="str">
        <f>[3]Sayfa1!$H209</f>
        <v>Mc1</v>
      </c>
      <c r="D212" s="146">
        <f>[3]Sayfa1!$N209</f>
        <v>117</v>
      </c>
      <c r="E212" s="122" t="str">
        <f>[3]Sayfa1!$B209</f>
        <v>FRACAS-GDM-208</v>
      </c>
      <c r="F212" s="123">
        <f>[3]Sayfa1!$E209</f>
        <v>45665</v>
      </c>
      <c r="G212" s="124">
        <f>[3]Sayfa1!$F209</f>
        <v>45665.753159722219</v>
      </c>
      <c r="H212" s="119" t="str">
        <f>[3]Sayfa1!$I209</f>
        <v>Depo/Depot</v>
      </c>
      <c r="I212" s="125" t="str">
        <f>IF([3]Sayfa1!$K209="SSH","Notified by Bozankaya","Notified by Customer")</f>
        <v>Notified by Bozankaya</v>
      </c>
      <c r="J212" s="119" t="e">
        <f>VLOOKUP([3]Sayfa1!$AU209,#REF!,2,FALSE)</f>
        <v>#REF!</v>
      </c>
      <c r="K212" s="119" t="str">
        <f>[3]Sayfa1!$V209</f>
        <v>GLAS TRÖSH AG BRANC RAİL</v>
      </c>
      <c r="L212" s="126" t="str">
        <f t="shared" si="82"/>
        <v>GDM7X4-FRACAS-GDM-208</v>
      </c>
      <c r="M212" s="127" t="str">
        <f>[3]Sayfa1!$L209</f>
        <v>Ön Cam Kırık</v>
      </c>
      <c r="N212" s="128" t="str">
        <f>[3]Sayfa1!$J209</f>
        <v>A-Sürüşü engeller</v>
      </c>
      <c r="O212" s="128" t="str">
        <f>[3]Sayfa1!$P209</f>
        <v>C(Sisteme etki etmeyen arıza)</v>
      </c>
      <c r="P212" s="128" t="str">
        <f>[3]Sayfa1!$Q209</f>
        <v>N.A(Yaralanma yok)</v>
      </c>
      <c r="Q212" s="129" t="str" cm="1">
        <f t="array" ref="Q212">_xlfn.IFS([3]Sayfa1!$R209="Bozankaya","Bozankaya",[3]Sayfa1!$R209="İşletme","Customer",[3]Sayfa1!$R209="Tedarikçi","Equipment Supplier")</f>
        <v>Equipment Supplier</v>
      </c>
      <c r="R212" s="130" t="str">
        <f>[3]Sayfa1!$M209</f>
        <v>GDM-2 aracı, MC1 vagonunun ön camı çatlak olduğu tespit edildi. Sebebi bilinmemektedir.</v>
      </c>
      <c r="S212" s="147" t="str">
        <f>[3]Sayfa1!$AB209</f>
        <v>Arıza çözülecek</v>
      </c>
      <c r="T212" s="147" t="str">
        <f>[3]Sayfa1!$AA209</f>
        <v>Hayır</v>
      </c>
      <c r="U212" s="131">
        <f>[3]Sayfa1!$AN209</f>
        <v>4</v>
      </c>
      <c r="V212" s="132">
        <f>[3]Sayfa1!$T209</f>
        <v>45664</v>
      </c>
      <c r="W212" s="133">
        <f>[3]Sayfa1!$U209</f>
        <v>45664.423611111109</v>
      </c>
      <c r="X212" s="134">
        <f t="shared" si="83"/>
        <v>45664.423611111109</v>
      </c>
      <c r="Y212" s="123" t="str">
        <f>[3]Sayfa1!$AQ209</f>
        <v/>
      </c>
      <c r="Z212" s="135">
        <f>[3]Sayfa1!$AR209</f>
        <v>0</v>
      </c>
      <c r="AA212" s="134">
        <f t="shared" si="84"/>
        <v>0</v>
      </c>
      <c r="AB212" s="136">
        <f t="shared" si="85"/>
        <v>0</v>
      </c>
      <c r="AC212" s="137" t="str">
        <f t="shared" si="86"/>
        <v/>
      </c>
      <c r="AD212" s="135">
        <f t="shared" si="87"/>
        <v>0</v>
      </c>
      <c r="AE212" s="138">
        <f t="shared" si="88"/>
        <v>0</v>
      </c>
      <c r="AF212" s="139" t="str">
        <f>[3]Sayfa1!$AP209</f>
        <v>(I) İlk defa karşılaşılan arıza</v>
      </c>
      <c r="AG212" s="128" t="str">
        <f>IF([3]Sayfa1!$P209="C(Sisteme etki etmeyen arıza)","Bu Arıza Aracın Servise Verilmesine Engel Değil","Bu Arıza Aracın Servise Verilmesine Engel")</f>
        <v>Bu Arıza Aracın Servise Verilmesine Engel Değil</v>
      </c>
      <c r="AH212" s="140" t="e">
        <f>[3]Sayfa1!$AC209</f>
        <v>#NAME?</v>
      </c>
      <c r="AI212" s="137"/>
      <c r="AJ212" s="137"/>
      <c r="AK212" s="138">
        <f t="shared" si="89"/>
        <v>0</v>
      </c>
      <c r="AL212" s="136">
        <f t="shared" si="90"/>
        <v>0</v>
      </c>
      <c r="AM212" s="136">
        <f t="shared" si="91"/>
        <v>0</v>
      </c>
      <c r="AN212" s="141" t="str">
        <f t="shared" si="92"/>
        <v>GLAS TRÖSH AG BRANC RAİL</v>
      </c>
      <c r="AO212" s="141">
        <f>[3]Sayfa1!$X209</f>
        <v>0</v>
      </c>
      <c r="AP212" s="141" t="str">
        <f>[3]Sayfa1!$Z209</f>
        <v>2211-0272</v>
      </c>
      <c r="AQ212" s="122" t="str">
        <f>[3]Sayfa1!$W209</f>
        <v>D110-8001/ON CAM REZISTANSLI</v>
      </c>
      <c r="AR212" s="142">
        <f>[3]Sayfa1!$Y209</f>
        <v>1</v>
      </c>
      <c r="AS212" s="143">
        <f>[3]Sayfa1!$AD209</f>
        <v>0</v>
      </c>
      <c r="AT212" s="137" t="str">
        <f>[3]Sayfa1!$AE209</f>
        <v/>
      </c>
      <c r="AU212" s="137" t="str">
        <f>[3]Sayfa1!$AH209</f>
        <v/>
      </c>
      <c r="AV212" s="144">
        <v>208</v>
      </c>
      <c r="AW212" s="145" t="e">
        <f>U212*AB212*#REF!</f>
        <v>#REF!</v>
      </c>
    </row>
    <row r="213" spans="1:49" ht="101.25" customHeight="1">
      <c r="A213" s="119" t="s">
        <v>57</v>
      </c>
      <c r="B213" s="120" t="str">
        <f>[3]Sayfa1!$G210</f>
        <v>TS#7</v>
      </c>
      <c r="C213" s="121" t="str">
        <f>[3]Sayfa1!$H210</f>
        <v>Mc1</v>
      </c>
      <c r="D213" s="146">
        <f>[3]Sayfa1!$N210</f>
        <v>204</v>
      </c>
      <c r="E213" s="122" t="str">
        <f>[3]Sayfa1!$B210</f>
        <v>FRACAS-GDM-209</v>
      </c>
      <c r="F213" s="123">
        <f>[3]Sayfa1!$E210</f>
        <v>45665</v>
      </c>
      <c r="G213" s="124">
        <f>[3]Sayfa1!$F210</f>
        <v>45665.836111111108</v>
      </c>
      <c r="H213" s="119" t="str">
        <f>[3]Sayfa1!$I210</f>
        <v>Depo/Depot</v>
      </c>
      <c r="I213" s="125" t="str">
        <f>IF([3]Sayfa1!$K210="SSH","Notified by Bozankaya","Notified by Customer")</f>
        <v>Notified by Bozankaya</v>
      </c>
      <c r="J213" s="119" t="e">
        <f>VLOOKUP([3]Sayfa1!$AU210,#REF!,2,FALSE)</f>
        <v>#REF!</v>
      </c>
      <c r="K213" s="119" t="str">
        <f>[3]Sayfa1!$V210</f>
        <v>SELECTRON SYSTEMS AG</v>
      </c>
      <c r="L213" s="126" t="str">
        <f t="shared" si="82"/>
        <v>GDM7X4-FRACAS-GDM-209</v>
      </c>
      <c r="M213" s="127" t="str">
        <f>[3]Sayfa1!$L210</f>
        <v>Dot modül arızası</v>
      </c>
      <c r="N213" s="128" t="str">
        <f>[3]Sayfa1!$J210</f>
        <v>A-Sürüşü engeller</v>
      </c>
      <c r="O213" s="128" t="str">
        <f>[3]Sayfa1!$P210</f>
        <v>A(Hareket etmeyi engelleyen arıza)</v>
      </c>
      <c r="P213" s="128" t="str">
        <f>[3]Sayfa1!$Q210</f>
        <v>N.A(Yaralanma yok)</v>
      </c>
      <c r="Q213" s="129" t="str" cm="1">
        <f t="array" ref="Q213">_xlfn.IFS([3]Sayfa1!$R210="Bozankaya","Bozankaya",[3]Sayfa1!$R210="İşletme","Customer",[3]Sayfa1!$R210="Tedarikçi","Equipment Supplier")</f>
        <v>Equipment Supplier</v>
      </c>
      <c r="R213" s="130" t="str">
        <f>[3]Sayfa1!$M210</f>
        <v>Dot modülden gelen sinyallerin gelmemesi sebebiyle modül kontrol edildi. Enerjisinin geldiği fakat modülün çalışmadığı görüldü. Ssh stoğundaki modül ile değiştirildi ve sistem çalıştı.</v>
      </c>
      <c r="S213" s="147" t="str">
        <f>[3]Sayfa1!$AB210</f>
        <v>Ekipman değiştirilecek</v>
      </c>
      <c r="T213" s="147" t="str">
        <f>[3]Sayfa1!$AA210</f>
        <v>Evet</v>
      </c>
      <c r="U213" s="131">
        <f>[3]Sayfa1!$AN210</f>
        <v>1</v>
      </c>
      <c r="V213" s="132">
        <f>[3]Sayfa1!$T210</f>
        <v>45667</v>
      </c>
      <c r="W213" s="133">
        <f>[3]Sayfa1!$U210</f>
        <v>45667.671527777777</v>
      </c>
      <c r="X213" s="134">
        <f t="shared" si="83"/>
        <v>45667.671527777777</v>
      </c>
      <c r="Y213" s="123">
        <f>[3]Sayfa1!$AQ210</f>
        <v>45667</v>
      </c>
      <c r="Z213" s="135">
        <f>[3]Sayfa1!$AR210</f>
        <v>45667.715277777781</v>
      </c>
      <c r="AA213" s="134">
        <f t="shared" si="84"/>
        <v>45667.715277777781</v>
      </c>
      <c r="AB213" s="136">
        <f t="shared" si="85"/>
        <v>1.0500000001047738</v>
      </c>
      <c r="AC213" s="137">
        <f t="shared" si="86"/>
        <v>45667</v>
      </c>
      <c r="AD213" s="135">
        <f t="shared" si="87"/>
        <v>45667.715277777781</v>
      </c>
      <c r="AE213" s="138">
        <f t="shared" si="88"/>
        <v>45667.715277777781</v>
      </c>
      <c r="AF213" s="139" t="str">
        <f>[3]Sayfa1!$AP210</f>
        <v>(II) Birden fazla karşılaşılan arıza</v>
      </c>
      <c r="AG213" s="128" t="str">
        <f>IF([3]Sayfa1!$P210="C(Sisteme etki etmeyen arıza)","Bu Arıza Aracın Servise Verilmesine Engel Değil","Bu Arıza Aracın Servise Verilmesine Engel")</f>
        <v>Bu Arıza Aracın Servise Verilmesine Engel</v>
      </c>
      <c r="AH213" s="140" t="e">
        <f>[3]Sayfa1!$AC210</f>
        <v>#NAME?</v>
      </c>
      <c r="AI213" s="137"/>
      <c r="AJ213" s="137"/>
      <c r="AK213" s="138">
        <f t="shared" si="89"/>
        <v>0</v>
      </c>
      <c r="AL213" s="136">
        <f t="shared" si="90"/>
        <v>63.000000006286427</v>
      </c>
      <c r="AM213" s="136">
        <f t="shared" si="91"/>
        <v>63.000000006286427</v>
      </c>
      <c r="AN213" s="141" t="str">
        <f t="shared" si="92"/>
        <v>SELECTRON SYSTEMS AG</v>
      </c>
      <c r="AO213" s="141">
        <f>[3]Sayfa1!$X210</f>
        <v>0</v>
      </c>
      <c r="AP213" s="141">
        <f>[3]Sayfa1!$Z210</f>
        <v>2240297</v>
      </c>
      <c r="AQ213" s="122" t="str">
        <f>[3]Sayfa1!$W210</f>
        <v>E110-8007/DOT 732-TW</v>
      </c>
      <c r="AR213" s="142">
        <f>[3]Sayfa1!$Y210</f>
        <v>1</v>
      </c>
      <c r="AS213" s="143">
        <f>[3]Sayfa1!$AD210</f>
        <v>0</v>
      </c>
      <c r="AT213" s="137" t="str">
        <f>[3]Sayfa1!$AE210</f>
        <v/>
      </c>
      <c r="AU213" s="137" t="str">
        <f>[3]Sayfa1!$AH210</f>
        <v/>
      </c>
      <c r="AV213" s="144">
        <v>209</v>
      </c>
      <c r="AW213" s="145" t="e">
        <f>U213*AB213*#REF!</f>
        <v>#REF!</v>
      </c>
    </row>
    <row r="214" spans="1:49" ht="101.25" customHeight="1">
      <c r="A214" s="119" t="s">
        <v>57</v>
      </c>
      <c r="B214" s="120" t="str">
        <f>[3]Sayfa1!$G211</f>
        <v>TS#2</v>
      </c>
      <c r="C214" s="121" t="str">
        <f>[3]Sayfa1!$H211</f>
        <v>Mc1 , Mc2</v>
      </c>
      <c r="D214" s="146">
        <f>[3]Sayfa1!$N211</f>
        <v>112</v>
      </c>
      <c r="E214" s="122" t="str">
        <f>[3]Sayfa1!$B211</f>
        <v>FRACAS-GDM-210</v>
      </c>
      <c r="F214" s="123">
        <f>[3]Sayfa1!$E211</f>
        <v>45670</v>
      </c>
      <c r="G214" s="124">
        <f>[3]Sayfa1!$F211</f>
        <v>45670.354166666664</v>
      </c>
      <c r="H214" s="119" t="str">
        <f>[3]Sayfa1!$I211</f>
        <v>Depo/Depot</v>
      </c>
      <c r="I214" s="125" t="str">
        <f>IF([3]Sayfa1!$K211="SSH","Notified by Bozankaya","Notified by Customer")</f>
        <v>Notified by Bozankaya</v>
      </c>
      <c r="J214" s="119" t="e">
        <f>VLOOKUP([3]Sayfa1!$AU211,#REF!,2,FALSE)</f>
        <v>#REF!</v>
      </c>
      <c r="K214" s="119" t="str">
        <f>[3]Sayfa1!$V211</f>
        <v>Bozankaya</v>
      </c>
      <c r="L214" s="126" t="str">
        <f t="shared" si="82"/>
        <v>GDM7X4-FRACAS-GDM-210</v>
      </c>
      <c r="M214" s="127" t="str">
        <f>[3]Sayfa1!$L211</f>
        <v>TCU izole hatası</v>
      </c>
      <c r="N214" s="128" t="str">
        <f>[3]Sayfa1!$J211</f>
        <v>A-Sürüşü engeller</v>
      </c>
      <c r="O214" s="128" t="str">
        <f>[3]Sayfa1!$P211</f>
        <v>A(Hareket etmeyi engelleyen arıza)</v>
      </c>
      <c r="P214" s="128" t="str">
        <f>[3]Sayfa1!$Q211</f>
        <v>N.A(Yaralanma yok)</v>
      </c>
      <c r="Q214" s="129" t="str" cm="1">
        <f t="array" ref="Q214">_xlfn.IFS([3]Sayfa1!$R211="Bozankaya","Bozankaya",[3]Sayfa1!$R211="İşletme","Customer",[3]Sayfa1!$R211="Tedarikçi","Equipment Supplier")</f>
        <v>Equipment Supplier</v>
      </c>
      <c r="R214" s="130" t="str">
        <f>[3]Sayfa1!$M211</f>
        <v>TCU1 ve TCU3 ünitelerinin izole durumda olduğu tespit edildi.  Program üzerinden sistemler bağlanıldı,herhangi bir sorun olmadığı görüldü.. IP üzerinden bağlanılmaya çalışıldığında  bağlantı sağlanamadı. Bu durum düzensiz olarak tüm araçlarda yaşanmaktadır. Kayıt alınarak tedarikçi firma bilgilendirilmektedir.</v>
      </c>
      <c r="S214" s="147" t="str">
        <f>[3]Sayfa1!$AB211</f>
        <v>Yazılım güncelleme</v>
      </c>
      <c r="T214" s="147">
        <f>[3]Sayfa1!$AA211</f>
        <v>0</v>
      </c>
      <c r="U214" s="131">
        <f>[3]Sayfa1!$AN211</f>
        <v>0</v>
      </c>
      <c r="V214" s="132">
        <f>[3]Sayfa1!$T211</f>
        <v>45670</v>
      </c>
      <c r="W214" s="133">
        <f>[3]Sayfa1!$U211</f>
        <v>45670.479166666664</v>
      </c>
      <c r="X214" s="134">
        <f t="shared" si="83"/>
        <v>45670.479166666664</v>
      </c>
      <c r="Y214" s="123" t="str">
        <f>[3]Sayfa1!$AQ211</f>
        <v/>
      </c>
      <c r="Z214" s="135">
        <f>[3]Sayfa1!$AR211</f>
        <v>0</v>
      </c>
      <c r="AA214" s="134">
        <f t="shared" si="84"/>
        <v>0</v>
      </c>
      <c r="AB214" s="136">
        <f t="shared" si="85"/>
        <v>0</v>
      </c>
      <c r="AC214" s="137" t="str">
        <f t="shared" si="86"/>
        <v/>
      </c>
      <c r="AD214" s="135">
        <f t="shared" si="87"/>
        <v>0</v>
      </c>
      <c r="AE214" s="138">
        <f t="shared" si="88"/>
        <v>0</v>
      </c>
      <c r="AF214" s="139" t="str">
        <f>[3]Sayfa1!$AP211</f>
        <v>(II) Birden fazla karşılaşılan arıza</v>
      </c>
      <c r="AG214" s="128" t="str">
        <f>IF([3]Sayfa1!$P211="C(Sisteme etki etmeyen arıza)","Bu Arıza Aracın Servise Verilmesine Engel Değil","Bu Arıza Aracın Servise Verilmesine Engel")</f>
        <v>Bu Arıza Aracın Servise Verilmesine Engel</v>
      </c>
      <c r="AH214" s="140" t="e">
        <f>[3]Sayfa1!$AC211</f>
        <v>#NAME?</v>
      </c>
      <c r="AI214" s="137"/>
      <c r="AJ214" s="137"/>
      <c r="AK214" s="138">
        <f t="shared" si="89"/>
        <v>0</v>
      </c>
      <c r="AL214" s="136">
        <f t="shared" si="90"/>
        <v>0</v>
      </c>
      <c r="AM214" s="136">
        <f t="shared" si="91"/>
        <v>0</v>
      </c>
      <c r="AN214" s="141" t="str">
        <f t="shared" si="92"/>
        <v>Bozankaya</v>
      </c>
      <c r="AO214" s="141">
        <f>[3]Sayfa1!$X211</f>
        <v>0</v>
      </c>
      <c r="AP214" s="141">
        <f>[3]Sayfa1!$Z211</f>
        <v>0</v>
      </c>
      <c r="AQ214" s="122" t="str">
        <f>[3]Sayfa1!$W211</f>
        <v>B000-0000/Bozankaya</v>
      </c>
      <c r="AR214" s="142">
        <f>[3]Sayfa1!$Y211</f>
        <v>0</v>
      </c>
      <c r="AS214" s="143">
        <f>[3]Sayfa1!$AD211</f>
        <v>0</v>
      </c>
      <c r="AT214" s="137" t="str">
        <f>[3]Sayfa1!$AE211</f>
        <v/>
      </c>
      <c r="AU214" s="137" t="str">
        <f>[3]Sayfa1!$AH211</f>
        <v/>
      </c>
      <c r="AV214" s="144">
        <v>210</v>
      </c>
      <c r="AW214" s="145" t="e">
        <f>U214*AB214*#REF!</f>
        <v>#REF!</v>
      </c>
    </row>
    <row r="215" spans="1:49" ht="101.25" customHeight="1">
      <c r="A215" s="119" t="s">
        <v>57</v>
      </c>
      <c r="B215" s="120" t="str">
        <f>[3]Sayfa1!$G212</f>
        <v>TS#2</v>
      </c>
      <c r="C215" s="121" t="str">
        <f>[3]Sayfa1!$H212</f>
        <v>T</v>
      </c>
      <c r="D215" s="146">
        <f>[3]Sayfa1!$N212</f>
        <v>119</v>
      </c>
      <c r="E215" s="122" t="str">
        <f>[3]Sayfa1!$B212</f>
        <v>FRACAS-GDM-211</v>
      </c>
      <c r="F215" s="123">
        <f>[3]Sayfa1!$E212</f>
        <v>45686</v>
      </c>
      <c r="G215" s="124">
        <f>[3]Sayfa1!$F212</f>
        <v>45686.375</v>
      </c>
      <c r="H215" s="119" t="str">
        <f>[3]Sayfa1!$I212</f>
        <v>Depo/Depot</v>
      </c>
      <c r="I215" s="125" t="str">
        <f>IF([3]Sayfa1!$K212="SSH","Notified by Bozankaya","Notified by Customer")</f>
        <v>Notified by Bozankaya</v>
      </c>
      <c r="J215" s="119" t="e">
        <f>VLOOKUP([3]Sayfa1!$AU212,#REF!,2,FALSE)</f>
        <v>#REF!</v>
      </c>
      <c r="K215" s="119" t="str">
        <f>[3]Sayfa1!$V212</f>
        <v>Bozankaya</v>
      </c>
      <c r="L215" s="126" t="str">
        <f t="shared" si="82"/>
        <v>GDM7X4-FRACAS-GDM-211</v>
      </c>
      <c r="M215" s="127" t="str">
        <f>[3]Sayfa1!$L212</f>
        <v>Kablo Tavasından Taşan Kablolar</v>
      </c>
      <c r="N215" s="128" t="str">
        <f>[3]Sayfa1!$J212</f>
        <v>C-Uyarı, sürüş devamlılığı</v>
      </c>
      <c r="O215" s="128" t="str">
        <f>[3]Sayfa1!$P212</f>
        <v>B(Servisten çekmeye etki eden arızalar)</v>
      </c>
      <c r="P215" s="128" t="str">
        <f>[3]Sayfa1!$Q212</f>
        <v>N.A(Yaralanma yok)</v>
      </c>
      <c r="Q215" s="129" t="str" cm="1">
        <f t="array" ref="Q215">_xlfn.IFS([3]Sayfa1!$R212="Bozankaya","Bozankaya",[3]Sayfa1!$R212="İşletme","Customer",[3]Sayfa1!$R212="Tedarikçi","Equipment Supplier")</f>
        <v>Bozankaya</v>
      </c>
      <c r="R215" s="130" t="str">
        <f>[3]Sayfa1!$M212</f>
        <v>Gebze-Darıca Metro Projesi kapsamında T vagonunda yapılan incelemeler sırasında elektriksel kablo tavalarında hata tespit edilmiştir. Yapılan gözlemler sonucunda, kablo tavalarına olması gerekenden 3-4 kat fazla kablo yerleştirildiği görülmüştür. Bu durum, kabloların düzgün yerleşmesini engellemekte ve kablo tavasında taşmaların meydana gelmesine sebep olmaktadır.</v>
      </c>
      <c r="S215" s="147">
        <f>[3]Sayfa1!$AB212</f>
        <v>0</v>
      </c>
      <c r="T215" s="147" t="str">
        <f>[3]Sayfa1!$AA212</f>
        <v>Hayır</v>
      </c>
      <c r="U215" s="131">
        <f>[3]Sayfa1!$AN212</f>
        <v>0</v>
      </c>
      <c r="V215" s="132">
        <f>[3]Sayfa1!$T212</f>
        <v>45686</v>
      </c>
      <c r="W215" s="133">
        <f>[3]Sayfa1!$U212</f>
        <v>45686.416666666664</v>
      </c>
      <c r="X215" s="134">
        <f t="shared" si="83"/>
        <v>45686.416666666664</v>
      </c>
      <c r="Y215" s="123" t="str">
        <f>[3]Sayfa1!$AQ212</f>
        <v/>
      </c>
      <c r="Z215" s="135">
        <f>[3]Sayfa1!$AR212</f>
        <v>0</v>
      </c>
      <c r="AA215" s="134">
        <f t="shared" si="84"/>
        <v>0</v>
      </c>
      <c r="AB215" s="136">
        <f t="shared" si="85"/>
        <v>0</v>
      </c>
      <c r="AC215" s="137" t="str">
        <f t="shared" si="86"/>
        <v/>
      </c>
      <c r="AD215" s="135">
        <f t="shared" si="87"/>
        <v>0</v>
      </c>
      <c r="AE215" s="138">
        <f t="shared" si="88"/>
        <v>0</v>
      </c>
      <c r="AF215" s="139" t="str">
        <f>[3]Sayfa1!$AP212</f>
        <v>(I) İlk defa karşılaşılan arıza</v>
      </c>
      <c r="AG215" s="128" t="str">
        <f>IF([3]Sayfa1!$P212="C(Sisteme etki etmeyen arıza)","Bu Arıza Aracın Servise Verilmesine Engel Değil","Bu Arıza Aracın Servise Verilmesine Engel")</f>
        <v>Bu Arıza Aracın Servise Verilmesine Engel</v>
      </c>
      <c r="AH215" s="140" t="e">
        <f>[3]Sayfa1!$AC212</f>
        <v>#NAME?</v>
      </c>
      <c r="AI215" s="137"/>
      <c r="AJ215" s="137"/>
      <c r="AK215" s="138">
        <f t="shared" si="89"/>
        <v>0</v>
      </c>
      <c r="AL215" s="136">
        <f t="shared" si="90"/>
        <v>0</v>
      </c>
      <c r="AM215" s="136">
        <f t="shared" si="91"/>
        <v>0</v>
      </c>
      <c r="AN215" s="141" t="str">
        <f t="shared" si="92"/>
        <v>Bozankaya</v>
      </c>
      <c r="AO215" s="141">
        <f>[3]Sayfa1!$X212</f>
        <v>0</v>
      </c>
      <c r="AP215" s="141">
        <f>[3]Sayfa1!$Z212</f>
        <v>0</v>
      </c>
      <c r="AQ215" s="122" t="str">
        <f>[3]Sayfa1!$W212</f>
        <v>B000-0000/Bozankaya</v>
      </c>
      <c r="AR215" s="142">
        <f>[3]Sayfa1!$Y212</f>
        <v>0</v>
      </c>
      <c r="AS215" s="143">
        <f>[3]Sayfa1!$AD212</f>
        <v>0</v>
      </c>
      <c r="AT215" s="137" t="str">
        <f>[3]Sayfa1!$AE212</f>
        <v/>
      </c>
      <c r="AU215" s="137" t="str">
        <f>[3]Sayfa1!$AH212</f>
        <v/>
      </c>
      <c r="AV215" s="144">
        <v>211</v>
      </c>
      <c r="AW215" s="145" t="e">
        <f>U215*AB215*#REF!</f>
        <v>#REF!</v>
      </c>
    </row>
    <row r="216" spans="1:49" ht="101.25" customHeight="1">
      <c r="A216" s="119" t="s">
        <v>57</v>
      </c>
      <c r="B216" s="120" t="str">
        <f>[3]Sayfa1!$G213</f>
        <v>TS#1</v>
      </c>
      <c r="C216" s="121" t="str">
        <f>[3]Sayfa1!$H213</f>
        <v>Mc1 , T , M , Mc2</v>
      </c>
      <c r="D216" s="146">
        <f>[3]Sayfa1!$N213</f>
        <v>1</v>
      </c>
      <c r="E216" s="122" t="str">
        <f>[3]Sayfa1!$B213</f>
        <v>FRACAS-GDM-212</v>
      </c>
      <c r="F216" s="123">
        <f>[3]Sayfa1!$E213</f>
        <v>45686</v>
      </c>
      <c r="G216" s="124">
        <f>[3]Sayfa1!$F213</f>
        <v>45686.375</v>
      </c>
      <c r="H216" s="119" t="str">
        <f>[3]Sayfa1!$I213</f>
        <v>Depo/Depot</v>
      </c>
      <c r="I216" s="125" t="str">
        <f>IF([3]Sayfa1!$K213="SSH","Notified by Bozankaya","Notified by Customer")</f>
        <v>Notified by Bozankaya</v>
      </c>
      <c r="J216" s="119" t="e">
        <f>VLOOKUP([3]Sayfa1!$AU213,#REF!,2,FALSE)</f>
        <v>#REF!</v>
      </c>
      <c r="K216" s="119" t="str">
        <f>[3]Sayfa1!$V213</f>
        <v>YAZ-KAR KLİMA SOĞUTMA DANIŞMANLIK O</v>
      </c>
      <c r="L216" s="126" t="str">
        <f t="shared" si="82"/>
        <v>GDM7X4-FRACAS-GDM-212</v>
      </c>
      <c r="M216" s="127" t="str">
        <f>[3]Sayfa1!$L213</f>
        <v>Klima Koltuk Altı Isıtıcılarının Dengeli Çalışması</v>
      </c>
      <c r="N216" s="128" t="str">
        <f>[3]Sayfa1!$J213</f>
        <v>C-Uyarı, sürüş devamlılığı</v>
      </c>
      <c r="O216" s="128" t="str">
        <f>[3]Sayfa1!$P213</f>
        <v>C(Sisteme etki etmeyen arıza)</v>
      </c>
      <c r="P216" s="128" t="str">
        <f>[3]Sayfa1!$Q213</f>
        <v>N.A(Yaralanma yok)</v>
      </c>
      <c r="Q216" s="129" t="str" cm="1">
        <f t="array" ref="Q216">_xlfn.IFS([3]Sayfa1!$R213="Bozankaya","Bozankaya",[3]Sayfa1!$R213="İşletme","Customer",[3]Sayfa1!$R213="Tedarikçi","Equipment Supplier")</f>
        <v>Equipment Supplier</v>
      </c>
      <c r="R216" s="130" t="str">
        <f>[3]Sayfa1!$M213</f>
        <v>Koltuk altı ısıtıcılar, 1-3-5 ve 2-4-6 grupları halinde çapraz şekilde çalışmaktadır. Ancak mevcut sistemde, her ısıtma ihtiyacında öncelikle 1-3-5 numaralı ısıtıcılar devreye girmektedir. Bu durum, ilgili ekipmanların düzensiz şekilde aşınmasına ve ömrünün daha hızlı tükenmesine neden olmaktadır.</v>
      </c>
      <c r="S216" s="147">
        <f>[3]Sayfa1!$AB213</f>
        <v>0</v>
      </c>
      <c r="T216" s="147" t="str">
        <f>[3]Sayfa1!$AA213</f>
        <v>Evet</v>
      </c>
      <c r="U216" s="131">
        <f>[3]Sayfa1!$AN213</f>
        <v>0</v>
      </c>
      <c r="V216" s="132">
        <f>[3]Sayfa1!$T213</f>
        <v>45686</v>
      </c>
      <c r="W216" s="133">
        <f>[3]Sayfa1!$U213</f>
        <v>45686.416666666664</v>
      </c>
      <c r="X216" s="134">
        <f t="shared" si="83"/>
        <v>45686.416666666664</v>
      </c>
      <c r="Y216" s="123" t="str">
        <f>[3]Sayfa1!$AQ213</f>
        <v/>
      </c>
      <c r="Z216" s="135">
        <f>[3]Sayfa1!$AR213</f>
        <v>0</v>
      </c>
      <c r="AA216" s="134">
        <f t="shared" si="84"/>
        <v>0</v>
      </c>
      <c r="AB216" s="136">
        <f t="shared" si="85"/>
        <v>0</v>
      </c>
      <c r="AC216" s="137" t="str">
        <f t="shared" si="86"/>
        <v/>
      </c>
      <c r="AD216" s="135">
        <f t="shared" si="87"/>
        <v>0</v>
      </c>
      <c r="AE216" s="138">
        <f t="shared" si="88"/>
        <v>0</v>
      </c>
      <c r="AF216" s="139" t="str">
        <f>[3]Sayfa1!$AP213</f>
        <v>(I) İlk defa karşılaşılan arıza</v>
      </c>
      <c r="AG216" s="128" t="str">
        <f>IF([3]Sayfa1!$P213="C(Sisteme etki etmeyen arıza)","Bu Arıza Aracın Servise Verilmesine Engel Değil","Bu Arıza Aracın Servise Verilmesine Engel")</f>
        <v>Bu Arıza Aracın Servise Verilmesine Engel Değil</v>
      </c>
      <c r="AH216" s="140" t="e">
        <f>[3]Sayfa1!$AC213</f>
        <v>#NAME?</v>
      </c>
      <c r="AI216" s="137"/>
      <c r="AJ216" s="137"/>
      <c r="AK216" s="138">
        <f t="shared" si="89"/>
        <v>0</v>
      </c>
      <c r="AL216" s="136">
        <f t="shared" si="90"/>
        <v>0</v>
      </c>
      <c r="AM216" s="136">
        <f t="shared" si="91"/>
        <v>0</v>
      </c>
      <c r="AN216" s="141" t="str">
        <f t="shared" si="92"/>
        <v>YAZ-KAR KLİMA SOĞUTMA DANIŞMANLIK O</v>
      </c>
      <c r="AO216" s="141">
        <f>[3]Sayfa1!$X213</f>
        <v>0</v>
      </c>
      <c r="AP216" s="141">
        <f>[3]Sayfa1!$Z213</f>
        <v>0</v>
      </c>
      <c r="AQ216" s="122" t="str">
        <f>[3]Sayfa1!$W213</f>
        <v>H500-8001/Yolcu Klima Ünitesi</v>
      </c>
      <c r="AR216" s="142">
        <f>[3]Sayfa1!$Y213</f>
        <v>0</v>
      </c>
      <c r="AS216" s="143">
        <f>[3]Sayfa1!$AD213</f>
        <v>0</v>
      </c>
      <c r="AT216" s="137" t="str">
        <f>[3]Sayfa1!$AE213</f>
        <v/>
      </c>
      <c r="AU216" s="137" t="str">
        <f>[3]Sayfa1!$AH213</f>
        <v/>
      </c>
      <c r="AV216" s="144">
        <v>212</v>
      </c>
      <c r="AW216" s="145" t="e">
        <f>U216*AB216*#REF!</f>
        <v>#REF!</v>
      </c>
    </row>
    <row r="217" spans="1:49" ht="101.25" customHeight="1">
      <c r="A217" s="119" t="s">
        <v>57</v>
      </c>
      <c r="B217" s="120" t="str">
        <f>[3]Sayfa1!$G214</f>
        <v>TS#1</v>
      </c>
      <c r="C217" s="121" t="str">
        <f>[3]Sayfa1!$H214</f>
        <v>Mc1 , T , M , Mc2</v>
      </c>
      <c r="D217" s="146">
        <f>[3]Sayfa1!$N214</f>
        <v>1200</v>
      </c>
      <c r="E217" s="122" t="str">
        <f>[3]Sayfa1!$B214</f>
        <v>FRACAS-GDM-213</v>
      </c>
      <c r="F217" s="123">
        <f>[3]Sayfa1!$E214</f>
        <v>45686</v>
      </c>
      <c r="G217" s="124">
        <f>[3]Sayfa1!$F214</f>
        <v>45686.416666666664</v>
      </c>
      <c r="H217" s="119" t="str">
        <f>[3]Sayfa1!$I214</f>
        <v>Depo/Depot</v>
      </c>
      <c r="I217" s="125" t="str">
        <f>IF([3]Sayfa1!$K214="SSH","Notified by Bozankaya","Notified by Customer")</f>
        <v>Notified by Bozankaya</v>
      </c>
      <c r="J217" s="119" t="e">
        <f>VLOOKUP([3]Sayfa1!$AU214,#REF!,2,FALSE)</f>
        <v>#REF!</v>
      </c>
      <c r="K217" s="119" t="str">
        <f>[3]Sayfa1!$V214</f>
        <v>YAZ-KAR KLİMA SOĞUTMA DANIŞMANLIK O</v>
      </c>
      <c r="L217" s="126" t="str">
        <f t="shared" si="82"/>
        <v>GDM7X4-FRACAS-GDM-213</v>
      </c>
      <c r="M217" s="127" t="str">
        <f>[3]Sayfa1!$L214</f>
        <v>Klima Sistemi Ekipman Ömüründe İyileştirme</v>
      </c>
      <c r="N217" s="128" t="str">
        <f>[3]Sayfa1!$J214</f>
        <v>C-Uyarı, sürüş devamlılığı</v>
      </c>
      <c r="O217" s="128" t="str">
        <f>[3]Sayfa1!$P214</f>
        <v>C(Sisteme etki etmeyen arıza)</v>
      </c>
      <c r="P217" s="128" t="str">
        <f>[3]Sayfa1!$Q214</f>
        <v>N.A(Yaralanma yok)</v>
      </c>
      <c r="Q217" s="129" t="str" cm="1">
        <f t="array" ref="Q217">_xlfn.IFS([3]Sayfa1!$R214="Bozankaya","Bozankaya",[3]Sayfa1!$R214="İşletme","Customer",[3]Sayfa1!$R214="Tedarikçi","Equipment Supplier")</f>
        <v>Equipment Supplier</v>
      </c>
      <c r="R217" s="130" t="str">
        <f>[3]Sayfa1!$M214</f>
        <v>Klima, ortam sıcaklığı 21°C’den hedef sıcaklık olan 19°C’ye düşene kadar soğutma yapmaktadır. 19°C’ye ulaştığında vantilasyon moduna geçmektedir. Ancak, vantilasyon sırasında sıcaklık 18°C’ye düştüğünde sistem doğrudan ısıtıcıları devreye sokmaktadır. Bu durum, sürekli mod değişimine sebep olarak gereksiz enerji tüketimi ve ekipman ömrünün hızlı tükenmesine yol açmaktadır.</v>
      </c>
      <c r="S217" s="147">
        <f>[3]Sayfa1!$AB214</f>
        <v>0</v>
      </c>
      <c r="T217" s="147" t="str">
        <f>[3]Sayfa1!$AA214</f>
        <v>Evet</v>
      </c>
      <c r="U217" s="131">
        <f>[3]Sayfa1!$AN214</f>
        <v>0</v>
      </c>
      <c r="V217" s="132">
        <f>[3]Sayfa1!$T214</f>
        <v>45686</v>
      </c>
      <c r="W217" s="133">
        <f>[3]Sayfa1!$U214</f>
        <v>45686.458333333336</v>
      </c>
      <c r="X217" s="134">
        <f t="shared" si="83"/>
        <v>45686.458333333336</v>
      </c>
      <c r="Y217" s="123" t="str">
        <f>[3]Sayfa1!$AQ214</f>
        <v/>
      </c>
      <c r="Z217" s="135">
        <f>[3]Sayfa1!$AR214</f>
        <v>0</v>
      </c>
      <c r="AA217" s="134">
        <f t="shared" si="84"/>
        <v>0</v>
      </c>
      <c r="AB217" s="136">
        <f t="shared" si="85"/>
        <v>0</v>
      </c>
      <c r="AC217" s="137" t="str">
        <f t="shared" si="86"/>
        <v/>
      </c>
      <c r="AD217" s="135">
        <f t="shared" si="87"/>
        <v>0</v>
      </c>
      <c r="AE217" s="138">
        <f t="shared" si="88"/>
        <v>0</v>
      </c>
      <c r="AF217" s="139" t="str">
        <f>[3]Sayfa1!$AP214</f>
        <v>(I) İlk defa karşılaşılan arıza</v>
      </c>
      <c r="AG217" s="128" t="str">
        <f>IF([3]Sayfa1!$P214="C(Sisteme etki etmeyen arıza)","Bu Arıza Aracın Servise Verilmesine Engel Değil","Bu Arıza Aracın Servise Verilmesine Engel")</f>
        <v>Bu Arıza Aracın Servise Verilmesine Engel Değil</v>
      </c>
      <c r="AH217" s="140" t="e">
        <f>[3]Sayfa1!$AC214</f>
        <v>#NAME?</v>
      </c>
      <c r="AI217" s="137"/>
      <c r="AJ217" s="137"/>
      <c r="AK217" s="138">
        <f t="shared" si="89"/>
        <v>0</v>
      </c>
      <c r="AL217" s="136">
        <f t="shared" si="90"/>
        <v>0</v>
      </c>
      <c r="AM217" s="136">
        <f t="shared" si="91"/>
        <v>0</v>
      </c>
      <c r="AN217" s="141" t="str">
        <f t="shared" si="92"/>
        <v>YAZ-KAR KLİMA SOĞUTMA DANIŞMANLIK O</v>
      </c>
      <c r="AO217" s="141">
        <f>[3]Sayfa1!$X214</f>
        <v>0</v>
      </c>
      <c r="AP217" s="141">
        <f>[3]Sayfa1!$Z214</f>
        <v>0</v>
      </c>
      <c r="AQ217" s="122" t="str">
        <f>[3]Sayfa1!$W214</f>
        <v>H500-8001/Yolcu Klima Ünitesi</v>
      </c>
      <c r="AR217" s="142">
        <f>[3]Sayfa1!$Y214</f>
        <v>0</v>
      </c>
      <c r="AS217" s="143">
        <f>[3]Sayfa1!$AD214</f>
        <v>0</v>
      </c>
      <c r="AT217" s="137" t="str">
        <f>[3]Sayfa1!$AE214</f>
        <v/>
      </c>
      <c r="AU217" s="137" t="str">
        <f>[3]Sayfa1!$AH214</f>
        <v/>
      </c>
      <c r="AV217" s="144">
        <v>213</v>
      </c>
      <c r="AW217" s="145" t="e">
        <f>U217*AB217*#REF!</f>
        <v>#REF!</v>
      </c>
    </row>
    <row r="218" spans="1:49" ht="101.25" customHeight="1">
      <c r="A218" s="119" t="s">
        <v>57</v>
      </c>
      <c r="B218" s="120" t="str">
        <f>[3]Sayfa1!$G215</f>
        <v>TS#7</v>
      </c>
      <c r="C218" s="121" t="str">
        <f>[3]Sayfa1!$H215</f>
        <v>Mc1 , Mc2</v>
      </c>
      <c r="D218" s="146">
        <f>[3]Sayfa1!$N215</f>
        <v>150</v>
      </c>
      <c r="E218" s="122" t="str">
        <f>[3]Sayfa1!$B215</f>
        <v>FRACAS-GDM-214</v>
      </c>
      <c r="F218" s="123">
        <f>[3]Sayfa1!$E215</f>
        <v>45686</v>
      </c>
      <c r="G218" s="124">
        <f>[3]Sayfa1!$F215</f>
        <v>45686.5</v>
      </c>
      <c r="H218" s="119" t="str">
        <f>[3]Sayfa1!$I215</f>
        <v>Depo/Depot</v>
      </c>
      <c r="I218" s="125" t="str">
        <f>IF([3]Sayfa1!$K215="SSH","Notified by Bozankaya","Notified by Customer")</f>
        <v>Notified by Bozankaya</v>
      </c>
      <c r="J218" s="119" t="e">
        <f>VLOOKUP([3]Sayfa1!$AU215,#REF!,2,FALSE)</f>
        <v>#REF!</v>
      </c>
      <c r="K218" s="119" t="str">
        <f>[3]Sayfa1!$V215</f>
        <v>GRESAN YAĞ VE MAKİNA SAN.VE TİC.A.Ş</v>
      </c>
      <c r="L218" s="126" t="str">
        <f t="shared" si="82"/>
        <v>GDM7X4-FRACAS-GDM-214</v>
      </c>
      <c r="M218" s="127" t="str">
        <f>[3]Sayfa1!$L215</f>
        <v>Yağ Deposunda Sızıntı</v>
      </c>
      <c r="N218" s="128" t="str">
        <f>[3]Sayfa1!$J215</f>
        <v>C-Uyarı, sürüş devamlılığı</v>
      </c>
      <c r="O218" s="128" t="str">
        <f>[3]Sayfa1!$P215</f>
        <v>C(Sisteme etki etmeyen arıza)</v>
      </c>
      <c r="P218" s="128" t="str">
        <f>[3]Sayfa1!$Q215</f>
        <v>N.A(Yaralanma yok)</v>
      </c>
      <c r="Q218" s="129" t="str" cm="1">
        <f t="array" ref="Q218">_xlfn.IFS([3]Sayfa1!$R215="Bozankaya","Bozankaya",[3]Sayfa1!$R215="İşletme","Customer",[3]Sayfa1!$R215="Tedarikçi","Equipment Supplier")</f>
        <v>Equipment Supplier</v>
      </c>
      <c r="R218" s="130" t="str">
        <f>[3]Sayfa1!$M215</f>
        <v>GDM-7 numaralı aracın MC1 ve MC2 boji yağlama sistemlerinde, ayrıca GDM-6 numaralı aracın MC2 boji yağlama sisteminde yağ sızıntısı tespit edilmiştir. Yapılan incelemeler sonucunda, sızıntının SKF marka MP-100 (Lincoln Lubrication Equipment) model yağ yönlendiricisinin keçesinden ve yağ deposuna bağlı elektriksel seviye ölçüm noktasından kaynaklandığı belirlenmiştir.  Tespit edilen sorunlar:  SKF MP-100 yağ yönlendiricisinin keçesi: Sızıntının bu noktada meydana gelmesi, keçenin deformasyonu, montaj hatası veya üretim kaynaklı bir problemden kaynaklanıyor olabilir. Elektriksel seviye ölçüm noktası: Yağ deposuna bağlı olan bu noktada sızdırmazlık problemleri gözlemlenmiştir. Bağlantı noktasında conta veya kapama elemanlarında eksiklik ya da gevşeme olabilir.</v>
      </c>
      <c r="S218" s="147">
        <f>[3]Sayfa1!$AB215</f>
        <v>0</v>
      </c>
      <c r="T218" s="147" t="str">
        <f>[3]Sayfa1!$AA215</f>
        <v>Evet</v>
      </c>
      <c r="U218" s="131">
        <f>[3]Sayfa1!$AN215</f>
        <v>0</v>
      </c>
      <c r="V218" s="132">
        <f>[3]Sayfa1!$T215</f>
        <v>45686</v>
      </c>
      <c r="W218" s="133">
        <f>[3]Sayfa1!$U215</f>
        <v>45686.506944444445</v>
      </c>
      <c r="X218" s="134">
        <f t="shared" si="83"/>
        <v>45686.506944444445</v>
      </c>
      <c r="Y218" s="123" t="str">
        <f>[3]Sayfa1!$AQ215</f>
        <v/>
      </c>
      <c r="Z218" s="135">
        <f>[3]Sayfa1!$AR215</f>
        <v>0</v>
      </c>
      <c r="AA218" s="134">
        <f t="shared" si="84"/>
        <v>0</v>
      </c>
      <c r="AB218" s="136">
        <f t="shared" si="85"/>
        <v>0</v>
      </c>
      <c r="AC218" s="137" t="str">
        <f t="shared" si="86"/>
        <v/>
      </c>
      <c r="AD218" s="135">
        <f t="shared" si="87"/>
        <v>0</v>
      </c>
      <c r="AE218" s="138">
        <f t="shared" si="88"/>
        <v>0</v>
      </c>
      <c r="AF218" s="139" t="str">
        <f>[3]Sayfa1!$AP215</f>
        <v>(I) İlk defa karşılaşılan arıza</v>
      </c>
      <c r="AG218" s="128" t="str">
        <f>IF([3]Sayfa1!$P215="C(Sisteme etki etmeyen arıza)","Bu Arıza Aracın Servise Verilmesine Engel Değil","Bu Arıza Aracın Servise Verilmesine Engel")</f>
        <v>Bu Arıza Aracın Servise Verilmesine Engel Değil</v>
      </c>
      <c r="AH218" s="140" t="e">
        <f>[3]Sayfa1!$AC215</f>
        <v>#NAME?</v>
      </c>
      <c r="AI218" s="137"/>
      <c r="AJ218" s="137"/>
      <c r="AK218" s="138">
        <f t="shared" si="89"/>
        <v>0</v>
      </c>
      <c r="AL218" s="136">
        <f t="shared" si="90"/>
        <v>0</v>
      </c>
      <c r="AM218" s="136">
        <f t="shared" si="91"/>
        <v>0</v>
      </c>
      <c r="AN218" s="141" t="str">
        <f t="shared" si="92"/>
        <v>GRESAN YAĞ VE MAKİNA SAN.VE TİC.A.Ş</v>
      </c>
      <c r="AO218" s="141">
        <f>[3]Sayfa1!$X215</f>
        <v>0</v>
      </c>
      <c r="AP218" s="141">
        <f>[3]Sayfa1!$Z215</f>
        <v>0</v>
      </c>
      <c r="AQ218" s="122" t="str">
        <f>[3]Sayfa1!$W215</f>
        <v>S340-8001/TANK</v>
      </c>
      <c r="AR218" s="142">
        <f>[3]Sayfa1!$Y215</f>
        <v>3</v>
      </c>
      <c r="AS218" s="143">
        <f>[3]Sayfa1!$AD215</f>
        <v>0</v>
      </c>
      <c r="AT218" s="137" t="str">
        <f>[3]Sayfa1!$AE215</f>
        <v/>
      </c>
      <c r="AU218" s="137" t="str">
        <f>[3]Sayfa1!$AH215</f>
        <v/>
      </c>
      <c r="AV218" s="144">
        <v>214</v>
      </c>
      <c r="AW218" s="145" t="e">
        <f>U218*AB218*#REF!</f>
        <v>#REF!</v>
      </c>
    </row>
    <row r="219" spans="1:49" ht="101.25" customHeight="1">
      <c r="A219" s="119" t="s">
        <v>57</v>
      </c>
      <c r="B219" s="120" t="str">
        <f>[3]Sayfa1!$G216</f>
        <v>TS#2</v>
      </c>
      <c r="C219" s="121" t="str">
        <f>[3]Sayfa1!$H216</f>
        <v>Mc1</v>
      </c>
      <c r="D219" s="146">
        <f>[3]Sayfa1!$N216</f>
        <v>190</v>
      </c>
      <c r="E219" s="122" t="str">
        <f>[3]Sayfa1!$B216</f>
        <v>FRACAS-GDM-215</v>
      </c>
      <c r="F219" s="123">
        <f>[3]Sayfa1!$E216</f>
        <v>45686</v>
      </c>
      <c r="G219" s="124">
        <f>[3]Sayfa1!$F216</f>
        <v>45686.609027777777</v>
      </c>
      <c r="H219" s="119" t="str">
        <f>[3]Sayfa1!$I216</f>
        <v>Depo/Depot</v>
      </c>
      <c r="I219" s="125" t="str">
        <f>IF([3]Sayfa1!$K216="SSH","Notified by Bozankaya","Notified by Customer")</f>
        <v>Notified by Bozankaya</v>
      </c>
      <c r="J219" s="119" t="e">
        <f>VLOOKUP([3]Sayfa1!$AU216,#REF!,2,FALSE)</f>
        <v>#REF!</v>
      </c>
      <c r="K219" s="119" t="str">
        <f>[3]Sayfa1!$V216</f>
        <v>PİTON BİLGİSAYAR TEKNOLOJİLERİ EĞİT</v>
      </c>
      <c r="L219" s="126" t="str">
        <f t="shared" si="82"/>
        <v>GDM7X4-FRACAS-GDM-215</v>
      </c>
      <c r="M219" s="127" t="str">
        <f>[3]Sayfa1!$L216</f>
        <v>18 inç ekran çalışmıyor</v>
      </c>
      <c r="N219" s="128" t="str">
        <f>[3]Sayfa1!$J216</f>
        <v>C-Uyarı, sürüş devamlılığı</v>
      </c>
      <c r="O219" s="128" t="str">
        <f>[3]Sayfa1!$P216</f>
        <v>C(Sisteme etki etmeyen arıza)</v>
      </c>
      <c r="P219" s="128" t="str">
        <f>[3]Sayfa1!$Q216</f>
        <v>N.A(Yaralanma yok)</v>
      </c>
      <c r="Q219" s="129" t="str" cm="1">
        <f t="array" ref="Q219">_xlfn.IFS([3]Sayfa1!$R216="Bozankaya","Bozankaya",[3]Sayfa1!$R216="İşletme","Customer",[3]Sayfa1!$R216="Tedarikçi","Equipment Supplier")</f>
        <v>Equipment Supplier</v>
      </c>
      <c r="R219" s="130" t="str">
        <f>[3]Sayfa1!$M216</f>
        <v>Ekran gelen valtaj beslemesi ölçüldü 130 v geldi görüldü ama ekran ledinde görüntü gelmemektedir.</v>
      </c>
      <c r="S219" s="147" t="str">
        <f>[3]Sayfa1!$AB216</f>
        <v>Ekipman değiştirilecek</v>
      </c>
      <c r="T219" s="147" t="str">
        <f>[3]Sayfa1!$AA216</f>
        <v>Evet</v>
      </c>
      <c r="U219" s="131">
        <f>[3]Sayfa1!$AN216</f>
        <v>2</v>
      </c>
      <c r="V219" s="132">
        <f>[3]Sayfa1!$T216</f>
        <v>45686</v>
      </c>
      <c r="W219" s="133">
        <f>[3]Sayfa1!$U216</f>
        <v>45686.65347222222</v>
      </c>
      <c r="X219" s="134">
        <f t="shared" si="83"/>
        <v>45686.65347222222</v>
      </c>
      <c r="Y219" s="123">
        <f>[3]Sayfa1!$AQ216</f>
        <v>45686</v>
      </c>
      <c r="Z219" s="135">
        <f>[3]Sayfa1!$AR216</f>
        <v>45686.658333333333</v>
      </c>
      <c r="AA219" s="134">
        <f t="shared" si="84"/>
        <v>45686.658333333333</v>
      </c>
      <c r="AB219" s="136">
        <f t="shared" si="85"/>
        <v>0</v>
      </c>
      <c r="AC219" s="137">
        <f t="shared" si="86"/>
        <v>45686</v>
      </c>
      <c r="AD219" s="135">
        <f t="shared" si="87"/>
        <v>45686.658333333333</v>
      </c>
      <c r="AE219" s="138">
        <f t="shared" si="88"/>
        <v>45686.658333333333</v>
      </c>
      <c r="AF219" s="139" t="str">
        <f>[3]Sayfa1!$AP216</f>
        <v>(II) Birden fazla karşılaşılan arıza</v>
      </c>
      <c r="AG219" s="128" t="str">
        <f>IF([3]Sayfa1!$P216="C(Sisteme etki etmeyen arıza)","Bu Arıza Aracın Servise Verilmesine Engel Değil","Bu Arıza Aracın Servise Verilmesine Engel")</f>
        <v>Bu Arıza Aracın Servise Verilmesine Engel Değil</v>
      </c>
      <c r="AH219" s="140" t="e">
        <f>[3]Sayfa1!$AC216</f>
        <v>#NAME?</v>
      </c>
      <c r="AI219" s="137"/>
      <c r="AJ219" s="137"/>
      <c r="AK219" s="138">
        <f t="shared" si="89"/>
        <v>0</v>
      </c>
      <c r="AL219" s="136">
        <f t="shared" si="90"/>
        <v>0</v>
      </c>
      <c r="AM219" s="136">
        <f t="shared" si="91"/>
        <v>0</v>
      </c>
      <c r="AN219" s="141" t="str">
        <f t="shared" si="92"/>
        <v>PİTON BİLGİSAYAR TEKNOLOJİLERİ EĞİT</v>
      </c>
      <c r="AO219" s="141">
        <f>[3]Sayfa1!$X216</f>
        <v>0</v>
      </c>
      <c r="AP219" s="141">
        <f>[3]Sayfa1!$Z216</f>
        <v>869023001895</v>
      </c>
      <c r="AQ219" s="122" t="str">
        <f>[3]Sayfa1!$W216</f>
        <v>E840-8006/LCD EKRAN</v>
      </c>
      <c r="AR219" s="142">
        <f>[3]Sayfa1!$Y216</f>
        <v>1</v>
      </c>
      <c r="AS219" s="143">
        <f>[3]Sayfa1!$AD216</f>
        <v>0</v>
      </c>
      <c r="AT219" s="137" t="str">
        <f>[3]Sayfa1!$AE216</f>
        <v/>
      </c>
      <c r="AU219" s="137" t="str">
        <f>[3]Sayfa1!$AH216</f>
        <v/>
      </c>
      <c r="AV219" s="144">
        <v>215</v>
      </c>
      <c r="AW219" s="145" t="e">
        <f>U219*AB219*#REF!</f>
        <v>#REF!</v>
      </c>
    </row>
    <row r="220" spans="1:49" ht="101.25" customHeight="1">
      <c r="A220" s="119" t="s">
        <v>57</v>
      </c>
      <c r="B220" s="120" t="str">
        <f>[3]Sayfa1!$G217</f>
        <v>TS#1</v>
      </c>
      <c r="C220" s="121" t="str">
        <f>[3]Sayfa1!$H217</f>
        <v>Mc1 , T , M , Mc2</v>
      </c>
      <c r="D220" s="146">
        <f>[3]Sayfa1!$N217</f>
        <v>1200</v>
      </c>
      <c r="E220" s="122" t="str">
        <f>[3]Sayfa1!$B217</f>
        <v>FRACAS-GDM-216</v>
      </c>
      <c r="F220" s="123">
        <f>[3]Sayfa1!$E217</f>
        <v>45686</v>
      </c>
      <c r="G220" s="124">
        <f>[3]Sayfa1!$F217</f>
        <v>45686.5</v>
      </c>
      <c r="H220" s="119" t="str">
        <f>[3]Sayfa1!$I217</f>
        <v>Hat/Line</v>
      </c>
      <c r="I220" s="125" t="str">
        <f>IF([3]Sayfa1!$K217="SSH","Notified by Bozankaya","Notified by Customer")</f>
        <v>Notified by Bozankaya</v>
      </c>
      <c r="J220" s="119" t="e">
        <f>VLOOKUP([3]Sayfa1!$AU217,#REF!,2,FALSE)</f>
        <v>#REF!</v>
      </c>
      <c r="K220" s="119" t="str">
        <f>[3]Sayfa1!$V217</f>
        <v>Bozankaya</v>
      </c>
      <c r="L220" s="126" t="str">
        <f t="shared" si="82"/>
        <v>GDM7X4-FRACAS-GDM-216</v>
      </c>
      <c r="M220" s="127" t="str">
        <f>[3]Sayfa1!$L217</f>
        <v>Analog Kablo Montaj Hatası</v>
      </c>
      <c r="N220" s="128" t="str">
        <f>[3]Sayfa1!$J217</f>
        <v>A-Sürüşü engeller</v>
      </c>
      <c r="O220" s="128" t="str">
        <f>[3]Sayfa1!$P217</f>
        <v>B(Servisten çekmeye etki eden arızalar)</v>
      </c>
      <c r="P220" s="128" t="str">
        <f>[3]Sayfa1!$Q217</f>
        <v>N.A(Yaralanma yok)</v>
      </c>
      <c r="Q220" s="129" t="str" cm="1">
        <f t="array" ref="Q220">_xlfn.IFS([3]Sayfa1!$R217="Bozankaya","Bozankaya",[3]Sayfa1!$R217="İşletme","Customer",[3]Sayfa1!$R217="Tedarikçi","Equipment Supplier")</f>
        <v>Bozankaya</v>
      </c>
      <c r="R220" s="130" t="str">
        <f>[3]Sayfa1!$M217</f>
        <v>Gebze-Darıca Metro Projesi kapsamında araçlarda kullanılan ekranlara görüntü aktarımını sağlayan analog kabloların F konnektör bağlantılarında montaj hatası tespit edilmiştir. Doğru uygulamada, analog kablonun dış kauçuğu F konnektörün içine girecek şekilde yerleştirilmeli ve sıkma pensesi ile sağlamlaştırılmalıydı. Ancak sahada yapılan incelemelerde, kabloların dış kauçuğunun soyularak F konnektörün çakıldığı ve üzerine makaron geçirildiği belirlenmiştir.  Bu yöntem, F konnektörlerin iç çapının kabloya göre dar olması sebebiyle tercih edilmiş olsa da, araçlardaki sarsıntı ve titreşim nedeniyle konnektörlerin zamanla kablodan ayrıldığı tespit edilmiştir. Bu durum, ekranlara görüntü aktarımının kesilmesine ve sistemde işlevsellik kaybına yol açmıştır.  Sorunun giderilmesi için doğru montaj yönteminin uygulanması, konnektör bağlantılarının güçlendirilmesi ve ilgili bağlantıların tekrar kontrol edilmesi gerekmektedir.</v>
      </c>
      <c r="S220" s="147">
        <f>[3]Sayfa1!$AB217</f>
        <v>0</v>
      </c>
      <c r="T220" s="147" t="str">
        <f>[3]Sayfa1!$AA217</f>
        <v>Evet</v>
      </c>
      <c r="U220" s="131">
        <f>[3]Sayfa1!$AN217</f>
        <v>0</v>
      </c>
      <c r="V220" s="132">
        <f>[3]Sayfa1!$T217</f>
        <v>45686</v>
      </c>
      <c r="W220" s="133">
        <f>[3]Sayfa1!$U217</f>
        <v>45686.541666666664</v>
      </c>
      <c r="X220" s="134">
        <f t="shared" si="83"/>
        <v>45686.541666666664</v>
      </c>
      <c r="Y220" s="123" t="str">
        <f>[3]Sayfa1!$AQ217</f>
        <v/>
      </c>
      <c r="Z220" s="135">
        <f>[3]Sayfa1!$AR217</f>
        <v>0</v>
      </c>
      <c r="AA220" s="134">
        <f t="shared" si="84"/>
        <v>0</v>
      </c>
      <c r="AB220" s="136">
        <f t="shared" si="85"/>
        <v>0</v>
      </c>
      <c r="AC220" s="137" t="str">
        <f t="shared" si="86"/>
        <v/>
      </c>
      <c r="AD220" s="135">
        <f t="shared" si="87"/>
        <v>0</v>
      </c>
      <c r="AE220" s="138">
        <f t="shared" si="88"/>
        <v>0</v>
      </c>
      <c r="AF220" s="139" t="str">
        <f>[3]Sayfa1!$AP217</f>
        <v>(I) İlk defa karşılaşılan arıza</v>
      </c>
      <c r="AG220" s="128" t="str">
        <f>IF([3]Sayfa1!$P217="C(Sisteme etki etmeyen arıza)","Bu Arıza Aracın Servise Verilmesine Engel Değil","Bu Arıza Aracın Servise Verilmesine Engel")</f>
        <v>Bu Arıza Aracın Servise Verilmesine Engel</v>
      </c>
      <c r="AH220" s="140" t="e">
        <f>[3]Sayfa1!$AC217</f>
        <v>#NAME?</v>
      </c>
      <c r="AI220" s="137"/>
      <c r="AJ220" s="137"/>
      <c r="AK220" s="138">
        <f t="shared" si="89"/>
        <v>0</v>
      </c>
      <c r="AL220" s="136">
        <f t="shared" si="90"/>
        <v>0</v>
      </c>
      <c r="AM220" s="136">
        <f t="shared" si="91"/>
        <v>0</v>
      </c>
      <c r="AN220" s="141" t="str">
        <f t="shared" si="92"/>
        <v>Bozankaya</v>
      </c>
      <c r="AO220" s="141">
        <f>[3]Sayfa1!$X217</f>
        <v>0</v>
      </c>
      <c r="AP220" s="141">
        <f>[3]Sayfa1!$Z217</f>
        <v>0</v>
      </c>
      <c r="AQ220" s="122" t="str">
        <f>[3]Sayfa1!$W217</f>
        <v>B000-0000/Bozankaya</v>
      </c>
      <c r="AR220" s="142">
        <f>[3]Sayfa1!$Y217</f>
        <v>15</v>
      </c>
      <c r="AS220" s="143">
        <f>[3]Sayfa1!$AD217</f>
        <v>0</v>
      </c>
      <c r="AT220" s="137" t="str">
        <f>[3]Sayfa1!$AE217</f>
        <v/>
      </c>
      <c r="AU220" s="137" t="str">
        <f>[3]Sayfa1!$AH217</f>
        <v/>
      </c>
      <c r="AV220" s="144">
        <v>216</v>
      </c>
      <c r="AW220" s="145" t="e">
        <f>U220*AB220*#REF!</f>
        <v>#REF!</v>
      </c>
    </row>
    <row r="221" spans="1:49" ht="101.25" customHeight="1">
      <c r="A221" s="119" t="s">
        <v>57</v>
      </c>
      <c r="B221" s="120" t="str">
        <f>[3]Sayfa1!$G218</f>
        <v>TS#2</v>
      </c>
      <c r="C221" s="121" t="str">
        <f>[3]Sayfa1!$H218</f>
        <v>T</v>
      </c>
      <c r="D221" s="146">
        <f>[3]Sayfa1!$N218</f>
        <v>119</v>
      </c>
      <c r="E221" s="122" t="str">
        <f>[3]Sayfa1!$B218</f>
        <v>FRACAS-GDM-217</v>
      </c>
      <c r="F221" s="123">
        <f>[3]Sayfa1!$E218</f>
        <v>45686</v>
      </c>
      <c r="G221" s="124">
        <f>[3]Sayfa1!$F218</f>
        <v>45686.665162037039</v>
      </c>
      <c r="H221" s="119" t="str">
        <f>[3]Sayfa1!$I218</f>
        <v>Depo/Depot</v>
      </c>
      <c r="I221" s="125" t="str">
        <f>IF([3]Sayfa1!$K218="SSH","Notified by Bozankaya","Notified by Customer")</f>
        <v>Notified by Bozankaya</v>
      </c>
      <c r="J221" s="119" t="e">
        <f>VLOOKUP([3]Sayfa1!$AU218,#REF!,2,FALSE)</f>
        <v>#REF!</v>
      </c>
      <c r="K221" s="119" t="str">
        <f>[3]Sayfa1!$V218</f>
        <v>PİTON BİLGİSAYAR TEKNOLOJİLERİ EĞİT</v>
      </c>
      <c r="L221" s="126" t="str">
        <f t="shared" si="82"/>
        <v>GDM7X4-FRACAS-GDM-217</v>
      </c>
      <c r="M221" s="127" t="str">
        <f>[3]Sayfa1!$L218</f>
        <v>18 inç ekran kırık</v>
      </c>
      <c r="N221" s="128" t="str">
        <f>[3]Sayfa1!$J218</f>
        <v>C-Uyarı, sürüş devamlılığı</v>
      </c>
      <c r="O221" s="128" t="str">
        <f>[3]Sayfa1!$P218</f>
        <v>C(Sisteme etki etmeyen arıza)</v>
      </c>
      <c r="P221" s="128" t="str">
        <f>[3]Sayfa1!$Q218</f>
        <v>N.A(Yaralanma yok)</v>
      </c>
      <c r="Q221" s="129" t="str" cm="1">
        <f t="array" ref="Q221">_xlfn.IFS([3]Sayfa1!$R218="Bozankaya","Bozankaya",[3]Sayfa1!$R218="İşletme","Customer",[3]Sayfa1!$R218="Tedarikçi","Equipment Supplier")</f>
        <v>Bozankaya</v>
      </c>
      <c r="R221" s="130" t="str">
        <f>[3]Sayfa1!$M218</f>
        <v>Yapılan görsel kontrol sonrasında ekranın kırık olduğu görüldü yeni ekranla değişim yapılacak.</v>
      </c>
      <c r="S221" s="147" t="str">
        <f>[3]Sayfa1!$AB218</f>
        <v>Ekipman değiştirilecek</v>
      </c>
      <c r="T221" s="147" t="str">
        <f>[3]Sayfa1!$AA218</f>
        <v>Hayır</v>
      </c>
      <c r="U221" s="131">
        <f>[3]Sayfa1!$AN218</f>
        <v>2</v>
      </c>
      <c r="V221" s="132">
        <f>[3]Sayfa1!$T218</f>
        <v>45686</v>
      </c>
      <c r="W221" s="133">
        <f>[3]Sayfa1!$U218</f>
        <v>45686.666666666664</v>
      </c>
      <c r="X221" s="134">
        <f t="shared" si="83"/>
        <v>45686.666666666664</v>
      </c>
      <c r="Y221" s="123">
        <f>[3]Sayfa1!$AQ218</f>
        <v>45686</v>
      </c>
      <c r="Z221" s="135">
        <f>[3]Sayfa1!$AR218</f>
        <v>45686.669444444444</v>
      </c>
      <c r="AA221" s="134">
        <f t="shared" si="84"/>
        <v>45686.669444444444</v>
      </c>
      <c r="AB221" s="136">
        <f t="shared" si="85"/>
        <v>0</v>
      </c>
      <c r="AC221" s="137">
        <f t="shared" si="86"/>
        <v>45686</v>
      </c>
      <c r="AD221" s="135">
        <f t="shared" si="87"/>
        <v>45686.669444444444</v>
      </c>
      <c r="AE221" s="138">
        <f t="shared" si="88"/>
        <v>45686.669444444444</v>
      </c>
      <c r="AF221" s="139" t="str">
        <f>[3]Sayfa1!$AP218</f>
        <v>(II) Birden fazla karşılaşılan arıza</v>
      </c>
      <c r="AG221" s="128" t="str">
        <f>IF([3]Sayfa1!$P218="C(Sisteme etki etmeyen arıza)","Bu Arıza Aracın Servise Verilmesine Engel Değil","Bu Arıza Aracın Servise Verilmesine Engel")</f>
        <v>Bu Arıza Aracın Servise Verilmesine Engel Değil</v>
      </c>
      <c r="AH221" s="140" t="e">
        <f>[3]Sayfa1!$AC218</f>
        <v>#NAME?</v>
      </c>
      <c r="AI221" s="137"/>
      <c r="AJ221" s="137"/>
      <c r="AK221" s="138">
        <f t="shared" si="89"/>
        <v>0</v>
      </c>
      <c r="AL221" s="136">
        <f t="shared" si="90"/>
        <v>0</v>
      </c>
      <c r="AM221" s="136">
        <f t="shared" si="91"/>
        <v>0</v>
      </c>
      <c r="AN221" s="141" t="str">
        <f t="shared" si="92"/>
        <v>PİTON BİLGİSAYAR TEKNOLOJİLERİ EĞİT</v>
      </c>
      <c r="AO221" s="141">
        <f>[3]Sayfa1!$X218</f>
        <v>0</v>
      </c>
      <c r="AP221" s="141">
        <f>[3]Sayfa1!$Z218</f>
        <v>86923001967</v>
      </c>
      <c r="AQ221" s="122" t="str">
        <f>[3]Sayfa1!$W218</f>
        <v>E840-8006/LCD EKRAN</v>
      </c>
      <c r="AR221" s="142">
        <f>[3]Sayfa1!$Y218</f>
        <v>1</v>
      </c>
      <c r="AS221" s="143">
        <f>[3]Sayfa1!$AD218</f>
        <v>0</v>
      </c>
      <c r="AT221" s="137">
        <f>[3]Sayfa1!$AE218</f>
        <v>45686</v>
      </c>
      <c r="AU221" s="137">
        <f>[3]Sayfa1!$AH218</f>
        <v>45686</v>
      </c>
      <c r="AV221" s="144">
        <v>217</v>
      </c>
      <c r="AW221" s="145" t="e">
        <f>U221*AB221*#REF!</f>
        <v>#REF!</v>
      </c>
    </row>
    <row r="222" spans="1:49" ht="101.25" customHeight="1">
      <c r="A222" s="119" t="s">
        <v>57</v>
      </c>
      <c r="B222" s="120" t="str">
        <f>[3]Sayfa1!$G219</f>
        <v>TS#2</v>
      </c>
      <c r="C222" s="121" t="str">
        <f>[3]Sayfa1!$H219</f>
        <v>Mc1</v>
      </c>
      <c r="D222" s="146">
        <f>[3]Sayfa1!$N219</f>
        <v>119</v>
      </c>
      <c r="E222" s="122" t="str">
        <f>[3]Sayfa1!$B219</f>
        <v>FRACAS-GDM-218</v>
      </c>
      <c r="F222" s="123">
        <f>[3]Sayfa1!$E219</f>
        <v>45686</v>
      </c>
      <c r="G222" s="124">
        <f>[3]Sayfa1!$F219</f>
        <v>45686.672002314815</v>
      </c>
      <c r="H222" s="119" t="str">
        <f>[3]Sayfa1!$I219</f>
        <v>Depo/Depot</v>
      </c>
      <c r="I222" s="125" t="str">
        <f>IF([3]Sayfa1!$K219="SSH","Notified by Bozankaya","Notified by Customer")</f>
        <v>Notified by Bozankaya</v>
      </c>
      <c r="J222" s="119" t="e">
        <f>VLOOKUP([3]Sayfa1!$AU219,#REF!,2,FALSE)</f>
        <v>#REF!</v>
      </c>
      <c r="K222" s="119" t="str">
        <f>[3]Sayfa1!$V219</f>
        <v>PİTON BİLGİSAYAR TEKNOLOJİLERİ EĞİT</v>
      </c>
      <c r="L222" s="126" t="str">
        <f t="shared" si="82"/>
        <v>GDM7X4-FRACAS-GDM-218</v>
      </c>
      <c r="M222" s="127" t="str">
        <f>[3]Sayfa1!$L219</f>
        <v>18 inç ekranlara görüntü basan rf modülatör görüntü basmıyor.</v>
      </c>
      <c r="N222" s="128" t="str">
        <f>[3]Sayfa1!$J219</f>
        <v>C-Uyarı, sürüş devamlılığı</v>
      </c>
      <c r="O222" s="128" t="str">
        <f>[3]Sayfa1!$P219</f>
        <v>C(Sisteme etki etmeyen arıza)</v>
      </c>
      <c r="P222" s="128" t="str">
        <f>[3]Sayfa1!$Q219</f>
        <v>N.A(Yaralanma yok)</v>
      </c>
      <c r="Q222" s="129" t="str" cm="1">
        <f t="array" ref="Q222">_xlfn.IFS([3]Sayfa1!$R219="Bozankaya","Bozankaya",[3]Sayfa1!$R219="İşletme","Customer",[3]Sayfa1!$R219="Tedarikçi","Equipment Supplier")</f>
        <v>Equipment Supplier</v>
      </c>
      <c r="R222" s="130" t="str">
        <f>[3]Sayfa1!$M219</f>
        <v>18 inç ekranlara görüntü basan RF görüntü basmıyor. Voltaj ölçümü yapıdı 130 v besleme geliyor Aref çalışmıyor.</v>
      </c>
      <c r="S222" s="147" t="str">
        <f>[3]Sayfa1!$AB219</f>
        <v>Ekipman değiştirilecek</v>
      </c>
      <c r="T222" s="147" t="str">
        <f>[3]Sayfa1!$AA219</f>
        <v>Evet</v>
      </c>
      <c r="U222" s="131">
        <f>[3]Sayfa1!$AN219</f>
        <v>0</v>
      </c>
      <c r="V222" s="132">
        <f>[3]Sayfa1!$T219</f>
        <v>45686</v>
      </c>
      <c r="W222" s="133">
        <f>[3]Sayfa1!$U219</f>
        <v>45686.631944444445</v>
      </c>
      <c r="X222" s="134">
        <f t="shared" si="83"/>
        <v>45686.631944444445</v>
      </c>
      <c r="Y222" s="123" t="str">
        <f>[3]Sayfa1!$AQ219</f>
        <v/>
      </c>
      <c r="Z222" s="135">
        <f>[3]Sayfa1!$AR219</f>
        <v>0</v>
      </c>
      <c r="AA222" s="134">
        <f t="shared" si="84"/>
        <v>0</v>
      </c>
      <c r="AB222" s="136">
        <f t="shared" si="85"/>
        <v>0</v>
      </c>
      <c r="AC222" s="137" t="str">
        <f t="shared" si="86"/>
        <v/>
      </c>
      <c r="AD222" s="135">
        <f t="shared" si="87"/>
        <v>0</v>
      </c>
      <c r="AE222" s="138">
        <f t="shared" si="88"/>
        <v>0</v>
      </c>
      <c r="AF222" s="139" t="str">
        <f>[3]Sayfa1!$AP219</f>
        <v>(II) Birden fazla karşılaşılan arıza</v>
      </c>
      <c r="AG222" s="128" t="str">
        <f>IF([3]Sayfa1!$P219="C(Sisteme etki etmeyen arıza)","Bu Arıza Aracın Servise Verilmesine Engel Değil","Bu Arıza Aracın Servise Verilmesine Engel")</f>
        <v>Bu Arıza Aracın Servise Verilmesine Engel Değil</v>
      </c>
      <c r="AH222" s="140" t="e">
        <f>[3]Sayfa1!$AC219</f>
        <v>#NAME?</v>
      </c>
      <c r="AI222" s="137"/>
      <c r="AJ222" s="137"/>
      <c r="AK222" s="138">
        <f t="shared" si="89"/>
        <v>0</v>
      </c>
      <c r="AL222" s="136">
        <f t="shared" si="90"/>
        <v>0</v>
      </c>
      <c r="AM222" s="136">
        <f t="shared" si="91"/>
        <v>0</v>
      </c>
      <c r="AN222" s="141" t="str">
        <f t="shared" si="92"/>
        <v>PİTON BİLGİSAYAR TEKNOLOJİLERİ EĞİT</v>
      </c>
      <c r="AO222" s="141">
        <f>[3]Sayfa1!$X219</f>
        <v>0</v>
      </c>
      <c r="AP222" s="141">
        <f>[3]Sayfa1!$Z219</f>
        <v>869023002248</v>
      </c>
      <c r="AQ222" s="122" t="str">
        <f>[3]Sayfa1!$W219</f>
        <v>E840-8010/Multiplexer</v>
      </c>
      <c r="AR222" s="142">
        <f>[3]Sayfa1!$Y219</f>
        <v>1</v>
      </c>
      <c r="AS222" s="143">
        <f>[3]Sayfa1!$AD219</f>
        <v>0</v>
      </c>
      <c r="AT222" s="137" t="str">
        <f>[3]Sayfa1!$AE219</f>
        <v/>
      </c>
      <c r="AU222" s="137" t="str">
        <f>[3]Sayfa1!$AH219</f>
        <v/>
      </c>
      <c r="AV222" s="144">
        <v>218</v>
      </c>
      <c r="AW222" s="145" t="e">
        <f>U222*AB222*#REF!</f>
        <v>#REF!</v>
      </c>
    </row>
    <row r="223" spans="1:49" ht="101.25" customHeight="1">
      <c r="A223" s="119" t="s">
        <v>57</v>
      </c>
      <c r="B223" s="120" t="str">
        <f>[3]Sayfa1!$G220</f>
        <v>TS#7</v>
      </c>
      <c r="C223" s="121" t="str">
        <f>[3]Sayfa1!$H220</f>
        <v>Mc1</v>
      </c>
      <c r="D223" s="146">
        <f>[3]Sayfa1!$N220</f>
        <v>191</v>
      </c>
      <c r="E223" s="122" t="str">
        <f>[3]Sayfa1!$B220</f>
        <v>FRACAS-GDM-219</v>
      </c>
      <c r="F223" s="123">
        <f>[3]Sayfa1!$E220</f>
        <v>45687</v>
      </c>
      <c r="G223" s="124">
        <f>[3]Sayfa1!$F220</f>
        <v>45687.681319444448</v>
      </c>
      <c r="H223" s="119" t="str">
        <f>[3]Sayfa1!$I220</f>
        <v>Depo/Depot</v>
      </c>
      <c r="I223" s="125" t="str">
        <f>IF([3]Sayfa1!$K220="SSH","Notified by Bozankaya","Notified by Customer")</f>
        <v>Notified by Bozankaya</v>
      </c>
      <c r="J223" s="119" t="e">
        <f>VLOOKUP([3]Sayfa1!$AU220,#REF!,2,FALSE)</f>
        <v>#REF!</v>
      </c>
      <c r="K223" s="119" t="str">
        <f>[3]Sayfa1!$V220</f>
        <v>PİTON BİLGİSAYAR TEKNOLOJİLERİ EĞİT</v>
      </c>
      <c r="L223" s="126" t="str">
        <f t="shared" si="82"/>
        <v>GDM7X4-FRACAS-GDM-219</v>
      </c>
      <c r="M223" s="127" t="str">
        <f>[3]Sayfa1!$L220</f>
        <v>Kapı üstü güzergah led ekranında enerji gidip geliyor.</v>
      </c>
      <c r="N223" s="128" t="str">
        <f>[3]Sayfa1!$J220</f>
        <v>C-Uyarı, sürüş devamlılığı</v>
      </c>
      <c r="O223" s="128" t="str">
        <f>[3]Sayfa1!$P220</f>
        <v>C(Sisteme etki etmeyen arıza)</v>
      </c>
      <c r="P223" s="128" t="str">
        <f>[3]Sayfa1!$Q220</f>
        <v>N.A(Yaralanma yok)</v>
      </c>
      <c r="Q223" s="129" t="str" cm="1">
        <f t="array" ref="Q223">_xlfn.IFS([3]Sayfa1!$R220="Bozankaya","Bozankaya",[3]Sayfa1!$R220="İşletme","Customer",[3]Sayfa1!$R220="Tedarikçi","Equipment Supplier")</f>
        <v>Equipment Supplier</v>
      </c>
      <c r="R223" s="130" t="str">
        <f>[3]Sayfa1!$M220</f>
        <v>Ürün garantisi devam ettiğinden ekran pitona yolanacak.</v>
      </c>
      <c r="S223" s="147" t="str">
        <f>[3]Sayfa1!$AB220</f>
        <v>Arıza çözülecek</v>
      </c>
      <c r="T223" s="147" t="str">
        <f>[3]Sayfa1!$AA220</f>
        <v>Evet</v>
      </c>
      <c r="U223" s="131">
        <f>[3]Sayfa1!$AN220</f>
        <v>1</v>
      </c>
      <c r="V223" s="132">
        <f>[3]Sayfa1!$T220</f>
        <v>45687</v>
      </c>
      <c r="W223" s="133">
        <f>[3]Sayfa1!$U220</f>
        <v>45687.646527777775</v>
      </c>
      <c r="X223" s="134">
        <f t="shared" si="83"/>
        <v>45687.646527777775</v>
      </c>
      <c r="Y223" s="123" t="str">
        <f>[3]Sayfa1!$AQ220</f>
        <v/>
      </c>
      <c r="Z223" s="135">
        <f>[3]Sayfa1!$AR220</f>
        <v>0</v>
      </c>
      <c r="AA223" s="134">
        <f t="shared" si="84"/>
        <v>0</v>
      </c>
      <c r="AB223" s="136">
        <f t="shared" si="85"/>
        <v>0</v>
      </c>
      <c r="AC223" s="137" t="str">
        <f t="shared" si="86"/>
        <v/>
      </c>
      <c r="AD223" s="135">
        <f t="shared" si="87"/>
        <v>0</v>
      </c>
      <c r="AE223" s="138">
        <f t="shared" si="88"/>
        <v>0</v>
      </c>
      <c r="AF223" s="139" t="str">
        <f>[3]Sayfa1!$AP220</f>
        <v>(I) İlk defa karşılaşılan arıza</v>
      </c>
      <c r="AG223" s="128" t="str">
        <f>IF([3]Sayfa1!$P220="C(Sisteme etki etmeyen arıza)","Bu Arıza Aracın Servise Verilmesine Engel Değil","Bu Arıza Aracın Servise Verilmesine Engel")</f>
        <v>Bu Arıza Aracın Servise Verilmesine Engel Değil</v>
      </c>
      <c r="AH223" s="140" t="e">
        <f>[3]Sayfa1!$AC220</f>
        <v>#NAME?</v>
      </c>
      <c r="AI223" s="137"/>
      <c r="AJ223" s="137"/>
      <c r="AK223" s="138">
        <f t="shared" si="89"/>
        <v>0</v>
      </c>
      <c r="AL223" s="136">
        <f t="shared" si="90"/>
        <v>0</v>
      </c>
      <c r="AM223" s="136">
        <f t="shared" si="91"/>
        <v>0</v>
      </c>
      <c r="AN223" s="141" t="str">
        <f t="shared" si="92"/>
        <v>PİTON BİLGİSAYAR TEKNOLOJİLERİ EĞİT</v>
      </c>
      <c r="AO223" s="141">
        <f>[3]Sayfa1!$X220</f>
        <v>0</v>
      </c>
      <c r="AP223" s="141">
        <f>[3]Sayfa1!$Z220</f>
        <v>869023001780</v>
      </c>
      <c r="AQ223" s="122" t="str">
        <f>[3]Sayfa1!$W220</f>
        <v>E840-8007/Strech Ekran</v>
      </c>
      <c r="AR223" s="142">
        <f>[3]Sayfa1!$Y220</f>
        <v>1</v>
      </c>
      <c r="AS223" s="143">
        <f>[3]Sayfa1!$AD220</f>
        <v>0</v>
      </c>
      <c r="AT223" s="137" t="str">
        <f>[3]Sayfa1!$AE220</f>
        <v/>
      </c>
      <c r="AU223" s="137" t="str">
        <f>[3]Sayfa1!$AH220</f>
        <v/>
      </c>
      <c r="AV223" s="144">
        <v>219</v>
      </c>
      <c r="AW223" s="145" t="e">
        <f>U223*AB223*#REF!</f>
        <v>#REF!</v>
      </c>
    </row>
    <row r="224" spans="1:49" ht="101.25" customHeight="1">
      <c r="A224" s="119" t="s">
        <v>57</v>
      </c>
      <c r="B224" s="120" t="str">
        <f>[3]Sayfa1!$G221</f>
        <v>TS#1</v>
      </c>
      <c r="C224" s="121" t="str">
        <f>[3]Sayfa1!$H221</f>
        <v>M</v>
      </c>
      <c r="D224" s="146">
        <f>[3]Sayfa1!$N221</f>
        <v>1201</v>
      </c>
      <c r="E224" s="122" t="str">
        <f>[3]Sayfa1!$B221</f>
        <v>FRACAS-GDM-220</v>
      </c>
      <c r="F224" s="123">
        <f>[3]Sayfa1!$E221</f>
        <v>45693</v>
      </c>
      <c r="G224" s="124">
        <f>[3]Sayfa1!$F221</f>
        <v>45693.078645833331</v>
      </c>
      <c r="H224" s="119" t="str">
        <f>[3]Sayfa1!$I221</f>
        <v>Depo/Depot</v>
      </c>
      <c r="I224" s="125" t="str">
        <f>IF([3]Sayfa1!$K221="SSH","Notified by Bozankaya","Notified by Customer")</f>
        <v>Notified by Bozankaya</v>
      </c>
      <c r="J224" s="119" t="e">
        <f>VLOOKUP([3]Sayfa1!$AU221,#REF!,2,FALSE)</f>
        <v>#REF!</v>
      </c>
      <c r="K224" s="119" t="str">
        <f>[3]Sayfa1!$V221</f>
        <v>AYPA MÜHENDİSLİK PROJE DANIŞMANLIK</v>
      </c>
      <c r="L224" s="126" t="str">
        <f t="shared" si="82"/>
        <v>GDM7X4-FRACAS-GDM-220</v>
      </c>
      <c r="M224" s="127" t="str">
        <f>[3]Sayfa1!$L221</f>
        <v>Röle yapışması</v>
      </c>
      <c r="N224" s="128" t="str">
        <f>[3]Sayfa1!$J221</f>
        <v>A-Sürüşü engeller</v>
      </c>
      <c r="O224" s="128" t="str">
        <f>[3]Sayfa1!$P221</f>
        <v>A(Hareket etmeyi engelleyen arıza)</v>
      </c>
      <c r="P224" s="128" t="str">
        <f>[3]Sayfa1!$Q221</f>
        <v>N.A(Yaralanma yok)</v>
      </c>
      <c r="Q224" s="129" t="str" cm="1">
        <f t="array" ref="Q224">_xlfn.IFS([3]Sayfa1!$R221="Bozankaya","Bozankaya",[3]Sayfa1!$R221="İşletme","Customer",[3]Sayfa1!$R221="Tedarikçi","Equipment Supplier")</f>
        <v>Equipment Supplier</v>
      </c>
      <c r="R224" s="130" t="str">
        <f>[3]Sayfa1!$M221</f>
        <v>M vagon 59 panoda JC-K02 rölesinin yapıştığı tespit edildi. Röle sıfır hızı dağıtan röle yapıştığından dolayı araca sürekli olarak sıfır hız geliyor.</v>
      </c>
      <c r="S224" s="147" t="str">
        <f>[3]Sayfa1!$AB221</f>
        <v>Ekipman değiştirilecek</v>
      </c>
      <c r="T224" s="147" t="str">
        <f>[3]Sayfa1!$AA221</f>
        <v>Evet</v>
      </c>
      <c r="U224" s="131">
        <f>[3]Sayfa1!$AN221</f>
        <v>1</v>
      </c>
      <c r="V224" s="132">
        <f>[3]Sayfa1!$T221</f>
        <v>45693</v>
      </c>
      <c r="W224" s="133">
        <f>[3]Sayfa1!$U221</f>
        <v>45693.07916666667</v>
      </c>
      <c r="X224" s="134">
        <f t="shared" si="83"/>
        <v>45693.07916666667</v>
      </c>
      <c r="Y224" s="123">
        <f>[3]Sayfa1!$AQ221</f>
        <v>45693</v>
      </c>
      <c r="Z224" s="135">
        <f>[3]Sayfa1!$AR221</f>
        <v>45693.089583333334</v>
      </c>
      <c r="AA224" s="134">
        <f t="shared" si="84"/>
        <v>45693.089583333334</v>
      </c>
      <c r="AB224" s="136">
        <f t="shared" si="85"/>
        <v>0</v>
      </c>
      <c r="AC224" s="137">
        <f t="shared" si="86"/>
        <v>45693</v>
      </c>
      <c r="AD224" s="135">
        <f t="shared" si="87"/>
        <v>45693.089583333334</v>
      </c>
      <c r="AE224" s="138">
        <f t="shared" si="88"/>
        <v>45693.089583333334</v>
      </c>
      <c r="AF224" s="139" t="str">
        <f>[3]Sayfa1!$AP221</f>
        <v>(I) İlk defa karşılaşılan arıza</v>
      </c>
      <c r="AG224" s="128" t="str">
        <f>IF([3]Sayfa1!$P221="C(Sisteme etki etmeyen arıza)","Bu Arıza Aracın Servise Verilmesine Engel Değil","Bu Arıza Aracın Servise Verilmesine Engel")</f>
        <v>Bu Arıza Aracın Servise Verilmesine Engel</v>
      </c>
      <c r="AH224" s="140" t="e">
        <f>[3]Sayfa1!$AC221</f>
        <v>#NAME?</v>
      </c>
      <c r="AI224" s="137"/>
      <c r="AJ224" s="137"/>
      <c r="AK224" s="138">
        <f t="shared" si="89"/>
        <v>0</v>
      </c>
      <c r="AL224" s="136">
        <f t="shared" si="90"/>
        <v>0</v>
      </c>
      <c r="AM224" s="136">
        <f t="shared" si="91"/>
        <v>0</v>
      </c>
      <c r="AN224" s="141" t="str">
        <f t="shared" si="92"/>
        <v>AYPA MÜHENDİSLİK PROJE DANIŞMANLIK</v>
      </c>
      <c r="AO224" s="141">
        <f>[3]Sayfa1!$X221</f>
        <v>0</v>
      </c>
      <c r="AP224" s="141">
        <f>[3]Sayfa1!$Z221</f>
        <v>220044020541</v>
      </c>
      <c r="AQ224" s="122" t="str">
        <f>[3]Sayfa1!$W221</f>
        <v>E110-8018/4 CO ARTECHE 110V RÖLE</v>
      </c>
      <c r="AR224" s="142">
        <f>[3]Sayfa1!$Y221</f>
        <v>1</v>
      </c>
      <c r="AS224" s="143">
        <f>[3]Sayfa1!$AD221</f>
        <v>0</v>
      </c>
      <c r="AT224" s="137" t="str">
        <f>[3]Sayfa1!$AE221</f>
        <v/>
      </c>
      <c r="AU224" s="137" t="str">
        <f>[3]Sayfa1!$AH221</f>
        <v/>
      </c>
      <c r="AV224" s="144">
        <v>220</v>
      </c>
      <c r="AW224" s="145" t="e">
        <f>U224*AB224*#REF!</f>
        <v>#REF!</v>
      </c>
    </row>
    <row r="225" spans="1:49" ht="101.25" customHeight="1">
      <c r="A225" s="119" t="s">
        <v>57</v>
      </c>
      <c r="B225" s="120" t="str">
        <f>[3]Sayfa1!$G222</f>
        <v>TS#7</v>
      </c>
      <c r="C225" s="121" t="str">
        <f>[3]Sayfa1!$H222</f>
        <v>Mc1</v>
      </c>
      <c r="D225" s="146">
        <f>[3]Sayfa1!$N222</f>
        <v>120</v>
      </c>
      <c r="E225" s="122" t="str">
        <f>[3]Sayfa1!$B222</f>
        <v>FRACAS-GDM-221</v>
      </c>
      <c r="F225" s="123">
        <f>[3]Sayfa1!$E222</f>
        <v>45700</v>
      </c>
      <c r="G225" s="124">
        <f>[3]Sayfa1!$F222</f>
        <v>45700.34375</v>
      </c>
      <c r="H225" s="119" t="str">
        <f>[3]Sayfa1!$I222</f>
        <v>Depo/Depot</v>
      </c>
      <c r="I225" s="125" t="str">
        <f>IF([3]Sayfa1!$K222="SSH","Notified by Bozankaya","Notified by Customer")</f>
        <v>Notified by Bozankaya</v>
      </c>
      <c r="J225" s="119" t="e">
        <f>VLOOKUP([3]Sayfa1!$AU222,#REF!,2,FALSE)</f>
        <v>#REF!</v>
      </c>
      <c r="K225" s="119" t="str">
        <f>[3]Sayfa1!$V222</f>
        <v>Bozankaya</v>
      </c>
      <c r="L225" s="126" t="str">
        <f t="shared" si="82"/>
        <v>GDM7X4-FRACAS-GDM-221</v>
      </c>
      <c r="M225" s="127" t="str">
        <f>[3]Sayfa1!$L222</f>
        <v>Vandalizm Olayı</v>
      </c>
      <c r="N225" s="128" t="str">
        <f>[3]Sayfa1!$J222</f>
        <v>A-Sürüşü engeller</v>
      </c>
      <c r="O225" s="128" t="str">
        <f>[3]Sayfa1!$P222</f>
        <v>C(Sisteme etki etmeyen arıza)</v>
      </c>
      <c r="P225" s="128" t="str">
        <f>[3]Sayfa1!$Q222</f>
        <v>N.A(Yaralanma yok)</v>
      </c>
      <c r="Q225" s="129" t="str" cm="1">
        <f t="array" ref="Q225">_xlfn.IFS([3]Sayfa1!$R222="Bozankaya","Bozankaya",[3]Sayfa1!$R222="İşletme","Customer",[3]Sayfa1!$R222="Tedarikçi","Equipment Supplier")</f>
        <v>Bozankaya</v>
      </c>
      <c r="R225" s="130" t="str">
        <f>[3]Sayfa1!$M222</f>
        <v>M-MC1 Körüğünden başlayarak 7. Kapı dahil olmak üzere 5. Kapıya kadar 8metre uzunlupunda 2 metre yüksekliğinde grafiti yapıldığı tespit edildi.</v>
      </c>
      <c r="S225" s="147">
        <f>[3]Sayfa1!$AB222</f>
        <v>0</v>
      </c>
      <c r="T225" s="147">
        <f>[3]Sayfa1!$AA222</f>
        <v>0</v>
      </c>
      <c r="U225" s="131">
        <f>[3]Sayfa1!$AN222</f>
        <v>0</v>
      </c>
      <c r="V225" s="132">
        <f>[3]Sayfa1!$T222</f>
        <v>45700</v>
      </c>
      <c r="W225" s="133">
        <f>[3]Sayfa1!$U222</f>
        <v>45700.375</v>
      </c>
      <c r="X225" s="134">
        <f t="shared" si="83"/>
        <v>45700.375</v>
      </c>
      <c r="Y225" s="123" t="str">
        <f>[3]Sayfa1!$AQ222</f>
        <v/>
      </c>
      <c r="Z225" s="135">
        <f>[3]Sayfa1!$AR222</f>
        <v>0</v>
      </c>
      <c r="AA225" s="134">
        <f t="shared" si="84"/>
        <v>0</v>
      </c>
      <c r="AB225" s="136">
        <f t="shared" si="85"/>
        <v>0</v>
      </c>
      <c r="AC225" s="137" t="str">
        <f t="shared" si="86"/>
        <v/>
      </c>
      <c r="AD225" s="135">
        <f t="shared" si="87"/>
        <v>0</v>
      </c>
      <c r="AE225" s="138">
        <f t="shared" si="88"/>
        <v>0</v>
      </c>
      <c r="AF225" s="139" t="str">
        <f>[3]Sayfa1!$AP222</f>
        <v>(II) Birden fazla karşılaşılan arıza</v>
      </c>
      <c r="AG225" s="128" t="str">
        <f>IF([3]Sayfa1!$P222="C(Sisteme etki etmeyen arıza)","Bu Arıza Aracın Servise Verilmesine Engel Değil","Bu Arıza Aracın Servise Verilmesine Engel")</f>
        <v>Bu Arıza Aracın Servise Verilmesine Engel Değil</v>
      </c>
      <c r="AH225" s="140" t="e">
        <f>[3]Sayfa1!$AC222</f>
        <v>#NAME?</v>
      </c>
      <c r="AI225" s="137"/>
      <c r="AJ225" s="137"/>
      <c r="AK225" s="138">
        <f t="shared" si="89"/>
        <v>0</v>
      </c>
      <c r="AL225" s="136">
        <f t="shared" si="90"/>
        <v>0</v>
      </c>
      <c r="AM225" s="136">
        <f t="shared" si="91"/>
        <v>0</v>
      </c>
      <c r="AN225" s="141" t="str">
        <f t="shared" si="92"/>
        <v>Bozankaya</v>
      </c>
      <c r="AO225" s="141">
        <f>[3]Sayfa1!$X222</f>
        <v>0</v>
      </c>
      <c r="AP225" s="141">
        <f>[3]Sayfa1!$Z222</f>
        <v>0</v>
      </c>
      <c r="AQ225" s="122" t="str">
        <f>[3]Sayfa1!$W222</f>
        <v>B000-0000/Bozankaya</v>
      </c>
      <c r="AR225" s="142">
        <f>[3]Sayfa1!$Y222</f>
        <v>0</v>
      </c>
      <c r="AS225" s="143">
        <f>[3]Sayfa1!$AD222</f>
        <v>0</v>
      </c>
      <c r="AT225" s="137" t="str">
        <f>[3]Sayfa1!$AE222</f>
        <v/>
      </c>
      <c r="AU225" s="137" t="str">
        <f>[3]Sayfa1!$AH222</f>
        <v/>
      </c>
      <c r="AV225" s="144">
        <v>221</v>
      </c>
      <c r="AW225" s="145" t="e">
        <f>U225*AB225*#REF!</f>
        <v>#REF!</v>
      </c>
    </row>
    <row r="226" spans="1:49" ht="101.25" customHeight="1">
      <c r="A226" s="119" t="s">
        <v>57</v>
      </c>
      <c r="B226" s="120" t="str">
        <f>[3]Sayfa1!$G223</f>
        <v>TS#7</v>
      </c>
      <c r="C226" s="121" t="str">
        <f>[3]Sayfa1!$H223</f>
        <v>M</v>
      </c>
      <c r="D226" s="146">
        <f>[3]Sayfa1!$N223</f>
        <v>120</v>
      </c>
      <c r="E226" s="122" t="str">
        <f>[3]Sayfa1!$B223</f>
        <v>FRACAS-GDM-222</v>
      </c>
      <c r="F226" s="123">
        <f>[3]Sayfa1!$E223</f>
        <v>45700</v>
      </c>
      <c r="G226" s="124">
        <f>[3]Sayfa1!$F223</f>
        <v>45700.34375</v>
      </c>
      <c r="H226" s="119" t="str">
        <f>[3]Sayfa1!$I223</f>
        <v>Depo/Depot</v>
      </c>
      <c r="I226" s="125" t="str">
        <f>IF([3]Sayfa1!$K223="SSH","Notified by Bozankaya","Notified by Customer")</f>
        <v>Notified by Bozankaya</v>
      </c>
      <c r="J226" s="119" t="e">
        <f>VLOOKUP([3]Sayfa1!$AU223,#REF!,2,FALSE)</f>
        <v>#REF!</v>
      </c>
      <c r="K226" s="119" t="str">
        <f>[3]Sayfa1!$V223</f>
        <v>Bozankaya</v>
      </c>
      <c r="L226" s="126" t="str">
        <f t="shared" si="82"/>
        <v>GDM7X4-FRACAS-GDM-222</v>
      </c>
      <c r="M226" s="127" t="str">
        <f>[3]Sayfa1!$L223</f>
        <v>Vandalizm Olay</v>
      </c>
      <c r="N226" s="128" t="str">
        <f>[3]Sayfa1!$J223</f>
        <v>A-Sürüşü engeller</v>
      </c>
      <c r="O226" s="128" t="str">
        <f>[3]Sayfa1!$P223</f>
        <v>C(Sisteme etki etmeyen arıza)</v>
      </c>
      <c r="P226" s="128" t="str">
        <f>[3]Sayfa1!$Q223</f>
        <v>N.A(Yaralanma yok)</v>
      </c>
      <c r="Q226" s="129" t="str" cm="1">
        <f t="array" ref="Q226">_xlfn.IFS([3]Sayfa1!$R223="Bozankaya","Bozankaya",[3]Sayfa1!$R223="İşletme","Customer",[3]Sayfa1!$R223="Tedarikçi","Equipment Supplier")</f>
        <v>Bozankaya</v>
      </c>
      <c r="R226" s="130" t="str">
        <f>[3]Sayfa1!$M223</f>
        <v>15. Kapıdan  başlayarak, 9. Kapıya kadar 8metre uzunluğunda 2 metre yüksekliğinde grafiti yapıldığı tespit edildi.</v>
      </c>
      <c r="S226" s="147">
        <f>[3]Sayfa1!$AB223</f>
        <v>0</v>
      </c>
      <c r="T226" s="147">
        <f>[3]Sayfa1!$AA223</f>
        <v>0</v>
      </c>
      <c r="U226" s="131">
        <f>[3]Sayfa1!$AN223</f>
        <v>0</v>
      </c>
      <c r="V226" s="132">
        <f>[3]Sayfa1!$T223</f>
        <v>45700</v>
      </c>
      <c r="W226" s="133">
        <f>[3]Sayfa1!$U223</f>
        <v>45700.385416666664</v>
      </c>
      <c r="X226" s="134">
        <f t="shared" si="83"/>
        <v>45700.385416666664</v>
      </c>
      <c r="Y226" s="123" t="str">
        <f>[3]Sayfa1!$AQ223</f>
        <v/>
      </c>
      <c r="Z226" s="135">
        <f>[3]Sayfa1!$AR223</f>
        <v>0</v>
      </c>
      <c r="AA226" s="134">
        <f t="shared" si="84"/>
        <v>0</v>
      </c>
      <c r="AB226" s="136">
        <f t="shared" si="85"/>
        <v>0</v>
      </c>
      <c r="AC226" s="137" t="str">
        <f t="shared" si="86"/>
        <v/>
      </c>
      <c r="AD226" s="135">
        <f t="shared" si="87"/>
        <v>0</v>
      </c>
      <c r="AE226" s="138">
        <f t="shared" si="88"/>
        <v>0</v>
      </c>
      <c r="AF226" s="139" t="str">
        <f>[3]Sayfa1!$AP223</f>
        <v>(II) Birden fazla karşılaşılan arıza</v>
      </c>
      <c r="AG226" s="128" t="str">
        <f>IF([3]Sayfa1!$P223="C(Sisteme etki etmeyen arıza)","Bu Arıza Aracın Servise Verilmesine Engel Değil","Bu Arıza Aracın Servise Verilmesine Engel")</f>
        <v>Bu Arıza Aracın Servise Verilmesine Engel Değil</v>
      </c>
      <c r="AH226" s="140" t="e">
        <f>[3]Sayfa1!$AC223</f>
        <v>#NAME?</v>
      </c>
      <c r="AI226" s="137"/>
      <c r="AJ226" s="137"/>
      <c r="AK226" s="138">
        <f t="shared" si="89"/>
        <v>0</v>
      </c>
      <c r="AL226" s="136">
        <f t="shared" si="90"/>
        <v>0</v>
      </c>
      <c r="AM226" s="136">
        <f t="shared" si="91"/>
        <v>0</v>
      </c>
      <c r="AN226" s="141" t="str">
        <f t="shared" si="92"/>
        <v>Bozankaya</v>
      </c>
      <c r="AO226" s="141">
        <f>[3]Sayfa1!$X223</f>
        <v>0</v>
      </c>
      <c r="AP226" s="141">
        <f>[3]Sayfa1!$Z223</f>
        <v>0</v>
      </c>
      <c r="AQ226" s="122" t="str">
        <f>[3]Sayfa1!$W223</f>
        <v>B000-0000/Bozankaya</v>
      </c>
      <c r="AR226" s="142">
        <f>[3]Sayfa1!$Y223</f>
        <v>0</v>
      </c>
      <c r="AS226" s="143">
        <f>[3]Sayfa1!$AD223</f>
        <v>0</v>
      </c>
      <c r="AT226" s="137" t="str">
        <f>[3]Sayfa1!$AE223</f>
        <v/>
      </c>
      <c r="AU226" s="137" t="str">
        <f>[3]Sayfa1!$AH223</f>
        <v/>
      </c>
      <c r="AV226" s="144">
        <v>222</v>
      </c>
      <c r="AW226" s="145" t="e">
        <f>U226*AB226*#REF!</f>
        <v>#REF!</v>
      </c>
    </row>
    <row r="227" spans="1:49" ht="101.25" customHeight="1">
      <c r="A227" s="119" t="s">
        <v>57</v>
      </c>
      <c r="B227" s="120" t="str">
        <f>[3]Sayfa1!$G224</f>
        <v>TS#1</v>
      </c>
      <c r="C227" s="121" t="str">
        <f>[3]Sayfa1!$H224</f>
        <v>Mc1 , Mc2</v>
      </c>
      <c r="D227" s="146">
        <f>[3]Sayfa1!$N224</f>
        <v>1368</v>
      </c>
      <c r="E227" s="122" t="str">
        <f>[3]Sayfa1!$B224</f>
        <v>FRACAS-GDM-223</v>
      </c>
      <c r="F227" s="123">
        <f>[3]Sayfa1!$E224</f>
        <v>45726</v>
      </c>
      <c r="G227" s="124">
        <f>[3]Sayfa1!$F224</f>
        <v>45726.680069444446</v>
      </c>
      <c r="H227" s="119" t="str">
        <f>[3]Sayfa1!$I224</f>
        <v>Depo/Depot</v>
      </c>
      <c r="I227" s="125" t="str">
        <f>IF([3]Sayfa1!$K224="SSH","Notified by Bozankaya","Notified by Customer")</f>
        <v>Notified by Bozankaya</v>
      </c>
      <c r="J227" s="119" t="e">
        <f>VLOOKUP([3]Sayfa1!$AU224,#REF!,2,FALSE)</f>
        <v>#REF!</v>
      </c>
      <c r="K227" s="119">
        <f>[3]Sayfa1!$V224</f>
        <v>0</v>
      </c>
      <c r="L227" s="126" t="str">
        <f t="shared" si="82"/>
        <v>GDM7X4-FRACAS-GDM-223</v>
      </c>
      <c r="M227" s="127" t="str">
        <f>[3]Sayfa1!$L224</f>
        <v>Dashboard kapağı Dashborad Çiziyor</v>
      </c>
      <c r="N227" s="128" t="str">
        <f>[3]Sayfa1!$J224</f>
        <v>C-Uyarı, sürüş devamlılığı</v>
      </c>
      <c r="O227" s="128" t="str">
        <f>[3]Sayfa1!$P224</f>
        <v>C(Sisteme etki etmeyen arıza)</v>
      </c>
      <c r="P227" s="128" t="str">
        <f>[3]Sayfa1!$Q224</f>
        <v>N.A(Yaralanma yok)</v>
      </c>
      <c r="Q227" s="129" t="str" cm="1">
        <f t="array" ref="Q227">_xlfn.IFS([3]Sayfa1!$R224="Bozankaya","Bozankaya",[3]Sayfa1!$R224="İşletme","Customer",[3]Sayfa1!$R224="Tedarikçi","Equipment Supplier")</f>
        <v>Bozankaya</v>
      </c>
      <c r="R227" s="130" t="str">
        <f>[3]Sayfa1!$M224</f>
        <v>Dashboard trim kapağını tutan menteşe mekanizması Dashboard paneline çarparak çizdiği tespit edildi.</v>
      </c>
      <c r="S227" s="147">
        <f>[3]Sayfa1!$AB224</f>
        <v>0</v>
      </c>
      <c r="T227" s="147">
        <f>[3]Sayfa1!$AA224</f>
        <v>0</v>
      </c>
      <c r="U227" s="131">
        <f>[3]Sayfa1!$AN224</f>
        <v>0</v>
      </c>
      <c r="V227" s="132">
        <f>[3]Sayfa1!$T224</f>
        <v>45726</v>
      </c>
      <c r="W227" s="133">
        <f>[3]Sayfa1!$U224</f>
        <v>45726.693749999999</v>
      </c>
      <c r="X227" s="134">
        <f t="shared" si="83"/>
        <v>45726.693749999999</v>
      </c>
      <c r="Y227" s="123" t="str">
        <f>[3]Sayfa1!$AQ224</f>
        <v/>
      </c>
      <c r="Z227" s="135">
        <f>[3]Sayfa1!$AR224</f>
        <v>0</v>
      </c>
      <c r="AA227" s="134">
        <f t="shared" si="84"/>
        <v>0</v>
      </c>
      <c r="AB227" s="136">
        <f t="shared" si="85"/>
        <v>0</v>
      </c>
      <c r="AC227" s="137" t="str">
        <f t="shared" si="86"/>
        <v/>
      </c>
      <c r="AD227" s="135">
        <f t="shared" si="87"/>
        <v>0</v>
      </c>
      <c r="AE227" s="138">
        <f t="shared" si="88"/>
        <v>0</v>
      </c>
      <c r="AF227" s="139" t="str">
        <f>[3]Sayfa1!$AP224</f>
        <v>(II) Birden fazla karşılaşılan arıza</v>
      </c>
      <c r="AG227" s="128" t="str">
        <f>IF([3]Sayfa1!$P224="C(Sisteme etki etmeyen arıza)","Bu Arıza Aracın Servise Verilmesine Engel Değil","Bu Arıza Aracın Servise Verilmesine Engel")</f>
        <v>Bu Arıza Aracın Servise Verilmesine Engel Değil</v>
      </c>
      <c r="AH227" s="140" t="e">
        <f>[3]Sayfa1!$AC224</f>
        <v>#NAME?</v>
      </c>
      <c r="AI227" s="137"/>
      <c r="AJ227" s="137"/>
      <c r="AK227" s="138">
        <f t="shared" si="89"/>
        <v>0</v>
      </c>
      <c r="AL227" s="136">
        <f t="shared" si="90"/>
        <v>0</v>
      </c>
      <c r="AM227" s="136">
        <f t="shared" si="91"/>
        <v>0</v>
      </c>
      <c r="AN227" s="141">
        <f t="shared" si="92"/>
        <v>0</v>
      </c>
      <c r="AO227" s="141">
        <f>[3]Sayfa1!$X224</f>
        <v>0</v>
      </c>
      <c r="AP227" s="141">
        <f>[3]Sayfa1!$Z224</f>
        <v>0</v>
      </c>
      <c r="AQ227" s="122" t="str">
        <f>[3]Sayfa1!$W224</f>
        <v>E300-0801/DASHBOARD PANEL MONTAJI</v>
      </c>
      <c r="AR227" s="142">
        <f>[3]Sayfa1!$Y224</f>
        <v>2</v>
      </c>
      <c r="AS227" s="143">
        <f>[3]Sayfa1!$AD224</f>
        <v>0</v>
      </c>
      <c r="AT227" s="137" t="str">
        <f>[3]Sayfa1!$AE224</f>
        <v/>
      </c>
      <c r="AU227" s="137" t="str">
        <f>[3]Sayfa1!$AH224</f>
        <v/>
      </c>
      <c r="AV227" s="144">
        <v>223</v>
      </c>
      <c r="AW227" s="145" t="e">
        <f>U227*AB227*#REF!</f>
        <v>#REF!</v>
      </c>
    </row>
    <row r="228" spans="1:49" ht="101.25" customHeight="1">
      <c r="A228" s="119" t="s">
        <v>57</v>
      </c>
      <c r="B228" s="120" t="str">
        <f>[3]Sayfa1!$G225</f>
        <v>TS#7</v>
      </c>
      <c r="C228" s="121" t="str">
        <f>[3]Sayfa1!$H225</f>
        <v>T</v>
      </c>
      <c r="D228" s="146">
        <f>[3]Sayfa1!$N225</f>
        <v>190</v>
      </c>
      <c r="E228" s="122" t="str">
        <f>[3]Sayfa1!$B225</f>
        <v>FRACAS-GDM-224</v>
      </c>
      <c r="F228" s="123">
        <f>[3]Sayfa1!$E225</f>
        <v>45735</v>
      </c>
      <c r="G228" s="124">
        <f>[3]Sayfa1!$F225</f>
        <v>45735.649340277778</v>
      </c>
      <c r="H228" s="119" t="str">
        <f>[3]Sayfa1!$I225</f>
        <v>Depo/Depot</v>
      </c>
      <c r="I228" s="125" t="str">
        <f>IF([3]Sayfa1!$K225="SSH","Notified by Bozankaya","Notified by Customer")</f>
        <v>Notified by Bozankaya</v>
      </c>
      <c r="J228" s="119" t="e">
        <f>VLOOKUP([3]Sayfa1!$AU225,#REF!,2,FALSE)</f>
        <v>#REF!</v>
      </c>
      <c r="K228" s="119">
        <f>[3]Sayfa1!$V225</f>
        <v>0</v>
      </c>
      <c r="L228" s="126" t="str">
        <f t="shared" si="82"/>
        <v>GDM7X4-FRACAS-GDM-224</v>
      </c>
      <c r="M228" s="127" t="str">
        <f>[3]Sayfa1!$L225</f>
        <v>Ekrana sinyal gelmiyor .</v>
      </c>
      <c r="N228" s="128" t="str">
        <f>[3]Sayfa1!$J225</f>
        <v>C-Uyarı, sürüş devamlılığı</v>
      </c>
      <c r="O228" s="128" t="str">
        <f>[3]Sayfa1!$P225</f>
        <v>C(Sisteme etki etmeyen arıza)</v>
      </c>
      <c r="P228" s="128" t="str">
        <f>[3]Sayfa1!$Q225</f>
        <v>N.A(Yaralanma yok)</v>
      </c>
      <c r="Q228" s="129" t="str" cm="1">
        <f t="array" ref="Q228">_xlfn.IFS([3]Sayfa1!$R225="Bozankaya","Bozankaya",[3]Sayfa1!$R225="İşletme","Customer",[3]Sayfa1!$R225="Tedarikçi","Equipment Supplier")</f>
        <v>Bozankaya</v>
      </c>
      <c r="R228" s="130" t="str">
        <f>[3]Sayfa1!$M225</f>
        <v>Sinyal hatı kontrol edildi.</v>
      </c>
      <c r="S228" s="147" t="str">
        <f>[3]Sayfa1!$AB225</f>
        <v>Arıza çözülecek</v>
      </c>
      <c r="T228" s="147" t="str">
        <f>[3]Sayfa1!$AA225</f>
        <v>Hayır</v>
      </c>
      <c r="U228" s="131">
        <f>[3]Sayfa1!$AN225</f>
        <v>1</v>
      </c>
      <c r="V228" s="132">
        <f>[3]Sayfa1!$T225</f>
        <v>45735</v>
      </c>
      <c r="W228" s="133">
        <f>[3]Sayfa1!$U225</f>
        <v>45735.613888888889</v>
      </c>
      <c r="X228" s="134">
        <f t="shared" si="83"/>
        <v>45735.613888888889</v>
      </c>
      <c r="Y228" s="123">
        <f>[3]Sayfa1!$AQ225</f>
        <v>45735</v>
      </c>
      <c r="Z228" s="135">
        <f>[3]Sayfa1!$AR225</f>
        <v>45735.661111111112</v>
      </c>
      <c r="AA228" s="134">
        <f t="shared" si="84"/>
        <v>45735.661111111112</v>
      </c>
      <c r="AB228" s="136">
        <f t="shared" si="85"/>
        <v>0</v>
      </c>
      <c r="AC228" s="137">
        <f t="shared" si="86"/>
        <v>45735</v>
      </c>
      <c r="AD228" s="135">
        <f t="shared" si="87"/>
        <v>45735.661111111112</v>
      </c>
      <c r="AE228" s="138">
        <f t="shared" si="88"/>
        <v>45735.661111111112</v>
      </c>
      <c r="AF228" s="139" t="str">
        <f>[3]Sayfa1!$AP225</f>
        <v>(II) Birden fazla karşılaşılan arıza</v>
      </c>
      <c r="AG228" s="128" t="str">
        <f>IF([3]Sayfa1!$P225="C(Sisteme etki etmeyen arıza)","Bu Arıza Aracın Servise Verilmesine Engel Değil","Bu Arıza Aracın Servise Verilmesine Engel")</f>
        <v>Bu Arıza Aracın Servise Verilmesine Engel Değil</v>
      </c>
      <c r="AH228" s="140" t="e">
        <f>[3]Sayfa1!$AC225</f>
        <v>#NAME?</v>
      </c>
      <c r="AI228" s="137"/>
      <c r="AJ228" s="137"/>
      <c r="AK228" s="138">
        <f t="shared" si="89"/>
        <v>0</v>
      </c>
      <c r="AL228" s="136">
        <f t="shared" si="90"/>
        <v>0</v>
      </c>
      <c r="AM228" s="136">
        <f t="shared" si="91"/>
        <v>0</v>
      </c>
      <c r="AN228" s="141">
        <f t="shared" si="92"/>
        <v>0</v>
      </c>
      <c r="AO228" s="141">
        <f>[3]Sayfa1!$X225</f>
        <v>0</v>
      </c>
      <c r="AP228" s="141">
        <f>[3]Sayfa1!$Z225</f>
        <v>0</v>
      </c>
      <c r="AQ228" s="122">
        <f>[3]Sayfa1!$W225</f>
        <v>0</v>
      </c>
      <c r="AR228" s="142">
        <f>[3]Sayfa1!$Y225</f>
        <v>1</v>
      </c>
      <c r="AS228" s="143">
        <f>[3]Sayfa1!$AD225</f>
        <v>0</v>
      </c>
      <c r="AT228" s="137" t="str">
        <f>[3]Sayfa1!$AE225</f>
        <v/>
      </c>
      <c r="AU228" s="137">
        <f>[3]Sayfa1!$AH225</f>
        <v>45735</v>
      </c>
      <c r="AV228" s="144">
        <v>224</v>
      </c>
      <c r="AW228" s="145" t="e">
        <f>U228*AB228*#REF!</f>
        <v>#REF!</v>
      </c>
    </row>
    <row r="229" spans="1:49" ht="101.25" customHeight="1">
      <c r="A229" s="119" t="s">
        <v>57</v>
      </c>
      <c r="B229" s="120" t="str">
        <f>[3]Sayfa1!$G226</f>
        <v>TS#7</v>
      </c>
      <c r="C229" s="121" t="str">
        <f>[3]Sayfa1!$H226</f>
        <v>Mc2</v>
      </c>
      <c r="D229" s="146">
        <f>[3]Sayfa1!$N226</f>
        <v>179</v>
      </c>
      <c r="E229" s="122" t="str">
        <f>[3]Sayfa1!$B226</f>
        <v>FRACAS-GDM-225</v>
      </c>
      <c r="F229" s="123">
        <f>[3]Sayfa1!$E226</f>
        <v>45735</v>
      </c>
      <c r="G229" s="124">
        <f>[3]Sayfa1!$F226</f>
        <v>45735.661805555559</v>
      </c>
      <c r="H229" s="119" t="str">
        <f>[3]Sayfa1!$I226</f>
        <v>Depo/Depot</v>
      </c>
      <c r="I229" s="125" t="str">
        <f>IF([3]Sayfa1!$K226="SSH","Notified by Bozankaya","Notified by Customer")</f>
        <v>Notified by Bozankaya</v>
      </c>
      <c r="J229" s="119" t="e">
        <f>VLOOKUP([3]Sayfa1!$AU226,#REF!,2,FALSE)</f>
        <v>#REF!</v>
      </c>
      <c r="K229" s="119">
        <f>[3]Sayfa1!$V226</f>
        <v>0</v>
      </c>
      <c r="L229" s="126" t="str">
        <f t="shared" si="82"/>
        <v>GDM7X4-FRACAS-GDM-225</v>
      </c>
      <c r="M229" s="127" t="str">
        <f>[3]Sayfa1!$L226</f>
        <v>Kırkıncı  23 inç ekran çalışmıyor.</v>
      </c>
      <c r="N229" s="128" t="str">
        <f>[3]Sayfa1!$J226</f>
        <v>C-Uyarı, sürüş devamlılığı</v>
      </c>
      <c r="O229" s="128" t="str">
        <f>[3]Sayfa1!$P226</f>
        <v>C(Sisteme etki etmeyen arıza)</v>
      </c>
      <c r="P229" s="128" t="str">
        <f>[3]Sayfa1!$Q226</f>
        <v>N.A(Yaralanma yok)</v>
      </c>
      <c r="Q229" s="129" t="str" cm="1">
        <f t="array" ref="Q229">_xlfn.IFS([3]Sayfa1!$R226="Bozankaya","Bozankaya",[3]Sayfa1!$R226="İşletme","Customer",[3]Sayfa1!$R226="Tedarikçi","Equipment Supplier")</f>
        <v>Bozankaya</v>
      </c>
      <c r="R229" s="130" t="str">
        <f>[3]Sayfa1!$M226</f>
        <v>Ekrana voltaj gelmediği ğörüldü.</v>
      </c>
      <c r="S229" s="147" t="str">
        <f>[3]Sayfa1!$AB226</f>
        <v>Tamir edilecek</v>
      </c>
      <c r="T229" s="147" t="str">
        <f>[3]Sayfa1!$AA226</f>
        <v>Hayır</v>
      </c>
      <c r="U229" s="131">
        <f>[3]Sayfa1!$AN226</f>
        <v>2</v>
      </c>
      <c r="V229" s="132">
        <f>[3]Sayfa1!$T226</f>
        <v>45735</v>
      </c>
      <c r="W229" s="133">
        <f>[3]Sayfa1!$U226</f>
        <v>45735.62222222222</v>
      </c>
      <c r="X229" s="134">
        <f t="shared" si="83"/>
        <v>45735.62222222222</v>
      </c>
      <c r="Y229" s="123" t="str">
        <f>[3]Sayfa1!$AQ226</f>
        <v/>
      </c>
      <c r="Z229" s="135">
        <f>[3]Sayfa1!$AR226</f>
        <v>0</v>
      </c>
      <c r="AA229" s="134">
        <f t="shared" si="84"/>
        <v>0</v>
      </c>
      <c r="AB229" s="136">
        <f t="shared" si="85"/>
        <v>0</v>
      </c>
      <c r="AC229" s="137" t="str">
        <f t="shared" si="86"/>
        <v/>
      </c>
      <c r="AD229" s="135">
        <f t="shared" si="87"/>
        <v>0</v>
      </c>
      <c r="AE229" s="138">
        <f t="shared" si="88"/>
        <v>0</v>
      </c>
      <c r="AF229" s="139" t="str">
        <f>[3]Sayfa1!$AP226</f>
        <v>(II) Birden fazla karşılaşılan arıza</v>
      </c>
      <c r="AG229" s="128" t="str">
        <f>IF([3]Sayfa1!$P226="C(Sisteme etki etmeyen arıza)","Bu Arıza Aracın Servise Verilmesine Engel Değil","Bu Arıza Aracın Servise Verilmesine Engel")</f>
        <v>Bu Arıza Aracın Servise Verilmesine Engel Değil</v>
      </c>
      <c r="AH229" s="140" t="e">
        <f>[3]Sayfa1!$AC226</f>
        <v>#NAME?</v>
      </c>
      <c r="AI229" s="137"/>
      <c r="AJ229" s="137"/>
      <c r="AK229" s="138">
        <f t="shared" si="89"/>
        <v>0</v>
      </c>
      <c r="AL229" s="136">
        <f t="shared" si="90"/>
        <v>0</v>
      </c>
      <c r="AM229" s="136">
        <f t="shared" si="91"/>
        <v>0</v>
      </c>
      <c r="AN229" s="141">
        <f t="shared" si="92"/>
        <v>0</v>
      </c>
      <c r="AO229" s="141">
        <f>[3]Sayfa1!$X226</f>
        <v>0</v>
      </c>
      <c r="AP229" s="141">
        <f>[3]Sayfa1!$Z226</f>
        <v>0</v>
      </c>
      <c r="AQ229" s="122">
        <f>[3]Sayfa1!$W226</f>
        <v>0</v>
      </c>
      <c r="AR229" s="142">
        <f>[3]Sayfa1!$Y226</f>
        <v>0</v>
      </c>
      <c r="AS229" s="143">
        <f>[3]Sayfa1!$AD226</f>
        <v>0</v>
      </c>
      <c r="AT229" s="137" t="str">
        <f>[3]Sayfa1!$AE226</f>
        <v/>
      </c>
      <c r="AU229" s="137" t="str">
        <f>[3]Sayfa1!$AH226</f>
        <v/>
      </c>
      <c r="AV229" s="144">
        <v>225</v>
      </c>
      <c r="AW229" s="145" t="e">
        <f>U229*AB229*#REF!</f>
        <v>#REF!</v>
      </c>
    </row>
    <row r="230" spans="1:49" ht="101.25" customHeight="1">
      <c r="A230" s="119" t="s">
        <v>57</v>
      </c>
      <c r="B230" s="120" t="str">
        <f>[3]Sayfa1!$G227</f>
        <v>TS#7</v>
      </c>
      <c r="C230" s="121" t="str">
        <f>[3]Sayfa1!$H227</f>
        <v>Mc1</v>
      </c>
      <c r="D230" s="146">
        <f>[3]Sayfa1!$N227</f>
        <v>219</v>
      </c>
      <c r="E230" s="122" t="str">
        <f>[3]Sayfa1!$B227</f>
        <v>FRACAS-GDM-226</v>
      </c>
      <c r="F230" s="123">
        <f>[3]Sayfa1!$E227</f>
        <v>45740</v>
      </c>
      <c r="G230" s="124">
        <f>[3]Sayfa1!$F227</f>
        <v>45740.439583333333</v>
      </c>
      <c r="H230" s="119" t="str">
        <f>[3]Sayfa1!$I227</f>
        <v>Depo/Depot</v>
      </c>
      <c r="I230" s="125" t="str">
        <f>IF([3]Sayfa1!$K227="SSH","Notified by Bozankaya","Notified by Customer")</f>
        <v>Notified by Bozankaya</v>
      </c>
      <c r="J230" s="119" t="e">
        <f>VLOOKUP([3]Sayfa1!$AU227,#REF!,2,FALSE)</f>
        <v>#REF!</v>
      </c>
      <c r="K230" s="119" t="str">
        <f>[3]Sayfa1!$V227</f>
        <v>ARESKOM İLETİŞİM SİS TİC LTD ŞTİ</v>
      </c>
      <c r="L230" s="126" t="str">
        <f t="shared" si="82"/>
        <v>GDM7X4-FRACAS-GDM-226</v>
      </c>
      <c r="M230" s="127" t="str">
        <f>[3]Sayfa1!$L227</f>
        <v>PoE Switch X1 Portu Arızası</v>
      </c>
      <c r="N230" s="128" t="str">
        <f>[3]Sayfa1!$J227</f>
        <v>A-Sürüşü engeller</v>
      </c>
      <c r="O230" s="128" t="str">
        <f>[3]Sayfa1!$P227</f>
        <v>A(Hareket etmeyi engelleyen arıza)</v>
      </c>
      <c r="P230" s="128" t="str">
        <f>[3]Sayfa1!$Q227</f>
        <v>N.A(Yaralanma yok)</v>
      </c>
      <c r="Q230" s="129" t="str" cm="1">
        <f t="array" ref="Q230">_xlfn.IFS([3]Sayfa1!$R227="Bozankaya","Bozankaya",[3]Sayfa1!$R227="İşletme","Customer",[3]Sayfa1!$R227="Tedarikçi","Equipment Supplier")</f>
        <v>Equipment Supplier</v>
      </c>
      <c r="R230" s="130" t="str">
        <f>[3]Sayfa1!$M227</f>
        <v>PoE switch'in X1 portunun çalışmadığı tespit edilmiştir. Yapılan kontrollerde, ilgili porta bağlantı sağlanmasına rağmen veri iletiminin gerçekleşmediği gözlemlenmiştir. Diğer portlarda benzer bir sorun bulunmazken, yalnızca X1 portunda bağlantı hatası yaşandığı belirlenmiştir.</v>
      </c>
      <c r="S230" s="147" t="str">
        <f>[3]Sayfa1!$AB227</f>
        <v>Arıza çözülecek</v>
      </c>
      <c r="T230" s="147" t="str">
        <f>[3]Sayfa1!$AA227</f>
        <v>Evet</v>
      </c>
      <c r="U230" s="131">
        <f>[3]Sayfa1!$AN227</f>
        <v>0</v>
      </c>
      <c r="V230" s="132">
        <f>[3]Sayfa1!$T227</f>
        <v>45740</v>
      </c>
      <c r="W230" s="133">
        <f>[3]Sayfa1!$U227</f>
        <v>45740.454270833332</v>
      </c>
      <c r="X230" s="134">
        <f t="shared" si="83"/>
        <v>45740.454270833332</v>
      </c>
      <c r="Y230" s="123" t="str">
        <f>[3]Sayfa1!$AQ227</f>
        <v/>
      </c>
      <c r="Z230" s="135">
        <f>[3]Sayfa1!$AR227</f>
        <v>0</v>
      </c>
      <c r="AA230" s="134">
        <f t="shared" si="84"/>
        <v>0</v>
      </c>
      <c r="AB230" s="136">
        <f t="shared" si="85"/>
        <v>0</v>
      </c>
      <c r="AC230" s="137" t="str">
        <f t="shared" si="86"/>
        <v/>
      </c>
      <c r="AD230" s="135">
        <f t="shared" si="87"/>
        <v>0</v>
      </c>
      <c r="AE230" s="138">
        <f t="shared" si="88"/>
        <v>0</v>
      </c>
      <c r="AF230" s="139" t="str">
        <f>[3]Sayfa1!$AP227</f>
        <v>(I) İlk defa karşılaşılan arıza</v>
      </c>
      <c r="AG230" s="128" t="str">
        <f>IF([3]Sayfa1!$P227="C(Sisteme etki etmeyen arıza)","Bu Arıza Aracın Servise Verilmesine Engel Değil","Bu Arıza Aracın Servise Verilmesine Engel")</f>
        <v>Bu Arıza Aracın Servise Verilmesine Engel</v>
      </c>
      <c r="AH230" s="140" t="e">
        <f>[3]Sayfa1!$AC227</f>
        <v>#NAME?</v>
      </c>
      <c r="AI230" s="137"/>
      <c r="AJ230" s="137"/>
      <c r="AK230" s="138">
        <f t="shared" si="89"/>
        <v>0</v>
      </c>
      <c r="AL230" s="136">
        <f t="shared" si="90"/>
        <v>0</v>
      </c>
      <c r="AM230" s="136">
        <f t="shared" si="91"/>
        <v>0</v>
      </c>
      <c r="AN230" s="141" t="str">
        <f t="shared" si="92"/>
        <v>ARESKOM İLETİŞİM SİS TİC LTD ŞTİ</v>
      </c>
      <c r="AO230" s="141">
        <f>[3]Sayfa1!$X227</f>
        <v>0</v>
      </c>
      <c r="AP230" s="141">
        <f>[3]Sayfa1!$Z227</f>
        <v>39289</v>
      </c>
      <c r="AQ230" s="122" t="str">
        <f>[3]Sayfa1!$W227</f>
        <v>E855-8002/Yönetilebilir PoE+ Ethernet Switch</v>
      </c>
      <c r="AR230" s="142">
        <f>[3]Sayfa1!$Y227</f>
        <v>1</v>
      </c>
      <c r="AS230" s="143">
        <f>[3]Sayfa1!$AD227</f>
        <v>0</v>
      </c>
      <c r="AT230" s="137" t="str">
        <f>[3]Sayfa1!$AE227</f>
        <v/>
      </c>
      <c r="AU230" s="137" t="str">
        <f>[3]Sayfa1!$AH227</f>
        <v/>
      </c>
      <c r="AV230" s="144">
        <v>226</v>
      </c>
      <c r="AW230" s="145" t="e">
        <f>U230*AB230*#REF!</f>
        <v>#REF!</v>
      </c>
    </row>
    <row r="231" spans="1:49" ht="101.25" customHeight="1">
      <c r="A231" s="119" t="s">
        <v>57</v>
      </c>
      <c r="B231" s="120" t="str">
        <f>[3]Sayfa1!$G228</f>
        <v>TS#5</v>
      </c>
      <c r="C231" s="121" t="str">
        <f>[3]Sayfa1!$H228</f>
        <v>M</v>
      </c>
      <c r="D231" s="146">
        <f>[3]Sayfa1!$N228</f>
        <v>3</v>
      </c>
      <c r="E231" s="122" t="str">
        <f>[3]Sayfa1!$B228</f>
        <v>FRACAS-GDM-227</v>
      </c>
      <c r="F231" s="123">
        <f>[3]Sayfa1!$E228</f>
        <v>45740</v>
      </c>
      <c r="G231" s="124">
        <f>[3]Sayfa1!$F228</f>
        <v>45740.636342592596</v>
      </c>
      <c r="H231" s="119" t="str">
        <f>[3]Sayfa1!$I228</f>
        <v>Depo/Depot</v>
      </c>
      <c r="I231" s="125" t="str">
        <f>IF([3]Sayfa1!$K228="SSH","Notified by Bozankaya","Notified by Customer")</f>
        <v>Notified by Bozankaya</v>
      </c>
      <c r="J231" s="119" t="e">
        <f>VLOOKUP([3]Sayfa1!$AU228,#REF!,2,FALSE)</f>
        <v>#REF!</v>
      </c>
      <c r="K231" s="119" t="str">
        <f>[3]Sayfa1!$V228</f>
        <v>Bozankaya</v>
      </c>
      <c r="L231" s="126" t="str">
        <f t="shared" si="82"/>
        <v>GDM7X4-FRACAS-GDM-227</v>
      </c>
      <c r="M231" s="127" t="str">
        <f>[3]Sayfa1!$L228</f>
        <v>23 inç ekran çalışmıyor.</v>
      </c>
      <c r="N231" s="128" t="str">
        <f>[3]Sayfa1!$J228</f>
        <v>C-Uyarı, sürüş devamlılığı</v>
      </c>
      <c r="O231" s="128" t="str">
        <f>[3]Sayfa1!$P228</f>
        <v>C(Sisteme etki etmeyen arıza)</v>
      </c>
      <c r="P231" s="128" t="str">
        <f>[3]Sayfa1!$Q228</f>
        <v>N.A(Yaralanma yok)</v>
      </c>
      <c r="Q231" s="129" t="str" cm="1">
        <f t="array" ref="Q231">_xlfn.IFS([3]Sayfa1!$R228="Bozankaya","Bozankaya",[3]Sayfa1!$R228="İşletme","Customer",[3]Sayfa1!$R228="Tedarikçi","Equipment Supplier")</f>
        <v>Equipment Supplier</v>
      </c>
      <c r="R231" s="130" t="str">
        <f>[3]Sayfa1!$M228</f>
        <v>Besleme voltajı ölçüldü tren trafından 110 gemekte olduğu görüldü.</v>
      </c>
      <c r="S231" s="147" t="str">
        <f>[3]Sayfa1!$AB228</f>
        <v>Ekipman değiştirilecek</v>
      </c>
      <c r="T231" s="147" t="str">
        <f>[3]Sayfa1!$AA228</f>
        <v>Evet</v>
      </c>
      <c r="U231" s="131">
        <f>[3]Sayfa1!$AN228</f>
        <v>1</v>
      </c>
      <c r="V231" s="132">
        <f>[3]Sayfa1!$T228</f>
        <v>45740</v>
      </c>
      <c r="W231" s="133">
        <f>[3]Sayfa1!$U228</f>
        <v>45740.59652777778</v>
      </c>
      <c r="X231" s="134">
        <f t="shared" si="83"/>
        <v>45740.59652777778</v>
      </c>
      <c r="Y231" s="123" t="str">
        <f>[3]Sayfa1!$AQ228</f>
        <v/>
      </c>
      <c r="Z231" s="135">
        <f>[3]Sayfa1!$AR228</f>
        <v>0</v>
      </c>
      <c r="AA231" s="134">
        <f t="shared" si="84"/>
        <v>0</v>
      </c>
      <c r="AB231" s="136">
        <f t="shared" si="85"/>
        <v>0</v>
      </c>
      <c r="AC231" s="137" t="str">
        <f t="shared" si="86"/>
        <v/>
      </c>
      <c r="AD231" s="135">
        <f t="shared" si="87"/>
        <v>0</v>
      </c>
      <c r="AE231" s="138">
        <f t="shared" si="88"/>
        <v>0</v>
      </c>
      <c r="AF231" s="139" t="str">
        <f>[3]Sayfa1!$AP228</f>
        <v>(II) Birden fazla karşılaşılan arıza</v>
      </c>
      <c r="AG231" s="128" t="str">
        <f>IF([3]Sayfa1!$P228="C(Sisteme etki etmeyen arıza)","Bu Arıza Aracın Servise Verilmesine Engel Değil","Bu Arıza Aracın Servise Verilmesine Engel")</f>
        <v>Bu Arıza Aracın Servise Verilmesine Engel Değil</v>
      </c>
      <c r="AH231" s="140" t="e">
        <f>[3]Sayfa1!$AC228</f>
        <v>#NAME?</v>
      </c>
      <c r="AI231" s="137"/>
      <c r="AJ231" s="137"/>
      <c r="AK231" s="138">
        <f t="shared" si="89"/>
        <v>0</v>
      </c>
      <c r="AL231" s="136">
        <f t="shared" si="90"/>
        <v>0</v>
      </c>
      <c r="AM231" s="136">
        <f t="shared" si="91"/>
        <v>0</v>
      </c>
      <c r="AN231" s="141" t="str">
        <f t="shared" si="92"/>
        <v>Bozankaya</v>
      </c>
      <c r="AO231" s="141">
        <f>[3]Sayfa1!$X228</f>
        <v>0</v>
      </c>
      <c r="AP231" s="141">
        <f>[3]Sayfa1!$Z228</f>
        <v>869023001134</v>
      </c>
      <c r="AQ231" s="122" t="str">
        <f>[3]Sayfa1!$W228</f>
        <v>B000-0000/Bozankaya</v>
      </c>
      <c r="AR231" s="142">
        <f>[3]Sayfa1!$Y228</f>
        <v>1</v>
      </c>
      <c r="AS231" s="143">
        <f>[3]Sayfa1!$AD228</f>
        <v>0</v>
      </c>
      <c r="AT231" s="137">
        <f>[3]Sayfa1!$AE228</f>
        <v>45740</v>
      </c>
      <c r="AU231" s="137" t="str">
        <f>[3]Sayfa1!$AH228</f>
        <v/>
      </c>
      <c r="AV231" s="144">
        <v>227</v>
      </c>
      <c r="AW231" s="145" t="e">
        <f>U231*AB231*#REF!</f>
        <v>#REF!</v>
      </c>
    </row>
    <row r="232" spans="1:49" ht="101.25" customHeight="1">
      <c r="A232" s="119" t="s">
        <v>57</v>
      </c>
      <c r="B232" s="120" t="str">
        <f>[3]Sayfa1!$G229</f>
        <v>TS#5</v>
      </c>
      <c r="C232" s="121" t="str">
        <f>[3]Sayfa1!$H229</f>
        <v>M</v>
      </c>
      <c r="D232" s="146">
        <f>[3]Sayfa1!$N229</f>
        <v>3</v>
      </c>
      <c r="E232" s="122" t="str">
        <f>[3]Sayfa1!$B229</f>
        <v>FRACAS-GDM-228</v>
      </c>
      <c r="F232" s="123">
        <f>[3]Sayfa1!$E229</f>
        <v>45740</v>
      </c>
      <c r="G232" s="124">
        <f>[3]Sayfa1!$F229</f>
        <v>45740.668900462966</v>
      </c>
      <c r="H232" s="119" t="str">
        <f>[3]Sayfa1!$I229</f>
        <v>Depo/Depot</v>
      </c>
      <c r="I232" s="125" t="str">
        <f>IF([3]Sayfa1!$K229="SSH","Notified by Bozankaya","Notified by Customer")</f>
        <v>Notified by Bozankaya</v>
      </c>
      <c r="J232" s="119" t="e">
        <f>VLOOKUP([3]Sayfa1!$AU229,#REF!,2,FALSE)</f>
        <v>#REF!</v>
      </c>
      <c r="K232" s="119" t="str">
        <f>[3]Sayfa1!$V229</f>
        <v>Bozankaya</v>
      </c>
      <c r="L232" s="126" t="str">
        <f t="shared" si="82"/>
        <v>GDM7X4-FRACAS-GDM-228</v>
      </c>
      <c r="M232" s="127" t="str">
        <f>[3]Sayfa1!$L229</f>
        <v>23 inç ekran kırık</v>
      </c>
      <c r="N232" s="128" t="str">
        <f>[3]Sayfa1!$J229</f>
        <v>C-Uyarı, sürüş devamlılığı</v>
      </c>
      <c r="O232" s="128" t="str">
        <f>[3]Sayfa1!$P229</f>
        <v>C(Sisteme etki etmeyen arıza)</v>
      </c>
      <c r="P232" s="128" t="str">
        <f>[3]Sayfa1!$Q229</f>
        <v>N.A(Yaralanma yok)</v>
      </c>
      <c r="Q232" s="129" t="str" cm="1">
        <f t="array" ref="Q232">_xlfn.IFS([3]Sayfa1!$R229="Bozankaya","Bozankaya",[3]Sayfa1!$R229="İşletme","Customer",[3]Sayfa1!$R229="Tedarikçi","Equipment Supplier")</f>
        <v>Bozankaya</v>
      </c>
      <c r="R232" s="130" t="str">
        <f>[3]Sayfa1!$M229</f>
        <v>Gözelen konturol edildi.</v>
      </c>
      <c r="S232" s="147" t="str">
        <f>[3]Sayfa1!$AB229</f>
        <v>Ekipman değiştirilecek</v>
      </c>
      <c r="T232" s="147" t="str">
        <f>[3]Sayfa1!$AA229</f>
        <v>Hayır</v>
      </c>
      <c r="U232" s="131">
        <f>[3]Sayfa1!$AN229</f>
        <v>0</v>
      </c>
      <c r="V232" s="132">
        <f>[3]Sayfa1!$T229</f>
        <v>45740</v>
      </c>
      <c r="W232" s="133">
        <f>[3]Sayfa1!$U229</f>
        <v>45740.62777777778</v>
      </c>
      <c r="X232" s="134">
        <f t="shared" si="83"/>
        <v>45740.62777777778</v>
      </c>
      <c r="Y232" s="123" t="str">
        <f>[3]Sayfa1!$AQ229</f>
        <v/>
      </c>
      <c r="Z232" s="135">
        <f>[3]Sayfa1!$AR229</f>
        <v>0</v>
      </c>
      <c r="AA232" s="134">
        <f t="shared" si="84"/>
        <v>0</v>
      </c>
      <c r="AB232" s="136">
        <f t="shared" si="85"/>
        <v>0</v>
      </c>
      <c r="AC232" s="137" t="str">
        <f t="shared" si="86"/>
        <v/>
      </c>
      <c r="AD232" s="135">
        <f t="shared" si="87"/>
        <v>0</v>
      </c>
      <c r="AE232" s="138">
        <f t="shared" si="88"/>
        <v>0</v>
      </c>
      <c r="AF232" s="139" t="str">
        <f>[3]Sayfa1!$AP229</f>
        <v>(II) Birden fazla karşılaşılan arıza</v>
      </c>
      <c r="AG232" s="128" t="str">
        <f>IF([3]Sayfa1!$P229="C(Sisteme etki etmeyen arıza)","Bu Arıza Aracın Servise Verilmesine Engel Değil","Bu Arıza Aracın Servise Verilmesine Engel")</f>
        <v>Bu Arıza Aracın Servise Verilmesine Engel Değil</v>
      </c>
      <c r="AH232" s="140" t="e">
        <f>[3]Sayfa1!$AC229</f>
        <v>#NAME?</v>
      </c>
      <c r="AI232" s="137"/>
      <c r="AJ232" s="137"/>
      <c r="AK232" s="138">
        <f t="shared" si="89"/>
        <v>0</v>
      </c>
      <c r="AL232" s="136">
        <f t="shared" si="90"/>
        <v>0</v>
      </c>
      <c r="AM232" s="136">
        <f t="shared" si="91"/>
        <v>0</v>
      </c>
      <c r="AN232" s="141" t="str">
        <f t="shared" si="92"/>
        <v>Bozankaya</v>
      </c>
      <c r="AO232" s="141">
        <f>[3]Sayfa1!$X229</f>
        <v>0</v>
      </c>
      <c r="AP232" s="141">
        <f>[3]Sayfa1!$Z229</f>
        <v>869023001185</v>
      </c>
      <c r="AQ232" s="122" t="str">
        <f>[3]Sayfa1!$W229</f>
        <v>B000-0000/Bozankaya</v>
      </c>
      <c r="AR232" s="142">
        <f>[3]Sayfa1!$Y229</f>
        <v>1</v>
      </c>
      <c r="AS232" s="143">
        <f>[3]Sayfa1!$AD229</f>
        <v>0</v>
      </c>
      <c r="AT232" s="137">
        <f>[3]Sayfa1!$AE229</f>
        <v>45740</v>
      </c>
      <c r="AU232" s="137">
        <f>[3]Sayfa1!$AH229</f>
        <v>45740</v>
      </c>
      <c r="AV232" s="144">
        <v>228</v>
      </c>
      <c r="AW232" s="145" t="e">
        <f>U232*AB232*#REF!</f>
        <v>#REF!</v>
      </c>
    </row>
    <row r="233" spans="1:49" ht="101.25" customHeight="1">
      <c r="A233" s="119" t="s">
        <v>57</v>
      </c>
      <c r="B233" s="120" t="str">
        <f>[3]Sayfa1!$G230</f>
        <v>TS#7</v>
      </c>
      <c r="C233" s="121" t="str">
        <f>[3]Sayfa1!$H230</f>
        <v>Mc2</v>
      </c>
      <c r="D233" s="146">
        <f>[3]Sayfa1!$N230</f>
        <v>219</v>
      </c>
      <c r="E233" s="122" t="str">
        <f>[3]Sayfa1!$B230</f>
        <v>FRACAS-GDM-229</v>
      </c>
      <c r="F233" s="123">
        <f>[3]Sayfa1!$E230</f>
        <v>45749</v>
      </c>
      <c r="G233" s="124">
        <f>[3]Sayfa1!$F230</f>
        <v>45749.496562499997</v>
      </c>
      <c r="H233" s="119" t="str">
        <f>[3]Sayfa1!$I230</f>
        <v>Depo/Depot</v>
      </c>
      <c r="I233" s="125" t="str">
        <f>IF([3]Sayfa1!$K230="SSH","Notified by Bozankaya","Notified by Customer")</f>
        <v>Notified by Bozankaya</v>
      </c>
      <c r="J233" s="119" t="e">
        <f>VLOOKUP([3]Sayfa1!$AU230,#REF!,2,FALSE)</f>
        <v>#REF!</v>
      </c>
      <c r="K233" s="119" t="str">
        <f>[3]Sayfa1!$V230</f>
        <v>PİTON BİLGİSAYAR TEKNOLOJİLERİ EĞİT</v>
      </c>
      <c r="L233" s="126" t="str">
        <f t="shared" ref="L233:L241" si="93">A233&amp;"-"&amp;E233</f>
        <v>GDM7X4-FRACAS-GDM-229</v>
      </c>
      <c r="M233" s="127" t="str">
        <f>[3]Sayfa1!$L230</f>
        <v>Amfi Arızası</v>
      </c>
      <c r="N233" s="128" t="str">
        <f>[3]Sayfa1!$J230</f>
        <v>C-Uyarı, sürüş devamlılığı</v>
      </c>
      <c r="O233" s="128" t="str">
        <f>[3]Sayfa1!$P230</f>
        <v>C(Sisteme etki etmeyen arıza)</v>
      </c>
      <c r="P233" s="128" t="str">
        <f>[3]Sayfa1!$Q230</f>
        <v>N.A(Yaralanma yok)</v>
      </c>
      <c r="Q233" s="129" t="str" cm="1">
        <f t="array" ref="Q233">_xlfn.IFS([3]Sayfa1!$R230="Bozankaya","Bozankaya",[3]Sayfa1!$R230="İşletme","Customer",[3]Sayfa1!$R230="Tedarikçi","Equipment Supplier")</f>
        <v>Equipment Supplier</v>
      </c>
      <c r="R233" s="130" t="str">
        <f>[3]Sayfa1!$M230</f>
        <v>GDM-7 MC2 Amfi IP girişi yapıldığı ancak ses çıkışı vermediği tespit edildi.</v>
      </c>
      <c r="S233" s="147" t="str">
        <f>[3]Sayfa1!$AB230</f>
        <v>Arıza çözülecek</v>
      </c>
      <c r="T233" s="147" t="str">
        <f>[3]Sayfa1!$AA230</f>
        <v>Evet</v>
      </c>
      <c r="U233" s="131">
        <f>[3]Sayfa1!$AN230</f>
        <v>0</v>
      </c>
      <c r="V233" s="132">
        <f>[3]Sayfa1!$T230</f>
        <v>45749</v>
      </c>
      <c r="W233" s="133">
        <f>[3]Sayfa1!$U230</f>
        <v>45749.375</v>
      </c>
      <c r="X233" s="134">
        <f t="shared" ref="X233:X241" si="94">W233</f>
        <v>45749.375</v>
      </c>
      <c r="Y233" s="123" t="str">
        <f>[3]Sayfa1!$AQ230</f>
        <v/>
      </c>
      <c r="Z233" s="135">
        <f>[3]Sayfa1!$AR230</f>
        <v>0</v>
      </c>
      <c r="AA233" s="134">
        <f t="shared" ref="AA233:AA241" si="95">Z233</f>
        <v>0</v>
      </c>
      <c r="AB233" s="136">
        <f t="shared" ref="AB233:AB241" si="96">IFERROR(IF(Y233-F233&gt;0,(AA233-X233)*24,IF(OR(AND(G233&gt;AR$1,G233&lt;AS$1),AND(G233&gt;AT$1,G233&lt;AU$1)),(AA233-X233)*24,0)),0)</f>
        <v>0</v>
      </c>
      <c r="AC233" s="137" t="str">
        <f t="shared" ref="AC233:AC241" si="97">Y233</f>
        <v/>
      </c>
      <c r="AD233" s="135">
        <f t="shared" ref="AD233:AD241" si="98">Z233</f>
        <v>0</v>
      </c>
      <c r="AE233" s="138">
        <f t="shared" ref="AE233:AE241" si="99">AD233</f>
        <v>0</v>
      </c>
      <c r="AF233" s="139" t="str">
        <f>[3]Sayfa1!$AP230</f>
        <v>(I) İlk defa karşılaşılan arıza</v>
      </c>
      <c r="AG233" s="128" t="str">
        <f>IF([3]Sayfa1!$P230="C(Sisteme etki etmeyen arıza)","Bu Arıza Aracın Servise Verilmesine Engel Değil","Bu Arıza Aracın Servise Verilmesine Engel")</f>
        <v>Bu Arıza Aracın Servise Verilmesine Engel Değil</v>
      </c>
      <c r="AH233" s="140" t="e">
        <f>[3]Sayfa1!$AC230</f>
        <v>#NAME?</v>
      </c>
      <c r="AI233" s="137"/>
      <c r="AJ233" s="137"/>
      <c r="AK233" s="138">
        <f t="shared" ref="AK233:AK241" si="100">AI233+AJ233</f>
        <v>0</v>
      </c>
      <c r="AL233" s="136">
        <f t="shared" ref="AL233:AL241" si="101">IFERROR(IF(AND(O233&lt;&gt;"D:Arıza Değil",AG233="Bu Arıza Aracın Servise Verilmesine Engel Değil"),IF(Y233-F233&gt;0,(AA233-X233)*24,IF(OR(AND(G233&gt;AR$1,G233&lt;AS$1),AND(G233&gt;AT$1,G233&lt;AU$1)),(AK233-X233)*24,0))*60,AM233),0)</f>
        <v>0</v>
      </c>
      <c r="AM233" s="136">
        <f t="shared" ref="AM233:AM241" si="102">IFERROR(IF(O233&lt;&gt;"C(Sisteme etki etmeyen arıza)",AB233*60,0),0)</f>
        <v>0</v>
      </c>
      <c r="AN233" s="141" t="str">
        <f t="shared" ref="AN233:AN241" si="103">K233</f>
        <v>PİTON BİLGİSAYAR TEKNOLOJİLERİ EĞİT</v>
      </c>
      <c r="AO233" s="141">
        <f>[3]Sayfa1!$X230</f>
        <v>0</v>
      </c>
      <c r="AP233" s="141">
        <f>[3]Sayfa1!$Z230</f>
        <v>26</v>
      </c>
      <c r="AQ233" s="122" t="str">
        <f>[3]Sayfa1!$W230</f>
        <v>E820-8004/IP Amfi</v>
      </c>
      <c r="AR233" s="142">
        <f>[3]Sayfa1!$Y230</f>
        <v>1</v>
      </c>
      <c r="AS233" s="143">
        <f>[3]Sayfa1!$AD230</f>
        <v>0</v>
      </c>
      <c r="AT233" s="137" t="str">
        <f>[3]Sayfa1!$AE230</f>
        <v/>
      </c>
      <c r="AU233" s="137" t="str">
        <f>[3]Sayfa1!$AH230</f>
        <v/>
      </c>
      <c r="AV233" s="144">
        <v>229</v>
      </c>
      <c r="AW233" s="145" t="e">
        <f>U233*AB233*#REF!</f>
        <v>#REF!</v>
      </c>
    </row>
    <row r="234" spans="1:49" ht="101.25" customHeight="1">
      <c r="A234" s="119" t="s">
        <v>57</v>
      </c>
      <c r="B234" s="120" t="str">
        <f>[3]Sayfa1!$G231</f>
        <v>TS#7</v>
      </c>
      <c r="C234" s="121" t="str">
        <f>[3]Sayfa1!$H231</f>
        <v>Mc1</v>
      </c>
      <c r="D234" s="146">
        <f>[3]Sayfa1!$N231</f>
        <v>219</v>
      </c>
      <c r="E234" s="122" t="str">
        <f>[3]Sayfa1!$B231</f>
        <v>FRACAS-GDM-230</v>
      </c>
      <c r="F234" s="123">
        <f>[3]Sayfa1!$E231</f>
        <v>45749</v>
      </c>
      <c r="G234" s="124">
        <f>[3]Sayfa1!$F231</f>
        <v>45749.554560185185</v>
      </c>
      <c r="H234" s="119" t="str">
        <f>[3]Sayfa1!$I231</f>
        <v>Depo/Depot</v>
      </c>
      <c r="I234" s="125" t="str">
        <f>IF([3]Sayfa1!$K231="SSH","Notified by Bozankaya","Notified by Customer")</f>
        <v>Notified by Bozankaya</v>
      </c>
      <c r="J234" s="119" t="e">
        <f>VLOOKUP([3]Sayfa1!$AU231,#REF!,2,FALSE)</f>
        <v>#REF!</v>
      </c>
      <c r="K234" s="119" t="str">
        <f>[3]Sayfa1!$V231</f>
        <v>PİTON BİLGİSAYAR TEKNOLOJİLERİ EĞİT</v>
      </c>
      <c r="L234" s="126" t="str">
        <f t="shared" si="93"/>
        <v>GDM7X4-FRACAS-GDM-230</v>
      </c>
      <c r="M234" s="127" t="str">
        <f>[3]Sayfa1!$L231</f>
        <v>Kuğ boynu mikrofon</v>
      </c>
      <c r="N234" s="128" t="str">
        <f>[3]Sayfa1!$J231</f>
        <v>A-Sürüşü engeller</v>
      </c>
      <c r="O234" s="128" t="str">
        <f>[3]Sayfa1!$P231</f>
        <v>C(Sisteme etki etmeyen arıza)</v>
      </c>
      <c r="P234" s="128" t="str">
        <f>[3]Sayfa1!$Q231</f>
        <v>N.A(Yaralanma yok)</v>
      </c>
      <c r="Q234" s="129" t="str" cm="1">
        <f t="array" ref="Q234">_xlfn.IFS([3]Sayfa1!$R231="Bozankaya","Bozankaya",[3]Sayfa1!$R231="İşletme","Customer",[3]Sayfa1!$R231="Tedarikçi","Equipment Supplier")</f>
        <v>Equipment Supplier</v>
      </c>
      <c r="R234" s="130" t="str">
        <f>[3]Sayfa1!$M231</f>
        <v>PoE bağlantısı yapıldığında enerjilenmediğin tespit edildi.</v>
      </c>
      <c r="S234" s="147" t="str">
        <f>[3]Sayfa1!$AB231</f>
        <v>Arıza çözülecek</v>
      </c>
      <c r="T234" s="147" t="str">
        <f>[3]Sayfa1!$AA231</f>
        <v>Evet</v>
      </c>
      <c r="U234" s="131">
        <f>[3]Sayfa1!$AN231</f>
        <v>0</v>
      </c>
      <c r="V234" s="132">
        <f>[3]Sayfa1!$T231</f>
        <v>45749</v>
      </c>
      <c r="W234" s="133">
        <f>[3]Sayfa1!$U231</f>
        <v>45749.555555555555</v>
      </c>
      <c r="X234" s="134">
        <f t="shared" si="94"/>
        <v>45749.555555555555</v>
      </c>
      <c r="Y234" s="123" t="str">
        <f>[3]Sayfa1!$AQ231</f>
        <v/>
      </c>
      <c r="Z234" s="135">
        <f>[3]Sayfa1!$AR231</f>
        <v>0</v>
      </c>
      <c r="AA234" s="134">
        <f t="shared" si="95"/>
        <v>0</v>
      </c>
      <c r="AB234" s="136">
        <f t="shared" si="96"/>
        <v>0</v>
      </c>
      <c r="AC234" s="137" t="str">
        <f t="shared" si="97"/>
        <v/>
      </c>
      <c r="AD234" s="135">
        <f t="shared" si="98"/>
        <v>0</v>
      </c>
      <c r="AE234" s="138">
        <f t="shared" si="99"/>
        <v>0</v>
      </c>
      <c r="AF234" s="139" t="str">
        <f>[3]Sayfa1!$AP231</f>
        <v>(II) Birden fazla karşılaşılan arıza</v>
      </c>
      <c r="AG234" s="128" t="str">
        <f>IF([3]Sayfa1!$P231="C(Sisteme etki etmeyen arıza)","Bu Arıza Aracın Servise Verilmesine Engel Değil","Bu Arıza Aracın Servise Verilmesine Engel")</f>
        <v>Bu Arıza Aracın Servise Verilmesine Engel Değil</v>
      </c>
      <c r="AH234" s="140" t="e">
        <f>[3]Sayfa1!$AC231</f>
        <v>#NAME?</v>
      </c>
      <c r="AI234" s="137"/>
      <c r="AJ234" s="137"/>
      <c r="AK234" s="138">
        <f t="shared" si="100"/>
        <v>0</v>
      </c>
      <c r="AL234" s="136">
        <f t="shared" si="101"/>
        <v>0</v>
      </c>
      <c r="AM234" s="136">
        <f t="shared" si="102"/>
        <v>0</v>
      </c>
      <c r="AN234" s="141" t="str">
        <f t="shared" si="103"/>
        <v>PİTON BİLGİSAYAR TEKNOLOJİLERİ EĞİT</v>
      </c>
      <c r="AO234" s="141">
        <f>[3]Sayfa1!$X231</f>
        <v>0</v>
      </c>
      <c r="AP234" s="141">
        <f>[3]Sayfa1!$Z231</f>
        <v>14</v>
      </c>
      <c r="AQ234" s="122" t="str">
        <f>[3]Sayfa1!$W231</f>
        <v>E820-8006/Kuğu Boynu Mikrofon 2 Tuşlu</v>
      </c>
      <c r="AR234" s="142">
        <f>[3]Sayfa1!$Y231</f>
        <v>1</v>
      </c>
      <c r="AS234" s="143">
        <f>[3]Sayfa1!$AD231</f>
        <v>0</v>
      </c>
      <c r="AT234" s="137" t="str">
        <f>[3]Sayfa1!$AE231</f>
        <v/>
      </c>
      <c r="AU234" s="137" t="str">
        <f>[3]Sayfa1!$AH231</f>
        <v/>
      </c>
      <c r="AV234" s="144">
        <v>230</v>
      </c>
      <c r="AW234" s="145" t="e">
        <f>U234*AB234*#REF!</f>
        <v>#REF!</v>
      </c>
    </row>
    <row r="235" spans="1:49" ht="101.25" customHeight="1">
      <c r="A235" s="119" t="s">
        <v>57</v>
      </c>
      <c r="B235" s="120" t="str">
        <f>[3]Sayfa1!$G232</f>
        <v>TS#7</v>
      </c>
      <c r="C235" s="121" t="str">
        <f>[3]Sayfa1!$H232</f>
        <v>Mc1</v>
      </c>
      <c r="D235" s="146">
        <f>[3]Sayfa1!$N232</f>
        <v>219</v>
      </c>
      <c r="E235" s="122" t="str">
        <f>[3]Sayfa1!$B232</f>
        <v>FRACAS-GDM-231</v>
      </c>
      <c r="F235" s="123">
        <f>[3]Sayfa1!$E232</f>
        <v>45749</v>
      </c>
      <c r="G235" s="124">
        <f>[3]Sayfa1!$F232</f>
        <v>45749.56962962963</v>
      </c>
      <c r="H235" s="119" t="str">
        <f>[3]Sayfa1!$I232</f>
        <v>Depo/Depot</v>
      </c>
      <c r="I235" s="125" t="str">
        <f>IF([3]Sayfa1!$K232="SSH","Notified by Bozankaya","Notified by Customer")</f>
        <v>Notified by Bozankaya</v>
      </c>
      <c r="J235" s="119" t="e">
        <f>VLOOKUP([3]Sayfa1!$AU232,#REF!,2,FALSE)</f>
        <v>#REF!</v>
      </c>
      <c r="K235" s="119" t="str">
        <f>[3]Sayfa1!$V232</f>
        <v>PİTON BİLGİSAYAR TEKNOLOJİLERİ EĞİT</v>
      </c>
      <c r="L235" s="126" t="str">
        <f t="shared" si="93"/>
        <v>GDM7X4-FRACAS-GDM-231</v>
      </c>
      <c r="M235" s="127" t="str">
        <f>[3]Sayfa1!$L232</f>
        <v>Papis control ünitesi HDMI Çıkış Arızası</v>
      </c>
      <c r="N235" s="128" t="str">
        <f>[3]Sayfa1!$J232</f>
        <v>C-Uyarı, sürüş devamlılığı</v>
      </c>
      <c r="O235" s="128" t="str">
        <f>[3]Sayfa1!$P232</f>
        <v>A(Hareket etmeyi engelleyen arıza)</v>
      </c>
      <c r="P235" s="128" t="str">
        <f>[3]Sayfa1!$Q232</f>
        <v>N.A(Yaralanma yok)</v>
      </c>
      <c r="Q235" s="129" t="str" cm="1">
        <f t="array" ref="Q235">_xlfn.IFS([3]Sayfa1!$R232="Bozankaya","Bozankaya",[3]Sayfa1!$R232="İşletme","Customer",[3]Sayfa1!$R232="Tedarikçi","Equipment Supplier")</f>
        <v>Equipment Supplier</v>
      </c>
      <c r="R235" s="130" t="str">
        <f>[3]Sayfa1!$M232</f>
        <v>Sistem yazılımı güncellendi, bağlantıları sağlandı. HDMI çıkış postunu görüntü basmadığı tespit edildi.</v>
      </c>
      <c r="S235" s="147" t="str">
        <f>[3]Sayfa1!$AB232</f>
        <v>Arıza çözülecek</v>
      </c>
      <c r="T235" s="147" t="str">
        <f>[3]Sayfa1!$AA232</f>
        <v>Evet</v>
      </c>
      <c r="U235" s="131">
        <f>[3]Sayfa1!$AN232</f>
        <v>0</v>
      </c>
      <c r="V235" s="132">
        <f>[3]Sayfa1!$T232</f>
        <v>45749</v>
      </c>
      <c r="W235" s="133">
        <f>[3]Sayfa1!$U232</f>
        <v>45749.570833333331</v>
      </c>
      <c r="X235" s="134">
        <f t="shared" si="94"/>
        <v>45749.570833333331</v>
      </c>
      <c r="Y235" s="123" t="str">
        <f>[3]Sayfa1!$AQ232</f>
        <v/>
      </c>
      <c r="Z235" s="135">
        <f>[3]Sayfa1!$AR232</f>
        <v>0</v>
      </c>
      <c r="AA235" s="134">
        <f t="shared" si="95"/>
        <v>0</v>
      </c>
      <c r="AB235" s="136">
        <f t="shared" si="96"/>
        <v>0</v>
      </c>
      <c r="AC235" s="137" t="str">
        <f t="shared" si="97"/>
        <v/>
      </c>
      <c r="AD235" s="135">
        <f t="shared" si="98"/>
        <v>0</v>
      </c>
      <c r="AE235" s="138">
        <f t="shared" si="99"/>
        <v>0</v>
      </c>
      <c r="AF235" s="139" t="str">
        <f>[3]Sayfa1!$AP232</f>
        <v>(II) Birden fazla karşılaşılan arıza</v>
      </c>
      <c r="AG235" s="128" t="str">
        <f>IF([3]Sayfa1!$P232="C(Sisteme etki etmeyen arıza)","Bu Arıza Aracın Servise Verilmesine Engel Değil","Bu Arıza Aracın Servise Verilmesine Engel")</f>
        <v>Bu Arıza Aracın Servise Verilmesine Engel</v>
      </c>
      <c r="AH235" s="140" t="e">
        <f>[3]Sayfa1!$AC232</f>
        <v>#NAME?</v>
      </c>
      <c r="AI235" s="137"/>
      <c r="AJ235" s="137"/>
      <c r="AK235" s="138">
        <f t="shared" si="100"/>
        <v>0</v>
      </c>
      <c r="AL235" s="136">
        <f t="shared" si="101"/>
        <v>0</v>
      </c>
      <c r="AM235" s="136">
        <f t="shared" si="102"/>
        <v>0</v>
      </c>
      <c r="AN235" s="141" t="str">
        <f t="shared" si="103"/>
        <v>PİTON BİLGİSAYAR TEKNOLOJİLERİ EĞİT</v>
      </c>
      <c r="AO235" s="141">
        <f>[3]Sayfa1!$X232</f>
        <v>0</v>
      </c>
      <c r="AP235" s="141" t="str">
        <f>[3]Sayfa1!$Z232</f>
        <v>P-TSCD11011897</v>
      </c>
      <c r="AQ235" s="122" t="str">
        <f>[3]Sayfa1!$W232</f>
        <v>E840-8001/PC</v>
      </c>
      <c r="AR235" s="142">
        <f>[3]Sayfa1!$Y232</f>
        <v>1</v>
      </c>
      <c r="AS235" s="143">
        <f>[3]Sayfa1!$AD232</f>
        <v>0</v>
      </c>
      <c r="AT235" s="137" t="str">
        <f>[3]Sayfa1!$AE232</f>
        <v/>
      </c>
      <c r="AU235" s="137" t="str">
        <f>[3]Sayfa1!$AH232</f>
        <v/>
      </c>
      <c r="AV235" s="144">
        <v>231</v>
      </c>
      <c r="AW235" s="145" t="e">
        <f>U235*AB235*#REF!</f>
        <v>#REF!</v>
      </c>
    </row>
    <row r="236" spans="1:49" ht="101.25" customHeight="1">
      <c r="A236" s="119" t="s">
        <v>57</v>
      </c>
      <c r="B236" s="120" t="str">
        <f>[3]Sayfa1!$G233</f>
        <v>TS#5</v>
      </c>
      <c r="C236" s="121" t="str">
        <f>[3]Sayfa1!$H233</f>
        <v>Mc2</v>
      </c>
      <c r="D236" s="146">
        <f>[3]Sayfa1!$N233</f>
        <v>1</v>
      </c>
      <c r="E236" s="122" t="str">
        <f>[3]Sayfa1!$B233</f>
        <v>FRACAS-GDM-232</v>
      </c>
      <c r="F236" s="123">
        <f>[3]Sayfa1!$E233</f>
        <v>45749</v>
      </c>
      <c r="G236" s="124">
        <f>[3]Sayfa1!$F233</f>
        <v>45749.57439814815</v>
      </c>
      <c r="H236" s="119" t="str">
        <f>[3]Sayfa1!$I233</f>
        <v>Depo/Depot</v>
      </c>
      <c r="I236" s="125" t="str">
        <f>IF([3]Sayfa1!$K233="SSH","Notified by Bozankaya","Notified by Customer")</f>
        <v>Notified by Bozankaya</v>
      </c>
      <c r="J236" s="119" t="e">
        <f>VLOOKUP([3]Sayfa1!$AU233,#REF!,2,FALSE)</f>
        <v>#REF!</v>
      </c>
      <c r="K236" s="119" t="str">
        <f>[3]Sayfa1!$V233</f>
        <v>PİTON BİLGİSAYAR TEKNOLOJİLERİ EĞİT</v>
      </c>
      <c r="L236" s="126" t="str">
        <f t="shared" si="93"/>
        <v>GDM7X4-FRACAS-GDM-232</v>
      </c>
      <c r="M236" s="127" t="str">
        <f>[3]Sayfa1!$L233</f>
        <v>Papis control ünitesi besleme arızası</v>
      </c>
      <c r="N236" s="128" t="str">
        <f>[3]Sayfa1!$J233</f>
        <v>C-Uyarı, sürüş devamlılığı</v>
      </c>
      <c r="O236" s="128" t="str">
        <f>[3]Sayfa1!$P233</f>
        <v>C(Sisteme etki etmeyen arıza)</v>
      </c>
      <c r="P236" s="128" t="str">
        <f>[3]Sayfa1!$Q233</f>
        <v>N.A(Yaralanma yok)</v>
      </c>
      <c r="Q236" s="129" t="str" cm="1">
        <f t="array" ref="Q236">_xlfn.IFS([3]Sayfa1!$R233="Bozankaya","Bozankaya",[3]Sayfa1!$R233="İşletme","Customer",[3]Sayfa1!$R233="Tedarikçi","Equipment Supplier")</f>
        <v>Equipment Supplier</v>
      </c>
      <c r="R236" s="130" t="str">
        <f>[3]Sayfa1!$M233</f>
        <v>Papis ünitesine +24V enerji verildiğinde, sistem çalışmadığı görüldü.</v>
      </c>
      <c r="S236" s="147" t="str">
        <f>[3]Sayfa1!$AB233</f>
        <v>Arıza çözülecek</v>
      </c>
      <c r="T236" s="147" t="str">
        <f>[3]Sayfa1!$AA233</f>
        <v>Evet</v>
      </c>
      <c r="U236" s="131">
        <f>[3]Sayfa1!$AN233</f>
        <v>0</v>
      </c>
      <c r="V236" s="132">
        <f>[3]Sayfa1!$T233</f>
        <v>45749</v>
      </c>
      <c r="W236" s="133">
        <f>[3]Sayfa1!$U233</f>
        <v>45749.625694444447</v>
      </c>
      <c r="X236" s="134">
        <f t="shared" si="94"/>
        <v>45749.625694444447</v>
      </c>
      <c r="Y236" s="123" t="str">
        <f>[3]Sayfa1!$AQ233</f>
        <v/>
      </c>
      <c r="Z236" s="135">
        <f>[3]Sayfa1!$AR233</f>
        <v>0</v>
      </c>
      <c r="AA236" s="134">
        <f t="shared" si="95"/>
        <v>0</v>
      </c>
      <c r="AB236" s="136">
        <f t="shared" si="96"/>
        <v>0</v>
      </c>
      <c r="AC236" s="137" t="str">
        <f t="shared" si="97"/>
        <v/>
      </c>
      <c r="AD236" s="135">
        <f t="shared" si="98"/>
        <v>0</v>
      </c>
      <c r="AE236" s="138">
        <f t="shared" si="99"/>
        <v>0</v>
      </c>
      <c r="AF236" s="139" t="str">
        <f>[3]Sayfa1!$AP233</f>
        <v>(I) İlk defa karşılaşılan arıza</v>
      </c>
      <c r="AG236" s="128" t="str">
        <f>IF([3]Sayfa1!$P233="C(Sisteme etki etmeyen arıza)","Bu Arıza Aracın Servise Verilmesine Engel Değil","Bu Arıza Aracın Servise Verilmesine Engel")</f>
        <v>Bu Arıza Aracın Servise Verilmesine Engel Değil</v>
      </c>
      <c r="AH236" s="140" t="e">
        <f>[3]Sayfa1!$AC233</f>
        <v>#NAME?</v>
      </c>
      <c r="AI236" s="137"/>
      <c r="AJ236" s="137"/>
      <c r="AK236" s="138">
        <f t="shared" si="100"/>
        <v>0</v>
      </c>
      <c r="AL236" s="136">
        <f t="shared" si="101"/>
        <v>0</v>
      </c>
      <c r="AM236" s="136">
        <f t="shared" si="102"/>
        <v>0</v>
      </c>
      <c r="AN236" s="141" t="str">
        <f t="shared" si="103"/>
        <v>PİTON BİLGİSAYAR TEKNOLOJİLERİ EĞİT</v>
      </c>
      <c r="AO236" s="141">
        <f>[3]Sayfa1!$X233</f>
        <v>0</v>
      </c>
      <c r="AP236" s="141" t="str">
        <f>[3]Sayfa1!$Z233</f>
        <v>P- TSCCC1005575</v>
      </c>
      <c r="AQ236" s="122" t="str">
        <f>[3]Sayfa1!$W233</f>
        <v>E840-8001/PC</v>
      </c>
      <c r="AR236" s="142">
        <f>[3]Sayfa1!$Y233</f>
        <v>1</v>
      </c>
      <c r="AS236" s="143">
        <f>[3]Sayfa1!$AD233</f>
        <v>0</v>
      </c>
      <c r="AT236" s="137" t="str">
        <f>[3]Sayfa1!$AE233</f>
        <v/>
      </c>
      <c r="AU236" s="137" t="str">
        <f>[3]Sayfa1!$AH233</f>
        <v/>
      </c>
      <c r="AV236" s="144">
        <v>232</v>
      </c>
      <c r="AW236" s="145" t="e">
        <f>U236*AB236*#REF!</f>
        <v>#REF!</v>
      </c>
    </row>
    <row r="237" spans="1:49" ht="101.25" customHeight="1">
      <c r="A237" s="119" t="s">
        <v>57</v>
      </c>
      <c r="B237" s="120" t="str">
        <f>[3]Sayfa1!$G234</f>
        <v>TS#6</v>
      </c>
      <c r="C237" s="121" t="str">
        <f>[3]Sayfa1!$H234</f>
        <v>Mc2</v>
      </c>
      <c r="D237" s="146">
        <f>[3]Sayfa1!$N234</f>
        <v>151</v>
      </c>
      <c r="E237" s="122" t="str">
        <f>[3]Sayfa1!$B234</f>
        <v>FRACAS-GDM-233</v>
      </c>
      <c r="F237" s="123">
        <f>[3]Sayfa1!$E234</f>
        <v>45758</v>
      </c>
      <c r="G237" s="124">
        <f>[3]Sayfa1!$F234</f>
        <v>45758.702789351853</v>
      </c>
      <c r="H237" s="119" t="str">
        <f>[3]Sayfa1!$I234</f>
        <v>Depo/Depot</v>
      </c>
      <c r="I237" s="125" t="str">
        <f>IF([3]Sayfa1!$K234="SSH","Notified by Bozankaya","Notified by Customer")</f>
        <v>Notified by Bozankaya</v>
      </c>
      <c r="J237" s="119" t="e">
        <f>VLOOKUP([3]Sayfa1!$AU234,#REF!,2,FALSE)</f>
        <v>#REF!</v>
      </c>
      <c r="K237" s="119" t="str">
        <f>[3]Sayfa1!$V234</f>
        <v>PİTON BİLGİSAYAR TEKNOLOJİLERİ EĞİT</v>
      </c>
      <c r="L237" s="126" t="str">
        <f t="shared" si="93"/>
        <v>GDM7X4-FRACAS-GDM-233</v>
      </c>
      <c r="M237" s="127" t="str">
        <f>[3]Sayfa1!$L234</f>
        <v>23" Çatlak Ekran</v>
      </c>
      <c r="N237" s="128" t="str">
        <f>[3]Sayfa1!$J234</f>
        <v>C-Uyarı, sürüş devamlılığı</v>
      </c>
      <c r="O237" s="128" t="str">
        <f>[3]Sayfa1!$P234</f>
        <v>C(Sisteme etki etmeyen arıza)</v>
      </c>
      <c r="P237" s="128" t="str">
        <f>[3]Sayfa1!$Q234</f>
        <v>N.A(Yaralanma yok)</v>
      </c>
      <c r="Q237" s="129" t="str" cm="1">
        <f t="array" ref="Q237">_xlfn.IFS([3]Sayfa1!$R234="Bozankaya","Bozankaya",[3]Sayfa1!$R234="İşletme","Customer",[3]Sayfa1!$R234="Tedarikçi","Equipment Supplier")</f>
        <v>Equipment Supplier</v>
      </c>
      <c r="R237" s="130" t="str">
        <f>[3]Sayfa1!$M234</f>
        <v>23" ekranda çatlak olduğu tespit edildi.</v>
      </c>
      <c r="S237" s="147" t="str">
        <f>[3]Sayfa1!$AB234</f>
        <v>Ekipman değiştirilecek</v>
      </c>
      <c r="T237" s="147" t="str">
        <f>[3]Sayfa1!$AA234</f>
        <v>Hayır</v>
      </c>
      <c r="U237" s="131">
        <f>[3]Sayfa1!$AN234</f>
        <v>0</v>
      </c>
      <c r="V237" s="132">
        <f>[3]Sayfa1!$T234</f>
        <v>45758</v>
      </c>
      <c r="W237" s="133">
        <f>[3]Sayfa1!$U234</f>
        <v>45758.70417824074</v>
      </c>
      <c r="X237" s="134">
        <f t="shared" si="94"/>
        <v>45758.70417824074</v>
      </c>
      <c r="Y237" s="123" t="str">
        <f>[3]Sayfa1!$AQ234</f>
        <v/>
      </c>
      <c r="Z237" s="135">
        <f>[3]Sayfa1!$AR234</f>
        <v>0</v>
      </c>
      <c r="AA237" s="134">
        <f t="shared" si="95"/>
        <v>0</v>
      </c>
      <c r="AB237" s="136">
        <f t="shared" si="96"/>
        <v>0</v>
      </c>
      <c r="AC237" s="137" t="str">
        <f t="shared" si="97"/>
        <v/>
      </c>
      <c r="AD237" s="135">
        <f t="shared" si="98"/>
        <v>0</v>
      </c>
      <c r="AE237" s="138">
        <f t="shared" si="99"/>
        <v>0</v>
      </c>
      <c r="AF237" s="139" t="str">
        <f>[3]Sayfa1!$AP234</f>
        <v>(II) Birden fazla karşılaşılan arıza</v>
      </c>
      <c r="AG237" s="128" t="str">
        <f>IF([3]Sayfa1!$P234="C(Sisteme etki etmeyen arıza)","Bu Arıza Aracın Servise Verilmesine Engel Değil","Bu Arıza Aracın Servise Verilmesine Engel")</f>
        <v>Bu Arıza Aracın Servise Verilmesine Engel Değil</v>
      </c>
      <c r="AH237" s="140" t="e">
        <f>[3]Sayfa1!$AC234</f>
        <v>#NAME?</v>
      </c>
      <c r="AI237" s="137"/>
      <c r="AJ237" s="137"/>
      <c r="AK237" s="138">
        <f t="shared" si="100"/>
        <v>0</v>
      </c>
      <c r="AL237" s="136">
        <f t="shared" si="101"/>
        <v>0</v>
      </c>
      <c r="AM237" s="136">
        <f t="shared" si="102"/>
        <v>0</v>
      </c>
      <c r="AN237" s="141" t="str">
        <f t="shared" si="103"/>
        <v>PİTON BİLGİSAYAR TEKNOLOJİLERİ EĞİT</v>
      </c>
      <c r="AO237" s="141">
        <f>[3]Sayfa1!$X234</f>
        <v>0</v>
      </c>
      <c r="AP237" s="141">
        <f>[3]Sayfa1!$Z234</f>
        <v>869023001112</v>
      </c>
      <c r="AQ237" s="122" t="str">
        <f>[3]Sayfa1!$W234</f>
        <v>E840-8005/LCD Display</v>
      </c>
      <c r="AR237" s="142">
        <f>[3]Sayfa1!$Y234</f>
        <v>1</v>
      </c>
      <c r="AS237" s="143">
        <f>[3]Sayfa1!$AD234</f>
        <v>0</v>
      </c>
      <c r="AT237" s="137" t="str">
        <f>[3]Sayfa1!$AE234</f>
        <v/>
      </c>
      <c r="AU237" s="137" t="str">
        <f>[3]Sayfa1!$AH234</f>
        <v/>
      </c>
      <c r="AV237" s="144">
        <v>233</v>
      </c>
      <c r="AW237" s="145" t="e">
        <f>U237*AB237*#REF!</f>
        <v>#REF!</v>
      </c>
    </row>
    <row r="238" spans="1:49" ht="101.25" customHeight="1">
      <c r="A238" s="119" t="s">
        <v>57</v>
      </c>
      <c r="B238" s="120" t="str">
        <f>[3]Sayfa1!$G235</f>
        <v>TS#7</v>
      </c>
      <c r="C238" s="121" t="str">
        <f>[3]Sayfa1!$H235</f>
        <v>M</v>
      </c>
      <c r="D238" s="146">
        <f>[3]Sayfa1!$N235</f>
        <v>202</v>
      </c>
      <c r="E238" s="122" t="str">
        <f>[3]Sayfa1!$B235</f>
        <v>FRACAS-GDM-234</v>
      </c>
      <c r="F238" s="123">
        <f>[3]Sayfa1!$E235</f>
        <v>45758</v>
      </c>
      <c r="G238" s="124">
        <f>[3]Sayfa1!$F235</f>
        <v>45758.713391203702</v>
      </c>
      <c r="H238" s="119" t="str">
        <f>[3]Sayfa1!$I235</f>
        <v>Depo/Depot</v>
      </c>
      <c r="I238" s="125" t="str">
        <f>IF([3]Sayfa1!$K235="SSH","Notified by Bozankaya","Notified by Customer")</f>
        <v>Notified by Bozankaya</v>
      </c>
      <c r="J238" s="119" t="e">
        <f>VLOOKUP([3]Sayfa1!$AU235,#REF!,2,FALSE)</f>
        <v>#REF!</v>
      </c>
      <c r="K238" s="119" t="str">
        <f>[3]Sayfa1!$V235</f>
        <v>PİTON BİLGİSAYAR TEKNOLOJİLERİ EĞİT</v>
      </c>
      <c r="L238" s="126" t="str">
        <f t="shared" si="93"/>
        <v>GDM7X4-FRACAS-GDM-234</v>
      </c>
      <c r="M238" s="127" t="str">
        <f>[3]Sayfa1!$L235</f>
        <v>Analog Giriş Arızası</v>
      </c>
      <c r="N238" s="128" t="str">
        <f>[3]Sayfa1!$J235</f>
        <v>C-Uyarı, sürüş devamlılığı</v>
      </c>
      <c r="O238" s="128" t="str">
        <f>[3]Sayfa1!$P235</f>
        <v>C(Sisteme etki etmeyen arıza)</v>
      </c>
      <c r="P238" s="128" t="str">
        <f>[3]Sayfa1!$Q235</f>
        <v>N.A(Yaralanma yok)</v>
      </c>
      <c r="Q238" s="129" t="str" cm="1">
        <f t="array" ref="Q238">_xlfn.IFS([3]Sayfa1!$R235="Bozankaya","Bozankaya",[3]Sayfa1!$R235="İşletme","Customer",[3]Sayfa1!$R235="Tedarikçi","Equipment Supplier")</f>
        <v>Equipment Supplier</v>
      </c>
      <c r="R238" s="130" t="str">
        <f>[3]Sayfa1!$M235</f>
        <v>Ekranda sinyal yok bilgisi gitmiyordu. Konnetkör tekrar yapıldığı halde gelmediği görüldü. Yeni ekran ile test edildi. Sorun analog haberleşme girişindeki temassızlıktan dolayı olduğu tespit edildi.</v>
      </c>
      <c r="S238" s="147" t="str">
        <f>[3]Sayfa1!$AB235</f>
        <v>Arıza çözülecek</v>
      </c>
      <c r="T238" s="147" t="str">
        <f>[3]Sayfa1!$AA235</f>
        <v>Evet</v>
      </c>
      <c r="U238" s="131">
        <f>[3]Sayfa1!$AN235</f>
        <v>0</v>
      </c>
      <c r="V238" s="132">
        <f>[3]Sayfa1!$T235</f>
        <v>45758</v>
      </c>
      <c r="W238" s="133">
        <f>[3]Sayfa1!$U235</f>
        <v>45758.715775462966</v>
      </c>
      <c r="X238" s="134">
        <f t="shared" si="94"/>
        <v>45758.715775462966</v>
      </c>
      <c r="Y238" s="123" t="str">
        <f>[3]Sayfa1!$AQ235</f>
        <v/>
      </c>
      <c r="Z238" s="135">
        <f>[3]Sayfa1!$AR235</f>
        <v>0</v>
      </c>
      <c r="AA238" s="134">
        <f t="shared" si="95"/>
        <v>0</v>
      </c>
      <c r="AB238" s="136">
        <f t="shared" si="96"/>
        <v>0</v>
      </c>
      <c r="AC238" s="137" t="str">
        <f t="shared" si="97"/>
        <v/>
      </c>
      <c r="AD238" s="135">
        <f t="shared" si="98"/>
        <v>0</v>
      </c>
      <c r="AE238" s="138">
        <f t="shared" si="99"/>
        <v>0</v>
      </c>
      <c r="AF238" s="139" t="str">
        <f>[3]Sayfa1!$AP235</f>
        <v>(I) İlk defa karşılaşılan arıza</v>
      </c>
      <c r="AG238" s="128" t="str">
        <f>IF([3]Sayfa1!$P235="C(Sisteme etki etmeyen arıza)","Bu Arıza Aracın Servise Verilmesine Engel Değil","Bu Arıza Aracın Servise Verilmesine Engel")</f>
        <v>Bu Arıza Aracın Servise Verilmesine Engel Değil</v>
      </c>
      <c r="AH238" s="140" t="e">
        <f>[3]Sayfa1!$AC235</f>
        <v>#NAME?</v>
      </c>
      <c r="AI238" s="137"/>
      <c r="AJ238" s="137"/>
      <c r="AK238" s="138">
        <f t="shared" si="100"/>
        <v>0</v>
      </c>
      <c r="AL238" s="136">
        <f t="shared" si="101"/>
        <v>0</v>
      </c>
      <c r="AM238" s="136">
        <f t="shared" si="102"/>
        <v>0</v>
      </c>
      <c r="AN238" s="141" t="str">
        <f t="shared" si="103"/>
        <v>PİTON BİLGİSAYAR TEKNOLOJİLERİ EĞİT</v>
      </c>
      <c r="AO238" s="141">
        <f>[3]Sayfa1!$X235</f>
        <v>0</v>
      </c>
      <c r="AP238" s="141">
        <f>[3]Sayfa1!$Z235</f>
        <v>869023001935</v>
      </c>
      <c r="AQ238" s="122" t="str">
        <f>[3]Sayfa1!$W235</f>
        <v>E840-8006/LCD EKRAN</v>
      </c>
      <c r="AR238" s="142">
        <f>[3]Sayfa1!$Y235</f>
        <v>1</v>
      </c>
      <c r="AS238" s="143">
        <f>[3]Sayfa1!$AD235</f>
        <v>0</v>
      </c>
      <c r="AT238" s="137">
        <f>[3]Sayfa1!$AE235</f>
        <v>45758</v>
      </c>
      <c r="AU238" s="137" t="str">
        <f>[3]Sayfa1!$AH235</f>
        <v/>
      </c>
      <c r="AV238" s="144">
        <v>234</v>
      </c>
      <c r="AW238" s="145" t="e">
        <f>U238*AB238*#REF!</f>
        <v>#REF!</v>
      </c>
    </row>
    <row r="239" spans="1:49" ht="101.25" customHeight="1">
      <c r="A239" s="119" t="s">
        <v>57</v>
      </c>
      <c r="B239" s="120" t="str">
        <f>[3]Sayfa1!$G236</f>
        <v>TS#6</v>
      </c>
      <c r="C239" s="121" t="str">
        <f>[3]Sayfa1!$H236</f>
        <v>Mc2</v>
      </c>
      <c r="D239" s="146">
        <f>[3]Sayfa1!$N236</f>
        <v>202</v>
      </c>
      <c r="E239" s="122" t="str">
        <f>[3]Sayfa1!$B236</f>
        <v>FRACAS-GDM-235</v>
      </c>
      <c r="F239" s="123">
        <f>[3]Sayfa1!$E236</f>
        <v>45758</v>
      </c>
      <c r="G239" s="124">
        <f>[3]Sayfa1!$F236</f>
        <v>45758.726550925923</v>
      </c>
      <c r="H239" s="119" t="str">
        <f>[3]Sayfa1!$I236</f>
        <v>Depo/Depot</v>
      </c>
      <c r="I239" s="125" t="str">
        <f>IF([3]Sayfa1!$K236="SSH","Notified by Bozankaya","Notified by Customer")</f>
        <v>Notified by Bozankaya</v>
      </c>
      <c r="J239" s="119" t="e">
        <f>VLOOKUP([3]Sayfa1!$AU236,#REF!,2,FALSE)</f>
        <v>#REF!</v>
      </c>
      <c r="K239" s="119" t="str">
        <f>[3]Sayfa1!$V236</f>
        <v>PİTON BİLGİSAYAR TEKNOLOJİLERİ EĞİT</v>
      </c>
      <c r="L239" s="126" t="str">
        <f t="shared" si="93"/>
        <v>GDM7X4-FRACAS-GDM-235</v>
      </c>
      <c r="M239" s="127" t="str">
        <f>[3]Sayfa1!$L236</f>
        <v>23" Ekran Çizik</v>
      </c>
      <c r="N239" s="128" t="str">
        <f>[3]Sayfa1!$J236</f>
        <v>C-Uyarı, sürüş devamlılığı</v>
      </c>
      <c r="O239" s="128" t="str">
        <f>[3]Sayfa1!$P236</f>
        <v>C(Sisteme etki etmeyen arıza)</v>
      </c>
      <c r="P239" s="128" t="str">
        <f>[3]Sayfa1!$Q236</f>
        <v>N.A(Yaralanma yok)</v>
      </c>
      <c r="Q239" s="129" t="str" cm="1">
        <f t="array" ref="Q239">_xlfn.IFS([3]Sayfa1!$R236="Bozankaya","Bozankaya",[3]Sayfa1!$R236="İşletme","Customer",[3]Sayfa1!$R236="Tedarikçi","Equipment Supplier")</f>
        <v>Equipment Supplier</v>
      </c>
      <c r="R239" s="130" t="str">
        <f>[3]Sayfa1!$M236</f>
        <v>23" Ekran çizik olduğundan dolayı değiştirildi.</v>
      </c>
      <c r="S239" s="147" t="str">
        <f>[3]Sayfa1!$AB236</f>
        <v>Ekipman değiştirilecek</v>
      </c>
      <c r="T239" s="147" t="str">
        <f>[3]Sayfa1!$AA236</f>
        <v>Hayır</v>
      </c>
      <c r="U239" s="131">
        <f>[3]Sayfa1!$AN236</f>
        <v>0</v>
      </c>
      <c r="V239" s="132">
        <f>[3]Sayfa1!$T236</f>
        <v>45758</v>
      </c>
      <c r="W239" s="133">
        <f>[3]Sayfa1!$U236</f>
        <v>45758.727488425924</v>
      </c>
      <c r="X239" s="134">
        <f t="shared" si="94"/>
        <v>45758.727488425924</v>
      </c>
      <c r="Y239" s="123" t="str">
        <f>[3]Sayfa1!$AQ236</f>
        <v/>
      </c>
      <c r="Z239" s="135">
        <f>[3]Sayfa1!$AR236</f>
        <v>0</v>
      </c>
      <c r="AA239" s="134">
        <f t="shared" si="95"/>
        <v>0</v>
      </c>
      <c r="AB239" s="136">
        <f t="shared" si="96"/>
        <v>0</v>
      </c>
      <c r="AC239" s="137" t="str">
        <f t="shared" si="97"/>
        <v/>
      </c>
      <c r="AD239" s="135">
        <f t="shared" si="98"/>
        <v>0</v>
      </c>
      <c r="AE239" s="138">
        <f t="shared" si="99"/>
        <v>0</v>
      </c>
      <c r="AF239" s="139" t="str">
        <f>[3]Sayfa1!$AP236</f>
        <v>(I) İlk defa karşılaşılan arıza</v>
      </c>
      <c r="AG239" s="128" t="str">
        <f>IF([3]Sayfa1!$P236="C(Sisteme etki etmeyen arıza)","Bu Arıza Aracın Servise Verilmesine Engel Değil","Bu Arıza Aracın Servise Verilmesine Engel")</f>
        <v>Bu Arıza Aracın Servise Verilmesine Engel Değil</v>
      </c>
      <c r="AH239" s="140" t="e">
        <f>[3]Sayfa1!$AC236</f>
        <v>#NAME?</v>
      </c>
      <c r="AI239" s="137"/>
      <c r="AJ239" s="137"/>
      <c r="AK239" s="138">
        <f t="shared" si="100"/>
        <v>0</v>
      </c>
      <c r="AL239" s="136">
        <f t="shared" si="101"/>
        <v>0</v>
      </c>
      <c r="AM239" s="136">
        <f t="shared" si="102"/>
        <v>0</v>
      </c>
      <c r="AN239" s="141" t="str">
        <f t="shared" si="103"/>
        <v>PİTON BİLGİSAYAR TEKNOLOJİLERİ EĞİT</v>
      </c>
      <c r="AO239" s="141">
        <f>[3]Sayfa1!$X236</f>
        <v>0</v>
      </c>
      <c r="AP239" s="141">
        <f>[3]Sayfa1!$Z236</f>
        <v>869023001119</v>
      </c>
      <c r="AQ239" s="122" t="str">
        <f>[3]Sayfa1!$W236</f>
        <v>E840-8005/LCD Display</v>
      </c>
      <c r="AR239" s="142">
        <f>[3]Sayfa1!$Y236</f>
        <v>1</v>
      </c>
      <c r="AS239" s="143">
        <f>[3]Sayfa1!$AD236</f>
        <v>0</v>
      </c>
      <c r="AT239" s="137" t="str">
        <f>[3]Sayfa1!$AE236</f>
        <v/>
      </c>
      <c r="AU239" s="137" t="str">
        <f>[3]Sayfa1!$AH236</f>
        <v/>
      </c>
      <c r="AV239" s="144">
        <v>235</v>
      </c>
      <c r="AW239" s="145" t="e">
        <f>U239*AB239*#REF!</f>
        <v>#REF!</v>
      </c>
    </row>
    <row r="240" spans="1:49" ht="101.25" customHeight="1">
      <c r="A240" s="119" t="s">
        <v>57</v>
      </c>
      <c r="B240" s="120" t="str">
        <f>[3]Sayfa1!$G237</f>
        <v>TS#7</v>
      </c>
      <c r="C240" s="121" t="str">
        <f>[3]Sayfa1!$H237</f>
        <v>Mc1</v>
      </c>
      <c r="D240" s="146">
        <f>[3]Sayfa1!$N237</f>
        <v>210</v>
      </c>
      <c r="E240" s="122" t="str">
        <f>[3]Sayfa1!$B237</f>
        <v>FRACAS-GDM-236</v>
      </c>
      <c r="F240" s="123">
        <f>[3]Sayfa1!$E237</f>
        <v>45761</v>
      </c>
      <c r="G240" s="124">
        <f>[3]Sayfa1!$F237</f>
        <v>45761.613530092596</v>
      </c>
      <c r="H240" s="119" t="str">
        <f>[3]Sayfa1!$I237</f>
        <v>Depo/Depot</v>
      </c>
      <c r="I240" s="125" t="str">
        <f>IF([3]Sayfa1!$K237="SSH","Notified by Bozankaya","Notified by Customer")</f>
        <v>Notified by Bozankaya</v>
      </c>
      <c r="J240" s="119" t="e">
        <f>VLOOKUP([3]Sayfa1!$AU237,#REF!,2,FALSE)</f>
        <v>#REF!</v>
      </c>
      <c r="K240" s="119" t="str">
        <f>[3]Sayfa1!$V237</f>
        <v>PİTON BİLGİSAYAR TEKNOLOJİLERİ EĞİT</v>
      </c>
      <c r="L240" s="126" t="str">
        <f t="shared" si="93"/>
        <v>GDM7X4-FRACAS-GDM-236</v>
      </c>
      <c r="M240" s="127" t="str">
        <f>[3]Sayfa1!$L237</f>
        <v>23" Ekran Kırık</v>
      </c>
      <c r="N240" s="128" t="str">
        <f>[3]Sayfa1!$J237</f>
        <v>C-Uyarı, sürüş devamlılığı</v>
      </c>
      <c r="O240" s="128" t="str">
        <f>[3]Sayfa1!$P237</f>
        <v>C(Sisteme etki etmeyen arıza)</v>
      </c>
      <c r="P240" s="128" t="str">
        <f>[3]Sayfa1!$Q237</f>
        <v>N.A(Yaralanma yok)</v>
      </c>
      <c r="Q240" s="129" t="str" cm="1">
        <f t="array" ref="Q240">_xlfn.IFS([3]Sayfa1!$R237="Bozankaya","Bozankaya",[3]Sayfa1!$R237="İşletme","Customer",[3]Sayfa1!$R237="Tedarikçi","Equipment Supplier")</f>
        <v>Equipment Supplier</v>
      </c>
      <c r="R240" s="130" t="str">
        <f>[3]Sayfa1!$M237</f>
        <v>Ekrana enerji verildiğinde ekranın kırık olduğu görüldü.</v>
      </c>
      <c r="S240" s="147" t="str">
        <f>[3]Sayfa1!$AB237</f>
        <v>Ekipman değiştirilecek</v>
      </c>
      <c r="T240" s="147" t="str">
        <f>[3]Sayfa1!$AA237</f>
        <v>Hayır</v>
      </c>
      <c r="U240" s="131">
        <f>[3]Sayfa1!$AN237</f>
        <v>0</v>
      </c>
      <c r="V240" s="132">
        <f>[3]Sayfa1!$T237</f>
        <v>45761</v>
      </c>
      <c r="W240" s="133">
        <f>[3]Sayfa1!$U237</f>
        <v>45761.619062500002</v>
      </c>
      <c r="X240" s="134">
        <f t="shared" si="94"/>
        <v>45761.619062500002</v>
      </c>
      <c r="Y240" s="123" t="str">
        <f>[3]Sayfa1!$AQ237</f>
        <v/>
      </c>
      <c r="Z240" s="135">
        <f>[3]Sayfa1!$AR237</f>
        <v>0</v>
      </c>
      <c r="AA240" s="134">
        <f t="shared" si="95"/>
        <v>0</v>
      </c>
      <c r="AB240" s="136">
        <f t="shared" si="96"/>
        <v>0</v>
      </c>
      <c r="AC240" s="137" t="str">
        <f t="shared" si="97"/>
        <v/>
      </c>
      <c r="AD240" s="135">
        <f t="shared" si="98"/>
        <v>0</v>
      </c>
      <c r="AE240" s="138">
        <f t="shared" si="99"/>
        <v>0</v>
      </c>
      <c r="AF240" s="139" t="str">
        <f>[3]Sayfa1!$AP237</f>
        <v>(II) Birden fazla karşılaşılan arıza</v>
      </c>
      <c r="AG240" s="128" t="str">
        <f>IF([3]Sayfa1!$P237="C(Sisteme etki etmeyen arıza)","Bu Arıza Aracın Servise Verilmesine Engel Değil","Bu Arıza Aracın Servise Verilmesine Engel")</f>
        <v>Bu Arıza Aracın Servise Verilmesine Engel Değil</v>
      </c>
      <c r="AH240" s="140" t="e">
        <f>[3]Sayfa1!$AC237</f>
        <v>#NAME?</v>
      </c>
      <c r="AI240" s="137"/>
      <c r="AJ240" s="137"/>
      <c r="AK240" s="138">
        <f t="shared" si="100"/>
        <v>0</v>
      </c>
      <c r="AL240" s="136">
        <f t="shared" si="101"/>
        <v>0</v>
      </c>
      <c r="AM240" s="136">
        <f t="shared" si="102"/>
        <v>0</v>
      </c>
      <c r="AN240" s="141" t="str">
        <f t="shared" si="103"/>
        <v>PİTON BİLGİSAYAR TEKNOLOJİLERİ EĞİT</v>
      </c>
      <c r="AO240" s="141">
        <f>[3]Sayfa1!$X237</f>
        <v>0</v>
      </c>
      <c r="AP240" s="141">
        <f>[3]Sayfa1!$Z237</f>
        <v>869023001284</v>
      </c>
      <c r="AQ240" s="122" t="str">
        <f>[3]Sayfa1!$W237</f>
        <v>E840-8005/LCD Display</v>
      </c>
      <c r="AR240" s="142">
        <f>[3]Sayfa1!$Y237</f>
        <v>1</v>
      </c>
      <c r="AS240" s="143">
        <f>[3]Sayfa1!$AD237</f>
        <v>0</v>
      </c>
      <c r="AT240" s="137" t="str">
        <f>[3]Sayfa1!$AE237</f>
        <v/>
      </c>
      <c r="AU240" s="137" t="str">
        <f>[3]Sayfa1!$AH237</f>
        <v/>
      </c>
      <c r="AV240" s="144">
        <v>236</v>
      </c>
      <c r="AW240" s="145" t="e">
        <f>U240*AB240*#REF!</f>
        <v>#REF!</v>
      </c>
    </row>
    <row r="241" spans="1:49" ht="101.25" customHeight="1">
      <c r="A241" s="119" t="s">
        <v>57</v>
      </c>
      <c r="B241" s="120" t="str">
        <f>[3]Sayfa1!$G238</f>
        <v>TS#7</v>
      </c>
      <c r="C241" s="121" t="str">
        <f>[3]Sayfa1!$H238</f>
        <v>Mc2</v>
      </c>
      <c r="D241" s="146">
        <f>[3]Sayfa1!$N238</f>
        <v>210</v>
      </c>
      <c r="E241" s="122" t="str">
        <f>[3]Sayfa1!$B238</f>
        <v>FRACAS-GDM-237</v>
      </c>
      <c r="F241" s="123">
        <f>[3]Sayfa1!$E238</f>
        <v>45761</v>
      </c>
      <c r="G241" s="124">
        <f>[3]Sayfa1!$F238</f>
        <v>45761.621967592589</v>
      </c>
      <c r="H241" s="119" t="str">
        <f>[3]Sayfa1!$I238</f>
        <v>Depo/Depot</v>
      </c>
      <c r="I241" s="125" t="str">
        <f>IF([3]Sayfa1!$K238="SSH","Notified by Bozankaya","Notified by Customer")</f>
        <v>Notified by Bozankaya</v>
      </c>
      <c r="J241" s="119" t="e">
        <f>VLOOKUP([3]Sayfa1!$AU238,#REF!,2,FALSE)</f>
        <v>#REF!</v>
      </c>
      <c r="K241" s="119" t="str">
        <f>[3]Sayfa1!$V238</f>
        <v>PİTON BİLGİSAYAR TEKNOLOJİLERİ EĞİT</v>
      </c>
      <c r="L241" s="126" t="str">
        <f t="shared" si="93"/>
        <v>GDM7X4-FRACAS-GDM-237</v>
      </c>
      <c r="M241" s="127" t="str">
        <f>[3]Sayfa1!$L238</f>
        <v>Ekran Çalışmıyor.</v>
      </c>
      <c r="N241" s="128" t="str">
        <f>[3]Sayfa1!$J238</f>
        <v>C-Uyarı, sürüş devamlılığı</v>
      </c>
      <c r="O241" s="128" t="str">
        <f>[3]Sayfa1!$P238</f>
        <v>C(Sisteme etki etmeyen arıza)</v>
      </c>
      <c r="P241" s="128" t="str">
        <f>[3]Sayfa1!$Q238</f>
        <v>N.A(Yaralanma yok)</v>
      </c>
      <c r="Q241" s="129" t="str" cm="1">
        <f t="array" ref="Q241">_xlfn.IFS([3]Sayfa1!$R238="Bozankaya","Bozankaya",[3]Sayfa1!$R238="İşletme","Customer",[3]Sayfa1!$R238="Tedarikçi","Equipment Supplier")</f>
        <v>Equipment Supplier</v>
      </c>
      <c r="R241" s="130" t="str">
        <f>[3]Sayfa1!$M238</f>
        <v>18.5" ekrana enerji verildiği halde ekran tepki vermiyor. başka yerde test edildi ve çalışmadığı görüldü.</v>
      </c>
      <c r="S241" s="147" t="str">
        <f>[3]Sayfa1!$AB238</f>
        <v>Arıza çözülecek</v>
      </c>
      <c r="T241" s="147" t="str">
        <f>[3]Sayfa1!$AA238</f>
        <v>Evet</v>
      </c>
      <c r="U241" s="131">
        <f>[3]Sayfa1!$AN238</f>
        <v>1</v>
      </c>
      <c r="V241" s="132">
        <f>[3]Sayfa1!$T238</f>
        <v>45761</v>
      </c>
      <c r="W241" s="133">
        <f>[3]Sayfa1!$U238</f>
        <v>45761.628460648149</v>
      </c>
      <c r="X241" s="134">
        <f t="shared" si="94"/>
        <v>45761.628460648149</v>
      </c>
      <c r="Y241" s="123" t="str">
        <f>[3]Sayfa1!$AQ238</f>
        <v/>
      </c>
      <c r="Z241" s="135">
        <f>[3]Sayfa1!$AR238</f>
        <v>0</v>
      </c>
      <c r="AA241" s="134">
        <f t="shared" si="95"/>
        <v>0</v>
      </c>
      <c r="AB241" s="136">
        <f t="shared" si="96"/>
        <v>0</v>
      </c>
      <c r="AC241" s="137" t="str">
        <f t="shared" si="97"/>
        <v/>
      </c>
      <c r="AD241" s="135">
        <f t="shared" si="98"/>
        <v>0</v>
      </c>
      <c r="AE241" s="138">
        <f t="shared" si="99"/>
        <v>0</v>
      </c>
      <c r="AF241" s="139" t="str">
        <f>[3]Sayfa1!$AP238</f>
        <v>(II) Birden fazla karşılaşılan arıza</v>
      </c>
      <c r="AG241" s="128" t="str">
        <f>IF([3]Sayfa1!$P238="C(Sisteme etki etmeyen arıza)","Bu Arıza Aracın Servise Verilmesine Engel Değil","Bu Arıza Aracın Servise Verilmesine Engel")</f>
        <v>Bu Arıza Aracın Servise Verilmesine Engel Değil</v>
      </c>
      <c r="AH241" s="140" t="e">
        <f>[3]Sayfa1!$AC238</f>
        <v>#NAME?</v>
      </c>
      <c r="AI241" s="137"/>
      <c r="AJ241" s="137"/>
      <c r="AK241" s="138">
        <f t="shared" si="100"/>
        <v>0</v>
      </c>
      <c r="AL241" s="136">
        <f t="shared" si="101"/>
        <v>0</v>
      </c>
      <c r="AM241" s="136">
        <f t="shared" si="102"/>
        <v>0</v>
      </c>
      <c r="AN241" s="141" t="str">
        <f t="shared" si="103"/>
        <v>PİTON BİLGİSAYAR TEKNOLOJİLERİ EĞİT</v>
      </c>
      <c r="AO241" s="141">
        <f>[3]Sayfa1!$X238</f>
        <v>0</v>
      </c>
      <c r="AP241" s="141">
        <f>[3]Sayfa1!$Z238</f>
        <v>869023001945</v>
      </c>
      <c r="AQ241" s="122" t="str">
        <f>[3]Sayfa1!$W238</f>
        <v>E840-8006/LCD EKRAN</v>
      </c>
      <c r="AR241" s="142">
        <f>[3]Sayfa1!$Y238</f>
        <v>1</v>
      </c>
      <c r="AS241" s="143">
        <f>[3]Sayfa1!$AD238</f>
        <v>0</v>
      </c>
      <c r="AT241" s="137" t="str">
        <f>[3]Sayfa1!$AE238</f>
        <v/>
      </c>
      <c r="AU241" s="137" t="str">
        <f>[3]Sayfa1!$AH238</f>
        <v/>
      </c>
      <c r="AV241" s="144">
        <v>237</v>
      </c>
      <c r="AW241" s="145" t="e">
        <f>U241*AB241*#REF!</f>
        <v>#REF!</v>
      </c>
    </row>
    <row r="242" spans="1:49" ht="101.25" customHeight="1">
      <c r="A242" s="119" t="s">
        <v>57</v>
      </c>
      <c r="B242" s="120" t="str">
        <f>[3]Sayfa1!$G239</f>
        <v>TS#5</v>
      </c>
      <c r="C242" s="121" t="str">
        <f>[3]Sayfa1!$H239</f>
        <v>M</v>
      </c>
      <c r="D242" s="146">
        <f>[3]Sayfa1!$N239</f>
        <v>1</v>
      </c>
      <c r="E242" s="122" t="str">
        <f>[3]Sayfa1!$B239</f>
        <v>FRACAS-GDM-238</v>
      </c>
      <c r="F242" s="123">
        <f>[3]Sayfa1!$E239</f>
        <v>45761</v>
      </c>
      <c r="G242" s="124">
        <f>[3]Sayfa1!$F239</f>
        <v>45761.632777777777</v>
      </c>
      <c r="H242" s="119" t="str">
        <f>[3]Sayfa1!$I239</f>
        <v>Depo/Depot</v>
      </c>
      <c r="I242" s="125" t="str">
        <f>IF([3]Sayfa1!$K239="SSH","Notified by Bozankaya","Notified by Customer")</f>
        <v>Notified by Bozankaya</v>
      </c>
      <c r="J242" s="119" t="e">
        <f>VLOOKUP([3]Sayfa1!$AU239,#REF!,2,FALSE)</f>
        <v>#REF!</v>
      </c>
      <c r="K242" s="119" t="str">
        <f>[3]Sayfa1!$V239</f>
        <v>PİTON BİLGİSAYAR TEKNOLOJİLERİ EĞİT</v>
      </c>
      <c r="L242" s="126" t="str">
        <f t="shared" ref="L242:L255" si="104">A242&amp;"-"&amp;E242</f>
        <v>GDM7X4-FRACAS-GDM-238</v>
      </c>
      <c r="M242" s="127" t="str">
        <f>[3]Sayfa1!$L239</f>
        <v>Ekran Sigorta Attırıyor.</v>
      </c>
      <c r="N242" s="128" t="str">
        <f>[3]Sayfa1!$J239</f>
        <v>C-Uyarı, sürüş devamlılığı</v>
      </c>
      <c r="O242" s="128" t="str">
        <f>[3]Sayfa1!$P239</f>
        <v>C(Sisteme etki etmeyen arıza)</v>
      </c>
      <c r="P242" s="128" t="str">
        <f>[3]Sayfa1!$Q239</f>
        <v>N.A(Yaralanma yok)</v>
      </c>
      <c r="Q242" s="129" t="str" cm="1">
        <f t="array" ref="Q242">_xlfn.IFS([3]Sayfa1!$R239="Bozankaya","Bozankaya",[3]Sayfa1!$R239="İşletme","Customer",[3]Sayfa1!$R239="Tedarikçi","Equipment Supplier")</f>
        <v>Equipment Supplier</v>
      </c>
      <c r="R242" s="130" t="str">
        <f>[3]Sayfa1!$M239</f>
        <v>Ekrana enerji verildiğinde sigorta attırdığı görüldü. başka yerde test edildi. Toprak bağlantısı yapıldığında sigorta attırdığı tespit edildi.</v>
      </c>
      <c r="S242" s="147" t="str">
        <f>[3]Sayfa1!$AB239</f>
        <v>Arıza çözülecek</v>
      </c>
      <c r="T242" s="147" t="str">
        <f>[3]Sayfa1!$AA239</f>
        <v>Evet</v>
      </c>
      <c r="U242" s="131">
        <f>[3]Sayfa1!$AN239</f>
        <v>1</v>
      </c>
      <c r="V242" s="132">
        <f>[3]Sayfa1!$T239</f>
        <v>45761</v>
      </c>
      <c r="W242" s="133">
        <f>[3]Sayfa1!$U239</f>
        <v>45761.633842592593</v>
      </c>
      <c r="X242" s="134">
        <f t="shared" ref="X242:X255" si="105">W242</f>
        <v>45761.633842592593</v>
      </c>
      <c r="Y242" s="123" t="str">
        <f>[3]Sayfa1!$AQ239</f>
        <v/>
      </c>
      <c r="Z242" s="135">
        <f>[3]Sayfa1!$AR239</f>
        <v>0</v>
      </c>
      <c r="AA242" s="134">
        <f t="shared" ref="AA242:AA255" si="106">Z242</f>
        <v>0</v>
      </c>
      <c r="AB242" s="136">
        <f t="shared" ref="AB242:AB255" si="107">IFERROR(IF(Y242-F242&gt;0,(AA242-X242)*24,IF(OR(AND(G242&gt;AR$1,G242&lt;AS$1),AND(G242&gt;AT$1,G242&lt;AU$1)),(AA242-X242)*24,0)),0)</f>
        <v>0</v>
      </c>
      <c r="AC242" s="137" t="str">
        <f t="shared" ref="AC242:AC255" si="108">Y242</f>
        <v/>
      </c>
      <c r="AD242" s="135">
        <f t="shared" ref="AD242:AD255" si="109">Z242</f>
        <v>0</v>
      </c>
      <c r="AE242" s="138">
        <f t="shared" ref="AE242:AE255" si="110">AD242</f>
        <v>0</v>
      </c>
      <c r="AF242" s="139" t="str">
        <f>[3]Sayfa1!$AP239</f>
        <v>(II) Birden fazla karşılaşılan arıza</v>
      </c>
      <c r="AG242" s="128" t="str">
        <f>IF([3]Sayfa1!$P239="C(Sisteme etki etmeyen arıza)","Bu Arıza Aracın Servise Verilmesine Engel Değil","Bu Arıza Aracın Servise Verilmesine Engel")</f>
        <v>Bu Arıza Aracın Servise Verilmesine Engel Değil</v>
      </c>
      <c r="AH242" s="140" t="e">
        <f>[3]Sayfa1!$AC239</f>
        <v>#NAME?</v>
      </c>
      <c r="AI242" s="137"/>
      <c r="AJ242" s="137"/>
      <c r="AK242" s="138">
        <f t="shared" ref="AK242:AK255" si="111">AI242+AJ242</f>
        <v>0</v>
      </c>
      <c r="AL242" s="136">
        <f t="shared" ref="AL242:AL255" si="112">IFERROR(IF(AND(O242&lt;&gt;"D:Arıza Değil",AG242="Bu Arıza Aracın Servise Verilmesine Engel Değil"),IF(Y242-F242&gt;0,(AA242-X242)*24,IF(OR(AND(G242&gt;AR$1,G242&lt;AS$1),AND(G242&gt;AT$1,G242&lt;AU$1)),(AK242-X242)*24,0))*60,AM242),0)</f>
        <v>0</v>
      </c>
      <c r="AM242" s="136">
        <f t="shared" ref="AM242:AM255" si="113">IFERROR(IF(O242&lt;&gt;"C(Sisteme etki etmeyen arıza)",AB242*60,0),0)</f>
        <v>0</v>
      </c>
      <c r="AN242" s="141" t="str">
        <f t="shared" ref="AN242:AN255" si="114">K242</f>
        <v>PİTON BİLGİSAYAR TEKNOLOJİLERİ EĞİT</v>
      </c>
      <c r="AO242" s="141">
        <f>[3]Sayfa1!$X239</f>
        <v>0</v>
      </c>
      <c r="AP242" s="141">
        <f>[3]Sayfa1!$Z239</f>
        <v>869023001343</v>
      </c>
      <c r="AQ242" s="122" t="str">
        <f>[3]Sayfa1!$W239</f>
        <v>E840-8005/LCD Display</v>
      </c>
      <c r="AR242" s="142">
        <f>[3]Sayfa1!$Y239</f>
        <v>1</v>
      </c>
      <c r="AS242" s="143">
        <f>[3]Sayfa1!$AD239</f>
        <v>0</v>
      </c>
      <c r="AT242" s="137" t="str">
        <f>[3]Sayfa1!$AE239</f>
        <v/>
      </c>
      <c r="AU242" s="137" t="str">
        <f>[3]Sayfa1!$AH239</f>
        <v/>
      </c>
      <c r="AV242" s="144">
        <v>238</v>
      </c>
      <c r="AW242" s="145" t="e">
        <f>U242*AB242*#REF!</f>
        <v>#REF!</v>
      </c>
    </row>
    <row r="243" spans="1:49" ht="101.25" customHeight="1">
      <c r="A243" s="119" t="s">
        <v>57</v>
      </c>
      <c r="B243" s="120" t="str">
        <f>[3]Sayfa1!$G240</f>
        <v>TS#5</v>
      </c>
      <c r="C243" s="121" t="str">
        <f>[3]Sayfa1!$H240</f>
        <v>M</v>
      </c>
      <c r="D243" s="146">
        <f>[3]Sayfa1!$N240</f>
        <v>1</v>
      </c>
      <c r="E243" s="122" t="str">
        <f>[3]Sayfa1!$B240</f>
        <v>FRACAS-GDM-239</v>
      </c>
      <c r="F243" s="123">
        <f>[3]Sayfa1!$E240</f>
        <v>45761</v>
      </c>
      <c r="G243" s="124">
        <f>[3]Sayfa1!$F240</f>
        <v>45761.635833333334</v>
      </c>
      <c r="H243" s="119" t="str">
        <f>[3]Sayfa1!$I240</f>
        <v>Depo/Depot</v>
      </c>
      <c r="I243" s="125" t="str">
        <f>IF([3]Sayfa1!$K240="SSH","Notified by Bozankaya","Notified by Customer")</f>
        <v>Notified by Bozankaya</v>
      </c>
      <c r="J243" s="119" t="e">
        <f>VLOOKUP([3]Sayfa1!$AU240,#REF!,2,FALSE)</f>
        <v>#REF!</v>
      </c>
      <c r="K243" s="119" t="str">
        <f>[3]Sayfa1!$V240</f>
        <v>PİTON BİLGİSAYAR TEKNOLOJİLERİ EĞİT</v>
      </c>
      <c r="L243" s="126" t="str">
        <f t="shared" si="104"/>
        <v>GDM7X4-FRACAS-GDM-239</v>
      </c>
      <c r="M243" s="127" t="str">
        <f>[3]Sayfa1!$L240</f>
        <v>18.5" Siyah Ekran Hatası</v>
      </c>
      <c r="N243" s="128" t="str">
        <f>[3]Sayfa1!$J240</f>
        <v>C-Uyarı, sürüş devamlılığı</v>
      </c>
      <c r="O243" s="128" t="str">
        <f>[3]Sayfa1!$P240</f>
        <v>A(Hareket etmeyi engelleyen arıza)</v>
      </c>
      <c r="P243" s="128" t="str">
        <f>[3]Sayfa1!$Q240</f>
        <v>N.A(Yaralanma yok)</v>
      </c>
      <c r="Q243" s="129" t="str" cm="1">
        <f t="array" ref="Q243">_xlfn.IFS([3]Sayfa1!$R240="Bozankaya","Bozankaya",[3]Sayfa1!$R240="İşletme","Customer",[3]Sayfa1!$R240="Tedarikçi","Equipment Supplier")</f>
        <v>Equipment Supplier</v>
      </c>
      <c r="R243" s="130" t="str">
        <f>[3]Sayfa1!$M240</f>
        <v>Ekrana enerji verildiğinde ekran açılmıyor. Arkasındaki led sürekli kırmızı yanıp söndüğü görüldü.</v>
      </c>
      <c r="S243" s="147" t="str">
        <f>[3]Sayfa1!$AB240</f>
        <v>Arıza çözülecek</v>
      </c>
      <c r="T243" s="147" t="str">
        <f>[3]Sayfa1!$AA240</f>
        <v>Evet</v>
      </c>
      <c r="U243" s="131">
        <f>[3]Sayfa1!$AN240</f>
        <v>0</v>
      </c>
      <c r="V243" s="132">
        <f>[3]Sayfa1!$T240</f>
        <v>45761</v>
      </c>
      <c r="W243" s="133">
        <f>[3]Sayfa1!$U240</f>
        <v>45761.637395833335</v>
      </c>
      <c r="X243" s="134">
        <f t="shared" si="105"/>
        <v>45761.637395833335</v>
      </c>
      <c r="Y243" s="123" t="str">
        <f>[3]Sayfa1!$AQ240</f>
        <v/>
      </c>
      <c r="Z243" s="135">
        <f>[3]Sayfa1!$AR240</f>
        <v>0</v>
      </c>
      <c r="AA243" s="134">
        <f t="shared" si="106"/>
        <v>0</v>
      </c>
      <c r="AB243" s="136">
        <f t="shared" si="107"/>
        <v>0</v>
      </c>
      <c r="AC243" s="137" t="str">
        <f t="shared" si="108"/>
        <v/>
      </c>
      <c r="AD243" s="135">
        <f t="shared" si="109"/>
        <v>0</v>
      </c>
      <c r="AE243" s="138">
        <f t="shared" si="110"/>
        <v>0</v>
      </c>
      <c r="AF243" s="139" t="str">
        <f>[3]Sayfa1!$AP240</f>
        <v>(II) Birden fazla karşılaşılan arıza</v>
      </c>
      <c r="AG243" s="128" t="str">
        <f>IF([3]Sayfa1!$P240="C(Sisteme etki etmeyen arıza)","Bu Arıza Aracın Servise Verilmesine Engel Değil","Bu Arıza Aracın Servise Verilmesine Engel")</f>
        <v>Bu Arıza Aracın Servise Verilmesine Engel</v>
      </c>
      <c r="AH243" s="140" t="e">
        <f>[3]Sayfa1!$AC240</f>
        <v>#NAME?</v>
      </c>
      <c r="AI243" s="137"/>
      <c r="AJ243" s="137"/>
      <c r="AK243" s="138">
        <f t="shared" si="111"/>
        <v>0</v>
      </c>
      <c r="AL243" s="136">
        <f t="shared" si="112"/>
        <v>0</v>
      </c>
      <c r="AM243" s="136">
        <f t="shared" si="113"/>
        <v>0</v>
      </c>
      <c r="AN243" s="141" t="str">
        <f t="shared" si="114"/>
        <v>PİTON BİLGİSAYAR TEKNOLOJİLERİ EĞİT</v>
      </c>
      <c r="AO243" s="141">
        <f>[3]Sayfa1!$X240</f>
        <v>0</v>
      </c>
      <c r="AP243" s="141">
        <f>[3]Sayfa1!$Z240</f>
        <v>869023001875</v>
      </c>
      <c r="AQ243" s="122" t="str">
        <f>[3]Sayfa1!$W240</f>
        <v>E840-8006/LCD EKRAN</v>
      </c>
      <c r="AR243" s="142">
        <f>[3]Sayfa1!$Y240</f>
        <v>1</v>
      </c>
      <c r="AS243" s="143">
        <f>[3]Sayfa1!$AD240</f>
        <v>0</v>
      </c>
      <c r="AT243" s="137" t="str">
        <f>[3]Sayfa1!$AE240</f>
        <v/>
      </c>
      <c r="AU243" s="137" t="str">
        <f>[3]Sayfa1!$AH240</f>
        <v/>
      </c>
      <c r="AV243" s="144">
        <v>239</v>
      </c>
      <c r="AW243" s="145" t="e">
        <f>U243*AB243*#REF!</f>
        <v>#REF!</v>
      </c>
    </row>
    <row r="244" spans="1:49" ht="101.25" customHeight="1">
      <c r="A244" s="119" t="s">
        <v>57</v>
      </c>
      <c r="B244" s="120" t="str">
        <f>[3]Sayfa1!$G241</f>
        <v>TS#1</v>
      </c>
      <c r="C244" s="121" t="str">
        <f>[3]Sayfa1!$H241</f>
        <v>M</v>
      </c>
      <c r="D244" s="146">
        <f>[3]Sayfa1!$N241</f>
        <v>1368</v>
      </c>
      <c r="E244" s="122" t="str">
        <f>[3]Sayfa1!$B241</f>
        <v>FRACAS-GDM-240</v>
      </c>
      <c r="F244" s="123">
        <f>[3]Sayfa1!$E241</f>
        <v>45754</v>
      </c>
      <c r="G244" s="124">
        <f>[3]Sayfa1!$F241</f>
        <v>45754.453472222223</v>
      </c>
      <c r="H244" s="119" t="str">
        <f>[3]Sayfa1!$I241</f>
        <v>Depo/Depot</v>
      </c>
      <c r="I244" s="125" t="str">
        <f>IF([3]Sayfa1!$K241="SSH","Notified by Bozankaya","Notified by Customer")</f>
        <v>Notified by Bozankaya</v>
      </c>
      <c r="J244" s="119" t="e">
        <f>VLOOKUP([3]Sayfa1!$AU241,#REF!,2,FALSE)</f>
        <v>#REF!</v>
      </c>
      <c r="K244" s="119" t="str">
        <f>[3]Sayfa1!$V241</f>
        <v>AYPA MÜHENDİSLİK PROJE DANIŞMANLIK</v>
      </c>
      <c r="L244" s="126" t="str">
        <f t="shared" si="104"/>
        <v>GDM7X4-FRACAS-GDM-240</v>
      </c>
      <c r="M244" s="127" t="str">
        <f>[3]Sayfa1!$L241</f>
        <v>Gdm1 M vagon +59 panoda bulunan JC-K02 rölesinin yapıştığı görülmüştür.</v>
      </c>
      <c r="N244" s="128" t="str">
        <f>[3]Sayfa1!$J241</f>
        <v>C-Uyarı, sürüş devamlılığı</v>
      </c>
      <c r="O244" s="128" t="str">
        <f>[3]Sayfa1!$P241</f>
        <v>A(Hareket etmeyi engelleyen arıza)</v>
      </c>
      <c r="P244" s="128" t="str">
        <f>[3]Sayfa1!$Q241</f>
        <v>N.A(Yaralanma yok)</v>
      </c>
      <c r="Q244" s="129" t="str" cm="1">
        <f t="array" ref="Q244">_xlfn.IFS([3]Sayfa1!$R241="Bozankaya","Bozankaya",[3]Sayfa1!$R241="İşletme","Customer",[3]Sayfa1!$R241="Tedarikçi","Equipment Supplier")</f>
        <v>Equipment Supplier</v>
      </c>
      <c r="R244" s="130" t="str">
        <f>[3]Sayfa1!$M241</f>
        <v>Röle ssh stoğundan değiştirilmiştir</v>
      </c>
      <c r="S244" s="147" t="str">
        <f>[3]Sayfa1!$AB241</f>
        <v>Ekipman değiştirilecek</v>
      </c>
      <c r="T244" s="147" t="str">
        <f>[3]Sayfa1!$AA241</f>
        <v>Evet</v>
      </c>
      <c r="U244" s="131">
        <f>[3]Sayfa1!$AN241</f>
        <v>1</v>
      </c>
      <c r="V244" s="132">
        <f>[3]Sayfa1!$T241</f>
        <v>45758</v>
      </c>
      <c r="W244" s="133">
        <f>[3]Sayfa1!$U241</f>
        <v>45758.456944444442</v>
      </c>
      <c r="X244" s="134">
        <f t="shared" si="105"/>
        <v>45758.456944444442</v>
      </c>
      <c r="Y244" s="123">
        <f>[3]Sayfa1!$AQ241</f>
        <v>45761</v>
      </c>
      <c r="Z244" s="135">
        <f>[3]Sayfa1!$AR241</f>
        <v>45761.461111111108</v>
      </c>
      <c r="AA244" s="134">
        <f t="shared" si="106"/>
        <v>45761.461111111108</v>
      </c>
      <c r="AB244" s="136">
        <f t="shared" si="107"/>
        <v>72.099999999976717</v>
      </c>
      <c r="AC244" s="137">
        <f t="shared" si="108"/>
        <v>45761</v>
      </c>
      <c r="AD244" s="135">
        <f t="shared" si="109"/>
        <v>45761.461111111108</v>
      </c>
      <c r="AE244" s="138">
        <f t="shared" si="110"/>
        <v>45761.461111111108</v>
      </c>
      <c r="AF244" s="139" t="str">
        <f>[3]Sayfa1!$AP241</f>
        <v>(II) Birden fazla karşılaşılan arıza</v>
      </c>
      <c r="AG244" s="128" t="str">
        <f>IF([3]Sayfa1!$P241="C(Sisteme etki etmeyen arıza)","Bu Arıza Aracın Servise Verilmesine Engel Değil","Bu Arıza Aracın Servise Verilmesine Engel")</f>
        <v>Bu Arıza Aracın Servise Verilmesine Engel</v>
      </c>
      <c r="AH244" s="140" t="e">
        <f>[3]Sayfa1!$AC241</f>
        <v>#NAME?</v>
      </c>
      <c r="AI244" s="137"/>
      <c r="AJ244" s="137"/>
      <c r="AK244" s="138">
        <f t="shared" si="111"/>
        <v>0</v>
      </c>
      <c r="AL244" s="136">
        <f t="shared" si="112"/>
        <v>4325.999999998603</v>
      </c>
      <c r="AM244" s="136">
        <f t="shared" si="113"/>
        <v>4325.999999998603</v>
      </c>
      <c r="AN244" s="141" t="str">
        <f t="shared" si="114"/>
        <v>AYPA MÜHENDİSLİK PROJE DANIŞMANLIK</v>
      </c>
      <c r="AO244" s="141">
        <f>[3]Sayfa1!$X241</f>
        <v>0</v>
      </c>
      <c r="AP244" s="141" t="str">
        <f>[3]Sayfa1!$Z241</f>
        <v>220044020541 2208</v>
      </c>
      <c r="AQ244" s="122" t="str">
        <f>[3]Sayfa1!$W241</f>
        <v>E110-8018/4 CO ARTECHE 110V RÖLE</v>
      </c>
      <c r="AR244" s="142">
        <f>[3]Sayfa1!$Y241</f>
        <v>1</v>
      </c>
      <c r="AS244" s="143">
        <f>[3]Sayfa1!$AD241</f>
        <v>0</v>
      </c>
      <c r="AT244" s="137" t="str">
        <f>[3]Sayfa1!$AE241</f>
        <v/>
      </c>
      <c r="AU244" s="137" t="str">
        <f>[3]Sayfa1!$AH241</f>
        <v/>
      </c>
      <c r="AV244" s="144">
        <v>240</v>
      </c>
      <c r="AW244" s="145" t="e">
        <f>U244*AB244*#REF!</f>
        <v>#REF!</v>
      </c>
    </row>
    <row r="245" spans="1:49" ht="101.25" customHeight="1">
      <c r="A245" s="119" t="s">
        <v>57</v>
      </c>
      <c r="B245" s="120" t="str">
        <f>[3]Sayfa1!$G242</f>
        <v>TS#1</v>
      </c>
      <c r="C245" s="121" t="str">
        <f>[3]Sayfa1!$H242</f>
        <v>Mc1</v>
      </c>
      <c r="D245" s="146">
        <f>[3]Sayfa1!$N242</f>
        <v>1368</v>
      </c>
      <c r="E245" s="122" t="str">
        <f>[3]Sayfa1!$B242</f>
        <v>FRACAS-GDM-241</v>
      </c>
      <c r="F245" s="123">
        <f>[3]Sayfa1!$E242</f>
        <v>45754</v>
      </c>
      <c r="G245" s="124">
        <f>[3]Sayfa1!$F242</f>
        <v>45754.475694444445</v>
      </c>
      <c r="H245" s="119" t="str">
        <f>[3]Sayfa1!$I242</f>
        <v>Depo/Depot</v>
      </c>
      <c r="I245" s="125" t="str">
        <f>IF([3]Sayfa1!$K242="SSH","Notified by Bozankaya","Notified by Customer")</f>
        <v>Notified by Bozankaya</v>
      </c>
      <c r="J245" s="119" t="e">
        <f>VLOOKUP([3]Sayfa1!$AU242,#REF!,2,FALSE)</f>
        <v>#REF!</v>
      </c>
      <c r="K245" s="119" t="str">
        <f>[3]Sayfa1!$V242</f>
        <v>AYPA MÜHENDİSLİK PROJE DANIŞMANLIK</v>
      </c>
      <c r="L245" s="126" t="str">
        <f t="shared" si="104"/>
        <v>GDM7X4-FRACAS-GDM-241</v>
      </c>
      <c r="M245" s="127" t="str">
        <f>[3]Sayfa1!$L242</f>
        <v>Gdm1 MC1 +59 panoda RA-K52.1 rölesinin düzgün çalışmadığı tespit edilmiş, röle aktif halde iken 7-8-9. Bacaklarında enerji olması gerekirken 11-8-13. Bacaklarında enerji tespit edilmiştir.</v>
      </c>
      <c r="N245" s="128" t="str">
        <f>[3]Sayfa1!$J242</f>
        <v>A-Sürüşü engeller</v>
      </c>
      <c r="O245" s="128" t="str">
        <f>[3]Sayfa1!$P242</f>
        <v>A(Hareket etmeyi engelleyen arıza)</v>
      </c>
      <c r="P245" s="128" t="str">
        <f>[3]Sayfa1!$Q242</f>
        <v>N.A(Yaralanma yok)</v>
      </c>
      <c r="Q245" s="129" t="str" cm="1">
        <f t="array" ref="Q245">_xlfn.IFS([3]Sayfa1!$R242="Bozankaya","Bozankaya",[3]Sayfa1!$R242="İşletme","Customer",[3]Sayfa1!$R242="Tedarikçi","Equipment Supplier")</f>
        <v>Equipment Supplier</v>
      </c>
      <c r="R245" s="130" t="str">
        <f>[3]Sayfa1!$M242</f>
        <v>Yeni röle takılarak sorun çözüldü</v>
      </c>
      <c r="S245" s="147" t="str">
        <f>[3]Sayfa1!$AB242</f>
        <v>Ekipman değiştirilecek</v>
      </c>
      <c r="T245" s="147" t="str">
        <f>[3]Sayfa1!$AA242</f>
        <v>Evet</v>
      </c>
      <c r="U245" s="131">
        <f>[3]Sayfa1!$AN242</f>
        <v>1</v>
      </c>
      <c r="V245" s="132">
        <f>[3]Sayfa1!$T242</f>
        <v>45756</v>
      </c>
      <c r="W245" s="133">
        <f>[3]Sayfa1!$U242</f>
        <v>45756.480555555558</v>
      </c>
      <c r="X245" s="134">
        <f t="shared" si="105"/>
        <v>45756.480555555558</v>
      </c>
      <c r="Y245" s="123">
        <f>[3]Sayfa1!$AQ242</f>
        <v>45758</v>
      </c>
      <c r="Z245" s="135">
        <f>[3]Sayfa1!$AR242</f>
        <v>45758.481249999997</v>
      </c>
      <c r="AA245" s="134">
        <f t="shared" si="106"/>
        <v>45758.481249999997</v>
      </c>
      <c r="AB245" s="136">
        <f t="shared" si="107"/>
        <v>48.016666666546371</v>
      </c>
      <c r="AC245" s="137">
        <f t="shared" si="108"/>
        <v>45758</v>
      </c>
      <c r="AD245" s="135">
        <f t="shared" si="109"/>
        <v>45758.481249999997</v>
      </c>
      <c r="AE245" s="138">
        <f t="shared" si="110"/>
        <v>45758.481249999997</v>
      </c>
      <c r="AF245" s="139" t="str">
        <f>[3]Sayfa1!$AP242</f>
        <v>(II) Birden fazla karşılaşılan arıza</v>
      </c>
      <c r="AG245" s="128" t="str">
        <f>IF([3]Sayfa1!$P242="C(Sisteme etki etmeyen arıza)","Bu Arıza Aracın Servise Verilmesine Engel Değil","Bu Arıza Aracın Servise Verilmesine Engel")</f>
        <v>Bu Arıza Aracın Servise Verilmesine Engel</v>
      </c>
      <c r="AH245" s="140" t="e">
        <f>[3]Sayfa1!$AC242</f>
        <v>#NAME?</v>
      </c>
      <c r="AI245" s="137"/>
      <c r="AJ245" s="137"/>
      <c r="AK245" s="138">
        <f t="shared" si="111"/>
        <v>0</v>
      </c>
      <c r="AL245" s="136">
        <f t="shared" si="112"/>
        <v>2880.9999999927823</v>
      </c>
      <c r="AM245" s="136">
        <f t="shared" si="113"/>
        <v>2880.9999999927823</v>
      </c>
      <c r="AN245" s="141" t="str">
        <f t="shared" si="114"/>
        <v>AYPA MÜHENDİSLİK PROJE DANIŞMANLIK</v>
      </c>
      <c r="AO245" s="141">
        <f>[3]Sayfa1!$X242</f>
        <v>0</v>
      </c>
      <c r="AP245" s="141" t="str">
        <f>[3]Sayfa1!$Z242</f>
        <v>220044020223 2207</v>
      </c>
      <c r="AQ245" s="122" t="str">
        <f>[3]Sayfa1!$W242</f>
        <v>E110-8018/4 CO ARTECHE 110V RÖLE</v>
      </c>
      <c r="AR245" s="142">
        <f>[3]Sayfa1!$Y242</f>
        <v>1</v>
      </c>
      <c r="AS245" s="143">
        <f>[3]Sayfa1!$AD242</f>
        <v>0</v>
      </c>
      <c r="AT245" s="137" t="str">
        <f>[3]Sayfa1!$AE242</f>
        <v/>
      </c>
      <c r="AU245" s="137" t="str">
        <f>[3]Sayfa1!$AH242</f>
        <v/>
      </c>
      <c r="AV245" s="144">
        <v>241</v>
      </c>
      <c r="AW245" s="145" t="e">
        <f>U245*AB245*#REF!</f>
        <v>#REF!</v>
      </c>
    </row>
    <row r="246" spans="1:49" ht="101.25" customHeight="1">
      <c r="A246" s="119" t="s">
        <v>57</v>
      </c>
      <c r="B246" s="120" t="str">
        <f>[3]Sayfa1!$G243</f>
        <v>TS#1</v>
      </c>
      <c r="C246" s="121" t="str">
        <f>[3]Sayfa1!$H243</f>
        <v>Mc1</v>
      </c>
      <c r="D246" s="146">
        <f>[3]Sayfa1!$N243</f>
        <v>1368</v>
      </c>
      <c r="E246" s="122" t="str">
        <f>[3]Sayfa1!$B243</f>
        <v>FRACAS-GDM-242</v>
      </c>
      <c r="F246" s="123">
        <f>[3]Sayfa1!$E243</f>
        <v>45776</v>
      </c>
      <c r="G246" s="124">
        <f>[3]Sayfa1!$F243</f>
        <v>45776.486805555556</v>
      </c>
      <c r="H246" s="119" t="str">
        <f>[3]Sayfa1!$I243</f>
        <v>Depo/Depot</v>
      </c>
      <c r="I246" s="125" t="str">
        <f>IF([3]Sayfa1!$K243="SSH","Notified by Bozankaya","Notified by Customer")</f>
        <v>Notified by Bozankaya</v>
      </c>
      <c r="J246" s="119" t="e">
        <f>VLOOKUP([3]Sayfa1!$AU243,#REF!,2,FALSE)</f>
        <v>#REF!</v>
      </c>
      <c r="K246" s="119" t="str">
        <f>[3]Sayfa1!$V243</f>
        <v>PİTON BİLGİSAYAR TEKNOLOJİLERİ EĞİT</v>
      </c>
      <c r="L246" s="126" t="str">
        <f t="shared" si="104"/>
        <v>GDM7X4-FRACAS-GDM-242</v>
      </c>
      <c r="M246" s="127" t="str">
        <f>[3]Sayfa1!$L243</f>
        <v>Gdm1 mc1 +59 panoda bulunan NVR cihazının 8 pin M12 soketi, pano içinde yapılan çalışmalarda üzerine basıldığından dolayı kırılmıştır.</v>
      </c>
      <c r="N246" s="128" t="str">
        <f>[3]Sayfa1!$J243</f>
        <v>C-Uyarı, sürüş devamlılığı</v>
      </c>
      <c r="O246" s="128" t="str">
        <f>[3]Sayfa1!$P243</f>
        <v>C(Sisteme etki etmeyen arıza)</v>
      </c>
      <c r="P246" s="128" t="str">
        <f>[3]Sayfa1!$Q243</f>
        <v>N.A(Yaralanma yok)</v>
      </c>
      <c r="Q246" s="129" t="str" cm="1">
        <f t="array" ref="Q246">_xlfn.IFS([3]Sayfa1!$R243="Bozankaya","Bozankaya",[3]Sayfa1!$R243="İşletme","Customer",[3]Sayfa1!$R243="Tedarikçi","Equipment Supplier")</f>
        <v>Bozankaya</v>
      </c>
      <c r="R246" s="130" t="str">
        <f>[3]Sayfa1!$M243</f>
        <v>Firma ile görüşülüp neler yapılabileceği sorulacak</v>
      </c>
      <c r="S246" s="147">
        <f>[3]Sayfa1!$AB243</f>
        <v>0</v>
      </c>
      <c r="T246" s="147" t="str">
        <f>[3]Sayfa1!$AA243</f>
        <v>Evet</v>
      </c>
      <c r="U246" s="131">
        <f>[3]Sayfa1!$AN243</f>
        <v>0</v>
      </c>
      <c r="V246" s="132">
        <f>[3]Sayfa1!$T243</f>
        <v>45777</v>
      </c>
      <c r="W246" s="133">
        <f>[3]Sayfa1!$U243</f>
        <v>45777.495833333334</v>
      </c>
      <c r="X246" s="134">
        <f t="shared" si="105"/>
        <v>45777.495833333334</v>
      </c>
      <c r="Y246" s="123" t="str">
        <f>[3]Sayfa1!$AQ243</f>
        <v/>
      </c>
      <c r="Z246" s="135">
        <f>[3]Sayfa1!$AR243</f>
        <v>0</v>
      </c>
      <c r="AA246" s="134">
        <f t="shared" si="106"/>
        <v>0</v>
      </c>
      <c r="AB246" s="136">
        <f t="shared" si="107"/>
        <v>0</v>
      </c>
      <c r="AC246" s="137" t="str">
        <f t="shared" si="108"/>
        <v/>
      </c>
      <c r="AD246" s="135">
        <f t="shared" si="109"/>
        <v>0</v>
      </c>
      <c r="AE246" s="138">
        <f t="shared" si="110"/>
        <v>0</v>
      </c>
      <c r="AF246" s="139" t="str">
        <f>[3]Sayfa1!$AP243</f>
        <v>(I) İlk defa karşılaşılan arıza</v>
      </c>
      <c r="AG246" s="128" t="str">
        <f>IF([3]Sayfa1!$P243="C(Sisteme etki etmeyen arıza)","Bu Arıza Aracın Servise Verilmesine Engel Değil","Bu Arıza Aracın Servise Verilmesine Engel")</f>
        <v>Bu Arıza Aracın Servise Verilmesine Engel Değil</v>
      </c>
      <c r="AH246" s="140" t="e">
        <f>[3]Sayfa1!$AC243</f>
        <v>#NAME?</v>
      </c>
      <c r="AI246" s="137"/>
      <c r="AJ246" s="137"/>
      <c r="AK246" s="138">
        <f t="shared" si="111"/>
        <v>0</v>
      </c>
      <c r="AL246" s="136">
        <f t="shared" si="112"/>
        <v>0</v>
      </c>
      <c r="AM246" s="136">
        <f t="shared" si="113"/>
        <v>0</v>
      </c>
      <c r="AN246" s="141" t="str">
        <f t="shared" si="114"/>
        <v>PİTON BİLGİSAYAR TEKNOLOJİLERİ EĞİT</v>
      </c>
      <c r="AO246" s="141">
        <f>[3]Sayfa1!$X243</f>
        <v>0</v>
      </c>
      <c r="AP246" s="141" t="str">
        <f>[3]Sayfa1!$Z243</f>
        <v>K14766916</v>
      </c>
      <c r="AQ246" s="122" t="str">
        <f>[3]Sayfa1!$W243</f>
        <v>E810-8003/NVR</v>
      </c>
      <c r="AR246" s="142">
        <f>[3]Sayfa1!$Y243</f>
        <v>1</v>
      </c>
      <c r="AS246" s="143">
        <f>[3]Sayfa1!$AD243</f>
        <v>0</v>
      </c>
      <c r="AT246" s="137" t="str">
        <f>[3]Sayfa1!$AE243</f>
        <v/>
      </c>
      <c r="AU246" s="137" t="str">
        <f>[3]Sayfa1!$AH243</f>
        <v/>
      </c>
      <c r="AV246" s="144">
        <v>242</v>
      </c>
      <c r="AW246" s="145" t="e">
        <f>U246*AB246*#REF!</f>
        <v>#REF!</v>
      </c>
    </row>
    <row r="247" spans="1:49" ht="101.25" customHeight="1">
      <c r="A247" s="119" t="s">
        <v>57</v>
      </c>
      <c r="B247" s="120" t="str">
        <f>[3]Sayfa1!$G244</f>
        <v>TS#3</v>
      </c>
      <c r="C247" s="121" t="str">
        <f>[3]Sayfa1!$H244</f>
        <v>Mc2</v>
      </c>
      <c r="D247" s="146">
        <f>[3]Sayfa1!$N244</f>
        <v>168</v>
      </c>
      <c r="E247" s="122" t="str">
        <f>[3]Sayfa1!$B244</f>
        <v>FRACAS-GDM-243</v>
      </c>
      <c r="F247" s="123">
        <f>[3]Sayfa1!$E244</f>
        <v>45776</v>
      </c>
      <c r="G247" s="124">
        <f>[3]Sayfa1!$F244</f>
        <v>45776.495138888888</v>
      </c>
      <c r="H247" s="119" t="str">
        <f>[3]Sayfa1!$I244</f>
        <v>Depo/Depot</v>
      </c>
      <c r="I247" s="125" t="str">
        <f>IF([3]Sayfa1!$K244="SSH","Notified by Bozankaya","Notified by Customer")</f>
        <v>Notified by Bozankaya</v>
      </c>
      <c r="J247" s="119" t="e">
        <f>VLOOKUP([3]Sayfa1!$AU244,#REF!,2,FALSE)</f>
        <v>#REF!</v>
      </c>
      <c r="K247" s="119" t="str">
        <f>[3]Sayfa1!$V244</f>
        <v>PİTON BİLGİSAYAR TEKNOLOJİLERİ EĞİT</v>
      </c>
      <c r="L247" s="126" t="str">
        <f t="shared" si="104"/>
        <v>GDM7X4-FRACAS-GDM-243</v>
      </c>
      <c r="M247" s="127" t="str">
        <f>[3]Sayfa1!$L244</f>
        <v>Gdm3 mc2 +59 panoda bulunan NVR cihazı üzerindeki 8 pin m12 soketi, fiziksel darbeye bağlı olarak kırılmış.</v>
      </c>
      <c r="N247" s="128" t="str">
        <f>[3]Sayfa1!$J244</f>
        <v>A-Sürüşü engeller</v>
      </c>
      <c r="O247" s="128" t="str">
        <f>[3]Sayfa1!$P244</f>
        <v>C(Sisteme etki etmeyen arıza)</v>
      </c>
      <c r="P247" s="128" t="str">
        <f>[3]Sayfa1!$Q244</f>
        <v>N.A(Yaralanma yok)</v>
      </c>
      <c r="Q247" s="129" t="str" cm="1">
        <f t="array" ref="Q247">_xlfn.IFS([3]Sayfa1!$R244="Bozankaya","Bozankaya",[3]Sayfa1!$R244="İşletme","Customer",[3]Sayfa1!$R244="Tedarikçi","Equipment Supplier")</f>
        <v>Bozankaya</v>
      </c>
      <c r="R247" s="130">
        <f>[3]Sayfa1!$M244</f>
        <v>0</v>
      </c>
      <c r="S247" s="147">
        <f>[3]Sayfa1!$AB244</f>
        <v>0</v>
      </c>
      <c r="T247" s="147" t="str">
        <f>[3]Sayfa1!$AA244</f>
        <v>Evet</v>
      </c>
      <c r="U247" s="131">
        <f>[3]Sayfa1!$AN244</f>
        <v>0</v>
      </c>
      <c r="V247" s="132">
        <f>[3]Sayfa1!$T244</f>
        <v>45777</v>
      </c>
      <c r="W247" s="133">
        <f>[3]Sayfa1!$U244</f>
        <v>45777.496527777781</v>
      </c>
      <c r="X247" s="134">
        <f t="shared" si="105"/>
        <v>45777.496527777781</v>
      </c>
      <c r="Y247" s="123" t="str">
        <f>[3]Sayfa1!$AQ244</f>
        <v/>
      </c>
      <c r="Z247" s="135">
        <f>[3]Sayfa1!$AR244</f>
        <v>0</v>
      </c>
      <c r="AA247" s="134">
        <f t="shared" si="106"/>
        <v>0</v>
      </c>
      <c r="AB247" s="136">
        <f t="shared" si="107"/>
        <v>0</v>
      </c>
      <c r="AC247" s="137" t="str">
        <f t="shared" si="108"/>
        <v/>
      </c>
      <c r="AD247" s="135">
        <f t="shared" si="109"/>
        <v>0</v>
      </c>
      <c r="AE247" s="138">
        <f t="shared" si="110"/>
        <v>0</v>
      </c>
      <c r="AF247" s="139" t="str">
        <f>[3]Sayfa1!$AP244</f>
        <v>(I) İlk defa karşılaşılan arıza</v>
      </c>
      <c r="AG247" s="128" t="str">
        <f>IF([3]Sayfa1!$P244="C(Sisteme etki etmeyen arıza)","Bu Arıza Aracın Servise Verilmesine Engel Değil","Bu Arıza Aracın Servise Verilmesine Engel")</f>
        <v>Bu Arıza Aracın Servise Verilmesine Engel Değil</v>
      </c>
      <c r="AH247" s="140" t="e">
        <f>[3]Sayfa1!$AC244</f>
        <v>#NAME?</v>
      </c>
      <c r="AI247" s="137"/>
      <c r="AJ247" s="137"/>
      <c r="AK247" s="138">
        <f t="shared" si="111"/>
        <v>0</v>
      </c>
      <c r="AL247" s="136">
        <f t="shared" si="112"/>
        <v>0</v>
      </c>
      <c r="AM247" s="136">
        <f t="shared" si="113"/>
        <v>0</v>
      </c>
      <c r="AN247" s="141" t="str">
        <f t="shared" si="114"/>
        <v>PİTON BİLGİSAYAR TEKNOLOJİLERİ EĞİT</v>
      </c>
      <c r="AO247" s="141">
        <f>[3]Sayfa1!$X244</f>
        <v>0</v>
      </c>
      <c r="AP247" s="141" t="str">
        <f>[3]Sayfa1!$Z244</f>
        <v>K14766920</v>
      </c>
      <c r="AQ247" s="122" t="str">
        <f>[3]Sayfa1!$W244</f>
        <v>E810-8003/NVR</v>
      </c>
      <c r="AR247" s="142">
        <f>[3]Sayfa1!$Y244</f>
        <v>1</v>
      </c>
      <c r="AS247" s="143">
        <f>[3]Sayfa1!$AD244</f>
        <v>0</v>
      </c>
      <c r="AT247" s="137" t="str">
        <f>[3]Sayfa1!$AE244</f>
        <v/>
      </c>
      <c r="AU247" s="137" t="str">
        <f>[3]Sayfa1!$AH244</f>
        <v/>
      </c>
      <c r="AV247" s="144">
        <v>243</v>
      </c>
      <c r="AW247" s="145" t="e">
        <f>U247*AB247*#REF!</f>
        <v>#REF!</v>
      </c>
    </row>
    <row r="248" spans="1:49" ht="101.25" customHeight="1">
      <c r="A248" s="119" t="s">
        <v>57</v>
      </c>
      <c r="B248" s="120" t="str">
        <f>[3]Sayfa1!$G245</f>
        <v>TS#3</v>
      </c>
      <c r="C248" s="121" t="str">
        <f>[3]Sayfa1!$H245</f>
        <v>Mc2</v>
      </c>
      <c r="D248" s="146">
        <f>[3]Sayfa1!$N245</f>
        <v>167</v>
      </c>
      <c r="E248" s="122" t="str">
        <f>[3]Sayfa1!$B245</f>
        <v>FRACAS-GDM-244</v>
      </c>
      <c r="F248" s="123">
        <f>[3]Sayfa1!$E245</f>
        <v>45799</v>
      </c>
      <c r="G248" s="124">
        <f>[3]Sayfa1!$F245</f>
        <v>45799.412326388891</v>
      </c>
      <c r="H248" s="119" t="str">
        <f>[3]Sayfa1!$I245</f>
        <v>Depo/Depot</v>
      </c>
      <c r="I248" s="125" t="str">
        <f>IF([3]Sayfa1!$K245="SSH","Notified by Bozankaya","Notified by Customer")</f>
        <v>Notified by Bozankaya</v>
      </c>
      <c r="J248" s="119" t="e">
        <f>VLOOKUP([3]Sayfa1!$AU245,#REF!,2,FALSE)</f>
        <v>#REF!</v>
      </c>
      <c r="K248" s="119" t="str">
        <f>[3]Sayfa1!$V245</f>
        <v>PİTON BİLGİSAYAR TEKNOLOJİLERİ EĞİT</v>
      </c>
      <c r="L248" s="126" t="str">
        <f t="shared" si="104"/>
        <v>GDM7X4-FRACAS-GDM-244</v>
      </c>
      <c r="M248" s="127" t="str">
        <f>[3]Sayfa1!$L245</f>
        <v>23 inç ekran sigorta attırıyor .</v>
      </c>
      <c r="N248" s="128" t="str">
        <f>[3]Sayfa1!$J245</f>
        <v>C-Uyarı, sürüş devamlılığı</v>
      </c>
      <c r="O248" s="128" t="str">
        <f>[3]Sayfa1!$P245</f>
        <v>C(Sisteme etki etmeyen arıza)</v>
      </c>
      <c r="P248" s="128" t="str">
        <f>[3]Sayfa1!$Q245</f>
        <v>N.A(Yaralanma yok)</v>
      </c>
      <c r="Q248" s="129" t="str" cm="1">
        <f t="array" ref="Q248">_xlfn.IFS([3]Sayfa1!$R245="Bozankaya","Bozankaya",[3]Sayfa1!$R245="İşletme","Customer",[3]Sayfa1!$R245="Tedarikçi","Equipment Supplier")</f>
        <v>Equipment Supplier</v>
      </c>
      <c r="R248" s="130" t="str">
        <f>[3]Sayfa1!$M245</f>
        <v>Günlük ybs konturolleri sonrası ekranın çalışmadığı görüldü.</v>
      </c>
      <c r="S248" s="147" t="str">
        <f>[3]Sayfa1!$AB245</f>
        <v>Ekipman değiştirilecek</v>
      </c>
      <c r="T248" s="147" t="str">
        <f>[3]Sayfa1!$AA245</f>
        <v>Evet</v>
      </c>
      <c r="U248" s="131">
        <f>[3]Sayfa1!$AN245</f>
        <v>1</v>
      </c>
      <c r="V248" s="132">
        <f>[3]Sayfa1!$T245</f>
        <v>45798</v>
      </c>
      <c r="W248" s="133">
        <f>[3]Sayfa1!$U245</f>
        <v>45798.583333333336</v>
      </c>
      <c r="X248" s="134">
        <f t="shared" si="105"/>
        <v>45798.583333333336</v>
      </c>
      <c r="Y248" s="123" t="str">
        <f>[3]Sayfa1!$AQ245</f>
        <v/>
      </c>
      <c r="Z248" s="135">
        <f>[3]Sayfa1!$AR245</f>
        <v>0</v>
      </c>
      <c r="AA248" s="134">
        <f t="shared" si="106"/>
        <v>0</v>
      </c>
      <c r="AB248" s="136">
        <f t="shared" si="107"/>
        <v>0</v>
      </c>
      <c r="AC248" s="137" t="str">
        <f t="shared" si="108"/>
        <v/>
      </c>
      <c r="AD248" s="135">
        <f t="shared" si="109"/>
        <v>0</v>
      </c>
      <c r="AE248" s="138">
        <f t="shared" si="110"/>
        <v>0</v>
      </c>
      <c r="AF248" s="139" t="str">
        <f>[3]Sayfa1!$AP245</f>
        <v>(II) Birden fazla karşılaşılan arıza</v>
      </c>
      <c r="AG248" s="128" t="str">
        <f>IF([3]Sayfa1!$P245="C(Sisteme etki etmeyen arıza)","Bu Arıza Aracın Servise Verilmesine Engel Değil","Bu Arıza Aracın Servise Verilmesine Engel")</f>
        <v>Bu Arıza Aracın Servise Verilmesine Engel Değil</v>
      </c>
      <c r="AH248" s="140" t="e">
        <f>[3]Sayfa1!$AC245</f>
        <v>#NAME?</v>
      </c>
      <c r="AI248" s="137"/>
      <c r="AJ248" s="137"/>
      <c r="AK248" s="138">
        <f t="shared" si="111"/>
        <v>0</v>
      </c>
      <c r="AL248" s="136">
        <f t="shared" si="112"/>
        <v>0</v>
      </c>
      <c r="AM248" s="136">
        <f t="shared" si="113"/>
        <v>0</v>
      </c>
      <c r="AN248" s="141" t="str">
        <f t="shared" si="114"/>
        <v>PİTON BİLGİSAYAR TEKNOLOJİLERİ EĞİT</v>
      </c>
      <c r="AO248" s="141" t="str">
        <f>[3]Sayfa1!$X245</f>
        <v>E840-8005</v>
      </c>
      <c r="AP248" s="141">
        <f>[3]Sayfa1!$Z245</f>
        <v>869024001823</v>
      </c>
      <c r="AQ248" s="122" t="str">
        <f>[3]Sayfa1!$W245</f>
        <v>E840-8005/LCD Display</v>
      </c>
      <c r="AR248" s="142">
        <f>[3]Sayfa1!$Y245</f>
        <v>1</v>
      </c>
      <c r="AS248" s="143">
        <f>[3]Sayfa1!$AD245</f>
        <v>0</v>
      </c>
      <c r="AT248" s="137" t="str">
        <f>[3]Sayfa1!$AE245</f>
        <v/>
      </c>
      <c r="AU248" s="137">
        <f>[3]Sayfa1!$AH245</f>
        <v>45798</v>
      </c>
      <c r="AV248" s="144">
        <v>244</v>
      </c>
      <c r="AW248" s="145" t="e">
        <f>U248*AB248*#REF!</f>
        <v>#REF!</v>
      </c>
    </row>
    <row r="249" spans="1:49" ht="101.25" customHeight="1">
      <c r="A249" s="119" t="s">
        <v>57</v>
      </c>
      <c r="B249" s="120" t="str">
        <f>[3]Sayfa1!$G246</f>
        <v>TS#3</v>
      </c>
      <c r="C249" s="121" t="str">
        <f>[3]Sayfa1!$H246</f>
        <v>Mc2</v>
      </c>
      <c r="D249" s="146">
        <f>[3]Sayfa1!$N246</f>
        <v>168</v>
      </c>
      <c r="E249" s="122" t="str">
        <f>[3]Sayfa1!$B246</f>
        <v>FRACAS-GDM-245</v>
      </c>
      <c r="F249" s="123">
        <f>[3]Sayfa1!$E246</f>
        <v>45799</v>
      </c>
      <c r="G249" s="124">
        <f>[3]Sayfa1!$F246</f>
        <v>45799.422800925924</v>
      </c>
      <c r="H249" s="119" t="str">
        <f>[3]Sayfa1!$I246</f>
        <v>Depo/Depot</v>
      </c>
      <c r="I249" s="125" t="str">
        <f>IF([3]Sayfa1!$K246="SSH","Notified by Bozankaya","Notified by Customer")</f>
        <v>Notified by Bozankaya</v>
      </c>
      <c r="J249" s="119" t="e">
        <f>VLOOKUP([3]Sayfa1!$AU246,#REF!,2,FALSE)</f>
        <v>#REF!</v>
      </c>
      <c r="K249" s="119" t="str">
        <f>[3]Sayfa1!$V246</f>
        <v>PİTON BİLGİSAYAR TEKNOLOJİLERİ EĞİT</v>
      </c>
      <c r="L249" s="126" t="str">
        <f t="shared" si="104"/>
        <v>GDM7X4-FRACAS-GDM-245</v>
      </c>
      <c r="M249" s="127" t="str">
        <f>[3]Sayfa1!$L246</f>
        <v>Ekran çalışmıyor .</v>
      </c>
      <c r="N249" s="128" t="str">
        <f>[3]Sayfa1!$J246</f>
        <v>C-Uyarı, sürüş devamlılığı</v>
      </c>
      <c r="O249" s="128" t="str">
        <f>[3]Sayfa1!$P246</f>
        <v>C(Sisteme etki etmeyen arıza)</v>
      </c>
      <c r="P249" s="128" t="str">
        <f>[3]Sayfa1!$Q246</f>
        <v>N.A(Yaralanma yok)</v>
      </c>
      <c r="Q249" s="129" t="str" cm="1">
        <f t="array" ref="Q249">_xlfn.IFS([3]Sayfa1!$R246="Bozankaya","Bozankaya",[3]Sayfa1!$R246="İşletme","Customer",[3]Sayfa1!$R246="Tedarikçi","Equipment Supplier")</f>
        <v>Equipment Supplier</v>
      </c>
      <c r="R249" s="130" t="str">
        <f>[3]Sayfa1!$M246</f>
        <v>Günlük ybs sistemi konturolleri sonrası 27 kapı yanı 23 inç ekranın çalışmadığı görüldü.</v>
      </c>
      <c r="S249" s="147" t="str">
        <f>[3]Sayfa1!$AB246</f>
        <v>Ekipman değiştirilecek</v>
      </c>
      <c r="T249" s="147" t="str">
        <f>[3]Sayfa1!$AA246</f>
        <v>Evet</v>
      </c>
      <c r="U249" s="131">
        <f>[3]Sayfa1!$AN246</f>
        <v>1</v>
      </c>
      <c r="V249" s="132">
        <f>[3]Sayfa1!$T246</f>
        <v>45798</v>
      </c>
      <c r="W249" s="133">
        <f>[3]Sayfa1!$U246</f>
        <v>45798.425694444442</v>
      </c>
      <c r="X249" s="134">
        <f t="shared" si="105"/>
        <v>45798.425694444442</v>
      </c>
      <c r="Y249" s="123">
        <f>[3]Sayfa1!$AQ246</f>
        <v>45798</v>
      </c>
      <c r="Z249" s="135">
        <f>[3]Sayfa1!$AR246</f>
        <v>45798.511805555558</v>
      </c>
      <c r="AA249" s="134">
        <f t="shared" si="106"/>
        <v>45798.511805555558</v>
      </c>
      <c r="AB249" s="136">
        <f t="shared" si="107"/>
        <v>0</v>
      </c>
      <c r="AC249" s="137">
        <f t="shared" si="108"/>
        <v>45798</v>
      </c>
      <c r="AD249" s="135">
        <f t="shared" si="109"/>
        <v>45798.511805555558</v>
      </c>
      <c r="AE249" s="138">
        <f t="shared" si="110"/>
        <v>45798.511805555558</v>
      </c>
      <c r="AF249" s="139" t="str">
        <f>[3]Sayfa1!$AP246</f>
        <v>(II) Birden fazla karşılaşılan arıza</v>
      </c>
      <c r="AG249" s="128" t="str">
        <f>IF([3]Sayfa1!$P246="C(Sisteme etki etmeyen arıza)","Bu Arıza Aracın Servise Verilmesine Engel Değil","Bu Arıza Aracın Servise Verilmesine Engel")</f>
        <v>Bu Arıza Aracın Servise Verilmesine Engel Değil</v>
      </c>
      <c r="AH249" s="140" t="e">
        <f>[3]Sayfa1!$AC246</f>
        <v>#NAME?</v>
      </c>
      <c r="AI249" s="137"/>
      <c r="AJ249" s="137"/>
      <c r="AK249" s="138">
        <f t="shared" si="111"/>
        <v>0</v>
      </c>
      <c r="AL249" s="136">
        <f t="shared" si="112"/>
        <v>0</v>
      </c>
      <c r="AM249" s="136">
        <f t="shared" si="113"/>
        <v>0</v>
      </c>
      <c r="AN249" s="141" t="str">
        <f t="shared" si="114"/>
        <v>PİTON BİLGİSAYAR TEKNOLOJİLERİ EĞİT</v>
      </c>
      <c r="AO249" s="141">
        <f>[3]Sayfa1!$X246</f>
        <v>0</v>
      </c>
      <c r="AP249" s="141">
        <f>[3]Sayfa1!$Z246</f>
        <v>869023001197</v>
      </c>
      <c r="AQ249" s="122" t="str">
        <f>[3]Sayfa1!$W246</f>
        <v>E840-8005/LCD Display</v>
      </c>
      <c r="AR249" s="142">
        <f>[3]Sayfa1!$Y246</f>
        <v>1</v>
      </c>
      <c r="AS249" s="143">
        <f>[3]Sayfa1!$AD246</f>
        <v>0</v>
      </c>
      <c r="AT249" s="137">
        <f>[3]Sayfa1!$AE246</f>
        <v>45798</v>
      </c>
      <c r="AU249" s="137">
        <f>[3]Sayfa1!$AH246</f>
        <v>45798</v>
      </c>
      <c r="AV249" s="144">
        <v>245</v>
      </c>
      <c r="AW249" s="145" t="e">
        <f>U249*AB249*#REF!</f>
        <v>#REF!</v>
      </c>
    </row>
    <row r="250" spans="1:49" ht="101.25" customHeight="1">
      <c r="A250" s="119" t="s">
        <v>57</v>
      </c>
      <c r="B250" s="120">
        <f>[3]Sayfa1!$G247</f>
        <v>0</v>
      </c>
      <c r="C250" s="121">
        <f>[3]Sayfa1!$H247</f>
        <v>0</v>
      </c>
      <c r="D250" s="146">
        <f>[3]Sayfa1!$N247</f>
        <v>0</v>
      </c>
      <c r="E250" s="122">
        <f>[3]Sayfa1!$B247</f>
        <v>0</v>
      </c>
      <c r="F250" s="123">
        <f>[3]Sayfa1!$E247</f>
        <v>0</v>
      </c>
      <c r="G250" s="124">
        <f>[3]Sayfa1!$F247</f>
        <v>0</v>
      </c>
      <c r="H250" s="119">
        <f>[3]Sayfa1!$I247</f>
        <v>0</v>
      </c>
      <c r="I250" s="125" t="str">
        <f>IF([3]Sayfa1!$K247="SSH","Notified by Bozankaya","Notified by Customer")</f>
        <v>Notified by Customer</v>
      </c>
      <c r="J250" s="119" t="e">
        <f>VLOOKUP([3]Sayfa1!$AU247,#REF!,2,FALSE)</f>
        <v>#REF!</v>
      </c>
      <c r="K250" s="119">
        <f>[3]Sayfa1!$V247</f>
        <v>0</v>
      </c>
      <c r="L250" s="126" t="str">
        <f t="shared" si="104"/>
        <v>GDM7X4-0</v>
      </c>
      <c r="M250" s="127">
        <f>[3]Sayfa1!$L247</f>
        <v>0</v>
      </c>
      <c r="N250" s="128">
        <f>[3]Sayfa1!$J247</f>
        <v>0</v>
      </c>
      <c r="O250" s="128">
        <f>[3]Sayfa1!$P247</f>
        <v>0</v>
      </c>
      <c r="P250" s="128">
        <f>[3]Sayfa1!$Q247</f>
        <v>0</v>
      </c>
      <c r="Q250" s="129" t="e" cm="1">
        <f t="array" ref="Q250">_xlfn.IFS([3]Sayfa1!$R247="Bozankaya","Bozankaya",[3]Sayfa1!$R247="İşletme","Customer",[3]Sayfa1!$R247="Tedarikçi","Equipment Supplier")</f>
        <v>#N/A</v>
      </c>
      <c r="R250" s="130">
        <f>[3]Sayfa1!$M247</f>
        <v>0</v>
      </c>
      <c r="S250" s="147">
        <f>[3]Sayfa1!$AB247</f>
        <v>0</v>
      </c>
      <c r="T250" s="147">
        <f>[3]Sayfa1!$AA247</f>
        <v>0</v>
      </c>
      <c r="U250" s="131">
        <f>[3]Sayfa1!$AN247</f>
        <v>0</v>
      </c>
      <c r="V250" s="132">
        <f>[3]Sayfa1!$T247</f>
        <v>0</v>
      </c>
      <c r="W250" s="133">
        <f>[3]Sayfa1!$U247</f>
        <v>0</v>
      </c>
      <c r="X250" s="134">
        <f t="shared" si="105"/>
        <v>0</v>
      </c>
      <c r="Y250" s="123">
        <f>[3]Sayfa1!$AQ247</f>
        <v>0</v>
      </c>
      <c r="Z250" s="135">
        <f>[3]Sayfa1!$AR247</f>
        <v>0</v>
      </c>
      <c r="AA250" s="134">
        <f t="shared" si="106"/>
        <v>0</v>
      </c>
      <c r="AB250" s="136">
        <f t="shared" si="107"/>
        <v>0</v>
      </c>
      <c r="AC250" s="137">
        <f t="shared" si="108"/>
        <v>0</v>
      </c>
      <c r="AD250" s="135">
        <f t="shared" si="109"/>
        <v>0</v>
      </c>
      <c r="AE250" s="138">
        <f t="shared" si="110"/>
        <v>0</v>
      </c>
      <c r="AF250" s="139">
        <f>[3]Sayfa1!$AP247</f>
        <v>0</v>
      </c>
      <c r="AG250" s="128" t="str">
        <f>IF([3]Sayfa1!$P247="C(Sisteme etki etmeyen arıza)","Bu Arıza Aracın Servise Verilmesine Engel Değil","Bu Arıza Aracın Servise Verilmesine Engel")</f>
        <v>Bu Arıza Aracın Servise Verilmesine Engel</v>
      </c>
      <c r="AH250" s="140">
        <f>[3]Sayfa1!$AC247</f>
        <v>0</v>
      </c>
      <c r="AI250" s="137"/>
      <c r="AJ250" s="137"/>
      <c r="AK250" s="138">
        <f t="shared" si="111"/>
        <v>0</v>
      </c>
      <c r="AL250" s="136">
        <f t="shared" si="112"/>
        <v>0</v>
      </c>
      <c r="AM250" s="136">
        <f t="shared" si="113"/>
        <v>0</v>
      </c>
      <c r="AN250" s="141">
        <f t="shared" si="114"/>
        <v>0</v>
      </c>
      <c r="AO250" s="141">
        <f>[3]Sayfa1!$X247</f>
        <v>0</v>
      </c>
      <c r="AP250" s="141">
        <f>[3]Sayfa1!$Z247</f>
        <v>0</v>
      </c>
      <c r="AQ250" s="122">
        <f>[3]Sayfa1!$W247</f>
        <v>0</v>
      </c>
      <c r="AR250" s="142">
        <f>[3]Sayfa1!$Y247</f>
        <v>0</v>
      </c>
      <c r="AS250" s="143">
        <f>[3]Sayfa1!$AD247</f>
        <v>0</v>
      </c>
      <c r="AT250" s="137">
        <f>[3]Sayfa1!$AE247</f>
        <v>0</v>
      </c>
      <c r="AU250" s="137">
        <f>[3]Sayfa1!$AH247</f>
        <v>0</v>
      </c>
      <c r="AV250" s="144">
        <v>246</v>
      </c>
      <c r="AW250" s="145" t="e">
        <f>U250*AB250*#REF!</f>
        <v>#REF!</v>
      </c>
    </row>
    <row r="251" spans="1:49" ht="101.25" customHeight="1">
      <c r="A251" s="119" t="s">
        <v>57</v>
      </c>
      <c r="B251" s="120">
        <f>[3]Sayfa1!$G248</f>
        <v>0</v>
      </c>
      <c r="C251" s="121">
        <f>[3]Sayfa1!$H248</f>
        <v>0</v>
      </c>
      <c r="D251" s="146">
        <f>[3]Sayfa1!$N248</f>
        <v>0</v>
      </c>
      <c r="E251" s="122">
        <f>[3]Sayfa1!$B248</f>
        <v>0</v>
      </c>
      <c r="F251" s="123">
        <f>[3]Sayfa1!$E248</f>
        <v>0</v>
      </c>
      <c r="G251" s="124">
        <f>[3]Sayfa1!$F248</f>
        <v>0</v>
      </c>
      <c r="H251" s="119">
        <f>[3]Sayfa1!$I248</f>
        <v>0</v>
      </c>
      <c r="I251" s="125" t="str">
        <f>IF([3]Sayfa1!$K248="SSH","Notified by Bozankaya","Notified by Customer")</f>
        <v>Notified by Customer</v>
      </c>
      <c r="J251" s="119" t="e">
        <f>VLOOKUP([3]Sayfa1!$AU248,#REF!,2,FALSE)</f>
        <v>#REF!</v>
      </c>
      <c r="K251" s="119">
        <f>[3]Sayfa1!$V248</f>
        <v>0</v>
      </c>
      <c r="L251" s="126" t="str">
        <f t="shared" si="104"/>
        <v>GDM7X4-0</v>
      </c>
      <c r="M251" s="127">
        <f>[3]Sayfa1!$L248</f>
        <v>0</v>
      </c>
      <c r="N251" s="128">
        <f>[3]Sayfa1!$J248</f>
        <v>0</v>
      </c>
      <c r="O251" s="128">
        <f>[3]Sayfa1!$P248</f>
        <v>0</v>
      </c>
      <c r="P251" s="128">
        <f>[3]Sayfa1!$Q248</f>
        <v>0</v>
      </c>
      <c r="Q251" s="129" t="e" cm="1">
        <f t="array" ref="Q251">_xlfn.IFS([3]Sayfa1!$R248="Bozankaya","Bozankaya",[3]Sayfa1!$R248="İşletme","Customer",[3]Sayfa1!$R248="Tedarikçi","Equipment Supplier")</f>
        <v>#N/A</v>
      </c>
      <c r="R251" s="130">
        <f>[3]Sayfa1!$M248</f>
        <v>0</v>
      </c>
      <c r="S251" s="147">
        <f>[3]Sayfa1!$AB248</f>
        <v>0</v>
      </c>
      <c r="T251" s="147">
        <f>[3]Sayfa1!$AA248</f>
        <v>0</v>
      </c>
      <c r="U251" s="131">
        <f>[3]Sayfa1!$AN248</f>
        <v>0</v>
      </c>
      <c r="V251" s="132">
        <f>[3]Sayfa1!$T248</f>
        <v>0</v>
      </c>
      <c r="W251" s="133">
        <f>[3]Sayfa1!$U248</f>
        <v>0</v>
      </c>
      <c r="X251" s="134">
        <f t="shared" si="105"/>
        <v>0</v>
      </c>
      <c r="Y251" s="123">
        <f>[3]Sayfa1!$AQ248</f>
        <v>0</v>
      </c>
      <c r="Z251" s="135">
        <f>[3]Sayfa1!$AR248</f>
        <v>0</v>
      </c>
      <c r="AA251" s="134">
        <f t="shared" si="106"/>
        <v>0</v>
      </c>
      <c r="AB251" s="136">
        <f t="shared" si="107"/>
        <v>0</v>
      </c>
      <c r="AC251" s="137">
        <f t="shared" si="108"/>
        <v>0</v>
      </c>
      <c r="AD251" s="135">
        <f t="shared" si="109"/>
        <v>0</v>
      </c>
      <c r="AE251" s="138">
        <f t="shared" si="110"/>
        <v>0</v>
      </c>
      <c r="AF251" s="139">
        <f>[3]Sayfa1!$AP248</f>
        <v>0</v>
      </c>
      <c r="AG251" s="128" t="str">
        <f>IF([3]Sayfa1!$P248="C(Sisteme etki etmeyen arıza)","Bu Arıza Aracın Servise Verilmesine Engel Değil","Bu Arıza Aracın Servise Verilmesine Engel")</f>
        <v>Bu Arıza Aracın Servise Verilmesine Engel</v>
      </c>
      <c r="AH251" s="140">
        <f>[3]Sayfa1!$AC248</f>
        <v>0</v>
      </c>
      <c r="AI251" s="137"/>
      <c r="AJ251" s="137"/>
      <c r="AK251" s="138">
        <f t="shared" si="111"/>
        <v>0</v>
      </c>
      <c r="AL251" s="136">
        <f t="shared" si="112"/>
        <v>0</v>
      </c>
      <c r="AM251" s="136">
        <f t="shared" si="113"/>
        <v>0</v>
      </c>
      <c r="AN251" s="141">
        <f t="shared" si="114"/>
        <v>0</v>
      </c>
      <c r="AO251" s="141">
        <f>[3]Sayfa1!$X248</f>
        <v>0</v>
      </c>
      <c r="AP251" s="141">
        <f>[3]Sayfa1!$Z248</f>
        <v>0</v>
      </c>
      <c r="AQ251" s="122">
        <f>[3]Sayfa1!$W248</f>
        <v>0</v>
      </c>
      <c r="AR251" s="142">
        <f>[3]Sayfa1!$Y248</f>
        <v>0</v>
      </c>
      <c r="AS251" s="143">
        <f>[3]Sayfa1!$AD248</f>
        <v>0</v>
      </c>
      <c r="AT251" s="137">
        <f>[3]Sayfa1!$AE248</f>
        <v>0</v>
      </c>
      <c r="AU251" s="137">
        <f>[3]Sayfa1!$AH248</f>
        <v>0</v>
      </c>
      <c r="AV251" s="144">
        <v>247</v>
      </c>
      <c r="AW251" s="145" t="e">
        <f>U251*AB251*#REF!</f>
        <v>#REF!</v>
      </c>
    </row>
    <row r="252" spans="1:49" ht="101.25" customHeight="1">
      <c r="A252" s="119" t="s">
        <v>57</v>
      </c>
      <c r="B252" s="120">
        <f>[3]Sayfa1!$G249</f>
        <v>0</v>
      </c>
      <c r="C252" s="121">
        <f>[3]Sayfa1!$H249</f>
        <v>0</v>
      </c>
      <c r="D252" s="146">
        <f>[3]Sayfa1!$N249</f>
        <v>0</v>
      </c>
      <c r="E252" s="122">
        <f>[3]Sayfa1!$B249</f>
        <v>0</v>
      </c>
      <c r="F252" s="123">
        <f>[3]Sayfa1!$E249</f>
        <v>0</v>
      </c>
      <c r="G252" s="124">
        <f>[3]Sayfa1!$F249</f>
        <v>0</v>
      </c>
      <c r="H252" s="119">
        <f>[3]Sayfa1!$I249</f>
        <v>0</v>
      </c>
      <c r="I252" s="125" t="str">
        <f>IF([3]Sayfa1!$K249="SSH","Notified by Bozankaya","Notified by Customer")</f>
        <v>Notified by Customer</v>
      </c>
      <c r="J252" s="119" t="e">
        <f>VLOOKUP([3]Sayfa1!$AU249,#REF!,2,FALSE)</f>
        <v>#REF!</v>
      </c>
      <c r="K252" s="119">
        <f>[3]Sayfa1!$V249</f>
        <v>0</v>
      </c>
      <c r="L252" s="126" t="str">
        <f t="shared" si="104"/>
        <v>GDM7X4-0</v>
      </c>
      <c r="M252" s="127">
        <f>[3]Sayfa1!$L249</f>
        <v>0</v>
      </c>
      <c r="N252" s="128">
        <f>[3]Sayfa1!$J249</f>
        <v>0</v>
      </c>
      <c r="O252" s="128">
        <f>[3]Sayfa1!$P249</f>
        <v>0</v>
      </c>
      <c r="P252" s="128">
        <f>[3]Sayfa1!$Q249</f>
        <v>0</v>
      </c>
      <c r="Q252" s="129" t="e" cm="1">
        <f t="array" ref="Q252">_xlfn.IFS([3]Sayfa1!$R249="Bozankaya","Bozankaya",[3]Sayfa1!$R249="İşletme","Customer",[3]Sayfa1!$R249="Tedarikçi","Equipment Supplier")</f>
        <v>#N/A</v>
      </c>
      <c r="R252" s="130">
        <f>[3]Sayfa1!$M249</f>
        <v>0</v>
      </c>
      <c r="S252" s="147">
        <f>[3]Sayfa1!$AB249</f>
        <v>0</v>
      </c>
      <c r="T252" s="147">
        <f>[3]Sayfa1!$AA249</f>
        <v>0</v>
      </c>
      <c r="U252" s="131">
        <f>[3]Sayfa1!$AN249</f>
        <v>0</v>
      </c>
      <c r="V252" s="132">
        <f>[3]Sayfa1!$T249</f>
        <v>0</v>
      </c>
      <c r="W252" s="133">
        <f>[3]Sayfa1!$U249</f>
        <v>0</v>
      </c>
      <c r="X252" s="134">
        <f t="shared" si="105"/>
        <v>0</v>
      </c>
      <c r="Y252" s="123">
        <f>[3]Sayfa1!$AQ249</f>
        <v>0</v>
      </c>
      <c r="Z252" s="135">
        <f>[3]Sayfa1!$AR249</f>
        <v>0</v>
      </c>
      <c r="AA252" s="134">
        <f t="shared" si="106"/>
        <v>0</v>
      </c>
      <c r="AB252" s="136">
        <f t="shared" si="107"/>
        <v>0</v>
      </c>
      <c r="AC252" s="137">
        <f t="shared" si="108"/>
        <v>0</v>
      </c>
      <c r="AD252" s="135">
        <f t="shared" si="109"/>
        <v>0</v>
      </c>
      <c r="AE252" s="138">
        <f t="shared" si="110"/>
        <v>0</v>
      </c>
      <c r="AF252" s="139">
        <f>[3]Sayfa1!$AP249</f>
        <v>0</v>
      </c>
      <c r="AG252" s="128" t="str">
        <f>IF([3]Sayfa1!$P249="C(Sisteme etki etmeyen arıza)","Bu Arıza Aracın Servise Verilmesine Engel Değil","Bu Arıza Aracın Servise Verilmesine Engel")</f>
        <v>Bu Arıza Aracın Servise Verilmesine Engel</v>
      </c>
      <c r="AH252" s="140">
        <f>[3]Sayfa1!$AC249</f>
        <v>0</v>
      </c>
      <c r="AI252" s="137"/>
      <c r="AJ252" s="137"/>
      <c r="AK252" s="138">
        <f t="shared" si="111"/>
        <v>0</v>
      </c>
      <c r="AL252" s="136">
        <f t="shared" si="112"/>
        <v>0</v>
      </c>
      <c r="AM252" s="136">
        <f t="shared" si="113"/>
        <v>0</v>
      </c>
      <c r="AN252" s="141">
        <f t="shared" si="114"/>
        <v>0</v>
      </c>
      <c r="AO252" s="141">
        <f>[3]Sayfa1!$X249</f>
        <v>0</v>
      </c>
      <c r="AP252" s="141">
        <f>[3]Sayfa1!$Z249</f>
        <v>0</v>
      </c>
      <c r="AQ252" s="122">
        <f>[3]Sayfa1!$W249</f>
        <v>0</v>
      </c>
      <c r="AR252" s="142">
        <f>[3]Sayfa1!$Y249</f>
        <v>0</v>
      </c>
      <c r="AS252" s="143">
        <f>[3]Sayfa1!$AD249</f>
        <v>0</v>
      </c>
      <c r="AT252" s="137">
        <f>[3]Sayfa1!$AE249</f>
        <v>0</v>
      </c>
      <c r="AU252" s="137">
        <f>[3]Sayfa1!$AH249</f>
        <v>0</v>
      </c>
      <c r="AV252" s="144">
        <v>248</v>
      </c>
      <c r="AW252" s="145" t="e">
        <f>U252*AB252*#REF!</f>
        <v>#REF!</v>
      </c>
    </row>
    <row r="253" spans="1:49" ht="101.25" customHeight="1">
      <c r="A253" s="119" t="s">
        <v>57</v>
      </c>
      <c r="B253" s="120">
        <f>[3]Sayfa1!$G250</f>
        <v>0</v>
      </c>
      <c r="C253" s="121">
        <f>[3]Sayfa1!$H250</f>
        <v>0</v>
      </c>
      <c r="D253" s="146">
        <f>[3]Sayfa1!$N250</f>
        <v>0</v>
      </c>
      <c r="E253" s="122">
        <f>[3]Sayfa1!$B250</f>
        <v>0</v>
      </c>
      <c r="F253" s="123">
        <f>[3]Sayfa1!$E250</f>
        <v>0</v>
      </c>
      <c r="G253" s="124">
        <f>[3]Sayfa1!$F250</f>
        <v>0</v>
      </c>
      <c r="H253" s="119">
        <f>[3]Sayfa1!$I250</f>
        <v>0</v>
      </c>
      <c r="I253" s="125" t="str">
        <f>IF([3]Sayfa1!$K250="SSH","Notified by Bozankaya","Notified by Customer")</f>
        <v>Notified by Customer</v>
      </c>
      <c r="J253" s="119" t="e">
        <f>VLOOKUP([3]Sayfa1!$AU250,#REF!,2,FALSE)</f>
        <v>#REF!</v>
      </c>
      <c r="K253" s="119">
        <f>[3]Sayfa1!$V250</f>
        <v>0</v>
      </c>
      <c r="L253" s="126" t="str">
        <f t="shared" si="104"/>
        <v>GDM7X4-0</v>
      </c>
      <c r="M253" s="127">
        <f>[3]Sayfa1!$L250</f>
        <v>0</v>
      </c>
      <c r="N253" s="128">
        <f>[3]Sayfa1!$J250</f>
        <v>0</v>
      </c>
      <c r="O253" s="128">
        <f>[3]Sayfa1!$P250</f>
        <v>0</v>
      </c>
      <c r="P253" s="128">
        <f>[3]Sayfa1!$Q250</f>
        <v>0</v>
      </c>
      <c r="Q253" s="129" t="e" cm="1">
        <f t="array" ref="Q253">_xlfn.IFS([3]Sayfa1!$R250="Bozankaya","Bozankaya",[3]Sayfa1!$R250="İşletme","Customer",[3]Sayfa1!$R250="Tedarikçi","Equipment Supplier")</f>
        <v>#N/A</v>
      </c>
      <c r="R253" s="130">
        <f>[3]Sayfa1!$M250</f>
        <v>0</v>
      </c>
      <c r="S253" s="147">
        <f>[3]Sayfa1!$AB250</f>
        <v>0</v>
      </c>
      <c r="T253" s="147">
        <f>[3]Sayfa1!$AA250</f>
        <v>0</v>
      </c>
      <c r="U253" s="131">
        <f>[3]Sayfa1!$AN250</f>
        <v>0</v>
      </c>
      <c r="V253" s="132">
        <f>[3]Sayfa1!$T250</f>
        <v>0</v>
      </c>
      <c r="W253" s="133">
        <f>[3]Sayfa1!$U250</f>
        <v>0</v>
      </c>
      <c r="X253" s="134">
        <f t="shared" si="105"/>
        <v>0</v>
      </c>
      <c r="Y253" s="123">
        <f>[3]Sayfa1!$AQ250</f>
        <v>0</v>
      </c>
      <c r="Z253" s="135">
        <f>[3]Sayfa1!$AR250</f>
        <v>0</v>
      </c>
      <c r="AA253" s="134">
        <f t="shared" si="106"/>
        <v>0</v>
      </c>
      <c r="AB253" s="136">
        <f t="shared" si="107"/>
        <v>0</v>
      </c>
      <c r="AC253" s="137">
        <f t="shared" si="108"/>
        <v>0</v>
      </c>
      <c r="AD253" s="135">
        <f t="shared" si="109"/>
        <v>0</v>
      </c>
      <c r="AE253" s="138">
        <f t="shared" si="110"/>
        <v>0</v>
      </c>
      <c r="AF253" s="139">
        <f>[3]Sayfa1!$AP250</f>
        <v>0</v>
      </c>
      <c r="AG253" s="128" t="str">
        <f>IF([3]Sayfa1!$P250="C(Sisteme etki etmeyen arıza)","Bu Arıza Aracın Servise Verilmesine Engel Değil","Bu Arıza Aracın Servise Verilmesine Engel")</f>
        <v>Bu Arıza Aracın Servise Verilmesine Engel</v>
      </c>
      <c r="AH253" s="140">
        <f>[3]Sayfa1!$AC250</f>
        <v>0</v>
      </c>
      <c r="AI253" s="137"/>
      <c r="AJ253" s="137"/>
      <c r="AK253" s="138">
        <f t="shared" si="111"/>
        <v>0</v>
      </c>
      <c r="AL253" s="136">
        <f t="shared" si="112"/>
        <v>0</v>
      </c>
      <c r="AM253" s="136">
        <f t="shared" si="113"/>
        <v>0</v>
      </c>
      <c r="AN253" s="141">
        <f t="shared" si="114"/>
        <v>0</v>
      </c>
      <c r="AO253" s="141">
        <f>[3]Sayfa1!$X250</f>
        <v>0</v>
      </c>
      <c r="AP253" s="141">
        <f>[3]Sayfa1!$Z250</f>
        <v>0</v>
      </c>
      <c r="AQ253" s="122">
        <f>[3]Sayfa1!$W250</f>
        <v>0</v>
      </c>
      <c r="AR253" s="142">
        <f>[3]Sayfa1!$Y250</f>
        <v>0</v>
      </c>
      <c r="AS253" s="143">
        <f>[3]Sayfa1!$AD250</f>
        <v>0</v>
      </c>
      <c r="AT253" s="137">
        <f>[3]Sayfa1!$AE250</f>
        <v>0</v>
      </c>
      <c r="AU253" s="137">
        <f>[3]Sayfa1!$AH250</f>
        <v>0</v>
      </c>
      <c r="AV253" s="144">
        <v>249</v>
      </c>
      <c r="AW253" s="145" t="e">
        <f>U253*AB253*#REF!</f>
        <v>#REF!</v>
      </c>
    </row>
    <row r="254" spans="1:49" ht="101.25" customHeight="1">
      <c r="A254" s="119" t="s">
        <v>57</v>
      </c>
      <c r="B254" s="120">
        <f>[3]Sayfa1!$G251</f>
        <v>0</v>
      </c>
      <c r="C254" s="121">
        <f>[3]Sayfa1!$H251</f>
        <v>0</v>
      </c>
      <c r="D254" s="146">
        <f>[3]Sayfa1!$N251</f>
        <v>0</v>
      </c>
      <c r="E254" s="122">
        <f>[3]Sayfa1!$B251</f>
        <v>0</v>
      </c>
      <c r="F254" s="123">
        <f>[3]Sayfa1!$E251</f>
        <v>0</v>
      </c>
      <c r="G254" s="124">
        <f>[3]Sayfa1!$F251</f>
        <v>0</v>
      </c>
      <c r="H254" s="119">
        <f>[3]Sayfa1!$I251</f>
        <v>0</v>
      </c>
      <c r="I254" s="125" t="str">
        <f>IF([3]Sayfa1!$K251="SSH","Notified by Bozankaya","Notified by Customer")</f>
        <v>Notified by Customer</v>
      </c>
      <c r="J254" s="119" t="e">
        <f>VLOOKUP([3]Sayfa1!$AU251,#REF!,2,FALSE)</f>
        <v>#REF!</v>
      </c>
      <c r="K254" s="119">
        <f>[3]Sayfa1!$V251</f>
        <v>0</v>
      </c>
      <c r="L254" s="126" t="str">
        <f t="shared" si="104"/>
        <v>GDM7X4-0</v>
      </c>
      <c r="M254" s="127">
        <f>[3]Sayfa1!$L251</f>
        <v>0</v>
      </c>
      <c r="N254" s="128">
        <f>[3]Sayfa1!$J251</f>
        <v>0</v>
      </c>
      <c r="O254" s="128">
        <f>[3]Sayfa1!$P251</f>
        <v>0</v>
      </c>
      <c r="P254" s="128">
        <f>[3]Sayfa1!$Q251</f>
        <v>0</v>
      </c>
      <c r="Q254" s="129" t="e" cm="1">
        <f t="array" ref="Q254">_xlfn.IFS([3]Sayfa1!$R251="Bozankaya","Bozankaya",[3]Sayfa1!$R251="İşletme","Customer",[3]Sayfa1!$R251="Tedarikçi","Equipment Supplier")</f>
        <v>#N/A</v>
      </c>
      <c r="R254" s="130">
        <f>[3]Sayfa1!$M251</f>
        <v>0</v>
      </c>
      <c r="S254" s="147">
        <f>[3]Sayfa1!$AB251</f>
        <v>0</v>
      </c>
      <c r="T254" s="147">
        <f>[3]Sayfa1!$AA251</f>
        <v>0</v>
      </c>
      <c r="U254" s="131">
        <f>[3]Sayfa1!$AN251</f>
        <v>0</v>
      </c>
      <c r="V254" s="132">
        <f>[3]Sayfa1!$T251</f>
        <v>0</v>
      </c>
      <c r="W254" s="133">
        <f>[3]Sayfa1!$U251</f>
        <v>0</v>
      </c>
      <c r="X254" s="134">
        <f t="shared" si="105"/>
        <v>0</v>
      </c>
      <c r="Y254" s="123">
        <f>[3]Sayfa1!$AQ251</f>
        <v>0</v>
      </c>
      <c r="Z254" s="135">
        <f>[3]Sayfa1!$AR251</f>
        <v>0</v>
      </c>
      <c r="AA254" s="134">
        <f t="shared" si="106"/>
        <v>0</v>
      </c>
      <c r="AB254" s="136">
        <f t="shared" si="107"/>
        <v>0</v>
      </c>
      <c r="AC254" s="137">
        <f t="shared" si="108"/>
        <v>0</v>
      </c>
      <c r="AD254" s="135">
        <f t="shared" si="109"/>
        <v>0</v>
      </c>
      <c r="AE254" s="138">
        <f t="shared" si="110"/>
        <v>0</v>
      </c>
      <c r="AF254" s="139">
        <f>[3]Sayfa1!$AP251</f>
        <v>0</v>
      </c>
      <c r="AG254" s="128" t="str">
        <f>IF([3]Sayfa1!$P251="C(Sisteme etki etmeyen arıza)","Bu Arıza Aracın Servise Verilmesine Engel Değil","Bu Arıza Aracın Servise Verilmesine Engel")</f>
        <v>Bu Arıza Aracın Servise Verilmesine Engel</v>
      </c>
      <c r="AH254" s="140">
        <f>[3]Sayfa1!$AC251</f>
        <v>0</v>
      </c>
      <c r="AI254" s="137"/>
      <c r="AJ254" s="137"/>
      <c r="AK254" s="138">
        <f t="shared" si="111"/>
        <v>0</v>
      </c>
      <c r="AL254" s="136">
        <f t="shared" si="112"/>
        <v>0</v>
      </c>
      <c r="AM254" s="136">
        <f t="shared" si="113"/>
        <v>0</v>
      </c>
      <c r="AN254" s="141">
        <f t="shared" si="114"/>
        <v>0</v>
      </c>
      <c r="AO254" s="141">
        <f>[3]Sayfa1!$X251</f>
        <v>0</v>
      </c>
      <c r="AP254" s="141">
        <f>[3]Sayfa1!$Z251</f>
        <v>0</v>
      </c>
      <c r="AQ254" s="122">
        <f>[3]Sayfa1!$W251</f>
        <v>0</v>
      </c>
      <c r="AR254" s="142">
        <f>[3]Sayfa1!$Y251</f>
        <v>0</v>
      </c>
      <c r="AS254" s="143">
        <f>[3]Sayfa1!$AD251</f>
        <v>0</v>
      </c>
      <c r="AT254" s="137">
        <f>[3]Sayfa1!$AE251</f>
        <v>0</v>
      </c>
      <c r="AU254" s="137">
        <f>[3]Sayfa1!$AH251</f>
        <v>0</v>
      </c>
      <c r="AV254" s="144">
        <v>250</v>
      </c>
      <c r="AW254" s="145" t="e">
        <f>U254*AB254*#REF!</f>
        <v>#REF!</v>
      </c>
    </row>
    <row r="255" spans="1:49" ht="101.25" customHeight="1">
      <c r="A255" s="119" t="s">
        <v>57</v>
      </c>
      <c r="B255" s="120">
        <f>[3]Sayfa1!$G252</f>
        <v>0</v>
      </c>
      <c r="C255" s="121">
        <f>[3]Sayfa1!$H252</f>
        <v>0</v>
      </c>
      <c r="D255" s="146">
        <f>[3]Sayfa1!$N252</f>
        <v>0</v>
      </c>
      <c r="E255" s="122">
        <f>[3]Sayfa1!$B252</f>
        <v>0</v>
      </c>
      <c r="F255" s="123">
        <f>[3]Sayfa1!$E252</f>
        <v>0</v>
      </c>
      <c r="G255" s="124">
        <f>[3]Sayfa1!$F252</f>
        <v>0</v>
      </c>
      <c r="H255" s="119">
        <f>[3]Sayfa1!$I252</f>
        <v>0</v>
      </c>
      <c r="I255" s="125" t="str">
        <f>IF([3]Sayfa1!$K252="SSH","Notified by Bozankaya","Notified by Customer")</f>
        <v>Notified by Customer</v>
      </c>
      <c r="J255" s="119" t="e">
        <f>VLOOKUP([3]Sayfa1!$AU252,#REF!,2,FALSE)</f>
        <v>#REF!</v>
      </c>
      <c r="K255" s="119">
        <f>[3]Sayfa1!$V252</f>
        <v>0</v>
      </c>
      <c r="L255" s="126" t="str">
        <f t="shared" si="104"/>
        <v>GDM7X4-0</v>
      </c>
      <c r="M255" s="127">
        <f>[3]Sayfa1!$L252</f>
        <v>0</v>
      </c>
      <c r="N255" s="128">
        <f>[3]Sayfa1!$J252</f>
        <v>0</v>
      </c>
      <c r="O255" s="128">
        <f>[3]Sayfa1!$P252</f>
        <v>0</v>
      </c>
      <c r="P255" s="128">
        <f>[3]Sayfa1!$Q252</f>
        <v>0</v>
      </c>
      <c r="Q255" s="129" t="e" cm="1">
        <f t="array" ref="Q255">_xlfn.IFS([3]Sayfa1!$R252="Bozankaya","Bozankaya",[3]Sayfa1!$R252="İşletme","Customer",[3]Sayfa1!$R252="Tedarikçi","Equipment Supplier")</f>
        <v>#N/A</v>
      </c>
      <c r="R255" s="130">
        <f>[3]Sayfa1!$M252</f>
        <v>0</v>
      </c>
      <c r="S255" s="147">
        <f>[3]Sayfa1!$AB252</f>
        <v>0</v>
      </c>
      <c r="T255" s="147">
        <f>[3]Sayfa1!$AA252</f>
        <v>0</v>
      </c>
      <c r="U255" s="131">
        <f>[3]Sayfa1!$AN252</f>
        <v>0</v>
      </c>
      <c r="V255" s="132">
        <f>[3]Sayfa1!$T252</f>
        <v>0</v>
      </c>
      <c r="W255" s="133">
        <f>[3]Sayfa1!$U252</f>
        <v>0</v>
      </c>
      <c r="X255" s="134">
        <f t="shared" si="105"/>
        <v>0</v>
      </c>
      <c r="Y255" s="123">
        <f>[3]Sayfa1!$AQ252</f>
        <v>0</v>
      </c>
      <c r="Z255" s="135">
        <f>[3]Sayfa1!$AR252</f>
        <v>0</v>
      </c>
      <c r="AA255" s="134">
        <f t="shared" si="106"/>
        <v>0</v>
      </c>
      <c r="AB255" s="136">
        <f t="shared" si="107"/>
        <v>0</v>
      </c>
      <c r="AC255" s="137">
        <f t="shared" si="108"/>
        <v>0</v>
      </c>
      <c r="AD255" s="135">
        <f t="shared" si="109"/>
        <v>0</v>
      </c>
      <c r="AE255" s="138">
        <f t="shared" si="110"/>
        <v>0</v>
      </c>
      <c r="AF255" s="139">
        <f>[3]Sayfa1!$AP252</f>
        <v>0</v>
      </c>
      <c r="AG255" s="128" t="str">
        <f>IF([3]Sayfa1!$P252="C(Sisteme etki etmeyen arıza)","Bu Arıza Aracın Servise Verilmesine Engel Değil","Bu Arıza Aracın Servise Verilmesine Engel")</f>
        <v>Bu Arıza Aracın Servise Verilmesine Engel</v>
      </c>
      <c r="AH255" s="140">
        <f>[3]Sayfa1!$AC252</f>
        <v>0</v>
      </c>
      <c r="AI255" s="137"/>
      <c r="AJ255" s="137"/>
      <c r="AK255" s="138">
        <f t="shared" si="111"/>
        <v>0</v>
      </c>
      <c r="AL255" s="136">
        <f t="shared" si="112"/>
        <v>0</v>
      </c>
      <c r="AM255" s="136">
        <f t="shared" si="113"/>
        <v>0</v>
      </c>
      <c r="AN255" s="141">
        <f t="shared" si="114"/>
        <v>0</v>
      </c>
      <c r="AO255" s="141">
        <f>[3]Sayfa1!$X252</f>
        <v>0</v>
      </c>
      <c r="AP255" s="141">
        <f>[3]Sayfa1!$Z252</f>
        <v>0</v>
      </c>
      <c r="AQ255" s="122">
        <f>[3]Sayfa1!$W252</f>
        <v>0</v>
      </c>
      <c r="AR255" s="142">
        <f>[3]Sayfa1!$Y252</f>
        <v>0</v>
      </c>
      <c r="AS255" s="143">
        <f>[3]Sayfa1!$AD252</f>
        <v>0</v>
      </c>
      <c r="AT255" s="137">
        <f>[3]Sayfa1!$AE252</f>
        <v>0</v>
      </c>
      <c r="AU255" s="137">
        <f>[3]Sayfa1!$AH252</f>
        <v>0</v>
      </c>
      <c r="AV255" s="144">
        <v>251</v>
      </c>
      <c r="AW255" s="145" t="e">
        <f>U255*AB255*#REF!</f>
        <v>#REF!</v>
      </c>
    </row>
    <row r="256" spans="1:49" ht="101.25" customHeight="1">
      <c r="A256" s="119" t="s">
        <v>57</v>
      </c>
      <c r="B256" s="120">
        <f>[3]Sayfa1!$G253</f>
        <v>0</v>
      </c>
      <c r="C256" s="121">
        <f>[3]Sayfa1!$H253</f>
        <v>0</v>
      </c>
      <c r="D256" s="146">
        <f>[3]Sayfa1!$N253</f>
        <v>0</v>
      </c>
      <c r="E256" s="122">
        <f>[3]Sayfa1!$B253</f>
        <v>0</v>
      </c>
      <c r="F256" s="123">
        <f>[3]Sayfa1!$E253</f>
        <v>0</v>
      </c>
      <c r="G256" s="124">
        <f>[3]Sayfa1!$F253</f>
        <v>0</v>
      </c>
      <c r="H256" s="119">
        <f>[3]Sayfa1!$I253</f>
        <v>0</v>
      </c>
      <c r="I256" s="125" t="str">
        <f>IF([3]Sayfa1!$K253="SSH","Notified by Bozankaya","Notified by Customer")</f>
        <v>Notified by Customer</v>
      </c>
      <c r="J256" s="119" t="e">
        <f>VLOOKUP([3]Sayfa1!$AU253,#REF!,2,FALSE)</f>
        <v>#REF!</v>
      </c>
      <c r="K256" s="119">
        <f>[3]Sayfa1!$V253</f>
        <v>0</v>
      </c>
      <c r="L256" s="126" t="str">
        <f t="shared" ref="L256:L258" si="115">A256&amp;"-"&amp;E256</f>
        <v>GDM7X4-0</v>
      </c>
      <c r="M256" s="127">
        <f>[3]Sayfa1!$L253</f>
        <v>0</v>
      </c>
      <c r="N256" s="128">
        <f>[3]Sayfa1!$J253</f>
        <v>0</v>
      </c>
      <c r="O256" s="128">
        <f>[3]Sayfa1!$P253</f>
        <v>0</v>
      </c>
      <c r="P256" s="128">
        <f>[3]Sayfa1!$Q253</f>
        <v>0</v>
      </c>
      <c r="Q256" s="129" t="e" cm="1">
        <f t="array" ref="Q256">_xlfn.IFS([3]Sayfa1!$R253="Bozankaya","Bozankaya",[3]Sayfa1!$R253="İşletme","Customer",[3]Sayfa1!$R253="Tedarikçi","Equipment Supplier")</f>
        <v>#N/A</v>
      </c>
      <c r="R256" s="130">
        <f>[3]Sayfa1!$M253</f>
        <v>0</v>
      </c>
      <c r="S256" s="147">
        <f>[3]Sayfa1!$AB253</f>
        <v>0</v>
      </c>
      <c r="T256" s="147">
        <f>[3]Sayfa1!$AA253</f>
        <v>0</v>
      </c>
      <c r="U256" s="131">
        <f>[3]Sayfa1!$AN253</f>
        <v>0</v>
      </c>
      <c r="V256" s="132">
        <f>[3]Sayfa1!$T253</f>
        <v>0</v>
      </c>
      <c r="W256" s="133">
        <f>[3]Sayfa1!$U253</f>
        <v>0</v>
      </c>
      <c r="X256" s="134">
        <f t="shared" ref="X256:X258" si="116">W256</f>
        <v>0</v>
      </c>
      <c r="Y256" s="123">
        <f>[3]Sayfa1!$AQ253</f>
        <v>0</v>
      </c>
      <c r="Z256" s="135">
        <f>[3]Sayfa1!$AR253</f>
        <v>0</v>
      </c>
      <c r="AA256" s="134">
        <f t="shared" ref="AA256:AA258" si="117">Z256</f>
        <v>0</v>
      </c>
      <c r="AB256" s="136">
        <f t="shared" ref="AB256:AB258" si="118">IFERROR(IF(Y256-F256&gt;0,(AA256-X256)*24,IF(OR(AND(G256&gt;AR$1,G256&lt;AS$1),AND(G256&gt;AT$1,G256&lt;AU$1)),(AA256-X256)*24,0)),0)</f>
        <v>0</v>
      </c>
      <c r="AC256" s="137">
        <f t="shared" ref="AC256:AC258" si="119">Y256</f>
        <v>0</v>
      </c>
      <c r="AD256" s="135">
        <f t="shared" ref="AD256:AD258" si="120">Z256</f>
        <v>0</v>
      </c>
      <c r="AE256" s="138">
        <f t="shared" ref="AE256:AE258" si="121">AD256</f>
        <v>0</v>
      </c>
      <c r="AF256" s="139">
        <f>[3]Sayfa1!$AP253</f>
        <v>0</v>
      </c>
      <c r="AG256" s="128" t="str">
        <f>IF([3]Sayfa1!$P253="C(Sisteme etki etmeyen arıza)","Bu Arıza Aracın Servise Verilmesine Engel Değil","Bu Arıza Aracın Servise Verilmesine Engel")</f>
        <v>Bu Arıza Aracın Servise Verilmesine Engel</v>
      </c>
      <c r="AH256" s="140">
        <f>[3]Sayfa1!$AC253</f>
        <v>0</v>
      </c>
      <c r="AI256" s="137"/>
      <c r="AJ256" s="137"/>
      <c r="AK256" s="138">
        <f t="shared" ref="AK256:AK258" si="122">AI256+AJ256</f>
        <v>0</v>
      </c>
      <c r="AL256" s="136">
        <f t="shared" ref="AL256:AL258" si="123">IFERROR(IF(AND(O256&lt;&gt;"D:Arıza Değil",AG256="Bu Arıza Aracın Servise Verilmesine Engel Değil"),IF(Y256-F256&gt;0,(AA256-X256)*24,IF(OR(AND(G256&gt;AR$1,G256&lt;AS$1),AND(G256&gt;AT$1,G256&lt;AU$1)),(AK256-X256)*24,0))*60,AM256),0)</f>
        <v>0</v>
      </c>
      <c r="AM256" s="136">
        <f t="shared" ref="AM256:AM258" si="124">IFERROR(IF(O256&lt;&gt;"C(Sisteme etki etmeyen arıza)",AB256*60,0),0)</f>
        <v>0</v>
      </c>
      <c r="AN256" s="141">
        <f t="shared" ref="AN256:AN258" si="125">K256</f>
        <v>0</v>
      </c>
      <c r="AO256" s="141">
        <f>[3]Sayfa1!$X253</f>
        <v>0</v>
      </c>
      <c r="AP256" s="141">
        <f>[3]Sayfa1!$Z253</f>
        <v>0</v>
      </c>
      <c r="AQ256" s="122">
        <f>[3]Sayfa1!$W253</f>
        <v>0</v>
      </c>
      <c r="AR256" s="142">
        <f>[3]Sayfa1!$Y253</f>
        <v>0</v>
      </c>
      <c r="AS256" s="143">
        <f>[3]Sayfa1!$AD253</f>
        <v>0</v>
      </c>
      <c r="AT256" s="137">
        <f>[3]Sayfa1!$AE253</f>
        <v>0</v>
      </c>
      <c r="AU256" s="137">
        <f>[3]Sayfa1!$AH253</f>
        <v>0</v>
      </c>
      <c r="AV256" s="144">
        <v>252</v>
      </c>
      <c r="AW256" s="145" t="e">
        <f>U256*AB256*#REF!</f>
        <v>#REF!</v>
      </c>
    </row>
    <row r="257" spans="1:49" ht="101.25" customHeight="1">
      <c r="A257" s="119" t="s">
        <v>57</v>
      </c>
      <c r="B257" s="120">
        <f>[3]Sayfa1!$G254</f>
        <v>0</v>
      </c>
      <c r="C257" s="121">
        <f>[3]Sayfa1!$H254</f>
        <v>0</v>
      </c>
      <c r="D257" s="146">
        <f>[3]Sayfa1!$N254</f>
        <v>0</v>
      </c>
      <c r="E257" s="122">
        <f>[3]Sayfa1!$B254</f>
        <v>0</v>
      </c>
      <c r="F257" s="123">
        <f>[3]Sayfa1!$E254</f>
        <v>0</v>
      </c>
      <c r="G257" s="124">
        <f>[3]Sayfa1!$F254</f>
        <v>0</v>
      </c>
      <c r="H257" s="119">
        <f>[3]Sayfa1!$I254</f>
        <v>0</v>
      </c>
      <c r="I257" s="125" t="str">
        <f>IF([3]Sayfa1!$K254="SSH","Notified by Bozankaya","Notified by Customer")</f>
        <v>Notified by Customer</v>
      </c>
      <c r="J257" s="119" t="e">
        <f>VLOOKUP([3]Sayfa1!$AU254,#REF!,2,FALSE)</f>
        <v>#REF!</v>
      </c>
      <c r="K257" s="119">
        <f>[3]Sayfa1!$V254</f>
        <v>0</v>
      </c>
      <c r="L257" s="126" t="str">
        <f t="shared" si="115"/>
        <v>GDM7X4-0</v>
      </c>
      <c r="M257" s="127">
        <f>[3]Sayfa1!$L254</f>
        <v>0</v>
      </c>
      <c r="N257" s="128">
        <f>[3]Sayfa1!$J254</f>
        <v>0</v>
      </c>
      <c r="O257" s="128">
        <f>[3]Sayfa1!$P254</f>
        <v>0</v>
      </c>
      <c r="P257" s="128">
        <f>[3]Sayfa1!$Q254</f>
        <v>0</v>
      </c>
      <c r="Q257" s="129" t="e" cm="1">
        <f t="array" ref="Q257">_xlfn.IFS([3]Sayfa1!$R254="Bozankaya","Bozankaya",[3]Sayfa1!$R254="İşletme","Customer",[3]Sayfa1!$R254="Tedarikçi","Equipment Supplier")</f>
        <v>#N/A</v>
      </c>
      <c r="R257" s="130">
        <f>[3]Sayfa1!$M254</f>
        <v>0</v>
      </c>
      <c r="S257" s="147">
        <f>[3]Sayfa1!$AB254</f>
        <v>0</v>
      </c>
      <c r="T257" s="147">
        <f>[3]Sayfa1!$AA254</f>
        <v>0</v>
      </c>
      <c r="U257" s="131">
        <f>[3]Sayfa1!$AN254</f>
        <v>0</v>
      </c>
      <c r="V257" s="132">
        <f>[3]Sayfa1!$T254</f>
        <v>0</v>
      </c>
      <c r="W257" s="133">
        <f>[3]Sayfa1!$U254</f>
        <v>0</v>
      </c>
      <c r="X257" s="134">
        <f t="shared" si="116"/>
        <v>0</v>
      </c>
      <c r="Y257" s="123">
        <f>[3]Sayfa1!$AQ254</f>
        <v>0</v>
      </c>
      <c r="Z257" s="135">
        <f>[3]Sayfa1!$AR254</f>
        <v>0</v>
      </c>
      <c r="AA257" s="134">
        <f t="shared" si="117"/>
        <v>0</v>
      </c>
      <c r="AB257" s="136">
        <f t="shared" si="118"/>
        <v>0</v>
      </c>
      <c r="AC257" s="137">
        <f t="shared" si="119"/>
        <v>0</v>
      </c>
      <c r="AD257" s="135">
        <f t="shared" si="120"/>
        <v>0</v>
      </c>
      <c r="AE257" s="138">
        <f t="shared" si="121"/>
        <v>0</v>
      </c>
      <c r="AF257" s="139">
        <f>[3]Sayfa1!$AP254</f>
        <v>0</v>
      </c>
      <c r="AG257" s="128" t="str">
        <f>IF([3]Sayfa1!$P254="C(Sisteme etki etmeyen arıza)","Bu Arıza Aracın Servise Verilmesine Engel Değil","Bu Arıza Aracın Servise Verilmesine Engel")</f>
        <v>Bu Arıza Aracın Servise Verilmesine Engel</v>
      </c>
      <c r="AH257" s="140">
        <f>[3]Sayfa1!$AC254</f>
        <v>0</v>
      </c>
      <c r="AI257" s="137"/>
      <c r="AJ257" s="137"/>
      <c r="AK257" s="138">
        <f t="shared" si="122"/>
        <v>0</v>
      </c>
      <c r="AL257" s="136">
        <f t="shared" si="123"/>
        <v>0</v>
      </c>
      <c r="AM257" s="136">
        <f t="shared" si="124"/>
        <v>0</v>
      </c>
      <c r="AN257" s="141">
        <f t="shared" si="125"/>
        <v>0</v>
      </c>
      <c r="AO257" s="141">
        <f>[3]Sayfa1!$X254</f>
        <v>0</v>
      </c>
      <c r="AP257" s="141">
        <f>[3]Sayfa1!$Z254</f>
        <v>0</v>
      </c>
      <c r="AQ257" s="122">
        <f>[3]Sayfa1!$W254</f>
        <v>0</v>
      </c>
      <c r="AR257" s="142">
        <f>[3]Sayfa1!$Y254</f>
        <v>0</v>
      </c>
      <c r="AS257" s="143">
        <f>[3]Sayfa1!$AD254</f>
        <v>0</v>
      </c>
      <c r="AT257" s="137">
        <f>[3]Sayfa1!$AE254</f>
        <v>0</v>
      </c>
      <c r="AU257" s="137">
        <f>[3]Sayfa1!$AH254</f>
        <v>0</v>
      </c>
      <c r="AV257" s="144">
        <v>253</v>
      </c>
      <c r="AW257" s="145" t="e">
        <f>U257*AB257*#REF!</f>
        <v>#REF!</v>
      </c>
    </row>
    <row r="258" spans="1:49" ht="101.25" customHeight="1">
      <c r="A258" s="119" t="s">
        <v>57</v>
      </c>
      <c r="B258" s="120">
        <f>[3]Sayfa1!$G255</f>
        <v>0</v>
      </c>
      <c r="C258" s="121">
        <f>[3]Sayfa1!$H255</f>
        <v>0</v>
      </c>
      <c r="D258" s="146">
        <f>[3]Sayfa1!$N255</f>
        <v>0</v>
      </c>
      <c r="E258" s="122">
        <f>[3]Sayfa1!$B255</f>
        <v>0</v>
      </c>
      <c r="F258" s="123">
        <f>[3]Sayfa1!$E255</f>
        <v>0</v>
      </c>
      <c r="G258" s="124">
        <f>[3]Sayfa1!$F255</f>
        <v>0</v>
      </c>
      <c r="H258" s="119">
        <f>[3]Sayfa1!$I255</f>
        <v>0</v>
      </c>
      <c r="I258" s="125" t="str">
        <f>IF([3]Sayfa1!$K255="SSH","Notified by Bozankaya","Notified by Customer")</f>
        <v>Notified by Customer</v>
      </c>
      <c r="J258" s="119" t="e">
        <f>VLOOKUP([3]Sayfa1!$AU255,#REF!,2,FALSE)</f>
        <v>#REF!</v>
      </c>
      <c r="K258" s="119">
        <f>[3]Sayfa1!$V255</f>
        <v>0</v>
      </c>
      <c r="L258" s="126" t="str">
        <f t="shared" si="115"/>
        <v>GDM7X4-0</v>
      </c>
      <c r="M258" s="127">
        <f>[3]Sayfa1!$L255</f>
        <v>0</v>
      </c>
      <c r="N258" s="128">
        <f>[3]Sayfa1!$J255</f>
        <v>0</v>
      </c>
      <c r="O258" s="128">
        <f>[3]Sayfa1!$P255</f>
        <v>0</v>
      </c>
      <c r="P258" s="128">
        <f>[3]Sayfa1!$Q255</f>
        <v>0</v>
      </c>
      <c r="Q258" s="129" t="e" cm="1">
        <f t="array" ref="Q258">_xlfn.IFS([3]Sayfa1!$R255="Bozankaya","Bozankaya",[3]Sayfa1!$R255="İşletme","Customer",[3]Sayfa1!$R255="Tedarikçi","Equipment Supplier")</f>
        <v>#N/A</v>
      </c>
      <c r="R258" s="130">
        <f>[3]Sayfa1!$M255</f>
        <v>0</v>
      </c>
      <c r="S258" s="147">
        <f>[3]Sayfa1!$AB255</f>
        <v>0</v>
      </c>
      <c r="T258" s="147">
        <f>[3]Sayfa1!$AA255</f>
        <v>0</v>
      </c>
      <c r="U258" s="131">
        <f>[3]Sayfa1!$AN255</f>
        <v>0</v>
      </c>
      <c r="V258" s="132">
        <f>[3]Sayfa1!$T255</f>
        <v>0</v>
      </c>
      <c r="W258" s="133">
        <f>[3]Sayfa1!$U255</f>
        <v>0</v>
      </c>
      <c r="X258" s="134">
        <f t="shared" si="116"/>
        <v>0</v>
      </c>
      <c r="Y258" s="123">
        <f>[3]Sayfa1!$AQ255</f>
        <v>0</v>
      </c>
      <c r="Z258" s="135">
        <f>[3]Sayfa1!$AR255</f>
        <v>0</v>
      </c>
      <c r="AA258" s="134">
        <f t="shared" si="117"/>
        <v>0</v>
      </c>
      <c r="AB258" s="136">
        <f t="shared" si="118"/>
        <v>0</v>
      </c>
      <c r="AC258" s="137">
        <f t="shared" si="119"/>
        <v>0</v>
      </c>
      <c r="AD258" s="135">
        <f t="shared" si="120"/>
        <v>0</v>
      </c>
      <c r="AE258" s="138">
        <f t="shared" si="121"/>
        <v>0</v>
      </c>
      <c r="AF258" s="139">
        <f>[3]Sayfa1!$AP255</f>
        <v>0</v>
      </c>
      <c r="AG258" s="128" t="str">
        <f>IF([3]Sayfa1!$P255="C(Sisteme etki etmeyen arıza)","Bu Arıza Aracın Servise Verilmesine Engel Değil","Bu Arıza Aracın Servise Verilmesine Engel")</f>
        <v>Bu Arıza Aracın Servise Verilmesine Engel</v>
      </c>
      <c r="AH258" s="140">
        <f>[3]Sayfa1!$AC255</f>
        <v>0</v>
      </c>
      <c r="AI258" s="137"/>
      <c r="AJ258" s="137"/>
      <c r="AK258" s="138">
        <f t="shared" si="122"/>
        <v>0</v>
      </c>
      <c r="AL258" s="136">
        <f t="shared" si="123"/>
        <v>0</v>
      </c>
      <c r="AM258" s="136">
        <f t="shared" si="124"/>
        <v>0</v>
      </c>
      <c r="AN258" s="141">
        <f t="shared" si="125"/>
        <v>0</v>
      </c>
      <c r="AO258" s="141">
        <f>[3]Sayfa1!$X255</f>
        <v>0</v>
      </c>
      <c r="AP258" s="141">
        <f>[3]Sayfa1!$Z255</f>
        <v>0</v>
      </c>
      <c r="AQ258" s="122">
        <f>[3]Sayfa1!$W255</f>
        <v>0</v>
      </c>
      <c r="AR258" s="142">
        <f>[3]Sayfa1!$Y255</f>
        <v>0</v>
      </c>
      <c r="AS258" s="143">
        <f>[3]Sayfa1!$AD255</f>
        <v>0</v>
      </c>
      <c r="AT258" s="137">
        <f>[3]Sayfa1!$AE255</f>
        <v>0</v>
      </c>
      <c r="AU258" s="137">
        <f>[3]Sayfa1!$AH255</f>
        <v>0</v>
      </c>
      <c r="AV258" s="144">
        <v>254</v>
      </c>
      <c r="AW258" s="145" t="e">
        <f>U258*AB258*#REF!</f>
        <v>#REF!</v>
      </c>
    </row>
  </sheetData>
  <sheetProtection autoFilter="0"/>
  <autoFilter ref="A4:BB173" xr:uid="{00000000-0001-0000-0100-000000000000}"/>
  <mergeCells count="9">
    <mergeCell ref="AA1:AM1"/>
    <mergeCell ref="M1:Z1"/>
    <mergeCell ref="A3:D3"/>
    <mergeCell ref="E3:M3"/>
    <mergeCell ref="AV1:AW1"/>
    <mergeCell ref="AN3:AU3"/>
    <mergeCell ref="AR2:AU2"/>
    <mergeCell ref="AV3:AW3"/>
    <mergeCell ref="Q3:AI3"/>
  </mergeCells>
  <phoneticPr fontId="10" type="noConversion"/>
  <conditionalFormatting sqref="AI4:AJ4">
    <cfRule type="containsText" dxfId="5" priority="11" operator="containsText" text="Ulaşılmamış">
      <formula>NOT(ISERROR(SEARCH("Ulaşılmamış",AI4)))</formula>
    </cfRule>
    <cfRule type="containsText" dxfId="4" priority="12" operator="containsText" text="Ulaşılmış">
      <formula>NOT(ISERROR(SEARCH("Ulaşılmış",AI4)))</formula>
    </cfRule>
  </conditionalFormatting>
  <conditionalFormatting sqref="AN4">
    <cfRule type="containsText" dxfId="3" priority="10" operator="containsText" text="X">
      <formula>NOT(ISERROR(SEARCH("X",AN4)))</formula>
    </cfRule>
  </conditionalFormatting>
  <dataValidations count="1">
    <dataValidation type="list" allowBlank="1" showInputMessage="1" showErrorMessage="1" sqref="A5:A258" xr:uid="{558DFA24-3C6E-4DA7-ADA4-4582A7191767}">
      <formula1>#REF!</formula1>
    </dataValidation>
  </dataValidations>
  <pageMargins left="0.70866141732283472" right="0.70866141732283472" top="0.74803149606299213" bottom="0.74803149606299213" header="0.31496062992125984" footer="0.31496062992125984"/>
  <pageSetup paperSize="9" scale="40" fitToHeight="0" orientation="landscape" r:id="rId1"/>
  <ignoredErrors>
    <ignoredError sqref="AO1" unlocked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7353-BD8C-4CFA-A939-721C007324F6}">
  <sheetPr>
    <pageSetUpPr fitToPage="1"/>
  </sheetPr>
  <dimension ref="A1:BA466"/>
  <sheetViews>
    <sheetView showGridLines="0" zoomScale="85" zoomScaleNormal="85" zoomScaleSheetLayoutView="70" workbookViewId="0">
      <pane ySplit="5" topLeftCell="A264" activePane="bottomLeft" state="frozen"/>
      <selection pane="bottomLeft" activeCell="P265" sqref="P265"/>
      <selection activeCell="A222" sqref="A222:XFD222"/>
    </sheetView>
  </sheetViews>
  <sheetFormatPr defaultColWidth="9.140625" defaultRowHeight="14.45"/>
  <cols>
    <col min="1" max="1" width="5.42578125" style="22" bestFit="1" customWidth="1"/>
    <col min="2" max="2" width="5.28515625" style="22" bestFit="1" customWidth="1"/>
    <col min="3" max="3" width="7.5703125" style="22" customWidth="1"/>
    <col min="4" max="4" width="5.28515625" style="22" bestFit="1" customWidth="1"/>
    <col min="5" max="7" width="3.85546875" style="22" bestFit="1" customWidth="1"/>
    <col min="8" max="8" width="5.28515625" style="22" bestFit="1" customWidth="1"/>
    <col min="9" max="9" width="7.28515625" style="22" bestFit="1" customWidth="1"/>
    <col min="10" max="11" width="5.28515625" style="22" bestFit="1" customWidth="1"/>
    <col min="12" max="12" width="7.28515625" style="22" bestFit="1" customWidth="1"/>
    <col min="13" max="13" width="9.28515625" style="22" customWidth="1"/>
    <col min="14" max="14" width="5.28515625" style="80" bestFit="1" customWidth="1"/>
    <col min="15" max="15" width="9.85546875" style="22" customWidth="1"/>
    <col min="16" max="16" width="9.5703125" style="81" customWidth="1"/>
    <col min="17" max="17" width="5.28515625" style="81" bestFit="1" customWidth="1"/>
    <col min="18" max="18" width="10.42578125" style="81" customWidth="1"/>
    <col min="19" max="19" width="5.28515625" style="81" bestFit="1" customWidth="1"/>
    <col min="20" max="20" width="17.7109375" style="81" customWidth="1"/>
    <col min="21" max="22" width="9.7109375" style="81" bestFit="1" customWidth="1"/>
    <col min="23" max="23" width="9.7109375" style="82" bestFit="1" customWidth="1"/>
    <col min="24" max="24" width="3.85546875" style="81" customWidth="1"/>
    <col min="25" max="25" width="9.7109375" style="81" bestFit="1" customWidth="1"/>
    <col min="26" max="26" width="9.7109375" style="81" customWidth="1"/>
    <col min="27" max="27" width="3.85546875" style="81" bestFit="1" customWidth="1"/>
    <col min="28" max="28" width="5.28515625" style="81" customWidth="1"/>
    <col min="29" max="30" width="5.28515625" style="22" bestFit="1" customWidth="1"/>
    <col min="31" max="31" width="3.85546875" style="22" bestFit="1" customWidth="1"/>
    <col min="32" max="32" width="7.42578125" style="22" bestFit="1" customWidth="1"/>
    <col min="33" max="33" width="7.28515625" style="22" bestFit="1" customWidth="1"/>
    <col min="34" max="36" width="5.28515625" style="22" bestFit="1" customWidth="1"/>
    <col min="37" max="39" width="3.85546875" style="22" bestFit="1" customWidth="1"/>
    <col min="40" max="40" width="5.28515625" style="22" bestFit="1" customWidth="1"/>
    <col min="41" max="41" width="8.7109375" style="83" bestFit="1" customWidth="1"/>
    <col min="42" max="42" width="5.28515625" style="83" customWidth="1"/>
    <col min="43" max="43" width="12.85546875" style="22" bestFit="1" customWidth="1"/>
    <col min="44" max="44" width="5.28515625" style="22" bestFit="1" customWidth="1"/>
    <col min="45" max="45" width="8.85546875" style="22" bestFit="1" customWidth="1"/>
    <col min="46" max="46" width="5.28515625" style="22" bestFit="1" customWidth="1"/>
    <col min="47" max="47" width="6.5703125" style="22" customWidth="1"/>
    <col min="48" max="49" width="5.28515625" style="22" bestFit="1" customWidth="1"/>
    <col min="50" max="50" width="7.85546875" style="19" bestFit="1" customWidth="1"/>
    <col min="51" max="51" width="29.7109375" style="20" customWidth="1"/>
    <col min="52" max="52" width="15.28515625" style="21" customWidth="1"/>
    <col min="53" max="53" width="6" style="20" bestFit="1" customWidth="1"/>
    <col min="54" max="72" width="5.7109375" style="22" customWidth="1"/>
    <col min="73" max="16384" width="9.140625" style="22"/>
  </cols>
  <sheetData>
    <row r="1" spans="1:53" s="11" customFormat="1" ht="75.599999999999994">
      <c r="A1" s="2"/>
      <c r="B1" s="3"/>
      <c r="C1" s="3"/>
      <c r="D1" s="3"/>
      <c r="E1" s="3"/>
      <c r="F1" s="3"/>
      <c r="G1" s="2"/>
      <c r="H1" s="3"/>
      <c r="I1" s="3"/>
      <c r="J1" s="3"/>
      <c r="K1" s="3"/>
      <c r="L1" s="3"/>
      <c r="M1" s="201" t="s">
        <v>60</v>
      </c>
      <c r="N1" s="201"/>
      <c r="O1" s="201"/>
      <c r="P1" s="201"/>
      <c r="Q1" s="201"/>
      <c r="R1" s="201"/>
      <c r="S1" s="201"/>
      <c r="T1" s="201"/>
      <c r="U1" s="201"/>
      <c r="V1" s="201"/>
      <c r="W1" s="201"/>
      <c r="X1" s="201"/>
      <c r="Y1" s="201"/>
      <c r="Z1" s="201"/>
      <c r="AA1" s="202" t="s">
        <v>1</v>
      </c>
      <c r="AB1" s="202"/>
      <c r="AC1" s="202"/>
      <c r="AD1" s="202"/>
      <c r="AE1" s="202"/>
      <c r="AF1" s="202"/>
      <c r="AG1" s="202"/>
      <c r="AH1" s="202"/>
      <c r="AI1" s="202"/>
      <c r="AJ1" s="202"/>
      <c r="AK1" s="202"/>
      <c r="AL1" s="202"/>
      <c r="AM1" s="202"/>
      <c r="AN1" s="4"/>
      <c r="AO1" s="5">
        <f ca="1">TODAY()</f>
        <v>46026</v>
      </c>
      <c r="AP1" s="5"/>
      <c r="AQ1" s="6" t="s">
        <v>61</v>
      </c>
      <c r="AR1" s="7">
        <v>0.27083333333333331</v>
      </c>
      <c r="AS1" s="7">
        <v>0.39583333333333331</v>
      </c>
      <c r="AT1" s="7">
        <v>0.66666666666666663</v>
      </c>
      <c r="AU1" s="7">
        <v>0.8125</v>
      </c>
      <c r="AV1" s="203" t="s">
        <v>62</v>
      </c>
      <c r="AW1" s="203"/>
      <c r="AX1" s="8">
        <v>18</v>
      </c>
      <c r="AY1" s="8"/>
      <c r="AZ1" s="9">
        <v>11</v>
      </c>
      <c r="BA1" s="10" t="s">
        <v>4</v>
      </c>
    </row>
    <row r="2" spans="1:53">
      <c r="A2" s="12"/>
      <c r="B2" s="12"/>
      <c r="C2" s="12"/>
      <c r="D2" s="12"/>
      <c r="E2" s="12"/>
      <c r="F2" s="12"/>
      <c r="G2" s="12"/>
      <c r="H2" s="12"/>
      <c r="I2" s="12"/>
      <c r="J2" s="12"/>
      <c r="K2" s="12"/>
      <c r="L2" s="12"/>
      <c r="M2" s="12"/>
      <c r="N2" s="13"/>
      <c r="O2" s="12"/>
      <c r="P2" s="14"/>
      <c r="Q2" s="14"/>
      <c r="R2" s="14"/>
      <c r="S2" s="14"/>
      <c r="T2" s="14"/>
      <c r="U2" s="14"/>
      <c r="V2" s="14"/>
      <c r="W2" s="15"/>
      <c r="X2" s="14"/>
      <c r="Y2" s="14"/>
      <c r="Z2" s="14"/>
      <c r="AA2" s="14"/>
      <c r="AB2" s="14"/>
      <c r="AC2" s="12"/>
      <c r="AD2" s="12"/>
      <c r="AE2" s="12"/>
      <c r="AF2" s="12"/>
      <c r="AG2" s="12"/>
      <c r="AH2" s="12"/>
      <c r="AI2" s="12"/>
      <c r="AJ2" s="12"/>
      <c r="AK2" s="12"/>
      <c r="AL2" s="12"/>
      <c r="AM2" s="16"/>
      <c r="AN2" s="17"/>
      <c r="AO2" s="17"/>
      <c r="AP2" s="17"/>
      <c r="AQ2" s="17"/>
      <c r="AR2" s="204"/>
      <c r="AS2" s="204"/>
      <c r="AT2" s="204"/>
      <c r="AU2" s="204"/>
      <c r="AV2" s="17"/>
      <c r="AW2" s="18"/>
    </row>
    <row r="3" spans="1:53" ht="30.6">
      <c r="A3" s="195" t="s">
        <v>63</v>
      </c>
      <c r="B3" s="196"/>
      <c r="C3" s="196"/>
      <c r="D3" s="197"/>
      <c r="E3" s="195" t="s">
        <v>64</v>
      </c>
      <c r="F3" s="196"/>
      <c r="G3" s="196"/>
      <c r="H3" s="196"/>
      <c r="I3" s="196"/>
      <c r="J3" s="196"/>
      <c r="K3" s="196"/>
      <c r="L3" s="196"/>
      <c r="M3" s="196"/>
      <c r="N3" s="23"/>
      <c r="O3" s="181" t="s">
        <v>7</v>
      </c>
      <c r="P3" s="1" t="s">
        <v>8</v>
      </c>
      <c r="Q3" s="198" t="s">
        <v>65</v>
      </c>
      <c r="R3" s="199"/>
      <c r="S3" s="199"/>
      <c r="T3" s="199"/>
      <c r="U3" s="199"/>
      <c r="V3" s="199"/>
      <c r="W3" s="199"/>
      <c r="X3" s="199"/>
      <c r="Y3" s="199"/>
      <c r="Z3" s="199"/>
      <c r="AA3" s="199"/>
      <c r="AB3" s="199"/>
      <c r="AC3" s="199"/>
      <c r="AD3" s="199"/>
      <c r="AE3" s="199"/>
      <c r="AF3" s="199"/>
      <c r="AG3" s="199"/>
      <c r="AH3" s="199"/>
      <c r="AI3" s="199"/>
      <c r="AJ3" s="183"/>
      <c r="AK3" s="183"/>
      <c r="AL3" s="183"/>
      <c r="AM3" s="182"/>
      <c r="AN3" s="195" t="s">
        <v>66</v>
      </c>
      <c r="AO3" s="196"/>
      <c r="AP3" s="196"/>
      <c r="AQ3" s="196"/>
      <c r="AR3" s="196"/>
      <c r="AS3" s="196"/>
      <c r="AT3" s="196"/>
      <c r="AU3" s="197"/>
      <c r="AV3" s="200" t="s">
        <v>67</v>
      </c>
      <c r="AW3" s="200"/>
      <c r="AX3" s="195" t="s">
        <v>68</v>
      </c>
      <c r="AY3" s="196"/>
      <c r="AZ3" s="197"/>
    </row>
    <row r="4" spans="1:53" ht="198">
      <c r="A4" s="25" t="s">
        <v>12</v>
      </c>
      <c r="B4" s="26" t="s">
        <v>69</v>
      </c>
      <c r="C4" s="27" t="s">
        <v>70</v>
      </c>
      <c r="D4" s="28" t="s">
        <v>71</v>
      </c>
      <c r="E4" s="29" t="s">
        <v>16</v>
      </c>
      <c r="F4" s="30" t="s">
        <v>72</v>
      </c>
      <c r="G4" s="30" t="s">
        <v>73</v>
      </c>
      <c r="H4" s="31" t="s">
        <v>74</v>
      </c>
      <c r="I4" s="31" t="s">
        <v>75</v>
      </c>
      <c r="J4" s="31" t="s">
        <v>76</v>
      </c>
      <c r="K4" s="31" t="s">
        <v>77</v>
      </c>
      <c r="L4" s="32" t="s">
        <v>78</v>
      </c>
      <c r="M4" s="184" t="s">
        <v>79</v>
      </c>
      <c r="N4" s="33" t="s">
        <v>80</v>
      </c>
      <c r="O4" s="34" t="s">
        <v>81</v>
      </c>
      <c r="P4" s="35" t="s">
        <v>82</v>
      </c>
      <c r="Q4" s="36" t="s">
        <v>83</v>
      </c>
      <c r="R4" s="37" t="s">
        <v>84</v>
      </c>
      <c r="S4" s="36" t="s">
        <v>85</v>
      </c>
      <c r="T4" s="36" t="s">
        <v>86</v>
      </c>
      <c r="U4" s="38" t="s">
        <v>87</v>
      </c>
      <c r="V4" s="38" t="s">
        <v>88</v>
      </c>
      <c r="W4" s="39" t="s">
        <v>89</v>
      </c>
      <c r="X4" s="40"/>
      <c r="Y4" s="38" t="s">
        <v>90</v>
      </c>
      <c r="Z4" s="38" t="s">
        <v>91</v>
      </c>
      <c r="AA4" s="40"/>
      <c r="AB4" s="40" t="s">
        <v>92</v>
      </c>
      <c r="AC4" s="30" t="s">
        <v>93</v>
      </c>
      <c r="AD4" s="30" t="s">
        <v>94</v>
      </c>
      <c r="AE4" s="32"/>
      <c r="AF4" s="36" t="s">
        <v>95</v>
      </c>
      <c r="AG4" s="36" t="s">
        <v>96</v>
      </c>
      <c r="AH4" s="41" t="s">
        <v>97</v>
      </c>
      <c r="AI4" s="42" t="s">
        <v>98</v>
      </c>
      <c r="AJ4" s="42" t="s">
        <v>99</v>
      </c>
      <c r="AK4" s="43"/>
      <c r="AL4" s="43" t="s">
        <v>45</v>
      </c>
      <c r="AM4" s="43" t="s">
        <v>46</v>
      </c>
      <c r="AN4" s="44" t="s">
        <v>100</v>
      </c>
      <c r="AO4" s="45" t="s">
        <v>101</v>
      </c>
      <c r="AP4" s="45" t="s">
        <v>102</v>
      </c>
      <c r="AQ4" s="184" t="s">
        <v>103</v>
      </c>
      <c r="AR4" s="23" t="s">
        <v>104</v>
      </c>
      <c r="AS4" s="23" t="s">
        <v>105</v>
      </c>
      <c r="AT4" s="23" t="s">
        <v>106</v>
      </c>
      <c r="AU4" s="23" t="s">
        <v>107</v>
      </c>
      <c r="AV4" s="23" t="s">
        <v>108</v>
      </c>
      <c r="AW4" s="32" t="s">
        <v>109</v>
      </c>
      <c r="AX4" s="46" t="s">
        <v>110</v>
      </c>
      <c r="AY4" s="47" t="s">
        <v>111</v>
      </c>
      <c r="AZ4" s="47" t="s">
        <v>112</v>
      </c>
    </row>
    <row r="5" spans="1:53">
      <c r="A5" s="48"/>
      <c r="B5" s="49"/>
      <c r="C5" s="50"/>
      <c r="D5" s="51"/>
      <c r="E5" s="52"/>
      <c r="F5" s="30"/>
      <c r="G5" s="30"/>
      <c r="H5" s="30"/>
      <c r="I5" s="30"/>
      <c r="J5" s="30"/>
      <c r="K5" s="30"/>
      <c r="L5" s="30"/>
      <c r="M5" s="184"/>
      <c r="N5" s="33"/>
      <c r="O5" s="34"/>
      <c r="P5" s="35"/>
      <c r="Q5" s="36"/>
      <c r="R5" s="37"/>
      <c r="S5" s="36"/>
      <c r="T5" s="36"/>
      <c r="U5" s="53"/>
      <c r="V5" s="53"/>
      <c r="W5" s="54"/>
      <c r="X5" s="55"/>
      <c r="Y5" s="53"/>
      <c r="Z5" s="53"/>
      <c r="AA5" s="55"/>
      <c r="AB5" s="55"/>
      <c r="AC5" s="30"/>
      <c r="AD5" s="30"/>
      <c r="AE5" s="32"/>
      <c r="AF5" s="36"/>
      <c r="AG5" s="36"/>
      <c r="AH5" s="41"/>
      <c r="AI5" s="41"/>
      <c r="AJ5" s="41"/>
      <c r="AK5" s="43"/>
      <c r="AL5" s="43"/>
      <c r="AM5" s="43"/>
      <c r="AN5" s="44"/>
      <c r="AO5" s="45"/>
      <c r="AP5" s="45"/>
      <c r="AQ5" s="184"/>
      <c r="AR5" s="23"/>
      <c r="AS5" s="23"/>
      <c r="AT5" s="23"/>
      <c r="AU5" s="23"/>
      <c r="AV5" s="23"/>
      <c r="AW5" s="56"/>
      <c r="AX5" s="57"/>
      <c r="AY5" s="58"/>
      <c r="AZ5" s="58"/>
    </row>
    <row r="6" spans="1:53" ht="140.44999999999999">
      <c r="A6" s="59" t="s">
        <v>113</v>
      </c>
      <c r="B6" s="59" t="str">
        <f>[4]Sayfa1!$G2</f>
        <v>3876(5)</v>
      </c>
      <c r="C6" s="184" t="str">
        <f>[4]Sayfa1!$H2</f>
        <v>P</v>
      </c>
      <c r="D6" s="24">
        <f>[4]Sayfa1!$N2</f>
        <v>34800</v>
      </c>
      <c r="E6" s="24" t="str">
        <f>[4]Sayfa1!$B2</f>
        <v>BOZ-KAY5+6-FF-001</v>
      </c>
      <c r="F6" s="60">
        <f>[4]Sayfa1!$E2</f>
        <v>45169</v>
      </c>
      <c r="G6" s="61">
        <f>[4]Sayfa1!$F2</f>
        <v>45169.333333333336</v>
      </c>
      <c r="H6" s="59" t="str">
        <f>[4]Sayfa1!$I2</f>
        <v>Hat/Line</v>
      </c>
      <c r="I6" s="62" t="str">
        <f>IF([4]Sayfa1!$K2="SSH","Notified by Bozankaya","Notified by Customer")</f>
        <v>Notified by Customer</v>
      </c>
      <c r="J6" s="59" t="e">
        <f>VLOOKUP([4]Sayfa1!$AU2,#REF!,2,FALSE)</f>
        <v>#REF!</v>
      </c>
      <c r="K6" s="59">
        <f>[4]Sayfa1!$AC3</f>
        <v>0</v>
      </c>
      <c r="L6" s="63" t="str">
        <f t="shared" ref="L6:L37" si="0">A6&amp;"-"&amp;E6</f>
        <v>KAY_5+6-BOZ-KAY5+6-FF-001</v>
      </c>
      <c r="M6" s="64" t="str">
        <f>[4]Sayfa1!$L2</f>
        <v>Gücel saatden ileri</v>
      </c>
      <c r="N6" s="33" t="str">
        <f>[4]Sayfa1!$J2</f>
        <v>C-Uyarı, sürüş devamlılığı</v>
      </c>
      <c r="O6" s="33" t="str">
        <f>[4]Sayfa1!$P2</f>
        <v>C(Sisteme etki etmeyen arıza)</v>
      </c>
      <c r="P6" s="33" t="str">
        <f>[4]Sayfa1!$Q2</f>
        <v>N.A(Yaralanma yok)</v>
      </c>
      <c r="Q6" s="65" t="str" cm="1">
        <f t="array" ref="Q6">_xlfn.IFS([4]Sayfa1!$R2="Bozankaya","Bozankaya",[4]Sayfa1!$R2="İşletme","Customer",[4]Sayfa1!$R2="Tedarikçi","Equipment Supplier")</f>
        <v>Equipment Supplier</v>
      </c>
      <c r="R6" s="66" t="str">
        <f>[4]Sayfa1!$M2</f>
        <v>MER konnektör sökülerek yeniden takıldı araç saat güncellendi</v>
      </c>
      <c r="S6" s="36" t="str">
        <f>[4]Sayfa1!$S2</f>
        <v>Medcom</v>
      </c>
      <c r="T6" s="67">
        <f>[4]Sayfa1!$Z2</f>
        <v>0</v>
      </c>
      <c r="U6" s="68">
        <f>[4]Sayfa1!$AN2</f>
        <v>1</v>
      </c>
      <c r="V6" s="60">
        <f>[4]Sayfa1!$T2</f>
        <v>45535</v>
      </c>
      <c r="W6" s="61">
        <f>[4]Sayfa1!$U2</f>
        <v>45535.419618055559</v>
      </c>
      <c r="X6" s="69">
        <f t="shared" ref="X6:X37" si="1">W6</f>
        <v>45535.419618055559</v>
      </c>
      <c r="Y6" s="70">
        <f>[4]Sayfa1!$AQ2</f>
        <v>45535</v>
      </c>
      <c r="Z6" s="61">
        <f>[4]Sayfa1!$AR2</f>
        <v>45535.541666666664</v>
      </c>
      <c r="AA6" s="69">
        <f t="shared" ref="AA6:AA37" si="2">Z6</f>
        <v>45535.541666666664</v>
      </c>
      <c r="AB6" s="71">
        <f t="shared" ref="AB6:AB37" si="3">IF(Y6-F6&gt;0,(AA6-X6)*24,IF(OR(AND(G6&gt;AR$1,G6&lt;AS$1),AND(G6&gt;AT$1,G6&lt;AU$1)),(AA6-X6)*24,0))</f>
        <v>2.9291666665230878</v>
      </c>
      <c r="AC6" s="60">
        <f t="shared" ref="AC6:AC37" si="4">Y6</f>
        <v>45535</v>
      </c>
      <c r="AD6" s="61">
        <f t="shared" ref="AD6:AD37" si="5">Z6</f>
        <v>45535.541666666664</v>
      </c>
      <c r="AE6" s="69">
        <f t="shared" ref="AE6:AE37" si="6">AD6</f>
        <v>45535.541666666664</v>
      </c>
      <c r="AF6" s="36" t="str">
        <f>[4]Sayfa1!$AP2</f>
        <v>(I) İlk defa karşılaşılan arıza</v>
      </c>
      <c r="AG6" s="33" t="str">
        <f>IF([4]Sayfa1!$J2="C-Uyarı, sürüş devamlılığı","Bu Arıza Aracın Servise Verilmesine Engel Değil","Bu Arıza Aracın Servise Verilmesine Engel")</f>
        <v>Bu Arıza Aracın Servise Verilmesine Engel Değil</v>
      </c>
      <c r="AH6" s="41" t="str">
        <f>[4]Sayfa1!$AB2</f>
        <v>Arıza çözülecek</v>
      </c>
      <c r="AI6" s="60"/>
      <c r="AJ6" s="60"/>
      <c r="AK6" s="69">
        <f t="shared" ref="AK6:AK37" si="7">AI6+AJ6</f>
        <v>0</v>
      </c>
      <c r="AL6" s="71">
        <f t="shared" ref="AL6:AL37" si="8">IF(AND(N6&lt;&gt;"D:Arıza Değil",AG6="Bu Arıza Aracın Servise Verilmesine Engel Değil"),IF(Y6-F6&gt;0,(AA6-X6)*24,IF(OR(AND(G6&gt;AR$1,G6&lt;AS$1),AND(G6&gt;AT$1,G6&lt;AU$1)),(AK6-X6)*24,0))*60,AM6)</f>
        <v>175.74999999138527</v>
      </c>
      <c r="AM6" s="71">
        <f t="shared" ref="AM6:AM37" si="9">IF(N6&lt;&gt;"D:Arıza Değil",AB6*60,0)</f>
        <v>175.74999999138527</v>
      </c>
      <c r="AN6" s="72">
        <f t="shared" ref="AN6:AN37" si="10">K6</f>
        <v>0</v>
      </c>
      <c r="AO6" s="73" t="str">
        <f>[4]Sayfa1!$X2</f>
        <v>E815-7001</v>
      </c>
      <c r="AP6" s="72">
        <f>[4]Sayfa1!$Y2</f>
        <v>0</v>
      </c>
      <c r="AQ6" s="184" t="str">
        <f>[4]Sayfa1!$V2</f>
        <v>MEDCOM SP. Z O.O.</v>
      </c>
      <c r="AR6" s="74" t="str">
        <f>[4]Sayfa1!$W2</f>
        <v>(MER-01) XKAZA KAYIT CİHAZ KOMP.</v>
      </c>
      <c r="AS6" s="74">
        <f>[4]Sayfa1!$AD2</f>
        <v>0</v>
      </c>
      <c r="AT6" s="60" t="str">
        <f>[4]Sayfa1!$AE2</f>
        <v/>
      </c>
      <c r="AU6" s="60">
        <f>[4]Sayfa1!$AI2</f>
        <v>45535.458333333336</v>
      </c>
      <c r="AV6" s="75">
        <v>1</v>
      </c>
      <c r="AW6" s="76">
        <f t="shared" ref="AW6:AW37" si="11">U6*AB6*AZ$1</f>
        <v>32.220833331753965</v>
      </c>
      <c r="AX6" s="77" t="str">
        <f>[4]Sayfa1!$A2</f>
        <v>9c62bb3d</v>
      </c>
      <c r="AY6" s="78" t="s">
        <v>114</v>
      </c>
      <c r="AZ6" s="79" t="e" vm="1">
        <f t="shared" ref="AZ6:AZ37" si="12">_xlfn.IMAGE(AY6)</f>
        <v>#VALUE!</v>
      </c>
    </row>
    <row r="7" spans="1:53" ht="165.6">
      <c r="A7" s="59" t="s">
        <v>113</v>
      </c>
      <c r="B7" s="59" t="str">
        <f>[4]Sayfa1!$G3</f>
        <v>3874(3)</v>
      </c>
      <c r="C7" s="184" t="str">
        <f>[4]Sayfa1!$H3</f>
        <v>MA</v>
      </c>
      <c r="D7" s="24">
        <f>[4]Sayfa1!$N3</f>
        <v>45200</v>
      </c>
      <c r="E7" s="24" t="str">
        <f>[4]Sayfa1!$B3</f>
        <v>BOZ-KAY5+6-FF-002</v>
      </c>
      <c r="F7" s="60">
        <f>[4]Sayfa1!$E3</f>
        <v>45254</v>
      </c>
      <c r="G7" s="61">
        <f>[4]Sayfa1!$F3</f>
        <v>45254.791666666664</v>
      </c>
      <c r="H7" s="59" t="str">
        <f>[4]Sayfa1!$I3</f>
        <v>Hat/Line</v>
      </c>
      <c r="I7" s="62" t="str">
        <f>IF([4]Sayfa1!$K3="SSH","Notified by Bozankaya","Notified by Customer")</f>
        <v>Notified by Customer</v>
      </c>
      <c r="J7" s="59" t="e">
        <f>VLOOKUP([4]Sayfa1!$AU3,#REF!,2,FALSE)</f>
        <v>#REF!</v>
      </c>
      <c r="K7" s="59" t="e">
        <f>[4]Sayfa1!#REF!</f>
        <v>#REF!</v>
      </c>
      <c r="L7" s="63" t="str">
        <f t="shared" si="0"/>
        <v>KAY_5+6-BOZ-KAY5+6-FF-002</v>
      </c>
      <c r="M7" s="64" t="str">
        <f>[4]Sayfa1!$L3</f>
        <v>ayna kameraları çalışmıyor</v>
      </c>
      <c r="N7" s="33" t="str">
        <f>[4]Sayfa1!$J3</f>
        <v>C-Uyarı, sürüş devamlılığı</v>
      </c>
      <c r="O7" s="33" t="str">
        <f>[4]Sayfa1!$P3</f>
        <v>C(Sisteme etki etmeyen arıza)</v>
      </c>
      <c r="P7" s="33" t="str">
        <f>[4]Sayfa1!$Q3</f>
        <v>N.A(Yaralanma yok)</v>
      </c>
      <c r="Q7" s="65" t="str" cm="1">
        <f t="array" ref="Q7">_xlfn.IFS([4]Sayfa1!$R3="Bozankaya","Bozankaya",[4]Sayfa1!$R3="İşletme","Customer",[4]Sayfa1!$R3="Tedarikçi","Equipment Supplier")</f>
        <v>Equipment Supplier</v>
      </c>
      <c r="R7" s="66" t="str">
        <f>[4]Sayfa1!$M3</f>
        <v>3876-74 ayna kameraları arızalı şikayeti vardı her iki araç kameralarında olumsuz bir durum yok</v>
      </c>
      <c r="S7" s="36" t="str">
        <f>[4]Sayfa1!$S3</f>
        <v>NSC</v>
      </c>
      <c r="T7" s="67">
        <f>[4]Sayfa1!$Z3</f>
        <v>0</v>
      </c>
      <c r="U7" s="68">
        <f>[4]Sayfa1!$AN3</f>
        <v>1</v>
      </c>
      <c r="V7" s="60">
        <f>[4]Sayfa1!$T3</f>
        <v>45535</v>
      </c>
      <c r="W7" s="61">
        <f>[4]Sayfa1!$U3</f>
        <v>45535.486909722225</v>
      </c>
      <c r="X7" s="69">
        <f t="shared" si="1"/>
        <v>45535.486909722225</v>
      </c>
      <c r="Y7" s="70">
        <f>[4]Sayfa1!$AQ3</f>
        <v>45535</v>
      </c>
      <c r="Z7" s="61">
        <f>[4]Sayfa1!$AR3</f>
        <v>45535.625</v>
      </c>
      <c r="AA7" s="69">
        <f t="shared" si="2"/>
        <v>45535.625</v>
      </c>
      <c r="AB7" s="71">
        <f t="shared" si="3"/>
        <v>3.3141666665906087</v>
      </c>
      <c r="AC7" s="60">
        <f t="shared" si="4"/>
        <v>45535</v>
      </c>
      <c r="AD7" s="61">
        <f t="shared" si="5"/>
        <v>45535.625</v>
      </c>
      <c r="AE7" s="69">
        <f t="shared" si="6"/>
        <v>45535.625</v>
      </c>
      <c r="AF7" s="36" t="str">
        <f>[4]Sayfa1!$AP3</f>
        <v>(II) Birden fazla karşılaşılan arıza</v>
      </c>
      <c r="AG7" s="33" t="str">
        <f>IF([4]Sayfa1!$J3="C-Uyarı, sürüş devamlılığı","Bu Arıza Aracın Servise Verilmesine Engel Değil","Bu Arıza Aracın Servise Verilmesine Engel")</f>
        <v>Bu Arıza Aracın Servise Verilmesine Engel Değil</v>
      </c>
      <c r="AH7" s="41" t="str">
        <f>[4]Sayfa1!$AB3</f>
        <v>Arıza çözülecek</v>
      </c>
      <c r="AI7" s="60"/>
      <c r="AJ7" s="60"/>
      <c r="AK7" s="69">
        <f t="shared" si="7"/>
        <v>0</v>
      </c>
      <c r="AL7" s="71">
        <f t="shared" si="8"/>
        <v>198.84999999543652</v>
      </c>
      <c r="AM7" s="71">
        <f t="shared" si="9"/>
        <v>198.84999999543652</v>
      </c>
      <c r="AN7" s="72" t="e">
        <f t="shared" si="10"/>
        <v>#REF!</v>
      </c>
      <c r="AO7" s="73" t="str">
        <f>[4]Sayfa1!$X3</f>
        <v>E810-7145</v>
      </c>
      <c r="AP7" s="72">
        <f>[4]Sayfa1!$Y3</f>
        <v>0</v>
      </c>
      <c r="AQ7" s="184" t="str">
        <f>[4]Sayfa1!$V3</f>
        <v>NSC TEKNOLOJİ ve İNŞAAT LTD.ŞTİ.</v>
      </c>
      <c r="AR7" s="74" t="str">
        <f>[4]Sayfa1!$W3</f>
        <v>CCTV EKRANI</v>
      </c>
      <c r="AS7" s="74">
        <f>[4]Sayfa1!$AD3</f>
        <v>0</v>
      </c>
      <c r="AT7" s="60" t="str">
        <f>[4]Sayfa1!$AE3</f>
        <v/>
      </c>
      <c r="AU7" s="60" t="str">
        <f>[4]Sayfa1!$AH3</f>
        <v/>
      </c>
      <c r="AV7" s="75">
        <v>1</v>
      </c>
      <c r="AW7" s="76">
        <f t="shared" si="11"/>
        <v>36.455833332496695</v>
      </c>
      <c r="AX7" s="77" t="str">
        <f>[4]Sayfa1!$A3</f>
        <v>054c6337</v>
      </c>
      <c r="AY7" s="78" t="s">
        <v>114</v>
      </c>
      <c r="AZ7" s="79" t="e" vm="1">
        <f t="shared" si="12"/>
        <v>#VALUE!</v>
      </c>
    </row>
    <row r="8" spans="1:53" ht="138">
      <c r="A8" s="59" t="s">
        <v>113</v>
      </c>
      <c r="B8" s="59" t="str">
        <f>[4]Sayfa1!$G5</f>
        <v>3873(2)</v>
      </c>
      <c r="C8" s="184" t="str">
        <f>[4]Sayfa1!$H5</f>
        <v>MA</v>
      </c>
      <c r="D8" s="24">
        <f>[4]Sayfa1!$N5</f>
        <v>44400</v>
      </c>
      <c r="E8" s="24" t="str">
        <f>[4]Sayfa1!$B5</f>
        <v>BOZ-KAY5+6-FF-004</v>
      </c>
      <c r="F8" s="60">
        <f>[4]Sayfa1!$E5</f>
        <v>45255</v>
      </c>
      <c r="G8" s="61">
        <f>[4]Sayfa1!$F5</f>
        <v>45255.318055555559</v>
      </c>
      <c r="H8" s="59" t="str">
        <f>[4]Sayfa1!$I5</f>
        <v>Hat/Line</v>
      </c>
      <c r="I8" s="62" t="str">
        <f>IF([4]Sayfa1!$K5="SSH","Notified by Bozankaya","Notified by Customer")</f>
        <v>Notified by Customer</v>
      </c>
      <c r="J8" s="59" t="e">
        <f>VLOOKUP([4]Sayfa1!$AU5,#REF!,2,FALSE)</f>
        <v>#REF!</v>
      </c>
      <c r="K8" s="59">
        <f>[4]Sayfa1!$AC5</f>
        <v>0</v>
      </c>
      <c r="L8" s="63" t="str">
        <f t="shared" si="0"/>
        <v>KAY_5+6-BOZ-KAY5+6-FF-004</v>
      </c>
      <c r="M8" s="64" t="str">
        <f>[4]Sayfa1!$L5</f>
        <v>aracın ayna kamera görüntüsü gelmiyor</v>
      </c>
      <c r="N8" s="33" t="str">
        <f>[4]Sayfa1!$J5</f>
        <v>C-Uyarı, sürüş devamlılığı</v>
      </c>
      <c r="O8" s="33" t="str">
        <f>[4]Sayfa1!$P5</f>
        <v>C(Sisteme etki etmeyen arıza)</v>
      </c>
      <c r="P8" s="33" t="str">
        <f>[4]Sayfa1!$Q5</f>
        <v>N.A(Yaralanma yok)</v>
      </c>
      <c r="Q8" s="65" t="str" cm="1">
        <f t="array" ref="Q8">_xlfn.IFS([4]Sayfa1!$R5="Bozankaya","Bozankaya",[4]Sayfa1!$R5="İşletme","Customer",[4]Sayfa1!$R5="Tedarikçi","Equipment Supplier")</f>
        <v>Equipment Supplier</v>
      </c>
      <c r="R8" s="66" t="str">
        <f>[4]Sayfa1!$M5</f>
        <v>gün itibari ile araç serviste çalışmaktadır</v>
      </c>
      <c r="S8" s="36" t="str">
        <f>[4]Sayfa1!$S5</f>
        <v>NSC</v>
      </c>
      <c r="T8" s="67">
        <f>[4]Sayfa1!$Z5</f>
        <v>0</v>
      </c>
      <c r="U8" s="68">
        <f>[4]Sayfa1!$AN5</f>
        <v>1</v>
      </c>
      <c r="V8" s="60">
        <f>[4]Sayfa1!$T5</f>
        <v>45535</v>
      </c>
      <c r="W8" s="61">
        <f>[4]Sayfa1!$U5</f>
        <v>45535.47892361111</v>
      </c>
      <c r="X8" s="69">
        <f t="shared" si="1"/>
        <v>45535.47892361111</v>
      </c>
      <c r="Y8" s="70">
        <f>[4]Sayfa1!$AQ5</f>
        <v>45535</v>
      </c>
      <c r="Z8" s="61">
        <f>[4]Sayfa1!$AR5</f>
        <v>45535.625</v>
      </c>
      <c r="AA8" s="69">
        <f t="shared" si="2"/>
        <v>45535.625</v>
      </c>
      <c r="AB8" s="71">
        <f t="shared" si="3"/>
        <v>3.5058333333581686</v>
      </c>
      <c r="AC8" s="60">
        <f t="shared" si="4"/>
        <v>45535</v>
      </c>
      <c r="AD8" s="61">
        <f t="shared" si="5"/>
        <v>45535.625</v>
      </c>
      <c r="AE8" s="69">
        <f t="shared" si="6"/>
        <v>45535.625</v>
      </c>
      <c r="AF8" s="36" t="str">
        <f>[4]Sayfa1!$AP5</f>
        <v>(II) Birden fazla karşılaşılan arıza</v>
      </c>
      <c r="AG8" s="33" t="str">
        <f>IF([4]Sayfa1!$J5="C-Uyarı, sürüş devamlılığı","Bu Arıza Aracın Servise Verilmesine Engel Değil","Bu Arıza Aracın Servise Verilmesine Engel")</f>
        <v>Bu Arıza Aracın Servise Verilmesine Engel Değil</v>
      </c>
      <c r="AH8" s="41" t="str">
        <f>[4]Sayfa1!$AB5</f>
        <v>Arıza çözülecek</v>
      </c>
      <c r="AI8" s="60"/>
      <c r="AJ8" s="60"/>
      <c r="AK8" s="69">
        <f t="shared" si="7"/>
        <v>0</v>
      </c>
      <c r="AL8" s="71">
        <f t="shared" si="8"/>
        <v>210.35000000149012</v>
      </c>
      <c r="AM8" s="71">
        <f t="shared" si="9"/>
        <v>210.35000000149012</v>
      </c>
      <c r="AN8" s="72">
        <f t="shared" si="10"/>
        <v>0</v>
      </c>
      <c r="AO8" s="73" t="str">
        <f>[4]Sayfa1!$X5</f>
        <v>E810-7145</v>
      </c>
      <c r="AP8" s="72">
        <f>[4]Sayfa1!$Y5</f>
        <v>0</v>
      </c>
      <c r="AQ8" s="184" t="str">
        <f>[4]Sayfa1!$V5</f>
        <v>NSC TEKNOLOJİ ve İNŞAAT LTD.ŞTİ.</v>
      </c>
      <c r="AR8" s="74" t="str">
        <f>[4]Sayfa1!$W5</f>
        <v>CCTV EKRANI</v>
      </c>
      <c r="AS8" s="74">
        <f>[4]Sayfa1!$AD5</f>
        <v>0</v>
      </c>
      <c r="AT8" s="60" t="str">
        <f>[4]Sayfa1!$AE5</f>
        <v/>
      </c>
      <c r="AU8" s="60" t="str">
        <f>[4]Sayfa1!$AH5</f>
        <v/>
      </c>
      <c r="AV8" s="75">
        <v>4</v>
      </c>
      <c r="AW8" s="76">
        <f t="shared" si="11"/>
        <v>38.564166666939855</v>
      </c>
      <c r="AX8" s="77" t="str">
        <f>[4]Sayfa1!$A5</f>
        <v>cde35c14</v>
      </c>
      <c r="AY8" s="78" t="s">
        <v>114</v>
      </c>
      <c r="AZ8" s="79" t="e" vm="1">
        <f t="shared" si="12"/>
        <v>#VALUE!</v>
      </c>
    </row>
    <row r="9" spans="1:53" ht="138">
      <c r="A9" s="59" t="s">
        <v>113</v>
      </c>
      <c r="B9" s="59" t="str">
        <f>[4]Sayfa1!$G6</f>
        <v>3875(4)</v>
      </c>
      <c r="C9" s="184" t="str">
        <f>[4]Sayfa1!$H6</f>
        <v>MA</v>
      </c>
      <c r="D9" s="24">
        <f>[4]Sayfa1!$N6</f>
        <v>45600</v>
      </c>
      <c r="E9" s="24" t="str">
        <f>[4]Sayfa1!$B6</f>
        <v>BOZ-KAY5+6-FF-005</v>
      </c>
      <c r="F9" s="60">
        <f>[4]Sayfa1!$E6</f>
        <v>45255</v>
      </c>
      <c r="G9" s="61">
        <f>[4]Sayfa1!$F6</f>
        <v>45255.934710648151</v>
      </c>
      <c r="H9" s="59" t="str">
        <f>[4]Sayfa1!$I6</f>
        <v>Hat/Line</v>
      </c>
      <c r="I9" s="62" t="str">
        <f>IF([4]Sayfa1!$K6="SSH","Notified by Bozankaya","Notified by Customer")</f>
        <v>Notified by Customer</v>
      </c>
      <c r="J9" s="59" t="e">
        <f>VLOOKUP([4]Sayfa1!$AU6,#REF!,2,FALSE)</f>
        <v>#REF!</v>
      </c>
      <c r="K9" s="59">
        <f>[4]Sayfa1!$AC6</f>
        <v>0</v>
      </c>
      <c r="L9" s="63" t="str">
        <f t="shared" si="0"/>
        <v>KAY_5+6-BOZ-KAY5+6-FF-005</v>
      </c>
      <c r="M9" s="64" t="str">
        <f>[4]Sayfa1!$L6</f>
        <v>ayna kameralar çalışmıyor</v>
      </c>
      <c r="N9" s="33" t="str">
        <f>[4]Sayfa1!$J6</f>
        <v>C-Uyarı, sürüş devamlılığı</v>
      </c>
      <c r="O9" s="33" t="str">
        <f>[4]Sayfa1!$P6</f>
        <v>C(Sisteme etki etmeyen arıza)</v>
      </c>
      <c r="P9" s="33" t="str">
        <f>[4]Sayfa1!$Q6</f>
        <v>N.A(Yaralanma yok)</v>
      </c>
      <c r="Q9" s="65" t="str" cm="1">
        <f t="array" ref="Q9">_xlfn.IFS([4]Sayfa1!$R6="Bozankaya","Bozankaya",[4]Sayfa1!$R6="İşletme","Customer",[4]Sayfa1!$R6="Tedarikçi","Equipment Supplier")</f>
        <v>Equipment Supplier</v>
      </c>
      <c r="R9" s="66" t="str">
        <f>[4]Sayfa1!$M6</f>
        <v>3874 aynakamera görüntü gelmiyordu araç numarası yanlıştı düzeltildi görüntüler geldi</v>
      </c>
      <c r="S9" s="36" t="str">
        <f>[4]Sayfa1!$S6</f>
        <v>NSC</v>
      </c>
      <c r="T9" s="67">
        <f>[4]Sayfa1!$Z6</f>
        <v>0</v>
      </c>
      <c r="U9" s="68">
        <f>[4]Sayfa1!$AN6</f>
        <v>1</v>
      </c>
      <c r="V9" s="60">
        <f>[4]Sayfa1!$T6</f>
        <v>45535</v>
      </c>
      <c r="W9" s="61">
        <f>[4]Sayfa1!$U6</f>
        <v>45535.490370370368</v>
      </c>
      <c r="X9" s="69">
        <f t="shared" si="1"/>
        <v>45535.490370370368</v>
      </c>
      <c r="Y9" s="70">
        <f>[4]Sayfa1!$AQ6</f>
        <v>45535</v>
      </c>
      <c r="Z9" s="61">
        <f>[4]Sayfa1!$AR6</f>
        <v>45535.5625</v>
      </c>
      <c r="AA9" s="69">
        <f t="shared" si="2"/>
        <v>45535.5625</v>
      </c>
      <c r="AB9" s="71">
        <f t="shared" si="3"/>
        <v>1.7311111111775972</v>
      </c>
      <c r="AC9" s="60">
        <f t="shared" si="4"/>
        <v>45535</v>
      </c>
      <c r="AD9" s="61">
        <f t="shared" si="5"/>
        <v>45535.5625</v>
      </c>
      <c r="AE9" s="69">
        <f t="shared" si="6"/>
        <v>45535.5625</v>
      </c>
      <c r="AF9" s="36" t="str">
        <f>[4]Sayfa1!$AP6</f>
        <v>(II) Birden fazla karşılaşılan arıza</v>
      </c>
      <c r="AG9" s="33" t="str">
        <f>IF([4]Sayfa1!$J6="C-Uyarı, sürüş devamlılığı","Bu Arıza Aracın Servise Verilmesine Engel Değil","Bu Arıza Aracın Servise Verilmesine Engel")</f>
        <v>Bu Arıza Aracın Servise Verilmesine Engel Değil</v>
      </c>
      <c r="AH9" s="41" t="str">
        <f>[4]Sayfa1!$AB6</f>
        <v>Arıza çözülecek</v>
      </c>
      <c r="AI9" s="60"/>
      <c r="AJ9" s="60"/>
      <c r="AK9" s="69">
        <f t="shared" si="7"/>
        <v>0</v>
      </c>
      <c r="AL9" s="71">
        <f t="shared" si="8"/>
        <v>103.86666667065583</v>
      </c>
      <c r="AM9" s="71">
        <f t="shared" si="9"/>
        <v>103.86666667065583</v>
      </c>
      <c r="AN9" s="72">
        <f t="shared" si="10"/>
        <v>0</v>
      </c>
      <c r="AO9" s="73" t="str">
        <f>[4]Sayfa1!$X6</f>
        <v>E810-7145</v>
      </c>
      <c r="AP9" s="72">
        <f>[4]Sayfa1!$Y6</f>
        <v>0</v>
      </c>
      <c r="AQ9" s="184" t="str">
        <f>[4]Sayfa1!$V6</f>
        <v>NSC TEKNOLOJİ ve İNŞAAT LTD.ŞTİ.</v>
      </c>
      <c r="AR9" s="74" t="str">
        <f>[4]Sayfa1!$W6</f>
        <v>CCTV EKRANI</v>
      </c>
      <c r="AS9" s="74">
        <f>[4]Sayfa1!$AD6</f>
        <v>0</v>
      </c>
      <c r="AT9" s="60" t="str">
        <f>[4]Sayfa1!$AE6</f>
        <v/>
      </c>
      <c r="AU9" s="60" t="str">
        <f>[4]Sayfa1!$AH6</f>
        <v/>
      </c>
      <c r="AV9" s="75">
        <v>5</v>
      </c>
      <c r="AW9" s="76">
        <f t="shared" si="11"/>
        <v>19.042222222953569</v>
      </c>
      <c r="AX9" s="77" t="str">
        <f>[4]Sayfa1!$A6</f>
        <v>be46e3c9</v>
      </c>
      <c r="AY9" s="78" t="s">
        <v>114</v>
      </c>
      <c r="AZ9" s="79" t="e" vm="1">
        <f t="shared" si="12"/>
        <v>#VALUE!</v>
      </c>
    </row>
    <row r="10" spans="1:53" ht="193.15">
      <c r="A10" s="59" t="s">
        <v>113</v>
      </c>
      <c r="B10" s="59" t="str">
        <f>[4]Sayfa1!$G4</f>
        <v>3873(2)</v>
      </c>
      <c r="C10" s="184" t="str">
        <f>[4]Sayfa1!$H4</f>
        <v>MA</v>
      </c>
      <c r="D10" s="24">
        <f>[4]Sayfa1!$N4</f>
        <v>44400</v>
      </c>
      <c r="E10" s="24" t="str">
        <f>[4]Sayfa1!$B4</f>
        <v>BOZ-KAY5+6-FF-003</v>
      </c>
      <c r="F10" s="60">
        <f>[4]Sayfa1!$E4</f>
        <v>45255</v>
      </c>
      <c r="G10" s="61">
        <f>[4]Sayfa1!$F4</f>
        <v>45255.318055555559</v>
      </c>
      <c r="H10" s="59" t="str">
        <f>[4]Sayfa1!$I4</f>
        <v>Hat/Line</v>
      </c>
      <c r="I10" s="62" t="str">
        <f>IF([4]Sayfa1!$K4="SSH","Notified by Bozankaya","Notified by Customer")</f>
        <v>Notified by Customer</v>
      </c>
      <c r="J10" s="59" t="e">
        <f>VLOOKUP([4]Sayfa1!$AU4,#REF!,2,FALSE)</f>
        <v>#REF!</v>
      </c>
      <c r="K10" s="59">
        <f>[4]Sayfa1!$AC4</f>
        <v>0</v>
      </c>
      <c r="L10" s="63" t="str">
        <f t="shared" si="0"/>
        <v>KAY_5+6-BOZ-KAY5+6-FF-003</v>
      </c>
      <c r="M10" s="64" t="str">
        <f>[4]Sayfa1!$L4</f>
        <v>aracın ayna kamera görüntüsü gelmiyor</v>
      </c>
      <c r="N10" s="33" t="str">
        <f>[4]Sayfa1!$J4</f>
        <v>C-Uyarı, sürüş devamlılığı</v>
      </c>
      <c r="O10" s="33" t="str">
        <f>[4]Sayfa1!$P4</f>
        <v>C(Sisteme etki etmeyen arıza)</v>
      </c>
      <c r="P10" s="33" t="str">
        <f>[4]Sayfa1!$Q4</f>
        <v>N.A(Yaralanma yok)</v>
      </c>
      <c r="Q10" s="65" t="str" cm="1">
        <f t="array" ref="Q10">_xlfn.IFS([4]Sayfa1!$R4="Bozankaya","Bozankaya",[4]Sayfa1!$R4="İşletme","Customer",[4]Sayfa1!$R4="Tedarikçi","Equipment Supplier")</f>
        <v>Equipment Supplier</v>
      </c>
      <c r="R10" s="66" t="str">
        <f>[4]Sayfa1!$M4</f>
        <v>aracın her iki panel pc arızalı 3877 den alınarak b tarafa takıldı aracın a tarafta panel pc yok dekuplaj edilmeyecek</v>
      </c>
      <c r="S10" s="36" t="str">
        <f>[4]Sayfa1!$S4</f>
        <v>NSC</v>
      </c>
      <c r="T10" s="67">
        <f>[4]Sayfa1!$Z4</f>
        <v>0</v>
      </c>
      <c r="U10" s="68">
        <f>[4]Sayfa1!$AN4</f>
        <v>1</v>
      </c>
      <c r="V10" s="60">
        <f>[4]Sayfa1!$T4</f>
        <v>45535</v>
      </c>
      <c r="W10" s="61">
        <f>[4]Sayfa1!$U4</f>
        <v>45535.476909722223</v>
      </c>
      <c r="X10" s="69">
        <f t="shared" si="1"/>
        <v>45535.476909722223</v>
      </c>
      <c r="Y10" s="70">
        <f>[4]Sayfa1!$AQ4</f>
        <v>45535</v>
      </c>
      <c r="Z10" s="61">
        <f>[4]Sayfa1!$AR4</f>
        <v>45535.625</v>
      </c>
      <c r="AA10" s="69">
        <f t="shared" si="2"/>
        <v>45535.625</v>
      </c>
      <c r="AB10" s="71">
        <f t="shared" si="3"/>
        <v>3.5541666666395031</v>
      </c>
      <c r="AC10" s="60">
        <f t="shared" si="4"/>
        <v>45535</v>
      </c>
      <c r="AD10" s="61">
        <f t="shared" si="5"/>
        <v>45535.625</v>
      </c>
      <c r="AE10" s="69">
        <f t="shared" si="6"/>
        <v>45535.625</v>
      </c>
      <c r="AF10" s="36" t="str">
        <f>[4]Sayfa1!$AP4</f>
        <v>(II) Birden fazla karşılaşılan arıza</v>
      </c>
      <c r="AG10" s="33" t="str">
        <f>IF([4]Sayfa1!$J4="C-Uyarı, sürüş devamlılığı","Bu Arıza Aracın Servise Verilmesine Engel Değil","Bu Arıza Aracın Servise Verilmesine Engel")</f>
        <v>Bu Arıza Aracın Servise Verilmesine Engel Değil</v>
      </c>
      <c r="AH10" s="41" t="str">
        <f>[4]Sayfa1!$AB4</f>
        <v>Arıza çözülecek</v>
      </c>
      <c r="AI10" s="60"/>
      <c r="AJ10" s="60"/>
      <c r="AK10" s="69">
        <f t="shared" si="7"/>
        <v>0</v>
      </c>
      <c r="AL10" s="71">
        <f t="shared" si="8"/>
        <v>213.24999999837019</v>
      </c>
      <c r="AM10" s="71">
        <f t="shared" si="9"/>
        <v>213.24999999837019</v>
      </c>
      <c r="AN10" s="72">
        <f t="shared" si="10"/>
        <v>0</v>
      </c>
      <c r="AO10" s="73" t="str">
        <f>[4]Sayfa1!$X4</f>
        <v>E810-7145</v>
      </c>
      <c r="AP10" s="72">
        <f>[4]Sayfa1!$Y4</f>
        <v>0</v>
      </c>
      <c r="AQ10" s="184" t="str">
        <f>[4]Sayfa1!$V4</f>
        <v>NSC TEKNOLOJİ ve İNŞAAT LTD.ŞTİ.</v>
      </c>
      <c r="AR10" s="74" t="str">
        <f>[4]Sayfa1!$W4</f>
        <v>CCTV EKRANI</v>
      </c>
      <c r="AS10" s="74">
        <f>[4]Sayfa1!$AD4</f>
        <v>0</v>
      </c>
      <c r="AT10" s="60" t="str">
        <f>[4]Sayfa1!$AE4</f>
        <v/>
      </c>
      <c r="AU10" s="60" t="str">
        <f>[4]Sayfa1!$AH4</f>
        <v/>
      </c>
      <c r="AV10" s="75">
        <v>3</v>
      </c>
      <c r="AW10" s="76">
        <f t="shared" si="11"/>
        <v>39.095833333034534</v>
      </c>
      <c r="AX10" s="77" t="str">
        <f>[4]Sayfa1!$A4</f>
        <v>8f6b6f76</v>
      </c>
      <c r="AY10" s="78" t="s">
        <v>114</v>
      </c>
      <c r="AZ10" s="79" t="e" vm="1">
        <f t="shared" si="12"/>
        <v>#VALUE!</v>
      </c>
    </row>
    <row r="11" spans="1:53" ht="179.45">
      <c r="A11" s="59" t="s">
        <v>113</v>
      </c>
      <c r="B11" s="59" t="str">
        <f>[4]Sayfa1!$G7</f>
        <v>3873(2)</v>
      </c>
      <c r="C11" s="184" t="str">
        <f>[4]Sayfa1!$H7</f>
        <v>MB</v>
      </c>
      <c r="D11" s="24">
        <f>[4]Sayfa1!$N7</f>
        <v>44600</v>
      </c>
      <c r="E11" s="24" t="str">
        <f>[4]Sayfa1!$B7</f>
        <v>BOZ-KAY5+6-FF-006</v>
      </c>
      <c r="F11" s="60">
        <f>[4]Sayfa1!$E7</f>
        <v>45257</v>
      </c>
      <c r="G11" s="61">
        <f>[4]Sayfa1!$F7</f>
        <v>45257.791666666664</v>
      </c>
      <c r="H11" s="59" t="str">
        <f>[4]Sayfa1!$I7</f>
        <v>Hat/Line</v>
      </c>
      <c r="I11" s="62" t="str">
        <f>IF([4]Sayfa1!$K7="SSH","Notified by Bozankaya","Notified by Customer")</f>
        <v>Notified by Customer</v>
      </c>
      <c r="J11" s="59" t="e">
        <f>VLOOKUP([4]Sayfa1!$AU7,#REF!,2,FALSE)</f>
        <v>#REF!</v>
      </c>
      <c r="K11" s="59">
        <f>[4]Sayfa1!$AC7</f>
        <v>0</v>
      </c>
      <c r="L11" s="63" t="str">
        <f t="shared" si="0"/>
        <v>KAY_5+6-BOZ-KAY5+6-FF-006</v>
      </c>
      <c r="M11" s="64" t="str">
        <f>[4]Sayfa1!$L7</f>
        <v>kabin kliması ısıtması yetersiz</v>
      </c>
      <c r="N11" s="33" t="str">
        <f>[4]Sayfa1!$J7</f>
        <v>C-Uyarı, sürüş devamlılığı</v>
      </c>
      <c r="O11" s="33" t="str">
        <f>[4]Sayfa1!$P7</f>
        <v>B(Servisten çekmeye etki eden arızalar)</v>
      </c>
      <c r="P11" s="33" t="str">
        <f>[4]Sayfa1!$Q7</f>
        <v>N.A(Yaralanma yok)</v>
      </c>
      <c r="Q11" s="65" t="str" cm="1">
        <f t="array" ref="Q11">_xlfn.IFS([4]Sayfa1!$R7="Bozankaya","Bozankaya",[4]Sayfa1!$R7="İşletme","Customer",[4]Sayfa1!$R7="Tedarikçi","Equipment Supplier")</f>
        <v>Equipment Supplier</v>
      </c>
      <c r="R11" s="66" t="str">
        <f>[4]Sayfa1!$M7</f>
        <v>araç kontrol edildi psb1 önemsiz arıza  vermiş araç resetlendi psb1 ve klimalar sorunsuz çalışıyor</v>
      </c>
      <c r="S11" s="36" t="str">
        <f>[4]Sayfa1!$S7</f>
        <v>Eltesan</v>
      </c>
      <c r="T11" s="67">
        <f>[4]Sayfa1!$Z7</f>
        <v>0</v>
      </c>
      <c r="U11" s="68">
        <f>[4]Sayfa1!$AN7</f>
        <v>1</v>
      </c>
      <c r="V11" s="60">
        <f>[4]Sayfa1!$T7</f>
        <v>45535</v>
      </c>
      <c r="W11" s="61">
        <f>[4]Sayfa1!$U7</f>
        <v>45535.493310185186</v>
      </c>
      <c r="X11" s="69">
        <f t="shared" si="1"/>
        <v>45535.493310185186</v>
      </c>
      <c r="Y11" s="70">
        <f>[4]Sayfa1!$AQ7</f>
        <v>45535</v>
      </c>
      <c r="Z11" s="61">
        <f>[4]Sayfa1!$AR7</f>
        <v>45535.583333333336</v>
      </c>
      <c r="AA11" s="69">
        <f t="shared" si="2"/>
        <v>45535.583333333336</v>
      </c>
      <c r="AB11" s="71">
        <f t="shared" si="3"/>
        <v>2.1605555556016043</v>
      </c>
      <c r="AC11" s="60">
        <f t="shared" si="4"/>
        <v>45535</v>
      </c>
      <c r="AD11" s="61">
        <f t="shared" si="5"/>
        <v>45535.583333333336</v>
      </c>
      <c r="AE11" s="69">
        <f t="shared" si="6"/>
        <v>45535.583333333336</v>
      </c>
      <c r="AF11" s="36" t="str">
        <f>[4]Sayfa1!$AP7</f>
        <v>(II) Birden fazla karşılaşılan arıza</v>
      </c>
      <c r="AG11" s="33" t="str">
        <f>IF([4]Sayfa1!$J7="C-Uyarı, sürüş devamlılığı","Bu Arıza Aracın Servise Verilmesine Engel Değil","Bu Arıza Aracın Servise Verilmesine Engel")</f>
        <v>Bu Arıza Aracın Servise Verilmesine Engel Değil</v>
      </c>
      <c r="AH11" s="41" t="str">
        <f>[4]Sayfa1!$AB7</f>
        <v>Arıza çözülecek</v>
      </c>
      <c r="AI11" s="60"/>
      <c r="AJ11" s="60"/>
      <c r="AK11" s="69">
        <f t="shared" si="7"/>
        <v>0</v>
      </c>
      <c r="AL11" s="71">
        <f t="shared" si="8"/>
        <v>129.63333333609626</v>
      </c>
      <c r="AM11" s="71">
        <f t="shared" si="9"/>
        <v>129.63333333609626</v>
      </c>
      <c r="AN11" s="72">
        <f t="shared" si="10"/>
        <v>0</v>
      </c>
      <c r="AO11" s="73" t="str">
        <f>[4]Sayfa1!$X7</f>
        <v>H500-7243</v>
      </c>
      <c r="AP11" s="72">
        <f>[4]Sayfa1!$Y7</f>
        <v>0</v>
      </c>
      <c r="AQ11" s="184" t="str">
        <f>[4]Sayfa1!$V7</f>
        <v>ELTESAN ELEKTRO MEKANİK SOĞUTMA SAN</v>
      </c>
      <c r="AR11" s="74" t="str">
        <f>[4]Sayfa1!$W7</f>
        <v>SURUCU KLIMASI-Eltesan/Hispacold 4,5 KW</v>
      </c>
      <c r="AS11" s="74">
        <f>[4]Sayfa1!$AD7</f>
        <v>0</v>
      </c>
      <c r="AT11" s="60" t="str">
        <f>[4]Sayfa1!$AE7</f>
        <v/>
      </c>
      <c r="AU11" s="60" t="str">
        <f>[4]Sayfa1!$AH7</f>
        <v/>
      </c>
      <c r="AV11" s="75">
        <v>6</v>
      </c>
      <c r="AW11" s="76">
        <f t="shared" si="11"/>
        <v>23.766111111617647</v>
      </c>
      <c r="AX11" s="77" t="str">
        <f>[4]Sayfa1!$A7</f>
        <v>33af09a1</v>
      </c>
      <c r="AY11" s="78" t="s">
        <v>114</v>
      </c>
      <c r="AZ11" s="79" t="e" vm="1">
        <f t="shared" si="12"/>
        <v>#VALUE!</v>
      </c>
    </row>
    <row r="12" spans="1:53" ht="165.6">
      <c r="A12" s="59" t="s">
        <v>113</v>
      </c>
      <c r="B12" s="59" t="str">
        <f>[4]Sayfa1!$G8</f>
        <v>3874(3)</v>
      </c>
      <c r="C12" s="184" t="str">
        <f>[4]Sayfa1!$H8</f>
        <v>RB</v>
      </c>
      <c r="D12" s="24">
        <f>[4]Sayfa1!$N8</f>
        <v>45000</v>
      </c>
      <c r="E12" s="24" t="str">
        <f>[4]Sayfa1!$B8</f>
        <v>BOZ-KAY5+6-FF-007</v>
      </c>
      <c r="F12" s="60">
        <f>[4]Sayfa1!$E8</f>
        <v>45261</v>
      </c>
      <c r="G12" s="61">
        <f>[4]Sayfa1!$F8</f>
        <v>45261.381944444445</v>
      </c>
      <c r="H12" s="59" t="str">
        <f>[4]Sayfa1!$I8</f>
        <v>Hat/Line</v>
      </c>
      <c r="I12" s="62" t="str">
        <f>IF([4]Sayfa1!$K8="SSH","Notified by Bozankaya","Notified by Customer")</f>
        <v>Notified by Customer</v>
      </c>
      <c r="J12" s="59" t="e">
        <f>VLOOKUP([4]Sayfa1!$AU8,#REF!,2,FALSE)</f>
        <v>#REF!</v>
      </c>
      <c r="K12" s="59">
        <f>[4]Sayfa1!$AC8</f>
        <v>0</v>
      </c>
      <c r="L12" s="63" t="str">
        <f t="shared" si="0"/>
        <v>KAY_5+6-BOZ-KAY5+6-FF-007</v>
      </c>
      <c r="M12" s="64" t="str">
        <f>[4]Sayfa1!$L8</f>
        <v>ORTA KISIMDAKİ EKRANLARDA KARARMA MEVCUT</v>
      </c>
      <c r="N12" s="33" t="str">
        <f>[4]Sayfa1!$J8</f>
        <v>C-Uyarı, sürüş devamlılığı</v>
      </c>
      <c r="O12" s="33" t="str">
        <f>[4]Sayfa1!$P8</f>
        <v>C(Sisteme etki etmeyen arıza)</v>
      </c>
      <c r="P12" s="33" t="str">
        <f>[4]Sayfa1!$Q8</f>
        <v>N.A(Yaralanma yok)</v>
      </c>
      <c r="Q12" s="65" t="str" cm="1">
        <f t="array" ref="Q12">_xlfn.IFS([4]Sayfa1!$R8="Bozankaya","Bozankaya",[4]Sayfa1!$R8="İşletme","Customer",[4]Sayfa1!$R8="Tedarikçi","Equipment Supplier")</f>
        <v>Equipment Supplier</v>
      </c>
      <c r="R12" s="66" t="str">
        <f>[4]Sayfa1!$M8</f>
        <v>EKRAN DEĞİŞİMİ YAPILDI</v>
      </c>
      <c r="S12" s="36" t="str">
        <f>[4]Sayfa1!$S8</f>
        <v>Atak</v>
      </c>
      <c r="T12" s="67">
        <f>[4]Sayfa1!$Z8</f>
        <v>0</v>
      </c>
      <c r="U12" s="68">
        <f>[4]Sayfa1!$AN8</f>
        <v>1</v>
      </c>
      <c r="V12" s="60">
        <f>[4]Sayfa1!$T8</f>
        <v>45261</v>
      </c>
      <c r="W12" s="61">
        <f>[4]Sayfa1!$U8</f>
        <v>45261.416666666664</v>
      </c>
      <c r="X12" s="69">
        <f t="shared" si="1"/>
        <v>45261.416666666664</v>
      </c>
      <c r="Y12" s="70">
        <f>[4]Sayfa1!$AQ8</f>
        <v>45261</v>
      </c>
      <c r="Z12" s="61">
        <f>[4]Sayfa1!$AR8</f>
        <v>45261.5</v>
      </c>
      <c r="AA12" s="69">
        <f t="shared" si="2"/>
        <v>45261.5</v>
      </c>
      <c r="AB12" s="71">
        <f t="shared" si="3"/>
        <v>0</v>
      </c>
      <c r="AC12" s="60">
        <f t="shared" si="4"/>
        <v>45261</v>
      </c>
      <c r="AD12" s="61">
        <f t="shared" si="5"/>
        <v>45261.5</v>
      </c>
      <c r="AE12" s="69">
        <f t="shared" si="6"/>
        <v>45261.5</v>
      </c>
      <c r="AF12" s="36" t="str">
        <f>[4]Sayfa1!$AP8</f>
        <v>(II) Birden fazla karşılaşılan arıza</v>
      </c>
      <c r="AG12" s="33" t="str">
        <f>IF([4]Sayfa1!$J8="C-Uyarı, sürüş devamlılığı","Bu Arıza Aracın Servise Verilmesine Engel Değil","Bu Arıza Aracın Servise Verilmesine Engel")</f>
        <v>Bu Arıza Aracın Servise Verilmesine Engel Değil</v>
      </c>
      <c r="AH12" s="41" t="str">
        <f>[4]Sayfa1!$AB8</f>
        <v>Ekipman değiştirilecek</v>
      </c>
      <c r="AI12" s="60"/>
      <c r="AJ12" s="60"/>
      <c r="AK12" s="69">
        <f t="shared" si="7"/>
        <v>0</v>
      </c>
      <c r="AL12" s="71">
        <f t="shared" si="8"/>
        <v>0</v>
      </c>
      <c r="AM12" s="71">
        <f t="shared" si="9"/>
        <v>0</v>
      </c>
      <c r="AN12" s="72">
        <f t="shared" si="10"/>
        <v>0</v>
      </c>
      <c r="AO12" s="73" t="str">
        <f>[4]Sayfa1!$X8</f>
        <v>E840-7120</v>
      </c>
      <c r="AP12" s="72">
        <f>[4]Sayfa1!$Y8</f>
        <v>1</v>
      </c>
      <c r="AQ12" s="184" t="str">
        <f>[4]Sayfa1!$V8</f>
        <v>ATAK ULAŞIM SAN.TİC.LTD.ŞTİ.</v>
      </c>
      <c r="AR12" s="74" t="str">
        <f>[4]Sayfa1!$W8</f>
        <v>28.6"  EKRAN</v>
      </c>
      <c r="AS12" s="74">
        <f>[4]Sayfa1!$AD8</f>
        <v>0</v>
      </c>
      <c r="AT12" s="60" t="str">
        <f>[4]Sayfa1!$AE8</f>
        <v/>
      </c>
      <c r="AU12" s="60" t="str">
        <f>[4]Sayfa1!$AH8</f>
        <v/>
      </c>
      <c r="AV12" s="75">
        <v>7</v>
      </c>
      <c r="AW12" s="76">
        <f t="shared" si="11"/>
        <v>0</v>
      </c>
      <c r="AX12" s="77" t="str">
        <f>[4]Sayfa1!$A8</f>
        <v>85f8ceb3</v>
      </c>
      <c r="AY12" s="78" t="s">
        <v>114</v>
      </c>
      <c r="AZ12" s="79" t="e" vm="1">
        <f t="shared" si="12"/>
        <v>#VALUE!</v>
      </c>
    </row>
    <row r="13" spans="1:53" ht="220.9">
      <c r="A13" s="59" t="s">
        <v>113</v>
      </c>
      <c r="B13" s="59" t="str">
        <f>[4]Sayfa1!$G10</f>
        <v>3876(5)</v>
      </c>
      <c r="C13" s="184" t="str">
        <f>[4]Sayfa1!$H10</f>
        <v>MA</v>
      </c>
      <c r="D13" s="24">
        <f>[4]Sayfa1!$N10</f>
        <v>11111</v>
      </c>
      <c r="E13" s="24" t="str">
        <f>[4]Sayfa1!$B10</f>
        <v>BOZ-KAY5+6-FF-009</v>
      </c>
      <c r="F13" s="60">
        <f>[4]Sayfa1!$E10</f>
        <v>45269</v>
      </c>
      <c r="G13" s="61">
        <f>[4]Sayfa1!$F10</f>
        <v>45269.088194444441</v>
      </c>
      <c r="H13" s="59" t="str">
        <f>[4]Sayfa1!$I10</f>
        <v>Hat/Line</v>
      </c>
      <c r="I13" s="62" t="str">
        <f>IF([4]Sayfa1!$K10="SSH","Notified by Bozankaya","Notified by Customer")</f>
        <v>Notified by Customer</v>
      </c>
      <c r="J13" s="59" t="e">
        <f>VLOOKUP([4]Sayfa1!$AU10,#REF!,2,FALSE)</f>
        <v>#REF!</v>
      </c>
      <c r="K13" s="59">
        <f>[4]Sayfa1!$AC10</f>
        <v>0</v>
      </c>
      <c r="L13" s="63" t="str">
        <f t="shared" si="0"/>
        <v>KAY_5+6-BOZ-KAY5+6-FF-009</v>
      </c>
      <c r="M13" s="64" t="str">
        <f>[4]Sayfa1!$L10</f>
        <v>76 NUMARALI ARAÇTAN KONTAK AKTİF EDİLDİĞİNDE 74 NUMARALI ARACIN KONTAĞI AKTİF OLUYOR</v>
      </c>
      <c r="N13" s="33" t="str">
        <f>[4]Sayfa1!$J10</f>
        <v>A-Sürüşü engeller</v>
      </c>
      <c r="O13" s="33" t="str">
        <f>[4]Sayfa1!$P10</f>
        <v>B(Servisten çekmeye etki eden arızalar)</v>
      </c>
      <c r="P13" s="33" t="str">
        <f>[4]Sayfa1!$Q10</f>
        <v>N.A(Yaralanma yok)</v>
      </c>
      <c r="Q13" s="65" t="str" cm="1">
        <f t="array" ref="Q13">_xlfn.IFS([4]Sayfa1!$R10="Bozankaya","Bozankaya",[4]Sayfa1!$R10="İşletme","Customer",[4]Sayfa1!$R10="Tedarikçi","Equipment Supplier")</f>
        <v>Bozankaya</v>
      </c>
      <c r="R13" s="66" t="str">
        <f>[4]Sayfa1!$M10</f>
        <v>SB1157.02 NUMARALI KABLO EKSİK OLDUĞU İÇİN ARIZA VERİYOR KABLO ÇEKİLDİ DÜZELTİLDİ</v>
      </c>
      <c r="S13" s="36" t="str">
        <f>[4]Sayfa1!$S10</f>
        <v>Üretim</v>
      </c>
      <c r="T13" s="67">
        <f>[4]Sayfa1!$Z10</f>
        <v>0</v>
      </c>
      <c r="U13" s="68">
        <f>[4]Sayfa1!$AN10</f>
        <v>1</v>
      </c>
      <c r="V13" s="60">
        <f>[4]Sayfa1!$T10</f>
        <v>45270</v>
      </c>
      <c r="W13" s="61">
        <f>[4]Sayfa1!$U10</f>
        <v>45270.333333333336</v>
      </c>
      <c r="X13" s="69">
        <f t="shared" si="1"/>
        <v>45270.333333333336</v>
      </c>
      <c r="Y13" s="70">
        <f>[4]Sayfa1!$AQ10</f>
        <v>45270</v>
      </c>
      <c r="Z13" s="61">
        <f>[4]Sayfa1!$AR10</f>
        <v>45270.5</v>
      </c>
      <c r="AA13" s="69">
        <f t="shared" si="2"/>
        <v>45270.5</v>
      </c>
      <c r="AB13" s="71">
        <f t="shared" si="3"/>
        <v>3.9999999999417923</v>
      </c>
      <c r="AC13" s="60">
        <f t="shared" si="4"/>
        <v>45270</v>
      </c>
      <c r="AD13" s="61">
        <f t="shared" si="5"/>
        <v>45270.5</v>
      </c>
      <c r="AE13" s="69">
        <f t="shared" si="6"/>
        <v>45270.5</v>
      </c>
      <c r="AF13" s="36" t="str">
        <f>[4]Sayfa1!$AP10</f>
        <v>(II) Birden fazla karşılaşılan arıza</v>
      </c>
      <c r="AG13" s="33" t="str">
        <f>IF([4]Sayfa1!$J10="C-Uyarı, sürüş devamlılığı","Bu Arıza Aracın Servise Verilmesine Engel Değil","Bu Arıza Aracın Servise Verilmesine Engel")</f>
        <v>Bu Arıza Aracın Servise Verilmesine Engel</v>
      </c>
      <c r="AH13" s="41">
        <f>[4]Sayfa1!$AB10</f>
        <v>0</v>
      </c>
      <c r="AI13" s="60"/>
      <c r="AJ13" s="60"/>
      <c r="AK13" s="69">
        <f t="shared" si="7"/>
        <v>0</v>
      </c>
      <c r="AL13" s="71">
        <f t="shared" si="8"/>
        <v>239.99999999650754</v>
      </c>
      <c r="AM13" s="71">
        <f t="shared" si="9"/>
        <v>239.99999999650754</v>
      </c>
      <c r="AN13" s="72">
        <f t="shared" si="10"/>
        <v>0</v>
      </c>
      <c r="AO13" s="73" t="str">
        <f>[4]Sayfa1!$X10</f>
        <v>E750-7300</v>
      </c>
      <c r="AP13" s="72">
        <f>[4]Sayfa1!$Y10</f>
        <v>1</v>
      </c>
      <c r="AQ13" s="184" t="str">
        <f>[4]Sayfa1!$V10</f>
        <v>GREBO OTOMOTİV SANAYİ A.Ş</v>
      </c>
      <c r="AR13" s="74" t="str">
        <f>[4]Sayfa1!$W10</f>
        <v>PANO SACI</v>
      </c>
      <c r="AS13" s="74">
        <f>[4]Sayfa1!$AD10</f>
        <v>0</v>
      </c>
      <c r="AT13" s="60" t="str">
        <f>[4]Sayfa1!$AE10</f>
        <v/>
      </c>
      <c r="AU13" s="60" t="str">
        <f>[4]Sayfa1!$AH10</f>
        <v/>
      </c>
      <c r="AV13" s="75">
        <v>9</v>
      </c>
      <c r="AW13" s="76">
        <f t="shared" si="11"/>
        <v>43.999999999359716</v>
      </c>
      <c r="AX13" s="77" t="str">
        <f>[4]Sayfa1!$A10</f>
        <v>ca584e94</v>
      </c>
      <c r="AY13" s="78" t="s">
        <v>114</v>
      </c>
      <c r="AZ13" s="79" t="e" vm="1">
        <f t="shared" si="12"/>
        <v>#VALUE!</v>
      </c>
    </row>
    <row r="14" spans="1:53" ht="140.44999999999999">
      <c r="A14" s="59" t="s">
        <v>113</v>
      </c>
      <c r="B14" s="59" t="str">
        <f>[4]Sayfa1!$G9</f>
        <v>3875(4)</v>
      </c>
      <c r="C14" s="184" t="str">
        <f>[4]Sayfa1!$H9</f>
        <v>MB</v>
      </c>
      <c r="D14" s="24">
        <f>[4]Sayfa1!$N9</f>
        <v>34800</v>
      </c>
      <c r="E14" s="24" t="str">
        <f>[4]Sayfa1!$B9</f>
        <v>BOZ-KAY5+6-FF-008</v>
      </c>
      <c r="F14" s="60">
        <f>[4]Sayfa1!$E9</f>
        <v>45261</v>
      </c>
      <c r="G14" s="61">
        <f>[4]Sayfa1!$F9</f>
        <v>45261.744444444441</v>
      </c>
      <c r="H14" s="59" t="str">
        <f>[4]Sayfa1!$I9</f>
        <v>Hat/Line</v>
      </c>
      <c r="I14" s="62" t="str">
        <f>IF([4]Sayfa1!$K9="SSH","Notified by Bozankaya","Notified by Customer")</f>
        <v>Notified by Customer</v>
      </c>
      <c r="J14" s="59" t="e">
        <f>VLOOKUP([4]Sayfa1!$AU9,#REF!,2,FALSE)</f>
        <v>#REF!</v>
      </c>
      <c r="K14" s="59">
        <f>[4]Sayfa1!$AC9</f>
        <v>0</v>
      </c>
      <c r="L14" s="63" t="str">
        <f t="shared" si="0"/>
        <v>KAY_5+6-BOZ-KAY5+6-FF-008</v>
      </c>
      <c r="M14" s="64" t="str">
        <f>[4]Sayfa1!$L9</f>
        <v>3875 sol taraf varış yönü sadece c harfi yazıyor</v>
      </c>
      <c r="N14" s="33" t="str">
        <f>[4]Sayfa1!$J9</f>
        <v>C-Uyarı, sürüş devamlılığı</v>
      </c>
      <c r="O14" s="33" t="str">
        <f>[4]Sayfa1!$P9</f>
        <v>C(Sisteme etki etmeyen arıza)</v>
      </c>
      <c r="P14" s="33" t="str">
        <f>[4]Sayfa1!$Q9</f>
        <v>N.A(Yaralanma yok)</v>
      </c>
      <c r="Q14" s="65" t="str" cm="1">
        <f t="array" ref="Q14">_xlfn.IFS([4]Sayfa1!$R9="Bozankaya","Bozankaya",[4]Sayfa1!$R9="İşletme","Customer",[4]Sayfa1!$R9="Tedarikçi","Equipment Supplier")</f>
        <v>Equipment Supplier</v>
      </c>
      <c r="R14" s="66" t="str">
        <f>[4]Sayfa1!$M9</f>
        <v>AU300 ve sistem resetlendi.Arıza davamlılığı görülmedi</v>
      </c>
      <c r="S14" s="36" t="str">
        <f>[4]Sayfa1!$S9</f>
        <v>Atak</v>
      </c>
      <c r="T14" s="67">
        <f>[4]Sayfa1!$Z9</f>
        <v>0</v>
      </c>
      <c r="U14" s="68">
        <f>[4]Sayfa1!$AN9</f>
        <v>1</v>
      </c>
      <c r="V14" s="60">
        <f>[4]Sayfa1!$T9</f>
        <v>45535</v>
      </c>
      <c r="W14" s="61">
        <f>[4]Sayfa1!$U9</f>
        <v>45535.49658564815</v>
      </c>
      <c r="X14" s="69">
        <f t="shared" si="1"/>
        <v>45535.49658564815</v>
      </c>
      <c r="Y14" s="70">
        <f>[4]Sayfa1!$AQ9</f>
        <v>45535</v>
      </c>
      <c r="Z14" s="61">
        <f>[4]Sayfa1!$AR9</f>
        <v>45535.583333333336</v>
      </c>
      <c r="AA14" s="69">
        <f t="shared" si="2"/>
        <v>45535.583333333336</v>
      </c>
      <c r="AB14" s="71">
        <f t="shared" si="3"/>
        <v>2.0819444444496185</v>
      </c>
      <c r="AC14" s="60">
        <f t="shared" si="4"/>
        <v>45535</v>
      </c>
      <c r="AD14" s="61">
        <f t="shared" si="5"/>
        <v>45535.583333333336</v>
      </c>
      <c r="AE14" s="69">
        <f t="shared" si="6"/>
        <v>45535.583333333336</v>
      </c>
      <c r="AF14" s="36" t="str">
        <f>[4]Sayfa1!$AP9</f>
        <v>(I) İlk defa karşılaşılan arıza</v>
      </c>
      <c r="AG14" s="33" t="str">
        <f>IF([4]Sayfa1!$J9="C-Uyarı, sürüş devamlılığı","Bu Arıza Aracın Servise Verilmesine Engel Değil","Bu Arıza Aracın Servise Verilmesine Engel")</f>
        <v>Bu Arıza Aracın Servise Verilmesine Engel Değil</v>
      </c>
      <c r="AH14" s="41" t="str">
        <f>[4]Sayfa1!$AB9</f>
        <v>Arıza çözülecek</v>
      </c>
      <c r="AI14" s="60"/>
      <c r="AJ14" s="60"/>
      <c r="AK14" s="69">
        <f t="shared" si="7"/>
        <v>0</v>
      </c>
      <c r="AL14" s="71">
        <f t="shared" si="8"/>
        <v>124.91666666697711</v>
      </c>
      <c r="AM14" s="71">
        <f t="shared" si="9"/>
        <v>124.91666666697711</v>
      </c>
      <c r="AN14" s="72">
        <f t="shared" si="10"/>
        <v>0</v>
      </c>
      <c r="AO14" s="73" t="str">
        <f>[4]Sayfa1!$X9</f>
        <v>E840-7002</v>
      </c>
      <c r="AP14" s="72">
        <f>[4]Sayfa1!$Y9</f>
        <v>0</v>
      </c>
      <c r="AQ14" s="184" t="str">
        <f>[4]Sayfa1!$V9</f>
        <v>ATAK ULAŞIM SAN.TİC.LTD.ŞTİ.</v>
      </c>
      <c r="AR14" s="74" t="str">
        <f>[4]Sayfa1!$W9</f>
        <v>Merkez Ünite AU300 (train bus, vehicle b</v>
      </c>
      <c r="AS14" s="74">
        <f>[4]Sayfa1!$AD9</f>
        <v>0</v>
      </c>
      <c r="AT14" s="60" t="str">
        <f>[4]Sayfa1!$AE9</f>
        <v/>
      </c>
      <c r="AU14" s="60" t="str">
        <f>[4]Sayfa1!$AH9</f>
        <v/>
      </c>
      <c r="AV14" s="75">
        <v>8</v>
      </c>
      <c r="AW14" s="76">
        <f t="shared" si="11"/>
        <v>22.901388888945803</v>
      </c>
      <c r="AX14" s="77" t="str">
        <f>[4]Sayfa1!$A9</f>
        <v>896b267a</v>
      </c>
      <c r="AY14" s="78" t="s">
        <v>114</v>
      </c>
      <c r="AZ14" s="79" t="e" vm="1">
        <f t="shared" si="12"/>
        <v>#VALUE!</v>
      </c>
    </row>
    <row r="15" spans="1:53" ht="409.6">
      <c r="A15" s="59" t="s">
        <v>113</v>
      </c>
      <c r="B15" s="59" t="str">
        <f>[4]Sayfa1!$G11</f>
        <v>3872(1)</v>
      </c>
      <c r="C15" s="184" t="str">
        <f>[4]Sayfa1!$H11</f>
        <v>MA</v>
      </c>
      <c r="D15" s="24">
        <f>[4]Sayfa1!$N11</f>
        <v>22222</v>
      </c>
      <c r="E15" s="24" t="str">
        <f>[4]Sayfa1!$B11</f>
        <v>BOZ-KAY5+6-FF-010</v>
      </c>
      <c r="F15" s="60">
        <f>[4]Sayfa1!$E11</f>
        <v>45273</v>
      </c>
      <c r="G15" s="61">
        <f>[4]Sayfa1!$F11</f>
        <v>45273.459027777775</v>
      </c>
      <c r="H15" s="59" t="str">
        <f>[4]Sayfa1!$I11</f>
        <v>Hat/Line</v>
      </c>
      <c r="I15" s="62" t="str">
        <f>IF([4]Sayfa1!$K11="SSH","Notified by Bozankaya","Notified by Customer")</f>
        <v>Notified by Customer</v>
      </c>
      <c r="J15" s="59" t="e">
        <f>VLOOKUP([4]Sayfa1!$AU11,#REF!,2,FALSE)</f>
        <v>#REF!</v>
      </c>
      <c r="K15" s="59">
        <f>[4]Sayfa1!$AC11</f>
        <v>0</v>
      </c>
      <c r="L15" s="63" t="str">
        <f t="shared" si="0"/>
        <v>KAY_5+6-BOZ-KAY5+6-FF-010</v>
      </c>
      <c r="M15" s="64" t="str">
        <f>[4]Sayfa1!$L11</f>
        <v>12.12.2023 TARİHİNDE YAPILAN SAHA DENETİMİNDE 3872 NUMARALI ARACIN YBS EKRNAI ÇALIŞMADIĞI TESPİT EDİLMİŞTİR GEREKLİ MÜDAHELEYİ YAPAN PERSONEL S.COŞKUN İLE İLETİŞEME GEÇSİN</v>
      </c>
      <c r="N15" s="33" t="str">
        <f>[4]Sayfa1!$J11</f>
        <v>C-Uyarı, sürüş devamlılığı</v>
      </c>
      <c r="O15" s="33" t="str">
        <f>[4]Sayfa1!$P11</f>
        <v>B(Servisten çekmeye etki eden arızalar)</v>
      </c>
      <c r="P15" s="33" t="str">
        <f>[4]Sayfa1!$Q11</f>
        <v>N.A(Yaralanma yok)</v>
      </c>
      <c r="Q15" s="65" t="str" cm="1">
        <f t="array" ref="Q15">_xlfn.IFS([4]Sayfa1!$R11="Bozankaya","Bozankaya",[4]Sayfa1!$R11="İşletme","Customer",[4]Sayfa1!$R11="Tedarikçi","Equipment Supplier")</f>
        <v>Equipment Supplier</v>
      </c>
      <c r="R15" s="66" t="str">
        <f>[4]Sayfa1!$M11</f>
        <v>KAPI ÜSTÜ EKRANLARA BAĞLANILDI FAZLA DOSYALAR SİLİNİP YENİDEN BAŞLATILDI ARIZA GİDERİLDİ</v>
      </c>
      <c r="S15" s="36" t="str">
        <f>[4]Sayfa1!$S11</f>
        <v>Atak</v>
      </c>
      <c r="T15" s="67">
        <f>[4]Sayfa1!$Z11</f>
        <v>0</v>
      </c>
      <c r="U15" s="68">
        <f>[4]Sayfa1!$AN11</f>
        <v>1</v>
      </c>
      <c r="V15" s="60">
        <f>[4]Sayfa1!$T11</f>
        <v>45273</v>
      </c>
      <c r="W15" s="61">
        <f>[4]Sayfa1!$U11</f>
        <v>45273.541666666664</v>
      </c>
      <c r="X15" s="69">
        <f t="shared" si="1"/>
        <v>45273.541666666664</v>
      </c>
      <c r="Y15" s="70">
        <f>[4]Sayfa1!$AQ11</f>
        <v>45273</v>
      </c>
      <c r="Z15" s="61">
        <f>[4]Sayfa1!$AR11</f>
        <v>45273.625</v>
      </c>
      <c r="AA15" s="69">
        <f t="shared" si="2"/>
        <v>45273.625</v>
      </c>
      <c r="AB15" s="71">
        <f t="shared" si="3"/>
        <v>0</v>
      </c>
      <c r="AC15" s="60">
        <f t="shared" si="4"/>
        <v>45273</v>
      </c>
      <c r="AD15" s="61">
        <f t="shared" si="5"/>
        <v>45273.625</v>
      </c>
      <c r="AE15" s="69">
        <f t="shared" si="6"/>
        <v>45273.625</v>
      </c>
      <c r="AF15" s="36" t="str">
        <f>[4]Sayfa1!$AP11</f>
        <v>(I) İlk defa karşılaşılan arıza</v>
      </c>
      <c r="AG15" s="33" t="str">
        <f>IF([4]Sayfa1!$J11="C-Uyarı, sürüş devamlılığı","Bu Arıza Aracın Servise Verilmesine Engel Değil","Bu Arıza Aracın Servise Verilmesine Engel")</f>
        <v>Bu Arıza Aracın Servise Verilmesine Engel Değil</v>
      </c>
      <c r="AH15" s="41">
        <f>[4]Sayfa1!$AB11</f>
        <v>0</v>
      </c>
      <c r="AI15" s="60"/>
      <c r="AJ15" s="60"/>
      <c r="AK15" s="69">
        <f t="shared" si="7"/>
        <v>0</v>
      </c>
      <c r="AL15" s="71">
        <f t="shared" si="8"/>
        <v>0</v>
      </c>
      <c r="AM15" s="71">
        <f t="shared" si="9"/>
        <v>0</v>
      </c>
      <c r="AN15" s="72">
        <f t="shared" si="10"/>
        <v>0</v>
      </c>
      <c r="AO15" s="73" t="str">
        <f>[4]Sayfa1!$X11</f>
        <v>E855-7029</v>
      </c>
      <c r="AP15" s="72">
        <f>[4]Sayfa1!$Y11</f>
        <v>1</v>
      </c>
      <c r="AQ15" s="184" t="str">
        <f>[4]Sayfa1!$V11</f>
        <v>ATAK ULAŞIM SAN.TİC.LTD.ŞTİ.</v>
      </c>
      <c r="AR15" s="74" t="str">
        <f>[4]Sayfa1!$W11</f>
        <v>ONBOARD COMPUTER</v>
      </c>
      <c r="AS15" s="74">
        <f>[4]Sayfa1!$AD11</f>
        <v>0</v>
      </c>
      <c r="AT15" s="60" t="str">
        <f>[4]Sayfa1!$AE11</f>
        <v/>
      </c>
      <c r="AU15" s="60" t="str">
        <f>[4]Sayfa1!$AH11</f>
        <v/>
      </c>
      <c r="AV15" s="75">
        <v>10</v>
      </c>
      <c r="AW15" s="76">
        <f t="shared" si="11"/>
        <v>0</v>
      </c>
      <c r="AX15" s="77" t="str">
        <f>[4]Sayfa1!$A11</f>
        <v>da2f7c51</v>
      </c>
      <c r="AY15" s="78" t="s">
        <v>114</v>
      </c>
      <c r="AZ15" s="79" t="e" vm="1">
        <f t="shared" si="12"/>
        <v>#VALUE!</v>
      </c>
    </row>
    <row r="16" spans="1:53" ht="211.15">
      <c r="A16" s="59" t="s">
        <v>113</v>
      </c>
      <c r="B16" s="59" t="str">
        <f>[4]Sayfa1!$G12</f>
        <v>3872(1)</v>
      </c>
      <c r="C16" s="184" t="str">
        <f>[4]Sayfa1!$H12</f>
        <v>MB</v>
      </c>
      <c r="D16" s="24">
        <f>[4]Sayfa1!$N12</f>
        <v>101420</v>
      </c>
      <c r="E16" s="24" t="str">
        <f>[4]Sayfa1!$B12</f>
        <v>BOZ-KAY5+6-FF-011</v>
      </c>
      <c r="F16" s="60">
        <f>[4]Sayfa1!$E12</f>
        <v>45274</v>
      </c>
      <c r="G16" s="61">
        <f>[4]Sayfa1!$F12</f>
        <v>45274.693749999999</v>
      </c>
      <c r="H16" s="59" t="str">
        <f>[4]Sayfa1!$I12</f>
        <v>Hat/Line</v>
      </c>
      <c r="I16" s="62" t="str">
        <f>IF([4]Sayfa1!$K12="SSH","Notified by Bozankaya","Notified by Customer")</f>
        <v>Notified by Customer</v>
      </c>
      <c r="J16" s="59" t="e">
        <f>VLOOKUP([4]Sayfa1!$AU12,#REF!,2,FALSE)</f>
        <v>#REF!</v>
      </c>
      <c r="K16" s="59">
        <f>[4]Sayfa1!$AC12</f>
        <v>0</v>
      </c>
      <c r="L16" s="63" t="str">
        <f t="shared" si="0"/>
        <v>KAY_5+6-BOZ-KAY5+6-FF-011</v>
      </c>
      <c r="M16" s="64" t="str">
        <f>[4]Sayfa1!$L12</f>
        <v>MB KABİN ARKASI EKRAN ÇALIŞMIYOR</v>
      </c>
      <c r="N16" s="33" t="str">
        <f>[4]Sayfa1!$J12</f>
        <v>C-Uyarı, sürüş devamlılığı</v>
      </c>
      <c r="O16" s="33" t="str">
        <f>[4]Sayfa1!$P12</f>
        <v>C(Sisteme etki etmeyen arıza)</v>
      </c>
      <c r="P16" s="33" t="str">
        <f>[4]Sayfa1!$Q12</f>
        <v>N.A(Yaralanma yok)</v>
      </c>
      <c r="Q16" s="65" t="str" cm="1">
        <f t="array" ref="Q16">_xlfn.IFS([4]Sayfa1!$R12="Bozankaya","Bozankaya",[4]Sayfa1!$R12="İşletme","Customer",[4]Sayfa1!$R12="Tedarikçi","Equipment Supplier")</f>
        <v>Equipment Supplier</v>
      </c>
      <c r="R16" s="66" t="str">
        <f>[4]Sayfa1!$M12</f>
        <v>ARACIN KABİN ARKASI ARIZALI SİGORTADALARI İNDİRİLDİ</v>
      </c>
      <c r="S16" s="36" t="str">
        <f>[4]Sayfa1!$S12</f>
        <v>Atak</v>
      </c>
      <c r="T16" s="67">
        <f>[4]Sayfa1!$Z12</f>
        <v>0</v>
      </c>
      <c r="U16" s="68">
        <f>[4]Sayfa1!$AN12</f>
        <v>1</v>
      </c>
      <c r="V16" s="60">
        <f>[4]Sayfa1!$T12</f>
        <v>45640</v>
      </c>
      <c r="W16" s="61">
        <f>[4]Sayfa1!$U12</f>
        <v>45640.708333333336</v>
      </c>
      <c r="X16" s="69">
        <f t="shared" si="1"/>
        <v>45640.708333333336</v>
      </c>
      <c r="Y16" s="70">
        <f>[4]Sayfa1!$AQ12</f>
        <v>45640</v>
      </c>
      <c r="Z16" s="61">
        <f>[4]Sayfa1!$AR12</f>
        <v>45640.729166666664</v>
      </c>
      <c r="AA16" s="69">
        <f t="shared" si="2"/>
        <v>45640.729166666664</v>
      </c>
      <c r="AB16" s="71">
        <f t="shared" si="3"/>
        <v>0.49999999988358468</v>
      </c>
      <c r="AC16" s="60">
        <f t="shared" si="4"/>
        <v>45640</v>
      </c>
      <c r="AD16" s="61">
        <f t="shared" si="5"/>
        <v>45640.729166666664</v>
      </c>
      <c r="AE16" s="69">
        <f t="shared" si="6"/>
        <v>45640.729166666664</v>
      </c>
      <c r="AF16" s="36" t="str">
        <f>[4]Sayfa1!$AP12</f>
        <v>(II) Birden fazla karşılaşılan arıza</v>
      </c>
      <c r="AG16" s="33" t="str">
        <f>IF([4]Sayfa1!$J12="C-Uyarı, sürüş devamlılığı","Bu Arıza Aracın Servise Verilmesine Engel Değil","Bu Arıza Aracın Servise Verilmesine Engel")</f>
        <v>Bu Arıza Aracın Servise Verilmesine Engel Değil</v>
      </c>
      <c r="AH16" s="41">
        <f>[4]Sayfa1!$AB12</f>
        <v>0</v>
      </c>
      <c r="AI16" s="60"/>
      <c r="AJ16" s="60"/>
      <c r="AK16" s="69">
        <f t="shared" si="7"/>
        <v>0</v>
      </c>
      <c r="AL16" s="71">
        <f t="shared" si="8"/>
        <v>29.999999993015081</v>
      </c>
      <c r="AM16" s="71">
        <f t="shared" si="9"/>
        <v>29.999999993015081</v>
      </c>
      <c r="AN16" s="72">
        <f t="shared" si="10"/>
        <v>0</v>
      </c>
      <c r="AO16" s="73" t="str">
        <f>[4]Sayfa1!$X12</f>
        <v>E855-7029</v>
      </c>
      <c r="AP16" s="72">
        <f>[4]Sayfa1!$Y12</f>
        <v>1</v>
      </c>
      <c r="AQ16" s="184" t="str">
        <f>[4]Sayfa1!$V12</f>
        <v>ATAK ULAŞIM SAN.TİC.LTD.ŞTİ.</v>
      </c>
      <c r="AR16" s="74" t="str">
        <f>[4]Sayfa1!$W12</f>
        <v>ONBOARD COMPUTER</v>
      </c>
      <c r="AS16" s="74">
        <f>[4]Sayfa1!$AD12</f>
        <v>0</v>
      </c>
      <c r="AT16" s="60" t="str">
        <f>[4]Sayfa1!$AE12</f>
        <v/>
      </c>
      <c r="AU16" s="60" t="str">
        <f>[4]Sayfa1!$AH12</f>
        <v/>
      </c>
      <c r="AV16" s="75">
        <v>11</v>
      </c>
      <c r="AW16" s="76">
        <f t="shared" si="11"/>
        <v>5.4999999987194315</v>
      </c>
      <c r="AX16" s="77" t="str">
        <f>[4]Sayfa1!$A12</f>
        <v>18ed1170</v>
      </c>
      <c r="AY16" s="78" t="s">
        <v>114</v>
      </c>
      <c r="AZ16" s="79" t="e" vm="1">
        <f t="shared" si="12"/>
        <v>#VALUE!</v>
      </c>
    </row>
    <row r="17" spans="1:52" ht="160.15">
      <c r="A17" s="59" t="s">
        <v>113</v>
      </c>
      <c r="B17" s="59" t="str">
        <f>[4]Sayfa1!$G14</f>
        <v>3874(3)</v>
      </c>
      <c r="C17" s="184" t="str">
        <f>[4]Sayfa1!$H14</f>
        <v>MA</v>
      </c>
      <c r="D17" s="24">
        <f>[4]Sayfa1!$N14</f>
        <v>22222</v>
      </c>
      <c r="E17" s="24" t="str">
        <f>[4]Sayfa1!$B14</f>
        <v>BOZ-KAY5+6-FF-013</v>
      </c>
      <c r="F17" s="60">
        <f>[4]Sayfa1!$E14</f>
        <v>45277</v>
      </c>
      <c r="G17" s="61">
        <f>[4]Sayfa1!$F14</f>
        <v>45277.851388888892</v>
      </c>
      <c r="H17" s="59" t="str">
        <f>[4]Sayfa1!$I14</f>
        <v>Hat/Line</v>
      </c>
      <c r="I17" s="62" t="str">
        <f>IF([4]Sayfa1!$K14="SSH","Notified by Bozankaya","Notified by Customer")</f>
        <v>Notified by Customer</v>
      </c>
      <c r="J17" s="59" t="e">
        <f>VLOOKUP([4]Sayfa1!$AU14,#REF!,2,FALSE)</f>
        <v>#REF!</v>
      </c>
      <c r="K17" s="59">
        <f>[4]Sayfa1!$AC14</f>
        <v>0</v>
      </c>
      <c r="L17" s="63" t="str">
        <f t="shared" si="0"/>
        <v>KAY_5+6-BOZ-KAY5+6-FF-013</v>
      </c>
      <c r="M17" s="64" t="str">
        <f>[4]Sayfa1!$L14</f>
        <v>ARAÇ İVME KESİYOR KUPLAJ IŞIĞI FLASH YAPIYOR</v>
      </c>
      <c r="N17" s="33" t="str">
        <f>[4]Sayfa1!$J14</f>
        <v>A-Sürüşü engeller</v>
      </c>
      <c r="O17" s="33" t="str">
        <f>[4]Sayfa1!$P14</f>
        <v>B(Servisten çekmeye etki eden arızalar)</v>
      </c>
      <c r="P17" s="33" t="str">
        <f>[4]Sayfa1!$Q14</f>
        <v>N.A(Yaralanma yok)</v>
      </c>
      <c r="Q17" s="65" t="str" cm="1">
        <f t="array" ref="Q17">_xlfn.IFS([4]Sayfa1!$R14="Bozankaya","Bozankaya",[4]Sayfa1!$R14="İşletme","Customer",[4]Sayfa1!$R14="Tedarikçi","Equipment Supplier")</f>
        <v>Bozankaya</v>
      </c>
      <c r="R17" s="66" t="str">
        <f>[4]Sayfa1!$M14</f>
        <v>C-4003.03 KABLOSU YANLIŞ TAKILMIŞ DÜZELTİLDİ</v>
      </c>
      <c r="S17" s="36" t="str">
        <f>[4]Sayfa1!$S14</f>
        <v>Fabrika Test</v>
      </c>
      <c r="T17" s="67">
        <f>[4]Sayfa1!$Z14</f>
        <v>0</v>
      </c>
      <c r="U17" s="68">
        <f>[4]Sayfa1!$AN14</f>
        <v>1</v>
      </c>
      <c r="V17" s="60">
        <f>[4]Sayfa1!$T14</f>
        <v>45278</v>
      </c>
      <c r="W17" s="61">
        <f>[4]Sayfa1!$U14</f>
        <v>45278.333333333336</v>
      </c>
      <c r="X17" s="69">
        <f t="shared" si="1"/>
        <v>45278.333333333336</v>
      </c>
      <c r="Y17" s="70">
        <f>[4]Sayfa1!$AQ14</f>
        <v>45278</v>
      </c>
      <c r="Z17" s="61">
        <f>[4]Sayfa1!$AR14</f>
        <v>45278.5</v>
      </c>
      <c r="AA17" s="69">
        <f t="shared" si="2"/>
        <v>45278.5</v>
      </c>
      <c r="AB17" s="71">
        <f t="shared" si="3"/>
        <v>3.9999999999417923</v>
      </c>
      <c r="AC17" s="60">
        <f t="shared" si="4"/>
        <v>45278</v>
      </c>
      <c r="AD17" s="61">
        <f t="shared" si="5"/>
        <v>45278.5</v>
      </c>
      <c r="AE17" s="69">
        <f t="shared" si="6"/>
        <v>45278.5</v>
      </c>
      <c r="AF17" s="36" t="str">
        <f>[4]Sayfa1!$AP14</f>
        <v>(I) İlk defa karşılaşılan arıza</v>
      </c>
      <c r="AG17" s="33" t="str">
        <f>IF([4]Sayfa1!$J14="C-Uyarı, sürüş devamlılığı","Bu Arıza Aracın Servise Verilmesine Engel Değil","Bu Arıza Aracın Servise Verilmesine Engel")</f>
        <v>Bu Arıza Aracın Servise Verilmesine Engel</v>
      </c>
      <c r="AH17" s="41" t="str">
        <f>[4]Sayfa1!$AB14</f>
        <v>Yazılım güncelleme</v>
      </c>
      <c r="AI17" s="60"/>
      <c r="AJ17" s="60"/>
      <c r="AK17" s="69">
        <f t="shared" si="7"/>
        <v>0</v>
      </c>
      <c r="AL17" s="71">
        <f t="shared" si="8"/>
        <v>239.99999999650754</v>
      </c>
      <c r="AM17" s="71">
        <f t="shared" si="9"/>
        <v>239.99999999650754</v>
      </c>
      <c r="AN17" s="72">
        <f t="shared" si="10"/>
        <v>0</v>
      </c>
      <c r="AO17" s="73" t="str">
        <f>[4]Sayfa1!$X14</f>
        <v>E870-7052</v>
      </c>
      <c r="AP17" s="72">
        <f>[4]Sayfa1!$Y14</f>
        <v>1</v>
      </c>
      <c r="AQ17" s="184" t="str">
        <f>[4]Sayfa1!$V14</f>
        <v>MEDCOM SP. Z O.O.</v>
      </c>
      <c r="AR17" s="74" t="str">
        <f>[4]Sayfa1!$W14</f>
        <v>GATEWAY</v>
      </c>
      <c r="AS17" s="74">
        <f>[4]Sayfa1!$AD14</f>
        <v>0</v>
      </c>
      <c r="AT17" s="60" t="str">
        <f>[4]Sayfa1!$AE14</f>
        <v/>
      </c>
      <c r="AU17" s="60" t="str">
        <f>[4]Sayfa1!$AH14</f>
        <v/>
      </c>
      <c r="AV17" s="75">
        <v>13</v>
      </c>
      <c r="AW17" s="76">
        <f t="shared" si="11"/>
        <v>43.999999999359716</v>
      </c>
      <c r="AX17" s="77" t="str">
        <f>[4]Sayfa1!$A14</f>
        <v>87bc535e</v>
      </c>
      <c r="AY17" s="78" t="s">
        <v>114</v>
      </c>
      <c r="AZ17" s="79" t="e" vm="1">
        <f t="shared" si="12"/>
        <v>#VALUE!</v>
      </c>
    </row>
    <row r="18" spans="1:52" ht="138">
      <c r="A18" s="59" t="s">
        <v>113</v>
      </c>
      <c r="B18" s="59" t="str">
        <f>[4]Sayfa1!$G13</f>
        <v>3872(1)</v>
      </c>
      <c r="C18" s="184" t="str">
        <f>[4]Sayfa1!$H13</f>
        <v>MB</v>
      </c>
      <c r="D18" s="24">
        <f>[4]Sayfa1!$N13</f>
        <v>40263</v>
      </c>
      <c r="E18" s="24" t="str">
        <f>[4]Sayfa1!$B13</f>
        <v>BOZ-KAY5+6-FF-012</v>
      </c>
      <c r="F18" s="60">
        <f>[4]Sayfa1!$E13</f>
        <v>45274</v>
      </c>
      <c r="G18" s="61">
        <f>[4]Sayfa1!$F13</f>
        <v>45274.693749999999</v>
      </c>
      <c r="H18" s="59" t="str">
        <f>[4]Sayfa1!$I13</f>
        <v>Hat/Line</v>
      </c>
      <c r="I18" s="62" t="str">
        <f>IF([4]Sayfa1!$K13="SSH","Notified by Bozankaya","Notified by Customer")</f>
        <v>Notified by Customer</v>
      </c>
      <c r="J18" s="59" t="e">
        <f>VLOOKUP([4]Sayfa1!$AU13,#REF!,2,FALSE)</f>
        <v>#REF!</v>
      </c>
      <c r="K18" s="59">
        <f>[4]Sayfa1!$AC13</f>
        <v>0</v>
      </c>
      <c r="L18" s="63" t="str">
        <f t="shared" si="0"/>
        <v>KAY_5+6-BOZ-KAY5+6-FF-012</v>
      </c>
      <c r="M18" s="64" t="str">
        <f>[4]Sayfa1!$L13</f>
        <v>MB KABİN ARKASI EKRAN ÇALIŞMIYOR</v>
      </c>
      <c r="N18" s="33" t="str">
        <f>[4]Sayfa1!$J13</f>
        <v>C-Uyarı, sürüş devamlılığı</v>
      </c>
      <c r="O18" s="33" t="str">
        <f>[4]Sayfa1!$P13</f>
        <v>C(Sisteme etki etmeyen arıza)</v>
      </c>
      <c r="P18" s="33" t="str">
        <f>[4]Sayfa1!$Q13</f>
        <v>N.A(Yaralanma yok)</v>
      </c>
      <c r="Q18" s="65" t="str" cm="1">
        <f t="array" ref="Q18">_xlfn.IFS([4]Sayfa1!$R13="Bozankaya","Bozankaya",[4]Sayfa1!$R13="İşletme","Customer",[4]Sayfa1!$R13="Tedarikçi","Equipment Supplier")</f>
        <v>Equipment Supplier</v>
      </c>
      <c r="R18" s="66" t="str">
        <f>[4]Sayfa1!$M13</f>
        <v>ÜRETİCİ FİRMA İLE AYAR YAPILDI ÇALIŞIYOR</v>
      </c>
      <c r="S18" s="36" t="str">
        <f>[4]Sayfa1!$S13</f>
        <v>Atak</v>
      </c>
      <c r="T18" s="67">
        <f>[4]Sayfa1!$Z13</f>
        <v>0</v>
      </c>
      <c r="U18" s="68">
        <f>[4]Sayfa1!$AN13</f>
        <v>1</v>
      </c>
      <c r="V18" s="60">
        <f>[4]Sayfa1!$T13</f>
        <v>45352</v>
      </c>
      <c r="W18" s="61">
        <f>[4]Sayfa1!$U13</f>
        <v>45352.333333333336</v>
      </c>
      <c r="X18" s="69">
        <f t="shared" si="1"/>
        <v>45352.333333333336</v>
      </c>
      <c r="Y18" s="70">
        <f>[4]Sayfa1!$AQ13</f>
        <v>45352</v>
      </c>
      <c r="Z18" s="61">
        <f>[4]Sayfa1!$AR13</f>
        <v>45352.5</v>
      </c>
      <c r="AA18" s="69">
        <f t="shared" si="2"/>
        <v>45352.5</v>
      </c>
      <c r="AB18" s="71">
        <f t="shared" si="3"/>
        <v>3.9999999999417923</v>
      </c>
      <c r="AC18" s="60">
        <f t="shared" si="4"/>
        <v>45352</v>
      </c>
      <c r="AD18" s="61">
        <f t="shared" si="5"/>
        <v>45352.5</v>
      </c>
      <c r="AE18" s="69">
        <f t="shared" si="6"/>
        <v>45352.5</v>
      </c>
      <c r="AF18" s="36" t="str">
        <f>[4]Sayfa1!$AP13</f>
        <v>(II) Birden fazla karşılaşılan arıza</v>
      </c>
      <c r="AG18" s="33" t="str">
        <f>IF([4]Sayfa1!$J13="C-Uyarı, sürüş devamlılığı","Bu Arıza Aracın Servise Verilmesine Engel Değil","Bu Arıza Aracın Servise Verilmesine Engel")</f>
        <v>Bu Arıza Aracın Servise Verilmesine Engel Değil</v>
      </c>
      <c r="AH18" s="41" t="str">
        <f>[4]Sayfa1!$AB13</f>
        <v>Arıza çözülecek</v>
      </c>
      <c r="AI18" s="60"/>
      <c r="AJ18" s="60"/>
      <c r="AK18" s="69">
        <f t="shared" si="7"/>
        <v>0</v>
      </c>
      <c r="AL18" s="71">
        <f t="shared" si="8"/>
        <v>239.99999999650754</v>
      </c>
      <c r="AM18" s="71">
        <f t="shared" si="9"/>
        <v>239.99999999650754</v>
      </c>
      <c r="AN18" s="72">
        <f t="shared" si="10"/>
        <v>0</v>
      </c>
      <c r="AO18" s="73" t="str">
        <f>[4]Sayfa1!$X13</f>
        <v>E840-7134</v>
      </c>
      <c r="AP18" s="72">
        <f>[4]Sayfa1!$Y13</f>
        <v>1</v>
      </c>
      <c r="AQ18" s="184" t="str">
        <f>[4]Sayfa1!$V13</f>
        <v>ATAK ULAŞIM SAN.TİC.LTD.ŞTİ.</v>
      </c>
      <c r="AR18" s="74" t="str">
        <f>[4]Sayfa1!$W13</f>
        <v>32" EKRAN</v>
      </c>
      <c r="AS18" s="74">
        <f>[4]Sayfa1!$AD13</f>
        <v>0</v>
      </c>
      <c r="AT18" s="60" t="str">
        <f>[4]Sayfa1!$AE13</f>
        <v/>
      </c>
      <c r="AU18" s="60" t="str">
        <f>[4]Sayfa1!$AH13</f>
        <v/>
      </c>
      <c r="AV18" s="75">
        <v>12</v>
      </c>
      <c r="AW18" s="76">
        <f t="shared" si="11"/>
        <v>43.999999999359716</v>
      </c>
      <c r="AX18" s="77" t="str">
        <f>[4]Sayfa1!$A13</f>
        <v>30c8155d</v>
      </c>
      <c r="AY18" s="78" t="s">
        <v>114</v>
      </c>
      <c r="AZ18" s="79" t="e" vm="1">
        <f t="shared" si="12"/>
        <v>#VALUE!</v>
      </c>
    </row>
    <row r="19" spans="1:52" ht="140.44999999999999">
      <c r="A19" s="59" t="s">
        <v>113</v>
      </c>
      <c r="B19" s="59" t="str">
        <f>[4]Sayfa1!$G15</f>
        <v>3875(4)</v>
      </c>
      <c r="C19" s="184" t="str">
        <f>[4]Sayfa1!$H15</f>
        <v>MA</v>
      </c>
      <c r="D19" s="24">
        <f>[4]Sayfa1!$N15</f>
        <v>121212</v>
      </c>
      <c r="E19" s="24" t="str">
        <f>[4]Sayfa1!$B15</f>
        <v>BOZ-KAY5+6-FF-014</v>
      </c>
      <c r="F19" s="60">
        <f>[4]Sayfa1!$E15</f>
        <v>45279</v>
      </c>
      <c r="G19" s="61">
        <f>[4]Sayfa1!$F15</f>
        <v>45279.993055555555</v>
      </c>
      <c r="H19" s="59" t="str">
        <f>[4]Sayfa1!$I15</f>
        <v>Hat/Line</v>
      </c>
      <c r="I19" s="62" t="str">
        <f>IF([4]Sayfa1!$K15="SSH","Notified by Bozankaya","Notified by Customer")</f>
        <v>Notified by Customer</v>
      </c>
      <c r="J19" s="59" t="e">
        <f>VLOOKUP([4]Sayfa1!$AU15,#REF!,2,FALSE)</f>
        <v>#REF!</v>
      </c>
      <c r="K19" s="59">
        <f>[4]Sayfa1!$AC15</f>
        <v>0</v>
      </c>
      <c r="L19" s="63" t="str">
        <f t="shared" si="0"/>
        <v>KAY_5+6-BOZ-KAY5+6-FF-014</v>
      </c>
      <c r="M19" s="64" t="str">
        <f>[4]Sayfa1!$L15</f>
        <v>YOLCU VE MAKİNİST KABİNLERİ SOĞUK KLİMA ÇLIŞMIYOR</v>
      </c>
      <c r="N19" s="33" t="str">
        <f>[4]Sayfa1!$J15</f>
        <v>A-Sürüşü engeller</v>
      </c>
      <c r="O19" s="33" t="str">
        <f>[4]Sayfa1!$P15</f>
        <v>B(Servisten çekmeye etki eden arızalar)</v>
      </c>
      <c r="P19" s="33" t="str">
        <f>[4]Sayfa1!$Q15</f>
        <v>N.A(Yaralanma yok)</v>
      </c>
      <c r="Q19" s="65" t="str" cm="1">
        <f t="array" ref="Q19">_xlfn.IFS([4]Sayfa1!$R15="Bozankaya","Bozankaya",[4]Sayfa1!$R15="İşletme","Customer",[4]Sayfa1!$R15="Tedarikçi","Equipment Supplier")</f>
        <v>Bozankaya</v>
      </c>
      <c r="R19" s="66" t="str">
        <f>[4]Sayfa1!$M15</f>
        <v>YANGIN DEDEKTÖR KABLOLARI YANLIŞ TAKILMIŞ DÜZELTİLDİ</v>
      </c>
      <c r="S19" s="36" t="str">
        <f>[4]Sayfa1!$S15</f>
        <v>Üretim</v>
      </c>
      <c r="T19" s="67">
        <f>[4]Sayfa1!$Z15</f>
        <v>0</v>
      </c>
      <c r="U19" s="68">
        <f>[4]Sayfa1!$AN15</f>
        <v>1</v>
      </c>
      <c r="V19" s="60">
        <f>[4]Sayfa1!$T15</f>
        <v>45280</v>
      </c>
      <c r="W19" s="61">
        <f>[4]Sayfa1!$U15</f>
        <v>45280.375</v>
      </c>
      <c r="X19" s="69">
        <f t="shared" si="1"/>
        <v>45280.375</v>
      </c>
      <c r="Y19" s="70">
        <f>[4]Sayfa1!$AQ15</f>
        <v>45280</v>
      </c>
      <c r="Z19" s="61">
        <f>[4]Sayfa1!$AR15</f>
        <v>45280.541666666664</v>
      </c>
      <c r="AA19" s="69">
        <f t="shared" si="2"/>
        <v>45280.541666666664</v>
      </c>
      <c r="AB19" s="71">
        <f t="shared" si="3"/>
        <v>3.9999999999417923</v>
      </c>
      <c r="AC19" s="60">
        <f t="shared" si="4"/>
        <v>45280</v>
      </c>
      <c r="AD19" s="61">
        <f t="shared" si="5"/>
        <v>45280.541666666664</v>
      </c>
      <c r="AE19" s="69">
        <f t="shared" si="6"/>
        <v>45280.541666666664</v>
      </c>
      <c r="AF19" s="36" t="str">
        <f>[4]Sayfa1!$AP15</f>
        <v>(II) Birden fazla karşılaşılan arıza</v>
      </c>
      <c r="AG19" s="33" t="str">
        <f>IF([4]Sayfa1!$J15="C-Uyarı, sürüş devamlılığı","Bu Arıza Aracın Servise Verilmesine Engel Değil","Bu Arıza Aracın Servise Verilmesine Engel")</f>
        <v>Bu Arıza Aracın Servise Verilmesine Engel</v>
      </c>
      <c r="AH19" s="41" t="str">
        <f>[4]Sayfa1!$AB15</f>
        <v>Tamir edilecek</v>
      </c>
      <c r="AI19" s="60"/>
      <c r="AJ19" s="60"/>
      <c r="AK19" s="69">
        <f t="shared" si="7"/>
        <v>0</v>
      </c>
      <c r="AL19" s="71">
        <f t="shared" si="8"/>
        <v>239.99999999650754</v>
      </c>
      <c r="AM19" s="71">
        <f t="shared" si="9"/>
        <v>239.99999999650754</v>
      </c>
      <c r="AN19" s="72">
        <f t="shared" si="10"/>
        <v>0</v>
      </c>
      <c r="AO19" s="73" t="str">
        <f>[4]Sayfa1!$X15</f>
        <v>E110-7654</v>
      </c>
      <c r="AP19" s="72">
        <f>[4]Sayfa1!$Y15</f>
        <v>1</v>
      </c>
      <c r="AQ19" s="184" t="str">
        <f>[4]Sayfa1!$V15</f>
        <v>Pronis Proje Mühendislik Taahhüt Sa</v>
      </c>
      <c r="AR19" s="74" t="str">
        <f>[4]Sayfa1!$W15</f>
        <v>Yangın-Duman Dedektörü</v>
      </c>
      <c r="AS19" s="74">
        <f>[4]Sayfa1!$AD15</f>
        <v>0</v>
      </c>
      <c r="AT19" s="60" t="str">
        <f>[4]Sayfa1!$AE15</f>
        <v/>
      </c>
      <c r="AU19" s="60" t="str">
        <f>[4]Sayfa1!$AH15</f>
        <v/>
      </c>
      <c r="AV19" s="75">
        <v>14</v>
      </c>
      <c r="AW19" s="76">
        <f t="shared" si="11"/>
        <v>43.999999999359716</v>
      </c>
      <c r="AX19" s="77" t="str">
        <f>[4]Sayfa1!$A15</f>
        <v>98064a59</v>
      </c>
      <c r="AY19" s="78" t="s">
        <v>114</v>
      </c>
      <c r="AZ19" s="79" t="e" vm="1">
        <f t="shared" si="12"/>
        <v>#VALUE!</v>
      </c>
    </row>
    <row r="20" spans="1:52" ht="140.44999999999999">
      <c r="A20" s="59" t="s">
        <v>113</v>
      </c>
      <c r="B20" s="59" t="str">
        <f>[4]Sayfa1!$G16</f>
        <v>3872(1)</v>
      </c>
      <c r="C20" s="184" t="str">
        <f>[4]Sayfa1!$H16</f>
        <v>RB</v>
      </c>
      <c r="D20" s="24">
        <f>[4]Sayfa1!$N16</f>
        <v>21212</v>
      </c>
      <c r="E20" s="24" t="str">
        <f>[4]Sayfa1!$B16</f>
        <v>BOZ-KAY5+6-FF-015</v>
      </c>
      <c r="F20" s="60">
        <f>[4]Sayfa1!$E16</f>
        <v>45279</v>
      </c>
      <c r="G20" s="61">
        <f>[4]Sayfa1!$F16</f>
        <v>45279.99722222222</v>
      </c>
      <c r="H20" s="59" t="str">
        <f>[4]Sayfa1!$I16</f>
        <v>Hat/Line</v>
      </c>
      <c r="I20" s="62" t="str">
        <f>IF([4]Sayfa1!$K16="SSH","Notified by Bozankaya","Notified by Customer")</f>
        <v>Notified by Customer</v>
      </c>
      <c r="J20" s="59" t="e">
        <f>VLOOKUP([4]Sayfa1!$AU16,#REF!,2,FALSE)</f>
        <v>#REF!</v>
      </c>
      <c r="K20" s="59">
        <f>[4]Sayfa1!$AC16</f>
        <v>0</v>
      </c>
      <c r="L20" s="63" t="str">
        <f t="shared" si="0"/>
        <v>KAY_5+6-BOZ-KAY5+6-FF-015</v>
      </c>
      <c r="M20" s="64" t="str">
        <f>[4]Sayfa1!$L16</f>
        <v>YOLCU VE KABİN KLİMASI DEVREYE GİRMİYOR</v>
      </c>
      <c r="N20" s="33" t="str">
        <f>[4]Sayfa1!$J16</f>
        <v>C-Uyarı, sürüş devamlılığı</v>
      </c>
      <c r="O20" s="33" t="str">
        <f>[4]Sayfa1!$P16</f>
        <v>B(Servisten çekmeye etki eden arızalar)</v>
      </c>
      <c r="P20" s="33" t="str">
        <f>[4]Sayfa1!$Q16</f>
        <v>N.A(Yaralanma yok)</v>
      </c>
      <c r="Q20" s="65" t="str" cm="1">
        <f t="array" ref="Q20">_xlfn.IFS([4]Sayfa1!$R16="Bozankaya","Bozankaya",[4]Sayfa1!$R16="İşletme","Customer",[4]Sayfa1!$R16="Tedarikçi","Equipment Supplier")</f>
        <v>Bozankaya</v>
      </c>
      <c r="R20" s="66" t="str">
        <f>[4]Sayfa1!$M16</f>
        <v>YANGIN DEDEKTÖR KABLOLARI YANLIŞ TAKILMIŞ DÜZELTİLDİ</v>
      </c>
      <c r="S20" s="36" t="str">
        <f>[4]Sayfa1!$S16</f>
        <v>Üretim</v>
      </c>
      <c r="T20" s="67">
        <f>[4]Sayfa1!$Z16</f>
        <v>0</v>
      </c>
      <c r="U20" s="68">
        <f>[4]Sayfa1!$AN16</f>
        <v>1</v>
      </c>
      <c r="V20" s="60">
        <f>[4]Sayfa1!$T16</f>
        <v>45280</v>
      </c>
      <c r="W20" s="61">
        <f>[4]Sayfa1!$U16</f>
        <v>45280.333333333336</v>
      </c>
      <c r="X20" s="69">
        <f t="shared" si="1"/>
        <v>45280.333333333336</v>
      </c>
      <c r="Y20" s="70">
        <f>[4]Sayfa1!$AQ16</f>
        <v>45280</v>
      </c>
      <c r="Z20" s="61">
        <f>[4]Sayfa1!$AR16</f>
        <v>45280.541666666664</v>
      </c>
      <c r="AA20" s="69">
        <f t="shared" si="2"/>
        <v>45280.541666666664</v>
      </c>
      <c r="AB20" s="71">
        <f t="shared" si="3"/>
        <v>4.9999999998835847</v>
      </c>
      <c r="AC20" s="60">
        <f t="shared" si="4"/>
        <v>45280</v>
      </c>
      <c r="AD20" s="61">
        <f t="shared" si="5"/>
        <v>45280.541666666664</v>
      </c>
      <c r="AE20" s="69">
        <f t="shared" si="6"/>
        <v>45280.541666666664</v>
      </c>
      <c r="AF20" s="36" t="str">
        <f>[4]Sayfa1!$AP16</f>
        <v>(II) Birden fazla karşılaşılan arıza</v>
      </c>
      <c r="AG20" s="33" t="str">
        <f>IF([4]Sayfa1!$J16="C-Uyarı, sürüş devamlılığı","Bu Arıza Aracın Servise Verilmesine Engel Değil","Bu Arıza Aracın Servise Verilmesine Engel")</f>
        <v>Bu Arıza Aracın Servise Verilmesine Engel Değil</v>
      </c>
      <c r="AH20" s="41" t="str">
        <f>[4]Sayfa1!$AB16</f>
        <v>Arıza çözülecek</v>
      </c>
      <c r="AI20" s="60"/>
      <c r="AJ20" s="60"/>
      <c r="AK20" s="69">
        <f t="shared" si="7"/>
        <v>0</v>
      </c>
      <c r="AL20" s="71">
        <f t="shared" si="8"/>
        <v>299.99999999301508</v>
      </c>
      <c r="AM20" s="71">
        <f t="shared" si="9"/>
        <v>299.99999999301508</v>
      </c>
      <c r="AN20" s="72">
        <f t="shared" si="10"/>
        <v>0</v>
      </c>
      <c r="AO20" s="73" t="str">
        <f>[4]Sayfa1!$X16</f>
        <v>E110-7654</v>
      </c>
      <c r="AP20" s="72">
        <f>[4]Sayfa1!$Y16</f>
        <v>1</v>
      </c>
      <c r="AQ20" s="184" t="str">
        <f>[4]Sayfa1!$V16</f>
        <v>Pronis Proje Mühendislik Taahhüt Sa</v>
      </c>
      <c r="AR20" s="74" t="str">
        <f>[4]Sayfa1!$W16</f>
        <v>Yangın-Duman Dedektörü</v>
      </c>
      <c r="AS20" s="74">
        <f>[4]Sayfa1!$AD16</f>
        <v>0</v>
      </c>
      <c r="AT20" s="60" t="str">
        <f>[4]Sayfa1!$AE16</f>
        <v/>
      </c>
      <c r="AU20" s="60" t="str">
        <f>[4]Sayfa1!$AH16</f>
        <v/>
      </c>
      <c r="AV20" s="75">
        <v>15</v>
      </c>
      <c r="AW20" s="76">
        <f t="shared" si="11"/>
        <v>54.999999998719431</v>
      </c>
      <c r="AX20" s="77" t="str">
        <f>[4]Sayfa1!$A16</f>
        <v>1f27cb39</v>
      </c>
      <c r="AY20" s="78" t="s">
        <v>114</v>
      </c>
      <c r="AZ20" s="79" t="e" vm="1">
        <f t="shared" si="12"/>
        <v>#VALUE!</v>
      </c>
    </row>
    <row r="21" spans="1:52" ht="331.15">
      <c r="A21" s="59" t="s">
        <v>113</v>
      </c>
      <c r="B21" s="59" t="str">
        <f>[4]Sayfa1!$G17</f>
        <v>3872(1)</v>
      </c>
      <c r="C21" s="184" t="str">
        <f>[4]Sayfa1!$H17</f>
        <v>RA</v>
      </c>
      <c r="D21" s="24">
        <f>[4]Sayfa1!$N17</f>
        <v>21212</v>
      </c>
      <c r="E21" s="24" t="str">
        <f>[4]Sayfa1!$B17</f>
        <v>BOZ-KAY5+6-FF-016</v>
      </c>
      <c r="F21" s="60">
        <f>[4]Sayfa1!$E17</f>
        <v>45281</v>
      </c>
      <c r="G21" s="61">
        <f>[4]Sayfa1!$F17</f>
        <v>45281.211111111108</v>
      </c>
      <c r="H21" s="59" t="str">
        <f>[4]Sayfa1!$I17</f>
        <v>Hat/Line</v>
      </c>
      <c r="I21" s="62" t="str">
        <f>IF([4]Sayfa1!$K17="SSH","Notified by Bozankaya","Notified by Customer")</f>
        <v>Notified by Customer</v>
      </c>
      <c r="J21" s="59" t="e">
        <f>VLOOKUP([4]Sayfa1!$AU17,#REF!,2,FALSE)</f>
        <v>#REF!</v>
      </c>
      <c r="K21" s="59">
        <f>[4]Sayfa1!$AC17</f>
        <v>0</v>
      </c>
      <c r="L21" s="63" t="str">
        <f t="shared" si="0"/>
        <v>KAY_5+6-BOZ-KAY5+6-FF-016</v>
      </c>
      <c r="M21" s="64" t="str">
        <f>[4]Sayfa1!$L17</f>
        <v>KABİN VE YOLCU BÖLÜMÜ KLİMALAR ÇALIŞMIYOR</v>
      </c>
      <c r="N21" s="33" t="str">
        <f>[4]Sayfa1!$J17</f>
        <v>A-Sürüşü engeller</v>
      </c>
      <c r="O21" s="33" t="str">
        <f>[4]Sayfa1!$P17</f>
        <v>B(Servisten çekmeye etki eden arızalar)</v>
      </c>
      <c r="P21" s="33" t="str">
        <f>[4]Sayfa1!$Q17</f>
        <v>N.A(Yaralanma yok)</v>
      </c>
      <c r="Q21" s="65" t="str" cm="1">
        <f t="array" ref="Q21">_xlfn.IFS([4]Sayfa1!$R17="Bozankaya","Bozankaya",[4]Sayfa1!$R17="İşletme","Customer",[4]Sayfa1!$R17="Tedarikçi","Equipment Supplier")</f>
        <v>Bozankaya</v>
      </c>
      <c r="R21" s="66" t="str">
        <f>[4]Sayfa1!$M17</f>
        <v>ARAÇ YANGIN MODU DEVREYE GİRDİĞİ İÇİN KLİMALAR ÇALIŞMIYOR YAPILAN KONTROLLERDE P PANODA BULUNAN YANGIN DEDEKTÖR KABLOSU YANLIŞ TAKILMIŞ DÜZELTİLDİ</v>
      </c>
      <c r="S21" s="36" t="str">
        <f>[4]Sayfa1!$S17</f>
        <v>Üretim</v>
      </c>
      <c r="T21" s="67">
        <f>[4]Sayfa1!$Z17</f>
        <v>0</v>
      </c>
      <c r="U21" s="68">
        <f>[4]Sayfa1!$AN17</f>
        <v>1</v>
      </c>
      <c r="V21" s="60">
        <f>[4]Sayfa1!$T17</f>
        <v>45647</v>
      </c>
      <c r="W21" s="61">
        <f>[4]Sayfa1!$U17</f>
        <v>45647.333333333336</v>
      </c>
      <c r="X21" s="69">
        <f t="shared" si="1"/>
        <v>45647.333333333336</v>
      </c>
      <c r="Y21" s="70">
        <f>[4]Sayfa1!$AQ17</f>
        <v>45647</v>
      </c>
      <c r="Z21" s="61">
        <f>[4]Sayfa1!$AR17</f>
        <v>45647.541666666664</v>
      </c>
      <c r="AA21" s="69">
        <f t="shared" si="2"/>
        <v>45647.541666666664</v>
      </c>
      <c r="AB21" s="71">
        <f t="shared" si="3"/>
        <v>4.9999999998835847</v>
      </c>
      <c r="AC21" s="60">
        <f t="shared" si="4"/>
        <v>45647</v>
      </c>
      <c r="AD21" s="61">
        <f t="shared" si="5"/>
        <v>45647.541666666664</v>
      </c>
      <c r="AE21" s="69">
        <f t="shared" si="6"/>
        <v>45647.541666666664</v>
      </c>
      <c r="AF21" s="36" t="str">
        <f>[4]Sayfa1!$AP17</f>
        <v>(I) İlk defa karşılaşılan arıza</v>
      </c>
      <c r="AG21" s="33" t="str">
        <f>IF([4]Sayfa1!$J17="C-Uyarı, sürüş devamlılığı","Bu Arıza Aracın Servise Verilmesine Engel Değil","Bu Arıza Aracın Servise Verilmesine Engel")</f>
        <v>Bu Arıza Aracın Servise Verilmesine Engel</v>
      </c>
      <c r="AH21" s="41" t="str">
        <f>[4]Sayfa1!$AB17</f>
        <v>Tamir edilecek</v>
      </c>
      <c r="AI21" s="60"/>
      <c r="AJ21" s="60"/>
      <c r="AK21" s="69">
        <f t="shared" si="7"/>
        <v>0</v>
      </c>
      <c r="AL21" s="71">
        <f t="shared" si="8"/>
        <v>299.99999999301508</v>
      </c>
      <c r="AM21" s="71">
        <f t="shared" si="9"/>
        <v>299.99999999301508</v>
      </c>
      <c r="AN21" s="72">
        <f t="shared" si="10"/>
        <v>0</v>
      </c>
      <c r="AO21" s="73" t="str">
        <f>[4]Sayfa1!$X17</f>
        <v>E110-7654</v>
      </c>
      <c r="AP21" s="72">
        <f>[4]Sayfa1!$Y17</f>
        <v>1</v>
      </c>
      <c r="AQ21" s="184" t="str">
        <f>[4]Sayfa1!$V17</f>
        <v>Pronis Proje Mühendislik Taahhüt Sa</v>
      </c>
      <c r="AR21" s="74" t="str">
        <f>[4]Sayfa1!$W17</f>
        <v>Yangın-Duman Dedektörü</v>
      </c>
      <c r="AS21" s="74">
        <f>[4]Sayfa1!$AD17</f>
        <v>0</v>
      </c>
      <c r="AT21" s="60" t="str">
        <f>[4]Sayfa1!$AE17</f>
        <v/>
      </c>
      <c r="AU21" s="60" t="str">
        <f>[4]Sayfa1!$AH17</f>
        <v/>
      </c>
      <c r="AV21" s="75">
        <v>16</v>
      </c>
      <c r="AW21" s="76">
        <f t="shared" si="11"/>
        <v>54.999999998719431</v>
      </c>
      <c r="AX21" s="77" t="str">
        <f>[4]Sayfa1!$A17</f>
        <v>5aaf3e8e</v>
      </c>
      <c r="AY21" s="78" t="s">
        <v>114</v>
      </c>
      <c r="AZ21" s="79" t="e" vm="1">
        <f t="shared" si="12"/>
        <v>#VALUE!</v>
      </c>
    </row>
    <row r="22" spans="1:52" ht="211.15">
      <c r="A22" s="59" t="s">
        <v>113</v>
      </c>
      <c r="B22" s="59" t="str">
        <f>[4]Sayfa1!$G18</f>
        <v>3874(3)</v>
      </c>
      <c r="C22" s="184" t="str">
        <f>[4]Sayfa1!$H18</f>
        <v>MA</v>
      </c>
      <c r="D22" s="24">
        <f>[4]Sayfa1!$N18</f>
        <v>45000</v>
      </c>
      <c r="E22" s="24" t="str">
        <f>[4]Sayfa1!$B18</f>
        <v>BOZ-KAY5+6-FF-017</v>
      </c>
      <c r="F22" s="60">
        <f>[4]Sayfa1!$E18</f>
        <v>45281</v>
      </c>
      <c r="G22" s="61">
        <f>[4]Sayfa1!$F18</f>
        <v>45281.677777777775</v>
      </c>
      <c r="H22" s="59" t="str">
        <f>[4]Sayfa1!$I18</f>
        <v>Hat/Line</v>
      </c>
      <c r="I22" s="62" t="str">
        <f>IF([4]Sayfa1!$K18="SSH","Notified by Bozankaya","Notified by Customer")</f>
        <v>Notified by Customer</v>
      </c>
      <c r="J22" s="59" t="e">
        <f>VLOOKUP([4]Sayfa1!$AU18,#REF!,2,FALSE)</f>
        <v>#REF!</v>
      </c>
      <c r="K22" s="59">
        <f>[4]Sayfa1!$AC18</f>
        <v>0</v>
      </c>
      <c r="L22" s="63" t="str">
        <f t="shared" si="0"/>
        <v>KAY_5+6-BOZ-KAY5+6-FF-017</v>
      </c>
      <c r="M22" s="64" t="str">
        <f>[4]Sayfa1!$L18</f>
        <v>Araç nvrları kesik  kesik kayıt yapıyor.Kendi kendine açılıp kapanıyor</v>
      </c>
      <c r="N22" s="33" t="str">
        <f>[4]Sayfa1!$J18</f>
        <v>C-Uyarı, sürüş devamlılığı</v>
      </c>
      <c r="O22" s="33" t="str">
        <f>[4]Sayfa1!$P18</f>
        <v>C(Sisteme etki etmeyen arıza)</v>
      </c>
      <c r="P22" s="33" t="str">
        <f>[4]Sayfa1!$Q18</f>
        <v>N.A(Yaralanma yok)</v>
      </c>
      <c r="Q22" s="65" t="str" cm="1">
        <f t="array" ref="Q22">_xlfn.IFS([4]Sayfa1!$R18="Bozankaya","Bozankaya",[4]Sayfa1!$R18="İşletme","Customer",[4]Sayfa1!$R18="Tedarikçi","Equipment Supplier")</f>
        <v>Equipment Supplier</v>
      </c>
      <c r="R22" s="66" t="str">
        <f>[4]Sayfa1!$M18</f>
        <v>Gerekli modifikasyonlar uygulanmıştır</v>
      </c>
      <c r="S22" s="36" t="str">
        <f>[4]Sayfa1!$S18</f>
        <v>NSC</v>
      </c>
      <c r="T22" s="67">
        <f>[4]Sayfa1!$Z18</f>
        <v>0</v>
      </c>
      <c r="U22" s="68">
        <f>[4]Sayfa1!$AN18</f>
        <v>1</v>
      </c>
      <c r="V22" s="60">
        <f>[4]Sayfa1!$T18</f>
        <v>45534</v>
      </c>
      <c r="W22" s="61">
        <f>[4]Sayfa1!$U18</f>
        <v>45534.667453703703</v>
      </c>
      <c r="X22" s="69">
        <f t="shared" si="1"/>
        <v>45534.667453703703</v>
      </c>
      <c r="Y22" s="70">
        <f>[4]Sayfa1!$AQ18</f>
        <v>45534</v>
      </c>
      <c r="Z22" s="61">
        <f>[4]Sayfa1!$AR18</f>
        <v>45534.708333333336</v>
      </c>
      <c r="AA22" s="69">
        <f t="shared" si="2"/>
        <v>45534.708333333336</v>
      </c>
      <c r="AB22" s="71">
        <f t="shared" si="3"/>
        <v>0.98111111117759719</v>
      </c>
      <c r="AC22" s="60">
        <f t="shared" si="4"/>
        <v>45534</v>
      </c>
      <c r="AD22" s="61">
        <f t="shared" si="5"/>
        <v>45534.708333333336</v>
      </c>
      <c r="AE22" s="69">
        <f t="shared" si="6"/>
        <v>45534.708333333336</v>
      </c>
      <c r="AF22" s="36" t="str">
        <f>[4]Sayfa1!$AP18</f>
        <v>(II) Birden fazla karşılaşılan arıza</v>
      </c>
      <c r="AG22" s="33" t="str">
        <f>IF([4]Sayfa1!$J18="C-Uyarı, sürüş devamlılığı","Bu Arıza Aracın Servise Verilmesine Engel Değil","Bu Arıza Aracın Servise Verilmesine Engel")</f>
        <v>Bu Arıza Aracın Servise Verilmesine Engel Değil</v>
      </c>
      <c r="AH22" s="41" t="str">
        <f>[4]Sayfa1!$AB18</f>
        <v>Arıza çözülecek</v>
      </c>
      <c r="AI22" s="60"/>
      <c r="AJ22" s="60"/>
      <c r="AK22" s="69">
        <f t="shared" si="7"/>
        <v>0</v>
      </c>
      <c r="AL22" s="71">
        <f t="shared" si="8"/>
        <v>58.866666670655832</v>
      </c>
      <c r="AM22" s="71">
        <f t="shared" si="9"/>
        <v>58.866666670655832</v>
      </c>
      <c r="AN22" s="72">
        <f t="shared" si="10"/>
        <v>0</v>
      </c>
      <c r="AO22" s="73" t="str">
        <f>[4]Sayfa1!$X18</f>
        <v>E810-7002</v>
      </c>
      <c r="AP22" s="72">
        <f>[4]Sayfa1!$Y18</f>
        <v>0</v>
      </c>
      <c r="AQ22" s="184" t="str">
        <f>[4]Sayfa1!$V18</f>
        <v>NSC TEKNOLOJİ ve İNŞAAT LTD.ŞTİ.</v>
      </c>
      <c r="AR22" s="74" t="str">
        <f>[4]Sayfa1!$W18</f>
        <v>XKAYIT CİHAZI(NVR)</v>
      </c>
      <c r="AS22" s="74">
        <f>[4]Sayfa1!$AD18</f>
        <v>0</v>
      </c>
      <c r="AT22" s="60" t="str">
        <f>[4]Sayfa1!$AE18</f>
        <v/>
      </c>
      <c r="AU22" s="60" t="str">
        <f>[4]Sayfa1!$AH18</f>
        <v/>
      </c>
      <c r="AV22" s="75">
        <v>17</v>
      </c>
      <c r="AW22" s="76">
        <f t="shared" si="11"/>
        <v>10.792222222953569</v>
      </c>
      <c r="AX22" s="77" t="str">
        <f>[4]Sayfa1!$A18</f>
        <v>18d1988f</v>
      </c>
      <c r="AY22" s="78" t="s">
        <v>114</v>
      </c>
      <c r="AZ22" s="79" t="e" vm="1">
        <f t="shared" si="12"/>
        <v>#VALUE!</v>
      </c>
    </row>
    <row r="23" spans="1:52" ht="165.6">
      <c r="A23" s="59" t="s">
        <v>113</v>
      </c>
      <c r="B23" s="59" t="str">
        <f>[4]Sayfa1!$G19</f>
        <v>3875(4)</v>
      </c>
      <c r="C23" s="184" t="str">
        <f>[4]Sayfa1!$H19</f>
        <v>MA</v>
      </c>
      <c r="D23" s="24">
        <f>[4]Sayfa1!$N19</f>
        <v>35000</v>
      </c>
      <c r="E23" s="24" t="str">
        <f>[4]Sayfa1!$B19</f>
        <v>BOZ-KAY5+6-FF-018</v>
      </c>
      <c r="F23" s="60">
        <f>[4]Sayfa1!$E19</f>
        <v>45281</v>
      </c>
      <c r="G23" s="61">
        <f>[4]Sayfa1!$F19</f>
        <v>45281.677777777775</v>
      </c>
      <c r="H23" s="59" t="str">
        <f>[4]Sayfa1!$I19</f>
        <v>Hat/Line</v>
      </c>
      <c r="I23" s="62" t="str">
        <f>IF([4]Sayfa1!$K19="SSH","Notified by Bozankaya","Notified by Customer")</f>
        <v>Notified by Customer</v>
      </c>
      <c r="J23" s="59" t="e">
        <f>VLOOKUP([4]Sayfa1!$AU19,#REF!,2,FALSE)</f>
        <v>#REF!</v>
      </c>
      <c r="K23" s="59">
        <f>[4]Sayfa1!$AC19</f>
        <v>0</v>
      </c>
      <c r="L23" s="63" t="str">
        <f t="shared" si="0"/>
        <v>KAY_5+6-BOZ-KAY5+6-FF-018</v>
      </c>
      <c r="M23" s="64" t="str">
        <f>[4]Sayfa1!$L19</f>
        <v>Araç nvrları kesik  kesik kayıt yapıyor.Kendi kendine açılıp kapanıyor</v>
      </c>
      <c r="N23" s="33" t="str">
        <f>[4]Sayfa1!$J19</f>
        <v>C-Uyarı, sürüş devamlılığı</v>
      </c>
      <c r="O23" s="33" t="str">
        <f>[4]Sayfa1!$P19</f>
        <v>C(Sisteme etki etmeyen arıza)</v>
      </c>
      <c r="P23" s="33" t="str">
        <f>[4]Sayfa1!$Q19</f>
        <v>N.A(Yaralanma yok)</v>
      </c>
      <c r="Q23" s="65" t="str" cm="1">
        <f t="array" ref="Q23">_xlfn.IFS([4]Sayfa1!$R19="Bozankaya","Bozankaya",[4]Sayfa1!$R19="İşletme","Customer",[4]Sayfa1!$R19="Tedarikçi","Equipment Supplier")</f>
        <v>Equipment Supplier</v>
      </c>
      <c r="R23" s="66" t="str">
        <f>[4]Sayfa1!$M19</f>
        <v>Gerekli modifikasyonlar uygulanmıştır</v>
      </c>
      <c r="S23" s="36" t="str">
        <f>[4]Sayfa1!$S19</f>
        <v>NSC</v>
      </c>
      <c r="T23" s="67">
        <f>[4]Sayfa1!$Z19</f>
        <v>0</v>
      </c>
      <c r="U23" s="68">
        <f>[4]Sayfa1!$AN19</f>
        <v>1</v>
      </c>
      <c r="V23" s="60">
        <f>[4]Sayfa1!$T19</f>
        <v>45534</v>
      </c>
      <c r="W23" s="61">
        <f>[4]Sayfa1!$U19</f>
        <v>45534.666076388887</v>
      </c>
      <c r="X23" s="69">
        <f t="shared" si="1"/>
        <v>45534.666076388887</v>
      </c>
      <c r="Y23" s="70">
        <f>[4]Sayfa1!$AQ19</f>
        <v>45534</v>
      </c>
      <c r="Z23" s="61">
        <f>[4]Sayfa1!$AR19</f>
        <v>45534.708333333336</v>
      </c>
      <c r="AA23" s="69">
        <f t="shared" si="2"/>
        <v>45534.708333333336</v>
      </c>
      <c r="AB23" s="71">
        <f t="shared" si="3"/>
        <v>1.0141666667768732</v>
      </c>
      <c r="AC23" s="60">
        <f t="shared" si="4"/>
        <v>45534</v>
      </c>
      <c r="AD23" s="61">
        <f t="shared" si="5"/>
        <v>45534.708333333336</v>
      </c>
      <c r="AE23" s="69">
        <f t="shared" si="6"/>
        <v>45534.708333333336</v>
      </c>
      <c r="AF23" s="36" t="str">
        <f>[4]Sayfa1!$AP19</f>
        <v>(II) Birden fazla karşılaşılan arıza</v>
      </c>
      <c r="AG23" s="33" t="str">
        <f>IF([4]Sayfa1!$J19="C-Uyarı, sürüş devamlılığı","Bu Arıza Aracın Servise Verilmesine Engel Değil","Bu Arıza Aracın Servise Verilmesine Engel")</f>
        <v>Bu Arıza Aracın Servise Verilmesine Engel Değil</v>
      </c>
      <c r="AH23" s="41">
        <f>[4]Sayfa1!$AB19</f>
        <v>0</v>
      </c>
      <c r="AI23" s="60"/>
      <c r="AJ23" s="60"/>
      <c r="AK23" s="69">
        <f t="shared" si="7"/>
        <v>0</v>
      </c>
      <c r="AL23" s="71">
        <f t="shared" si="8"/>
        <v>60.85000000661239</v>
      </c>
      <c r="AM23" s="71">
        <f t="shared" si="9"/>
        <v>60.85000000661239</v>
      </c>
      <c r="AN23" s="72">
        <f t="shared" si="10"/>
        <v>0</v>
      </c>
      <c r="AO23" s="73" t="str">
        <f>[4]Sayfa1!$X19</f>
        <v>E810-7002</v>
      </c>
      <c r="AP23" s="72">
        <f>[4]Sayfa1!$Y19</f>
        <v>0</v>
      </c>
      <c r="AQ23" s="184" t="str">
        <f>[4]Sayfa1!$V19</f>
        <v>NSC TEKNOLOJİ ve İNŞAAT LTD.ŞTİ.</v>
      </c>
      <c r="AR23" s="74" t="str">
        <f>[4]Sayfa1!$W19</f>
        <v>XKAYIT CİHAZI(NVR)</v>
      </c>
      <c r="AS23" s="74">
        <f>[4]Sayfa1!$AD19</f>
        <v>0</v>
      </c>
      <c r="AT23" s="60" t="str">
        <f>[4]Sayfa1!$AE19</f>
        <v/>
      </c>
      <c r="AU23" s="60" t="str">
        <f>[4]Sayfa1!$AH19</f>
        <v/>
      </c>
      <c r="AV23" s="75">
        <v>18</v>
      </c>
      <c r="AW23" s="76">
        <f t="shared" si="11"/>
        <v>11.155833334545605</v>
      </c>
      <c r="AX23" s="77" t="str">
        <f>[4]Sayfa1!$A19</f>
        <v>a1c41617</v>
      </c>
      <c r="AY23" s="78" t="s">
        <v>114</v>
      </c>
      <c r="AZ23" s="79" t="e" vm="1">
        <f t="shared" si="12"/>
        <v>#VALUE!</v>
      </c>
    </row>
    <row r="24" spans="1:52" ht="165.6">
      <c r="A24" s="59" t="s">
        <v>113</v>
      </c>
      <c r="B24" s="59" t="str">
        <f>[4]Sayfa1!$G20</f>
        <v>3876(5)</v>
      </c>
      <c r="C24" s="184" t="str">
        <f>[4]Sayfa1!$H20</f>
        <v>MA</v>
      </c>
      <c r="D24" s="24">
        <f>[4]Sayfa1!$N20</f>
        <v>36000</v>
      </c>
      <c r="E24" s="24" t="str">
        <f>[4]Sayfa1!$B20</f>
        <v>BOZ-KAY5+6-FF-019</v>
      </c>
      <c r="F24" s="60">
        <f>[4]Sayfa1!$E20</f>
        <v>45281</v>
      </c>
      <c r="G24" s="61">
        <f>[4]Sayfa1!$F20</f>
        <v>45281.678472222222</v>
      </c>
      <c r="H24" s="59" t="str">
        <f>[4]Sayfa1!$I20</f>
        <v>Hat/Line</v>
      </c>
      <c r="I24" s="62" t="str">
        <f>IF([4]Sayfa1!$K20="SSH","Notified by Bozankaya","Notified by Customer")</f>
        <v>Notified by Customer</v>
      </c>
      <c r="J24" s="59" t="e">
        <f>VLOOKUP([4]Sayfa1!$AU20,#REF!,2,FALSE)</f>
        <v>#REF!</v>
      </c>
      <c r="K24" s="59">
        <f>[4]Sayfa1!$AC20</f>
        <v>0</v>
      </c>
      <c r="L24" s="63" t="str">
        <f t="shared" si="0"/>
        <v>KAY_5+6-BOZ-KAY5+6-FF-019</v>
      </c>
      <c r="M24" s="64" t="str">
        <f>[4]Sayfa1!$L20</f>
        <v>Araç nvrları kesik  kesik kayıt yapıyor.Kendi kendine açılıp kapanıyor</v>
      </c>
      <c r="N24" s="33" t="str">
        <f>[4]Sayfa1!$J20</f>
        <v>C-Uyarı, sürüş devamlılığı</v>
      </c>
      <c r="O24" s="33" t="str">
        <f>[4]Sayfa1!$P20</f>
        <v>C(Sisteme etki etmeyen arıza)</v>
      </c>
      <c r="P24" s="33" t="str">
        <f>[4]Sayfa1!$Q20</f>
        <v>N.A(Yaralanma yok)</v>
      </c>
      <c r="Q24" s="65" t="str" cm="1">
        <f t="array" ref="Q24">_xlfn.IFS([4]Sayfa1!$R20="Bozankaya","Bozankaya",[4]Sayfa1!$R20="İşletme","Customer",[4]Sayfa1!$R20="Tedarikçi","Equipment Supplier")</f>
        <v>Equipment Supplier</v>
      </c>
      <c r="R24" s="66" t="str">
        <f>[4]Sayfa1!$M20</f>
        <v>Gerekli modifikasyonlar uygulanmıştır</v>
      </c>
      <c r="S24" s="36" t="str">
        <f>[4]Sayfa1!$S20</f>
        <v>NSC</v>
      </c>
      <c r="T24" s="67">
        <f>[4]Sayfa1!$Z20</f>
        <v>0</v>
      </c>
      <c r="U24" s="68">
        <f>[4]Sayfa1!$AN20</f>
        <v>1</v>
      </c>
      <c r="V24" s="60">
        <f>[4]Sayfa1!$T20</f>
        <v>45534</v>
      </c>
      <c r="W24" s="61">
        <f>[4]Sayfa1!$U20</f>
        <v>45534.668611111112</v>
      </c>
      <c r="X24" s="69">
        <f t="shared" si="1"/>
        <v>45534.668611111112</v>
      </c>
      <c r="Y24" s="70">
        <f>[4]Sayfa1!$AQ20</f>
        <v>45534</v>
      </c>
      <c r="Z24" s="61">
        <f>[4]Sayfa1!$AR20</f>
        <v>45534.708333333336</v>
      </c>
      <c r="AA24" s="69">
        <f t="shared" si="2"/>
        <v>45534.708333333336</v>
      </c>
      <c r="AB24" s="71">
        <f t="shared" si="3"/>
        <v>0.95333333336748183</v>
      </c>
      <c r="AC24" s="60">
        <f t="shared" si="4"/>
        <v>45534</v>
      </c>
      <c r="AD24" s="61">
        <f t="shared" si="5"/>
        <v>45534.708333333336</v>
      </c>
      <c r="AE24" s="69">
        <f t="shared" si="6"/>
        <v>45534.708333333336</v>
      </c>
      <c r="AF24" s="36" t="str">
        <f>[4]Sayfa1!$AP20</f>
        <v>(II) Birden fazla karşılaşılan arıza</v>
      </c>
      <c r="AG24" s="33" t="str">
        <f>IF([4]Sayfa1!$J20="C-Uyarı, sürüş devamlılığı","Bu Arıza Aracın Servise Verilmesine Engel Değil","Bu Arıza Aracın Servise Verilmesine Engel")</f>
        <v>Bu Arıza Aracın Servise Verilmesine Engel Değil</v>
      </c>
      <c r="AH24" s="41" t="str">
        <f>[4]Sayfa1!$AB20</f>
        <v>Arıza çözülecek</v>
      </c>
      <c r="AI24" s="60"/>
      <c r="AJ24" s="60"/>
      <c r="AK24" s="69">
        <f t="shared" si="7"/>
        <v>0</v>
      </c>
      <c r="AL24" s="71">
        <f t="shared" si="8"/>
        <v>57.20000000204891</v>
      </c>
      <c r="AM24" s="71">
        <f t="shared" si="9"/>
        <v>57.20000000204891</v>
      </c>
      <c r="AN24" s="72">
        <f t="shared" si="10"/>
        <v>0</v>
      </c>
      <c r="AO24" s="73" t="str">
        <f>[4]Sayfa1!$X20</f>
        <v>E810-7002</v>
      </c>
      <c r="AP24" s="72">
        <f>[4]Sayfa1!$Y20</f>
        <v>0</v>
      </c>
      <c r="AQ24" s="184" t="str">
        <f>[4]Sayfa1!$V20</f>
        <v>NSC TEKNOLOJİ ve İNŞAAT LTD.ŞTİ.</v>
      </c>
      <c r="AR24" s="74" t="str">
        <f>[4]Sayfa1!$W20</f>
        <v>XKAYIT CİHAZI(NVR)</v>
      </c>
      <c r="AS24" s="74">
        <f>[4]Sayfa1!$AD20</f>
        <v>0</v>
      </c>
      <c r="AT24" s="60" t="str">
        <f>[4]Sayfa1!$AE20</f>
        <v/>
      </c>
      <c r="AU24" s="60" t="str">
        <f>[4]Sayfa1!$AH20</f>
        <v/>
      </c>
      <c r="AV24" s="75">
        <v>19</v>
      </c>
      <c r="AW24" s="76">
        <f t="shared" si="11"/>
        <v>10.4866666670423</v>
      </c>
      <c r="AX24" s="77" t="str">
        <f>[4]Sayfa1!$A20</f>
        <v>0272ee9e</v>
      </c>
      <c r="AY24" s="78" t="s">
        <v>114</v>
      </c>
      <c r="AZ24" s="79" t="e" vm="1">
        <f t="shared" si="12"/>
        <v>#VALUE!</v>
      </c>
    </row>
    <row r="25" spans="1:52" ht="165.6">
      <c r="A25" s="59" t="s">
        <v>113</v>
      </c>
      <c r="B25" s="59" t="str">
        <f>[4]Sayfa1!$G21</f>
        <v>3878(7)</v>
      </c>
      <c r="C25" s="184" t="str">
        <f>[4]Sayfa1!$H21</f>
        <v>MA</v>
      </c>
      <c r="D25" s="24">
        <f>[4]Sayfa1!$N21</f>
        <v>15000</v>
      </c>
      <c r="E25" s="24" t="str">
        <f>[4]Sayfa1!$B21</f>
        <v>BOZ-KAY5+6-FF-020</v>
      </c>
      <c r="F25" s="60">
        <f>[4]Sayfa1!$E21</f>
        <v>45281</v>
      </c>
      <c r="G25" s="61">
        <f>[4]Sayfa1!$F21</f>
        <v>45281.679166666669</v>
      </c>
      <c r="H25" s="59" t="str">
        <f>[4]Sayfa1!$I21</f>
        <v>Hat/Line</v>
      </c>
      <c r="I25" s="62" t="str">
        <f>IF([4]Sayfa1!$K21="SSH","Notified by Bozankaya","Notified by Customer")</f>
        <v>Notified by Customer</v>
      </c>
      <c r="J25" s="59" t="e">
        <f>VLOOKUP([4]Sayfa1!$AU21,#REF!,2,FALSE)</f>
        <v>#REF!</v>
      </c>
      <c r="K25" s="59">
        <f>[4]Sayfa1!$AC21</f>
        <v>0</v>
      </c>
      <c r="L25" s="63" t="str">
        <f t="shared" si="0"/>
        <v>KAY_5+6-BOZ-KAY5+6-FF-020</v>
      </c>
      <c r="M25" s="64" t="str">
        <f>[4]Sayfa1!$L21</f>
        <v>Araç nvrları kesik kesik kayıt yapıyor.Kendi kendine açılıp kapanıyor</v>
      </c>
      <c r="N25" s="33" t="str">
        <f>[4]Sayfa1!$J21</f>
        <v>C-Uyarı, sürüş devamlılığı</v>
      </c>
      <c r="O25" s="33" t="str">
        <f>[4]Sayfa1!$P21</f>
        <v>C(Sisteme etki etmeyen arıza)</v>
      </c>
      <c r="P25" s="33" t="str">
        <f>[4]Sayfa1!$Q21</f>
        <v>N.A(Yaralanma yok)</v>
      </c>
      <c r="Q25" s="65" t="str" cm="1">
        <f t="array" ref="Q25">_xlfn.IFS([4]Sayfa1!$R21="Bozankaya","Bozankaya",[4]Sayfa1!$R21="İşletme","Customer",[4]Sayfa1!$R21="Tedarikçi","Equipment Supplier")</f>
        <v>Equipment Supplier</v>
      </c>
      <c r="R25" s="66" t="str">
        <f>[4]Sayfa1!$M21</f>
        <v>Gerekli modikasyonlar uygulanmıştır</v>
      </c>
      <c r="S25" s="36" t="str">
        <f>[4]Sayfa1!$S21</f>
        <v>NSC</v>
      </c>
      <c r="T25" s="67">
        <f>[4]Sayfa1!$Z21</f>
        <v>0</v>
      </c>
      <c r="U25" s="68">
        <f>[4]Sayfa1!$AN21</f>
        <v>1</v>
      </c>
      <c r="V25" s="60">
        <f>[4]Sayfa1!$T21</f>
        <v>45534</v>
      </c>
      <c r="W25" s="61">
        <f>[4]Sayfa1!$U21</f>
        <v>45534.664074074077</v>
      </c>
      <c r="X25" s="69">
        <f t="shared" si="1"/>
        <v>45534.664074074077</v>
      </c>
      <c r="Y25" s="70">
        <f>[4]Sayfa1!$AQ21</f>
        <v>45534</v>
      </c>
      <c r="Z25" s="61">
        <f>[4]Sayfa1!$AR21</f>
        <v>45534.708333333336</v>
      </c>
      <c r="AA25" s="69">
        <f t="shared" si="2"/>
        <v>45534.708333333336</v>
      </c>
      <c r="AB25" s="71">
        <f t="shared" si="3"/>
        <v>1.062222222215496</v>
      </c>
      <c r="AC25" s="60">
        <f t="shared" si="4"/>
        <v>45534</v>
      </c>
      <c r="AD25" s="61">
        <f t="shared" si="5"/>
        <v>45534.708333333336</v>
      </c>
      <c r="AE25" s="69">
        <f t="shared" si="6"/>
        <v>45534.708333333336</v>
      </c>
      <c r="AF25" s="36" t="str">
        <f>[4]Sayfa1!$AP21</f>
        <v>(II) Birden fazla karşılaşılan arıza</v>
      </c>
      <c r="AG25" s="33" t="str">
        <f>IF([4]Sayfa1!$J21="C-Uyarı, sürüş devamlılığı","Bu Arıza Aracın Servise Verilmesine Engel Değil","Bu Arıza Aracın Servise Verilmesine Engel")</f>
        <v>Bu Arıza Aracın Servise Verilmesine Engel Değil</v>
      </c>
      <c r="AH25" s="41" t="str">
        <f>[4]Sayfa1!$AB21</f>
        <v>Arıza çözülecek</v>
      </c>
      <c r="AI25" s="60"/>
      <c r="AJ25" s="60"/>
      <c r="AK25" s="69">
        <f t="shared" si="7"/>
        <v>0</v>
      </c>
      <c r="AL25" s="71">
        <f t="shared" si="8"/>
        <v>63.73333333292976</v>
      </c>
      <c r="AM25" s="71">
        <f t="shared" si="9"/>
        <v>63.73333333292976</v>
      </c>
      <c r="AN25" s="72">
        <f t="shared" si="10"/>
        <v>0</v>
      </c>
      <c r="AO25" s="73" t="str">
        <f>[4]Sayfa1!$X21</f>
        <v>E810-7002</v>
      </c>
      <c r="AP25" s="72">
        <f>[4]Sayfa1!$Y21</f>
        <v>0</v>
      </c>
      <c r="AQ25" s="184" t="str">
        <f>[4]Sayfa1!$V21</f>
        <v>NSC TEKNOLOJİ ve İNŞAAT LTD.ŞTİ.</v>
      </c>
      <c r="AR25" s="74" t="str">
        <f>[4]Sayfa1!$W21</f>
        <v>XKAYIT CİHAZI(NVR)</v>
      </c>
      <c r="AS25" s="74">
        <f>[4]Sayfa1!$AD21</f>
        <v>0</v>
      </c>
      <c r="AT25" s="60" t="str">
        <f>[4]Sayfa1!$AE21</f>
        <v/>
      </c>
      <c r="AU25" s="60" t="str">
        <f>[4]Sayfa1!$AH21</f>
        <v/>
      </c>
      <c r="AV25" s="75">
        <v>20</v>
      </c>
      <c r="AW25" s="76">
        <f t="shared" si="11"/>
        <v>11.684444444370456</v>
      </c>
      <c r="AX25" s="77" t="str">
        <f>[4]Sayfa1!$A21</f>
        <v>30f6a84a</v>
      </c>
      <c r="AY25" s="78" t="s">
        <v>114</v>
      </c>
      <c r="AZ25" s="79" t="e" vm="1">
        <f t="shared" si="12"/>
        <v>#VALUE!</v>
      </c>
    </row>
    <row r="26" spans="1:52" ht="160.15">
      <c r="A26" s="59" t="s">
        <v>113</v>
      </c>
      <c r="B26" s="59" t="str">
        <f>[4]Sayfa1!$G22</f>
        <v>3875(4)</v>
      </c>
      <c r="C26" s="184" t="str">
        <f>[4]Sayfa1!$H22</f>
        <v>MA</v>
      </c>
      <c r="D26" s="24">
        <f>[4]Sayfa1!$N22</f>
        <v>35100</v>
      </c>
      <c r="E26" s="24" t="str">
        <f>[4]Sayfa1!$B22</f>
        <v>BOZ-KAY5+6-FF-021</v>
      </c>
      <c r="F26" s="60">
        <f>[4]Sayfa1!$E22</f>
        <v>45282</v>
      </c>
      <c r="G26" s="61">
        <f>[4]Sayfa1!$F22</f>
        <v>45282.684027777781</v>
      </c>
      <c r="H26" s="59" t="str">
        <f>[4]Sayfa1!$I22</f>
        <v>Hat/Line</v>
      </c>
      <c r="I26" s="62" t="str">
        <f>IF([4]Sayfa1!$K22="SSH","Notified by Bozankaya","Notified by Customer")</f>
        <v>Notified by Customer</v>
      </c>
      <c r="J26" s="59" t="e">
        <f>VLOOKUP([4]Sayfa1!$AU22,#REF!,2,FALSE)</f>
        <v>#REF!</v>
      </c>
      <c r="K26" s="59">
        <f>[4]Sayfa1!$AC22</f>
        <v>0</v>
      </c>
      <c r="L26" s="63" t="str">
        <f t="shared" si="0"/>
        <v>KAY_5+6-BOZ-KAY5+6-FF-021</v>
      </c>
      <c r="M26" s="64" t="str">
        <f>[4]Sayfa1!$L22</f>
        <v>MA Akü yanık üst plakalarda ısınma ve deforme mevcut</v>
      </c>
      <c r="N26" s="33" t="str">
        <f>[4]Sayfa1!$J22</f>
        <v>C-Uyarı, sürüş devamlılığı</v>
      </c>
      <c r="O26" s="33" t="str">
        <f>[4]Sayfa1!$P22</f>
        <v>C(Sisteme etki etmeyen arıza)</v>
      </c>
      <c r="P26" s="33" t="str">
        <f>[4]Sayfa1!$Q22</f>
        <v>N.A(Yaralanma yok)</v>
      </c>
      <c r="Q26" s="65" t="str" cm="1">
        <f t="array" ref="Q26">_xlfn.IFS([4]Sayfa1!$R22="Bozankaya","Bozankaya",[4]Sayfa1!$R22="İşletme","Customer",[4]Sayfa1!$R22="Tedarikçi","Equipment Supplier")</f>
        <v>Equipment Supplier</v>
      </c>
      <c r="R26" s="66" t="str">
        <f>[4]Sayfa1!$M22</f>
        <v>Akü sökülüp koruyucu bakıma teslim edildi</v>
      </c>
      <c r="S26" s="36" t="str">
        <f>[4]Sayfa1!$S22</f>
        <v>Hoppecke</v>
      </c>
      <c r="T26" s="67">
        <f>[4]Sayfa1!$Z22</f>
        <v>0</v>
      </c>
      <c r="U26" s="68">
        <f>[4]Sayfa1!$AN22</f>
        <v>1</v>
      </c>
      <c r="V26" s="60">
        <f>[4]Sayfa1!$T22</f>
        <v>45531</v>
      </c>
      <c r="W26" s="61">
        <f>[4]Sayfa1!$U22</f>
        <v>45531.642291666663</v>
      </c>
      <c r="X26" s="69">
        <f t="shared" si="1"/>
        <v>45531.642291666663</v>
      </c>
      <c r="Y26" s="70">
        <f>[4]Sayfa1!$AQ22</f>
        <v>45531</v>
      </c>
      <c r="Z26" s="61">
        <f>[4]Sayfa1!$AR22</f>
        <v>45531.770833333336</v>
      </c>
      <c r="AA26" s="69">
        <f t="shared" si="2"/>
        <v>45531.770833333336</v>
      </c>
      <c r="AB26" s="71">
        <f t="shared" si="3"/>
        <v>3.0850000001373701</v>
      </c>
      <c r="AC26" s="60">
        <f t="shared" si="4"/>
        <v>45531</v>
      </c>
      <c r="AD26" s="61">
        <f t="shared" si="5"/>
        <v>45531.770833333336</v>
      </c>
      <c r="AE26" s="69">
        <f t="shared" si="6"/>
        <v>45531.770833333336</v>
      </c>
      <c r="AF26" s="36" t="str">
        <f>[4]Sayfa1!$AP22</f>
        <v>(I) İlk defa karşılaşılan arıza</v>
      </c>
      <c r="AG26" s="33" t="str">
        <f>IF([4]Sayfa1!$J22="C-Uyarı, sürüş devamlılığı","Bu Arıza Aracın Servise Verilmesine Engel Değil","Bu Arıza Aracın Servise Verilmesine Engel")</f>
        <v>Bu Arıza Aracın Servise Verilmesine Engel Değil</v>
      </c>
      <c r="AH26" s="41">
        <f>[4]Sayfa1!$AB22</f>
        <v>0</v>
      </c>
      <c r="AI26" s="60"/>
      <c r="AJ26" s="60"/>
      <c r="AK26" s="69">
        <f t="shared" si="7"/>
        <v>0</v>
      </c>
      <c r="AL26" s="71">
        <f t="shared" si="8"/>
        <v>185.1000000082422</v>
      </c>
      <c r="AM26" s="71">
        <f t="shared" si="9"/>
        <v>185.1000000082422</v>
      </c>
      <c r="AN26" s="72">
        <f t="shared" si="10"/>
        <v>0</v>
      </c>
      <c r="AO26" s="73" t="str">
        <f>[4]Sayfa1!$X22</f>
        <v>P680-7147</v>
      </c>
      <c r="AP26" s="72">
        <f>[4]Sayfa1!$Y22</f>
        <v>0</v>
      </c>
      <c r="AQ26" s="184" t="str">
        <f>[4]Sayfa1!$V22</f>
        <v>HOPPECKE Batterie Systeme GmbH</v>
      </c>
      <c r="AR26" s="74" t="str">
        <f>[4]Sayfa1!$W22</f>
        <v>24V BATARYA KUTUSU İÇ MALZEMELER</v>
      </c>
      <c r="AS26" s="74">
        <f>[4]Sayfa1!$AD22</f>
        <v>0</v>
      </c>
      <c r="AT26" s="60" t="str">
        <f>[4]Sayfa1!$AE22</f>
        <v/>
      </c>
      <c r="AU26" s="60" t="str">
        <f>[4]Sayfa1!$AH22</f>
        <v/>
      </c>
      <c r="AV26" s="75">
        <v>21</v>
      </c>
      <c r="AW26" s="76">
        <f t="shared" si="11"/>
        <v>33.935000001511071</v>
      </c>
      <c r="AX26" s="77" t="str">
        <f>[4]Sayfa1!$A22</f>
        <v>dcc2f568</v>
      </c>
      <c r="AY26" s="78" t="s">
        <v>114</v>
      </c>
      <c r="AZ26" s="79" t="e" vm="1">
        <f t="shared" si="12"/>
        <v>#VALUE!</v>
      </c>
    </row>
    <row r="27" spans="1:52" ht="160.15">
      <c r="A27" s="59" t="s">
        <v>113</v>
      </c>
      <c r="B27" s="59" t="str">
        <f>[4]Sayfa1!$G23</f>
        <v>3873(2)</v>
      </c>
      <c r="C27" s="184" t="str">
        <f>[4]Sayfa1!$H23</f>
        <v>MB</v>
      </c>
      <c r="D27" s="24">
        <f>[4]Sayfa1!$N23</f>
        <v>44900</v>
      </c>
      <c r="E27" s="24" t="str">
        <f>[4]Sayfa1!$B23</f>
        <v>BOZ-KAY5+6-FF-022</v>
      </c>
      <c r="F27" s="60">
        <f>[4]Sayfa1!$E23</f>
        <v>45285</v>
      </c>
      <c r="G27" s="61">
        <f>[4]Sayfa1!$F23</f>
        <v>45285.236111111109</v>
      </c>
      <c r="H27" s="59" t="str">
        <f>[4]Sayfa1!$I23</f>
        <v>Hat/Line</v>
      </c>
      <c r="I27" s="62" t="str">
        <f>IF([4]Sayfa1!$K23="SSH","Notified by Bozankaya","Notified by Customer")</f>
        <v>Notified by Customer</v>
      </c>
      <c r="J27" s="59" t="e">
        <f>VLOOKUP([4]Sayfa1!$AU23,#REF!,2,FALSE)</f>
        <v>#REF!</v>
      </c>
      <c r="K27" s="59">
        <f>[4]Sayfa1!$AC23</f>
        <v>0</v>
      </c>
      <c r="L27" s="63" t="str">
        <f t="shared" si="0"/>
        <v>KAY_5+6-BOZ-KAY5+6-FF-022</v>
      </c>
      <c r="M27" s="64" t="str">
        <f>[4]Sayfa1!$L23</f>
        <v>MB BÖLÜMÜ AYDINLATMA BİR BÖLÜMÜ YANMIYOR</v>
      </c>
      <c r="N27" s="33" t="str">
        <f>[4]Sayfa1!$J23</f>
        <v>C-Uyarı, sürüş devamlılığı</v>
      </c>
      <c r="O27" s="33" t="str">
        <f>[4]Sayfa1!$P23</f>
        <v>C(Sisteme etki etmeyen arıza)</v>
      </c>
      <c r="P27" s="33" t="str">
        <f>[4]Sayfa1!$Q23</f>
        <v>N.A(Yaralanma yok)</v>
      </c>
      <c r="Q27" s="65" t="str" cm="1">
        <f t="array" ref="Q27">_xlfn.IFS([4]Sayfa1!$R23="Bozankaya","Bozankaya",[4]Sayfa1!$R23="İşletme","Customer",[4]Sayfa1!$R23="Tedarikçi","Equipment Supplier")</f>
        <v>Bozankaya</v>
      </c>
      <c r="R27" s="66" t="str">
        <f>[4]Sayfa1!$M23</f>
        <v>KC1076.03 KABLOSU KL'12YE GİRİLMİŞ DÜZELTİLDİ</v>
      </c>
      <c r="S27" s="36" t="str">
        <f>[4]Sayfa1!$S23</f>
        <v>Fabrika Test</v>
      </c>
      <c r="T27" s="67">
        <f>[4]Sayfa1!$Z23</f>
        <v>0</v>
      </c>
      <c r="U27" s="68">
        <f>[4]Sayfa1!$AN23</f>
        <v>1</v>
      </c>
      <c r="V27" s="60">
        <f>[4]Sayfa1!$T23</f>
        <v>45285</v>
      </c>
      <c r="W27" s="61">
        <f>[4]Sayfa1!$U23</f>
        <v>45285.333333333336</v>
      </c>
      <c r="X27" s="69">
        <f t="shared" si="1"/>
        <v>45285.333333333336</v>
      </c>
      <c r="Y27" s="70">
        <f>[4]Sayfa1!$AQ23</f>
        <v>45285</v>
      </c>
      <c r="Z27" s="61">
        <f>[4]Sayfa1!$AR23</f>
        <v>45285.458333333336</v>
      </c>
      <c r="AA27" s="69">
        <f t="shared" si="2"/>
        <v>45285.458333333336</v>
      </c>
      <c r="AB27" s="71">
        <f t="shared" si="3"/>
        <v>0</v>
      </c>
      <c r="AC27" s="60">
        <f t="shared" si="4"/>
        <v>45285</v>
      </c>
      <c r="AD27" s="61">
        <f t="shared" si="5"/>
        <v>45285.458333333336</v>
      </c>
      <c r="AE27" s="69">
        <f t="shared" si="6"/>
        <v>45285.458333333336</v>
      </c>
      <c r="AF27" s="36" t="str">
        <f>[4]Sayfa1!$AP23</f>
        <v>(I) İlk defa karşılaşılan arıza</v>
      </c>
      <c r="AG27" s="33" t="str">
        <f>IF([4]Sayfa1!$J23="C-Uyarı, sürüş devamlılığı","Bu Arıza Aracın Servise Verilmesine Engel Değil","Bu Arıza Aracın Servise Verilmesine Engel")</f>
        <v>Bu Arıza Aracın Servise Verilmesine Engel Değil</v>
      </c>
      <c r="AH27" s="41">
        <f>[4]Sayfa1!$AB23</f>
        <v>0</v>
      </c>
      <c r="AI27" s="60"/>
      <c r="AJ27" s="60"/>
      <c r="AK27" s="69">
        <f t="shared" si="7"/>
        <v>0</v>
      </c>
      <c r="AL27" s="71">
        <f t="shared" si="8"/>
        <v>0</v>
      </c>
      <c r="AM27" s="71">
        <f t="shared" si="9"/>
        <v>0</v>
      </c>
      <c r="AN27" s="72">
        <f t="shared" si="10"/>
        <v>0</v>
      </c>
      <c r="AO27" s="73" t="str">
        <f>[4]Sayfa1!$X23</f>
        <v>E455-7055</v>
      </c>
      <c r="AP27" s="72">
        <f>[4]Sayfa1!$Y23</f>
        <v>0</v>
      </c>
      <c r="AQ27" s="184" t="str">
        <f>[4]Sayfa1!$V23</f>
        <v>ERA ELEKTRONIK SANAYİ VE TİCARET A.</v>
      </c>
      <c r="AR27" s="74" t="str">
        <f>[4]Sayfa1!$W23</f>
        <v>TAVAN AYDINLATMA ARMATÜRÜ SETİ</v>
      </c>
      <c r="AS27" s="74">
        <f>[4]Sayfa1!$AD23</f>
        <v>0</v>
      </c>
      <c r="AT27" s="60" t="str">
        <f>[4]Sayfa1!$AE23</f>
        <v/>
      </c>
      <c r="AU27" s="60" t="str">
        <f>[4]Sayfa1!$AH23</f>
        <v/>
      </c>
      <c r="AV27" s="75">
        <v>22</v>
      </c>
      <c r="AW27" s="76">
        <f t="shared" si="11"/>
        <v>0</v>
      </c>
      <c r="AX27" s="77" t="str">
        <f>[4]Sayfa1!$A23</f>
        <v>6f00c2d1</v>
      </c>
      <c r="AY27" s="78" t="s">
        <v>114</v>
      </c>
      <c r="AZ27" s="79" t="e" vm="1">
        <f t="shared" si="12"/>
        <v>#VALUE!</v>
      </c>
    </row>
    <row r="28" spans="1:52" ht="138">
      <c r="A28" s="59" t="s">
        <v>113</v>
      </c>
      <c r="B28" s="59" t="str">
        <f>[4]Sayfa1!$G24</f>
        <v>3872(1)</v>
      </c>
      <c r="C28" s="184" t="str">
        <f>[4]Sayfa1!$H24</f>
        <v>MA</v>
      </c>
      <c r="D28" s="24">
        <f>[4]Sayfa1!$N24</f>
        <v>35500</v>
      </c>
      <c r="E28" s="24" t="str">
        <f>[4]Sayfa1!$B24</f>
        <v>BOZ-KAY5+6-FF-023</v>
      </c>
      <c r="F28" s="60">
        <f>[4]Sayfa1!$E24</f>
        <v>45290</v>
      </c>
      <c r="G28" s="61">
        <f>[4]Sayfa1!$F24</f>
        <v>45290.973611111112</v>
      </c>
      <c r="H28" s="59" t="str">
        <f>[4]Sayfa1!$I24</f>
        <v>Hat/Line</v>
      </c>
      <c r="I28" s="62" t="str">
        <f>IF([4]Sayfa1!$K24="SSH","Notified by Bozankaya","Notified by Customer")</f>
        <v>Notified by Customer</v>
      </c>
      <c r="J28" s="59" t="e">
        <f>VLOOKUP([4]Sayfa1!$AU24,#REF!,2,FALSE)</f>
        <v>#REF!</v>
      </c>
      <c r="K28" s="59">
        <f>[4]Sayfa1!$AC24</f>
        <v>0</v>
      </c>
      <c r="L28" s="63" t="str">
        <f t="shared" si="0"/>
        <v>KAY_5+6-BOZ-KAY5+6-FF-023</v>
      </c>
      <c r="M28" s="64" t="str">
        <f>[4]Sayfa1!$L24</f>
        <v>Araç nvr kesik kesik kayıt ediyor</v>
      </c>
      <c r="N28" s="33" t="str">
        <f>[4]Sayfa1!$J24</f>
        <v>C-Uyarı, sürüş devamlılığı</v>
      </c>
      <c r="O28" s="33" t="str">
        <f>[4]Sayfa1!$P24</f>
        <v>C(Sisteme etki etmeyen arıza)</v>
      </c>
      <c r="P28" s="33" t="str">
        <f>[4]Sayfa1!$Q24</f>
        <v>N.A(Yaralanma yok)</v>
      </c>
      <c r="Q28" s="65" t="str" cm="1">
        <f t="array" ref="Q28">_xlfn.IFS([4]Sayfa1!$R24="Bozankaya","Bozankaya",[4]Sayfa1!$R24="İşletme","Customer",[4]Sayfa1!$R24="Tedarikçi","Equipment Supplier")</f>
        <v>Equipment Supplier</v>
      </c>
      <c r="R28" s="66" t="str">
        <f>[4]Sayfa1!$M24</f>
        <v>Gerekli modifikasyon uygulandı.Sorun giderildi</v>
      </c>
      <c r="S28" s="36" t="str">
        <f>[4]Sayfa1!$S24</f>
        <v>NSC</v>
      </c>
      <c r="T28" s="67">
        <f>[4]Sayfa1!$Z24</f>
        <v>0</v>
      </c>
      <c r="U28" s="68">
        <f>[4]Sayfa1!$AN24</f>
        <v>1</v>
      </c>
      <c r="V28" s="60">
        <f>[4]Sayfa1!$T24</f>
        <v>45534</v>
      </c>
      <c r="W28" s="61">
        <f>[4]Sayfa1!$U24</f>
        <v>45534.685659722221</v>
      </c>
      <c r="X28" s="69">
        <f t="shared" si="1"/>
        <v>45534.685659722221</v>
      </c>
      <c r="Y28" s="70">
        <f>[4]Sayfa1!$AQ24</f>
        <v>45534</v>
      </c>
      <c r="Z28" s="61">
        <f>[4]Sayfa1!$AR24</f>
        <v>45534.75</v>
      </c>
      <c r="AA28" s="69">
        <f t="shared" si="2"/>
        <v>45534.75</v>
      </c>
      <c r="AB28" s="71">
        <f t="shared" si="3"/>
        <v>1.5441666666883975</v>
      </c>
      <c r="AC28" s="60">
        <f t="shared" si="4"/>
        <v>45534</v>
      </c>
      <c r="AD28" s="61">
        <f t="shared" si="5"/>
        <v>45534.75</v>
      </c>
      <c r="AE28" s="69">
        <f t="shared" si="6"/>
        <v>45534.75</v>
      </c>
      <c r="AF28" s="36" t="str">
        <f>[4]Sayfa1!$AP24</f>
        <v>(II) Birden fazla karşılaşılan arıza</v>
      </c>
      <c r="AG28" s="33" t="str">
        <f>IF([4]Sayfa1!$J24="C-Uyarı, sürüş devamlılığı","Bu Arıza Aracın Servise Verilmesine Engel Değil","Bu Arıza Aracın Servise Verilmesine Engel")</f>
        <v>Bu Arıza Aracın Servise Verilmesine Engel Değil</v>
      </c>
      <c r="AH28" s="41" t="str">
        <f>[4]Sayfa1!$AB24</f>
        <v>Arıza çözülecek</v>
      </c>
      <c r="AI28" s="60"/>
      <c r="AJ28" s="60"/>
      <c r="AK28" s="69">
        <f t="shared" si="7"/>
        <v>0</v>
      </c>
      <c r="AL28" s="71">
        <f t="shared" si="8"/>
        <v>92.650000001303852</v>
      </c>
      <c r="AM28" s="71">
        <f t="shared" si="9"/>
        <v>92.650000001303852</v>
      </c>
      <c r="AN28" s="72">
        <f t="shared" si="10"/>
        <v>0</v>
      </c>
      <c r="AO28" s="73" t="str">
        <f>[4]Sayfa1!$X24</f>
        <v>E810-7002</v>
      </c>
      <c r="AP28" s="72">
        <f>[4]Sayfa1!$Y24</f>
        <v>0</v>
      </c>
      <c r="AQ28" s="184" t="str">
        <f>[4]Sayfa1!$V24</f>
        <v>NSC TEKNOLOJİ ve İNŞAAT LTD.ŞTİ.</v>
      </c>
      <c r="AR28" s="74" t="str">
        <f>[4]Sayfa1!$W24</f>
        <v>XKAYIT CİHAZI(NVR)</v>
      </c>
      <c r="AS28" s="74">
        <f>[4]Sayfa1!$AD24</f>
        <v>0</v>
      </c>
      <c r="AT28" s="60" t="str">
        <f>[4]Sayfa1!$AE24</f>
        <v/>
      </c>
      <c r="AU28" s="60" t="str">
        <f>[4]Sayfa1!$AH24</f>
        <v/>
      </c>
      <c r="AV28" s="75">
        <v>23</v>
      </c>
      <c r="AW28" s="76">
        <f t="shared" si="11"/>
        <v>16.985833333572373</v>
      </c>
      <c r="AX28" s="77" t="str">
        <f>[4]Sayfa1!$A24</f>
        <v>9b865495</v>
      </c>
      <c r="AY28" s="78" t="s">
        <v>114</v>
      </c>
      <c r="AZ28" s="79" t="e" vm="1">
        <f t="shared" si="12"/>
        <v>#VALUE!</v>
      </c>
    </row>
    <row r="29" spans="1:52" ht="140.44999999999999">
      <c r="A29" s="59" t="s">
        <v>113</v>
      </c>
      <c r="B29" s="59" t="str">
        <f>[4]Sayfa1!$G25</f>
        <v>3875(4)</v>
      </c>
      <c r="C29" s="184" t="str">
        <f>[4]Sayfa1!$H25</f>
        <v>MA</v>
      </c>
      <c r="D29" s="24">
        <f>[4]Sayfa1!$N25</f>
        <v>35500</v>
      </c>
      <c r="E29" s="24" t="str">
        <f>[4]Sayfa1!$B25</f>
        <v>BOZ-KAY5+6-FF-024</v>
      </c>
      <c r="F29" s="60">
        <f>[4]Sayfa1!$E25</f>
        <v>45290</v>
      </c>
      <c r="G29" s="61">
        <f>[4]Sayfa1!$F25</f>
        <v>45290.979861111111</v>
      </c>
      <c r="H29" s="59" t="str">
        <f>[4]Sayfa1!$I25</f>
        <v>Depo/Depot</v>
      </c>
      <c r="I29" s="62" t="str">
        <f>IF([4]Sayfa1!$K25="SSH","Notified by Bozankaya","Notified by Customer")</f>
        <v>Notified by Customer</v>
      </c>
      <c r="J29" s="59" t="e">
        <f>VLOOKUP([4]Sayfa1!$AU25,#REF!,2,FALSE)</f>
        <v>#REF!</v>
      </c>
      <c r="K29" s="59">
        <f>[4]Sayfa1!$AC25</f>
        <v>0</v>
      </c>
      <c r="L29" s="63" t="str">
        <f t="shared" si="0"/>
        <v>KAY_5+6-BOZ-KAY5+6-FF-024</v>
      </c>
      <c r="M29" s="64" t="str">
        <f>[4]Sayfa1!$L25</f>
        <v>Araç NVR kesik kesik kayıt ediyor</v>
      </c>
      <c r="N29" s="33" t="str">
        <f>[4]Sayfa1!$J25</f>
        <v>C-Uyarı, sürüş devamlılığı</v>
      </c>
      <c r="O29" s="33" t="str">
        <f>[4]Sayfa1!$P25</f>
        <v>C(Sisteme etki etmeyen arıza)</v>
      </c>
      <c r="P29" s="33" t="str">
        <f>[4]Sayfa1!$Q25</f>
        <v>N.A(Yaralanma yok)</v>
      </c>
      <c r="Q29" s="65" t="str" cm="1">
        <f t="array" ref="Q29">_xlfn.IFS([4]Sayfa1!$R25="Bozankaya","Bozankaya",[4]Sayfa1!$R25="İşletme","Customer",[4]Sayfa1!$R25="Tedarikçi","Equipment Supplier")</f>
        <v>Equipment Supplier</v>
      </c>
      <c r="R29" s="66" t="str">
        <f>[4]Sayfa1!$M25</f>
        <v>Kesik kayıt modifikasyonu yapıldı</v>
      </c>
      <c r="S29" s="36" t="str">
        <f>[4]Sayfa1!$S25</f>
        <v>NSC</v>
      </c>
      <c r="T29" s="67">
        <f>[4]Sayfa1!$Z25</f>
        <v>0</v>
      </c>
      <c r="U29" s="68">
        <f>[4]Sayfa1!$AN25</f>
        <v>1</v>
      </c>
      <c r="V29" s="60">
        <f>[4]Sayfa1!$T25</f>
        <v>45531</v>
      </c>
      <c r="W29" s="61">
        <f>[4]Sayfa1!$U25</f>
        <v>45531.632268518515</v>
      </c>
      <c r="X29" s="69">
        <f t="shared" si="1"/>
        <v>45531.632268518515</v>
      </c>
      <c r="Y29" s="70">
        <f>[4]Sayfa1!$AQ25</f>
        <v>45531</v>
      </c>
      <c r="Z29" s="61">
        <f>[4]Sayfa1!$AR25</f>
        <v>45531.75</v>
      </c>
      <c r="AA29" s="69">
        <f t="shared" si="2"/>
        <v>45531.75</v>
      </c>
      <c r="AB29" s="71">
        <f t="shared" si="3"/>
        <v>2.8255555556388572</v>
      </c>
      <c r="AC29" s="60">
        <f t="shared" si="4"/>
        <v>45531</v>
      </c>
      <c r="AD29" s="61">
        <f t="shared" si="5"/>
        <v>45531.75</v>
      </c>
      <c r="AE29" s="69">
        <f t="shared" si="6"/>
        <v>45531.75</v>
      </c>
      <c r="AF29" s="36" t="str">
        <f>[4]Sayfa1!$AP25</f>
        <v>(I) İlk defa karşılaşılan arıza</v>
      </c>
      <c r="AG29" s="33" t="str">
        <f>IF([4]Sayfa1!$J25="C-Uyarı, sürüş devamlılığı","Bu Arıza Aracın Servise Verilmesine Engel Değil","Bu Arıza Aracın Servise Verilmesine Engel")</f>
        <v>Bu Arıza Aracın Servise Verilmesine Engel Değil</v>
      </c>
      <c r="AH29" s="41">
        <f>[4]Sayfa1!$AB25</f>
        <v>0</v>
      </c>
      <c r="AI29" s="60"/>
      <c r="AJ29" s="60"/>
      <c r="AK29" s="69">
        <f t="shared" si="7"/>
        <v>0</v>
      </c>
      <c r="AL29" s="71">
        <f t="shared" si="8"/>
        <v>169.53333333833143</v>
      </c>
      <c r="AM29" s="71">
        <f t="shared" si="9"/>
        <v>169.53333333833143</v>
      </c>
      <c r="AN29" s="72">
        <f t="shared" si="10"/>
        <v>0</v>
      </c>
      <c r="AO29" s="73" t="str">
        <f>[4]Sayfa1!$X25</f>
        <v>E810-7002</v>
      </c>
      <c r="AP29" s="72">
        <f>[4]Sayfa1!$Y25</f>
        <v>0</v>
      </c>
      <c r="AQ29" s="184" t="str">
        <f>[4]Sayfa1!$V25</f>
        <v>NSC TEKNOLOJİ ve İNŞAAT LTD.ŞTİ.</v>
      </c>
      <c r="AR29" s="74" t="str">
        <f>[4]Sayfa1!$W25</f>
        <v>XKAYIT CİHAZI(NVR)</v>
      </c>
      <c r="AS29" s="74">
        <f>[4]Sayfa1!$AD25</f>
        <v>0</v>
      </c>
      <c r="AT29" s="60" t="str">
        <f>[4]Sayfa1!$AE25</f>
        <v/>
      </c>
      <c r="AU29" s="60" t="str">
        <f>[4]Sayfa1!$AH25</f>
        <v/>
      </c>
      <c r="AV29" s="75">
        <v>24</v>
      </c>
      <c r="AW29" s="76">
        <f t="shared" si="11"/>
        <v>31.081111112027429</v>
      </c>
      <c r="AX29" s="77" t="str">
        <f>[4]Sayfa1!$A25</f>
        <v>175f6c7d</v>
      </c>
      <c r="AY29" s="78" t="s">
        <v>114</v>
      </c>
      <c r="AZ29" s="79" t="e" vm="1">
        <f t="shared" si="12"/>
        <v>#VALUE!</v>
      </c>
    </row>
    <row r="30" spans="1:52" ht="138">
      <c r="A30" s="59" t="s">
        <v>113</v>
      </c>
      <c r="B30" s="59" t="str">
        <f>[4]Sayfa1!$G26</f>
        <v>3877(6)</v>
      </c>
      <c r="C30" s="184" t="str">
        <f>[4]Sayfa1!$H26</f>
        <v>MA</v>
      </c>
      <c r="D30" s="24">
        <f>[4]Sayfa1!$N26</f>
        <v>22500</v>
      </c>
      <c r="E30" s="24" t="str">
        <f>[4]Sayfa1!$B26</f>
        <v>BOZ-KAY5+6-FF-025</v>
      </c>
      <c r="F30" s="60">
        <f>[4]Sayfa1!$E26</f>
        <v>45290</v>
      </c>
      <c r="G30" s="61">
        <f>[4]Sayfa1!$F26</f>
        <v>45290.981249999997</v>
      </c>
      <c r="H30" s="59" t="str">
        <f>[4]Sayfa1!$I26</f>
        <v>Hat/Line</v>
      </c>
      <c r="I30" s="62" t="str">
        <f>IF([4]Sayfa1!$K26="SSH","Notified by Bozankaya","Notified by Customer")</f>
        <v>Notified by Customer</v>
      </c>
      <c r="J30" s="59" t="e">
        <f>VLOOKUP([4]Sayfa1!$AU26,#REF!,2,FALSE)</f>
        <v>#REF!</v>
      </c>
      <c r="K30" s="59">
        <f>[4]Sayfa1!$AC26</f>
        <v>0</v>
      </c>
      <c r="L30" s="63" t="str">
        <f t="shared" si="0"/>
        <v>KAY_5+6-BOZ-KAY5+6-FF-025</v>
      </c>
      <c r="M30" s="64" t="str">
        <f>[4]Sayfa1!$L26</f>
        <v>Araç nvr kesik kesik kayıt ediyor</v>
      </c>
      <c r="N30" s="33" t="str">
        <f>[4]Sayfa1!$J26</f>
        <v>C-Uyarı, sürüş devamlılığı</v>
      </c>
      <c r="O30" s="33" t="str">
        <f>[4]Sayfa1!$P26</f>
        <v>C(Sisteme etki etmeyen arıza)</v>
      </c>
      <c r="P30" s="33" t="str">
        <f>[4]Sayfa1!$Q26</f>
        <v>N.A(Yaralanma yok)</v>
      </c>
      <c r="Q30" s="65" t="str" cm="1">
        <f t="array" ref="Q30">_xlfn.IFS([4]Sayfa1!$R26="Bozankaya","Bozankaya",[4]Sayfa1!$R26="İşletme","Customer",[4]Sayfa1!$R26="Tedarikçi","Equipment Supplier")</f>
        <v>Equipment Supplier</v>
      </c>
      <c r="R30" s="66" t="str">
        <f>[4]Sayfa1!$M26</f>
        <v>gerekli modifikasyon uygulandı.sorun giderildi</v>
      </c>
      <c r="S30" s="36" t="str">
        <f>[4]Sayfa1!$S26</f>
        <v>NSC</v>
      </c>
      <c r="T30" s="67">
        <f>[4]Sayfa1!$Z26</f>
        <v>0</v>
      </c>
      <c r="U30" s="68">
        <f>[4]Sayfa1!$AN26</f>
        <v>1</v>
      </c>
      <c r="V30" s="60">
        <f>[4]Sayfa1!$T26</f>
        <v>45534</v>
      </c>
      <c r="W30" s="61">
        <f>[4]Sayfa1!$U26</f>
        <v>45534.683761574073</v>
      </c>
      <c r="X30" s="69">
        <f t="shared" si="1"/>
        <v>45534.683761574073</v>
      </c>
      <c r="Y30" s="70">
        <f>[4]Sayfa1!$AQ26</f>
        <v>45534</v>
      </c>
      <c r="Z30" s="61">
        <f>[4]Sayfa1!$AR26</f>
        <v>45534.75</v>
      </c>
      <c r="AA30" s="69">
        <f t="shared" si="2"/>
        <v>45534.75</v>
      </c>
      <c r="AB30" s="71">
        <f t="shared" si="3"/>
        <v>1.5897222222411074</v>
      </c>
      <c r="AC30" s="60">
        <f t="shared" si="4"/>
        <v>45534</v>
      </c>
      <c r="AD30" s="61">
        <f t="shared" si="5"/>
        <v>45534.75</v>
      </c>
      <c r="AE30" s="69">
        <f t="shared" si="6"/>
        <v>45534.75</v>
      </c>
      <c r="AF30" s="36" t="str">
        <f>[4]Sayfa1!$AP26</f>
        <v>(II) Birden fazla karşılaşılan arıza</v>
      </c>
      <c r="AG30" s="33" t="str">
        <f>IF([4]Sayfa1!$J26="C-Uyarı, sürüş devamlılığı","Bu Arıza Aracın Servise Verilmesine Engel Değil","Bu Arıza Aracın Servise Verilmesine Engel")</f>
        <v>Bu Arıza Aracın Servise Verilmesine Engel Değil</v>
      </c>
      <c r="AH30" s="41" t="str">
        <f>[4]Sayfa1!$AB26</f>
        <v>Arıza çözülecek</v>
      </c>
      <c r="AI30" s="60"/>
      <c r="AJ30" s="60"/>
      <c r="AK30" s="69">
        <f t="shared" si="7"/>
        <v>0</v>
      </c>
      <c r="AL30" s="71">
        <f t="shared" si="8"/>
        <v>95.383333334466442</v>
      </c>
      <c r="AM30" s="71">
        <f t="shared" si="9"/>
        <v>95.383333334466442</v>
      </c>
      <c r="AN30" s="72">
        <f t="shared" si="10"/>
        <v>0</v>
      </c>
      <c r="AO30" s="73" t="str">
        <f>[4]Sayfa1!$X26</f>
        <v>E810-7002</v>
      </c>
      <c r="AP30" s="72">
        <f>[4]Sayfa1!$Y26</f>
        <v>0</v>
      </c>
      <c r="AQ30" s="184" t="str">
        <f>[4]Sayfa1!$V26</f>
        <v>NSC TEKNOLOJİ ve İNŞAAT LTD.ŞTİ.</v>
      </c>
      <c r="AR30" s="74" t="str">
        <f>[4]Sayfa1!$W26</f>
        <v>XKAYIT CİHAZI(NVR)</v>
      </c>
      <c r="AS30" s="74">
        <f>[4]Sayfa1!$AD26</f>
        <v>0</v>
      </c>
      <c r="AT30" s="60" t="str">
        <f>[4]Sayfa1!$AE26</f>
        <v/>
      </c>
      <c r="AU30" s="60" t="str">
        <f>[4]Sayfa1!$AH26</f>
        <v/>
      </c>
      <c r="AV30" s="75">
        <v>25</v>
      </c>
      <c r="AW30" s="76">
        <f t="shared" si="11"/>
        <v>17.486944444652181</v>
      </c>
      <c r="AX30" s="77" t="str">
        <f>[4]Sayfa1!$A26</f>
        <v>26c3e555</v>
      </c>
      <c r="AY30" s="78" t="s">
        <v>114</v>
      </c>
      <c r="AZ30" s="79" t="e" vm="1">
        <f t="shared" si="12"/>
        <v>#VALUE!</v>
      </c>
    </row>
    <row r="31" spans="1:52" ht="138">
      <c r="A31" s="59" t="s">
        <v>113</v>
      </c>
      <c r="B31" s="59" t="str">
        <f>[4]Sayfa1!$G28</f>
        <v>3878(7)</v>
      </c>
      <c r="C31" s="184" t="str">
        <f>[4]Sayfa1!$H28</f>
        <v>MA</v>
      </c>
      <c r="D31" s="24">
        <f>[4]Sayfa1!$N28</f>
        <v>15500</v>
      </c>
      <c r="E31" s="24" t="str">
        <f>[4]Sayfa1!$B28</f>
        <v>BOZ-KAY5+6-FF-027</v>
      </c>
      <c r="F31" s="60">
        <f>[4]Sayfa1!$E28</f>
        <v>45295</v>
      </c>
      <c r="G31" s="61">
        <f>[4]Sayfa1!$F28</f>
        <v>45295.365972222222</v>
      </c>
      <c r="H31" s="59" t="str">
        <f>[4]Sayfa1!$I28</f>
        <v>Hat/Line</v>
      </c>
      <c r="I31" s="62" t="str">
        <f>IF([4]Sayfa1!$K28="SSH","Notified by Bozankaya","Notified by Customer")</f>
        <v>Notified by Customer</v>
      </c>
      <c r="J31" s="59" t="e">
        <f>VLOOKUP([4]Sayfa1!$AU28,#REF!,2,FALSE)</f>
        <v>#REF!</v>
      </c>
      <c r="K31" s="59">
        <f>[4]Sayfa1!$AC28</f>
        <v>0</v>
      </c>
      <c r="L31" s="63" t="str">
        <f t="shared" si="0"/>
        <v>KAY_5+6-BOZ-KAY5+6-FF-027</v>
      </c>
      <c r="M31" s="64" t="str">
        <f>[4]Sayfa1!$L28</f>
        <v>3878 kullanılan baştan kamera görüntüleri gelmiyor</v>
      </c>
      <c r="N31" s="33" t="str">
        <f>[4]Sayfa1!$J28</f>
        <v>C-Uyarı, sürüş devamlılığı</v>
      </c>
      <c r="O31" s="33" t="str">
        <f>[4]Sayfa1!$P28</f>
        <v>C(Sisteme etki etmeyen arıza)</v>
      </c>
      <c r="P31" s="33" t="str">
        <f>[4]Sayfa1!$Q28</f>
        <v>N.A(Yaralanma yok)</v>
      </c>
      <c r="Q31" s="65" t="str" cm="1">
        <f t="array" ref="Q31">_xlfn.IFS([4]Sayfa1!$R28="Bozankaya","Bozankaya",[4]Sayfa1!$R28="İşletme","Customer",[4]Sayfa1!$R28="Tedarikçi","Equipment Supplier")</f>
        <v>Equipment Supplier</v>
      </c>
      <c r="R31" s="66" t="str">
        <f>[4]Sayfa1!$M28</f>
        <v>Araç resetlendi kameralar geldi cb sol kamerada açı ayarı yapıldı</v>
      </c>
      <c r="S31" s="36" t="str">
        <f>[4]Sayfa1!$S28</f>
        <v>NSC</v>
      </c>
      <c r="T31" s="67">
        <f>[4]Sayfa1!$Z28</f>
        <v>0</v>
      </c>
      <c r="U31" s="68">
        <f>[4]Sayfa1!$AN28</f>
        <v>1</v>
      </c>
      <c r="V31" s="60">
        <f>[4]Sayfa1!$T28</f>
        <v>45534</v>
      </c>
      <c r="W31" s="61">
        <f>[4]Sayfa1!$U28</f>
        <v>45534.696319444447</v>
      </c>
      <c r="X31" s="69">
        <f t="shared" si="1"/>
        <v>45534.696319444447</v>
      </c>
      <c r="Y31" s="70">
        <f>[4]Sayfa1!$AQ28</f>
        <v>45534</v>
      </c>
      <c r="Z31" s="61">
        <f>[4]Sayfa1!$AR28</f>
        <v>45534.75</v>
      </c>
      <c r="AA31" s="69">
        <f t="shared" si="2"/>
        <v>45534.75</v>
      </c>
      <c r="AB31" s="71">
        <f t="shared" si="3"/>
        <v>1.2883333332720213</v>
      </c>
      <c r="AC31" s="60">
        <f t="shared" si="4"/>
        <v>45534</v>
      </c>
      <c r="AD31" s="61">
        <f t="shared" si="5"/>
        <v>45534.75</v>
      </c>
      <c r="AE31" s="69">
        <f t="shared" si="6"/>
        <v>45534.75</v>
      </c>
      <c r="AF31" s="36" t="str">
        <f>[4]Sayfa1!$AP28</f>
        <v>(II) Birden fazla karşılaşılan arıza</v>
      </c>
      <c r="AG31" s="33" t="str">
        <f>IF([4]Sayfa1!$J28="C-Uyarı, sürüş devamlılığı","Bu Arıza Aracın Servise Verilmesine Engel Değil","Bu Arıza Aracın Servise Verilmesine Engel")</f>
        <v>Bu Arıza Aracın Servise Verilmesine Engel Değil</v>
      </c>
      <c r="AH31" s="41" t="str">
        <f>[4]Sayfa1!$AB28</f>
        <v>Arıza çözülecek</v>
      </c>
      <c r="AI31" s="60"/>
      <c r="AJ31" s="60"/>
      <c r="AK31" s="69">
        <f t="shared" si="7"/>
        <v>0</v>
      </c>
      <c r="AL31" s="71">
        <f t="shared" si="8"/>
        <v>77.299999996321276</v>
      </c>
      <c r="AM31" s="71">
        <f t="shared" si="9"/>
        <v>77.299999996321276</v>
      </c>
      <c r="AN31" s="72">
        <f t="shared" si="10"/>
        <v>0</v>
      </c>
      <c r="AO31" s="73" t="str">
        <f>[4]Sayfa1!$X28</f>
        <v>E810-7145</v>
      </c>
      <c r="AP31" s="72">
        <f>[4]Sayfa1!$Y28</f>
        <v>0</v>
      </c>
      <c r="AQ31" s="184" t="str">
        <f>[4]Sayfa1!$V28</f>
        <v>NSC TEKNOLOJİ ve İNŞAAT LTD.ŞTİ.</v>
      </c>
      <c r="AR31" s="74" t="str">
        <f>[4]Sayfa1!$W28</f>
        <v>CCTV EKRANI</v>
      </c>
      <c r="AS31" s="74">
        <f>[4]Sayfa1!$AD28</f>
        <v>0</v>
      </c>
      <c r="AT31" s="60" t="str">
        <f>[4]Sayfa1!$AE28</f>
        <v/>
      </c>
      <c r="AU31" s="60" t="str">
        <f>[4]Sayfa1!$AH28</f>
        <v/>
      </c>
      <c r="AV31" s="75">
        <v>27</v>
      </c>
      <c r="AW31" s="76">
        <f t="shared" si="11"/>
        <v>14.171666665992234</v>
      </c>
      <c r="AX31" s="77" t="str">
        <f>[4]Sayfa1!$A28</f>
        <v>095c35fb</v>
      </c>
      <c r="AY31" s="78" t="s">
        <v>114</v>
      </c>
      <c r="AZ31" s="79" t="e" vm="1">
        <f t="shared" si="12"/>
        <v>#VALUE!</v>
      </c>
    </row>
    <row r="32" spans="1:52" ht="138">
      <c r="A32" s="59" t="s">
        <v>113</v>
      </c>
      <c r="B32" s="59" t="str">
        <f>[4]Sayfa1!$G27</f>
        <v>3873(2)</v>
      </c>
      <c r="C32" s="184" t="str">
        <f>[4]Sayfa1!$H27</f>
        <v>MA</v>
      </c>
      <c r="D32" s="24">
        <f>[4]Sayfa1!$N27</f>
        <v>45000</v>
      </c>
      <c r="E32" s="24" t="str">
        <f>[4]Sayfa1!$B27</f>
        <v>BOZ-KAY5+6-FF-026</v>
      </c>
      <c r="F32" s="60">
        <f>[4]Sayfa1!$E27</f>
        <v>45290</v>
      </c>
      <c r="G32" s="61">
        <f>[4]Sayfa1!$F27</f>
        <v>45290.988194444442</v>
      </c>
      <c r="H32" s="59" t="str">
        <f>[4]Sayfa1!$I27</f>
        <v>Hat/Line</v>
      </c>
      <c r="I32" s="62" t="str">
        <f>IF([4]Sayfa1!$K27="SSH","Notified by Bozankaya","Notified by Customer")</f>
        <v>Notified by Customer</v>
      </c>
      <c r="J32" s="59" t="e">
        <f>VLOOKUP([4]Sayfa1!$AU27,#REF!,2,FALSE)</f>
        <v>#REF!</v>
      </c>
      <c r="K32" s="59">
        <f>[4]Sayfa1!$AC27</f>
        <v>0</v>
      </c>
      <c r="L32" s="63" t="str">
        <f t="shared" si="0"/>
        <v>KAY_5+6-BOZ-KAY5+6-FF-026</v>
      </c>
      <c r="M32" s="64" t="str">
        <f>[4]Sayfa1!$L27</f>
        <v>Araç nvrkesik  kesik kayıt ediyor</v>
      </c>
      <c r="N32" s="33" t="str">
        <f>[4]Sayfa1!$J27</f>
        <v>C-Uyarı, sürüş devamlılığı</v>
      </c>
      <c r="O32" s="33" t="str">
        <f>[4]Sayfa1!$P27</f>
        <v>C(Sisteme etki etmeyen arıza)</v>
      </c>
      <c r="P32" s="33" t="str">
        <f>[4]Sayfa1!$Q27</f>
        <v>N.A(Yaralanma yok)</v>
      </c>
      <c r="Q32" s="65" t="str" cm="1">
        <f t="array" ref="Q32">_xlfn.IFS([4]Sayfa1!$R27="Bozankaya","Bozankaya",[4]Sayfa1!$R27="İşletme","Customer",[4]Sayfa1!$R27="Tedarikçi","Equipment Supplier")</f>
        <v>Equipment Supplier</v>
      </c>
      <c r="R32" s="66" t="str">
        <f>[4]Sayfa1!$M27</f>
        <v>gerekli modifikasyon yapıldı</v>
      </c>
      <c r="S32" s="36" t="str">
        <f>[4]Sayfa1!$S27</f>
        <v>NSC</v>
      </c>
      <c r="T32" s="67">
        <f>[4]Sayfa1!$Z27</f>
        <v>0</v>
      </c>
      <c r="U32" s="68">
        <f>[4]Sayfa1!$AN27</f>
        <v>1</v>
      </c>
      <c r="V32" s="60">
        <f>[4]Sayfa1!$T27</f>
        <v>45534</v>
      </c>
      <c r="W32" s="61">
        <f>[4]Sayfa1!$U27</f>
        <v>45534.67496527778</v>
      </c>
      <c r="X32" s="69">
        <f t="shared" si="1"/>
        <v>45534.67496527778</v>
      </c>
      <c r="Y32" s="70">
        <f>[4]Sayfa1!$AQ27</f>
        <v>45534</v>
      </c>
      <c r="Z32" s="61">
        <f>[4]Sayfa1!$AR27</f>
        <v>45534.75</v>
      </c>
      <c r="AA32" s="69">
        <f t="shared" si="2"/>
        <v>45534.75</v>
      </c>
      <c r="AB32" s="71">
        <f t="shared" si="3"/>
        <v>1.8008333332836628</v>
      </c>
      <c r="AC32" s="60">
        <f t="shared" si="4"/>
        <v>45534</v>
      </c>
      <c r="AD32" s="61">
        <f t="shared" si="5"/>
        <v>45534.75</v>
      </c>
      <c r="AE32" s="69">
        <f t="shared" si="6"/>
        <v>45534.75</v>
      </c>
      <c r="AF32" s="36" t="str">
        <f>[4]Sayfa1!$AP27</f>
        <v>(II) Birden fazla karşılaşılan arıza</v>
      </c>
      <c r="AG32" s="33" t="str">
        <f>IF([4]Sayfa1!$J27="C-Uyarı, sürüş devamlılığı","Bu Arıza Aracın Servise Verilmesine Engel Değil","Bu Arıza Aracın Servise Verilmesine Engel")</f>
        <v>Bu Arıza Aracın Servise Verilmesine Engel Değil</v>
      </c>
      <c r="AH32" s="41" t="str">
        <f>[4]Sayfa1!$AB27</f>
        <v>Arıza çözülecek</v>
      </c>
      <c r="AI32" s="60"/>
      <c r="AJ32" s="60"/>
      <c r="AK32" s="69">
        <f t="shared" si="7"/>
        <v>0</v>
      </c>
      <c r="AL32" s="71">
        <f t="shared" si="8"/>
        <v>108.04999999701977</v>
      </c>
      <c r="AM32" s="71">
        <f t="shared" si="9"/>
        <v>108.04999999701977</v>
      </c>
      <c r="AN32" s="72">
        <f t="shared" si="10"/>
        <v>0</v>
      </c>
      <c r="AO32" s="73" t="str">
        <f>[4]Sayfa1!$X27</f>
        <v>E810-7002</v>
      </c>
      <c r="AP32" s="72">
        <f>[4]Sayfa1!$Y27</f>
        <v>0</v>
      </c>
      <c r="AQ32" s="184" t="str">
        <f>[4]Sayfa1!$V27</f>
        <v>NSC TEKNOLOJİ ve İNŞAAT LTD.ŞTİ.</v>
      </c>
      <c r="AR32" s="74" t="str">
        <f>[4]Sayfa1!$W27</f>
        <v>XKAYIT CİHAZI(NVR)</v>
      </c>
      <c r="AS32" s="74">
        <f>[4]Sayfa1!$AD27</f>
        <v>0</v>
      </c>
      <c r="AT32" s="60" t="str">
        <f>[4]Sayfa1!$AE27</f>
        <v/>
      </c>
      <c r="AU32" s="60" t="str">
        <f>[4]Sayfa1!$AH27</f>
        <v/>
      </c>
      <c r="AV32" s="75">
        <v>26</v>
      </c>
      <c r="AW32" s="76">
        <f t="shared" si="11"/>
        <v>19.809166666120291</v>
      </c>
      <c r="AX32" s="77" t="str">
        <f>[4]Sayfa1!$A27</f>
        <v>8bcc477f</v>
      </c>
      <c r="AY32" s="78" t="s">
        <v>114</v>
      </c>
      <c r="AZ32" s="79" t="e" vm="1">
        <f t="shared" si="12"/>
        <v>#VALUE!</v>
      </c>
    </row>
    <row r="33" spans="1:52" ht="160.15">
      <c r="A33" s="59" t="s">
        <v>113</v>
      </c>
      <c r="B33" s="59" t="str">
        <f>[4]Sayfa1!$G29</f>
        <v>3872(1)</v>
      </c>
      <c r="C33" s="184" t="str">
        <f>[4]Sayfa1!$H29</f>
        <v>MA</v>
      </c>
      <c r="D33" s="24">
        <f>[4]Sayfa1!$N29</f>
        <v>38250</v>
      </c>
      <c r="E33" s="24" t="str">
        <f>[4]Sayfa1!$B29</f>
        <v>BOZ-KAY5+6-FF-028</v>
      </c>
      <c r="F33" s="60">
        <f>[4]Sayfa1!$E29</f>
        <v>45302</v>
      </c>
      <c r="G33" s="61">
        <f>[4]Sayfa1!$F29</f>
        <v>45302.294444444444</v>
      </c>
      <c r="H33" s="59" t="str">
        <f>[4]Sayfa1!$I29</f>
        <v>Hat/Line</v>
      </c>
      <c r="I33" s="62" t="str">
        <f>IF([4]Sayfa1!$K29="SSH","Notified by Bozankaya","Notified by Customer")</f>
        <v>Notified by Customer</v>
      </c>
      <c r="J33" s="59" t="e">
        <f>VLOOKUP([4]Sayfa1!$AU29,#REF!,2,FALSE)</f>
        <v>#REF!</v>
      </c>
      <c r="K33" s="59">
        <f>[4]Sayfa1!$AC29</f>
        <v>0</v>
      </c>
      <c r="L33" s="63" t="str">
        <f t="shared" si="0"/>
        <v>KAY_5+6-BOZ-KAY5+6-FF-028</v>
      </c>
      <c r="M33" s="64" t="str">
        <f>[4]Sayfa1!$L29</f>
        <v>KABİN FANI ÇOK KISA ÇALIŞIYOR KABİN İÇERİSİ SOĞUK</v>
      </c>
      <c r="N33" s="33" t="str">
        <f>[4]Sayfa1!$J29</f>
        <v>C-Uyarı, sürüş devamlılığı</v>
      </c>
      <c r="O33" s="33" t="str">
        <f>[4]Sayfa1!$P29</f>
        <v>B(Servisten çekmeye etki eden arızalar)</v>
      </c>
      <c r="P33" s="33" t="str">
        <f>[4]Sayfa1!$Q29</f>
        <v>N.A(Yaralanma yok)</v>
      </c>
      <c r="Q33" s="65" t="str" cm="1">
        <f t="array" ref="Q33">_xlfn.IFS([4]Sayfa1!$R29="Bozankaya","Bozankaya",[4]Sayfa1!$R29="İşletme","Customer",[4]Sayfa1!$R29="Tedarikçi","Equipment Supplier")</f>
        <v>Equipment Supplier</v>
      </c>
      <c r="R33" s="66" t="str">
        <f>[4]Sayfa1!$M29</f>
        <v>HMI DONDUĞU İÇİN KLİMALAR DEVREYE GİRMEMİŞ RESETLENDİ DÜZELDİ</v>
      </c>
      <c r="S33" s="36" t="str">
        <f>[4]Sayfa1!$S29</f>
        <v>Medcom</v>
      </c>
      <c r="T33" s="67">
        <f>[4]Sayfa1!$Z29</f>
        <v>0</v>
      </c>
      <c r="U33" s="68">
        <f>[4]Sayfa1!$AN29</f>
        <v>1</v>
      </c>
      <c r="V33" s="60">
        <f>[4]Sayfa1!$T29</f>
        <v>45302</v>
      </c>
      <c r="W33" s="61">
        <f>[4]Sayfa1!$U29</f>
        <v>45302.354166666664</v>
      </c>
      <c r="X33" s="69">
        <f t="shared" si="1"/>
        <v>45302.354166666664</v>
      </c>
      <c r="Y33" s="70">
        <f>[4]Sayfa1!$AQ29</f>
        <v>45302</v>
      </c>
      <c r="Z33" s="61">
        <f>[4]Sayfa1!$AR29</f>
        <v>45302.458333333336</v>
      </c>
      <c r="AA33" s="69">
        <f t="shared" si="2"/>
        <v>45302.458333333336</v>
      </c>
      <c r="AB33" s="71">
        <f t="shared" si="3"/>
        <v>0</v>
      </c>
      <c r="AC33" s="60">
        <f t="shared" si="4"/>
        <v>45302</v>
      </c>
      <c r="AD33" s="61">
        <f t="shared" si="5"/>
        <v>45302.458333333336</v>
      </c>
      <c r="AE33" s="69">
        <f t="shared" si="6"/>
        <v>45302.458333333336</v>
      </c>
      <c r="AF33" s="36" t="str">
        <f>[4]Sayfa1!$AP29</f>
        <v>(I) İlk defa karşılaşılan arıza</v>
      </c>
      <c r="AG33" s="33" t="str">
        <f>IF([4]Sayfa1!$J29="C-Uyarı, sürüş devamlılığı","Bu Arıza Aracın Servise Verilmesine Engel Değil","Bu Arıza Aracın Servise Verilmesine Engel")</f>
        <v>Bu Arıza Aracın Servise Verilmesine Engel Değil</v>
      </c>
      <c r="AH33" s="41">
        <f>[4]Sayfa1!$AB29</f>
        <v>0</v>
      </c>
      <c r="AI33" s="60"/>
      <c r="AJ33" s="60"/>
      <c r="AK33" s="69">
        <f t="shared" si="7"/>
        <v>0</v>
      </c>
      <c r="AL33" s="71">
        <f t="shared" si="8"/>
        <v>0</v>
      </c>
      <c r="AM33" s="71">
        <f t="shared" si="9"/>
        <v>0</v>
      </c>
      <c r="AN33" s="72">
        <f t="shared" si="10"/>
        <v>0</v>
      </c>
      <c r="AO33" s="73" t="str">
        <f>[4]Sayfa1!$X29</f>
        <v>E300-7058</v>
      </c>
      <c r="AP33" s="72">
        <f>[4]Sayfa1!$Y29</f>
        <v>0</v>
      </c>
      <c r="AQ33" s="184" t="str">
        <f>[4]Sayfa1!$V29</f>
        <v>MEDCOM SP. Z O.O.</v>
      </c>
      <c r="AR33" s="74" t="str">
        <f>[4]Sayfa1!$W29</f>
        <v>INC 90 SMALL TOUCH ONLY</v>
      </c>
      <c r="AS33" s="74">
        <f>[4]Sayfa1!$AD29</f>
        <v>0</v>
      </c>
      <c r="AT33" s="60" t="str">
        <f>[4]Sayfa1!$AE29</f>
        <v/>
      </c>
      <c r="AU33" s="60" t="str">
        <f>[4]Sayfa1!$AH29</f>
        <v/>
      </c>
      <c r="AV33" s="75">
        <v>28</v>
      </c>
      <c r="AW33" s="76">
        <f t="shared" si="11"/>
        <v>0</v>
      </c>
      <c r="AX33" s="77" t="str">
        <f>[4]Sayfa1!$A29</f>
        <v>5b28110f</v>
      </c>
      <c r="AY33" s="78" t="s">
        <v>114</v>
      </c>
      <c r="AZ33" s="79" t="e" vm="1">
        <f t="shared" si="12"/>
        <v>#VALUE!</v>
      </c>
    </row>
    <row r="34" spans="1:52" ht="165.6">
      <c r="A34" s="59" t="s">
        <v>113</v>
      </c>
      <c r="B34" s="59" t="str">
        <f>[4]Sayfa1!$G30</f>
        <v>3877(6)</v>
      </c>
      <c r="C34" s="184" t="str">
        <f>[4]Sayfa1!$H30</f>
        <v>MB</v>
      </c>
      <c r="D34" s="24">
        <f>[4]Sayfa1!$N30</f>
        <v>25000</v>
      </c>
      <c r="E34" s="24" t="str">
        <f>[4]Sayfa1!$B30</f>
        <v>BOZ-KAY5+6-FF-029</v>
      </c>
      <c r="F34" s="60">
        <f>[4]Sayfa1!$E30</f>
        <v>45303</v>
      </c>
      <c r="G34" s="61">
        <f>[4]Sayfa1!$F30</f>
        <v>45303.006944444445</v>
      </c>
      <c r="H34" s="59" t="str">
        <f>[4]Sayfa1!$I30</f>
        <v>Hat/Line</v>
      </c>
      <c r="I34" s="62" t="str">
        <f>IF([4]Sayfa1!$K30="SSH","Notified by Bozankaya","Notified by Customer")</f>
        <v>Notified by Customer</v>
      </c>
      <c r="J34" s="59" t="e">
        <f>VLOOKUP([4]Sayfa1!$AU30,#REF!,2,FALSE)</f>
        <v>#REF!</v>
      </c>
      <c r="K34" s="59">
        <f>[4]Sayfa1!$AC30</f>
        <v>0</v>
      </c>
      <c r="L34" s="63" t="str">
        <f t="shared" si="0"/>
        <v>KAY_5+6-BOZ-KAY5+6-FF-029</v>
      </c>
      <c r="M34" s="64" t="str">
        <f>[4]Sayfa1!$L30</f>
        <v>AYNA KAMERALAR ARA ARA SİYAH OLUYOR RESETLEYİNCE DÜZELMİYOR</v>
      </c>
      <c r="N34" s="33" t="str">
        <f>[4]Sayfa1!$J30</f>
        <v>A-Sürüşü engeller</v>
      </c>
      <c r="O34" s="33" t="str">
        <f>[4]Sayfa1!$P30</f>
        <v>B(Servisten çekmeye etki eden arızalar)</v>
      </c>
      <c r="P34" s="33" t="str">
        <f>[4]Sayfa1!$Q30</f>
        <v>N.A(Yaralanma yok)</v>
      </c>
      <c r="Q34" s="65" t="str" cm="1">
        <f t="array" ref="Q34">_xlfn.IFS([4]Sayfa1!$R30="Bozankaya","Bozankaya",[4]Sayfa1!$R30="İşletme","Customer",[4]Sayfa1!$R30="Tedarikçi","Equipment Supplier")</f>
        <v>Equipment Supplier</v>
      </c>
      <c r="R34" s="66" t="str">
        <f>[4]Sayfa1!$M30</f>
        <v>ARAÇ KONTROLÜ YAPILDI SORUN GÖRÜLMEDİ</v>
      </c>
      <c r="S34" s="36" t="str">
        <f>[4]Sayfa1!$S30</f>
        <v>NSC</v>
      </c>
      <c r="T34" s="67">
        <f>[4]Sayfa1!$Z30</f>
        <v>0</v>
      </c>
      <c r="U34" s="68">
        <f>[4]Sayfa1!$AN30</f>
        <v>1</v>
      </c>
      <c r="V34" s="60">
        <f>[4]Sayfa1!$T30</f>
        <v>45304</v>
      </c>
      <c r="W34" s="61">
        <f>[4]Sayfa1!$U30</f>
        <v>45304.333333333336</v>
      </c>
      <c r="X34" s="69">
        <f t="shared" si="1"/>
        <v>45304.333333333336</v>
      </c>
      <c r="Y34" s="70">
        <f>[4]Sayfa1!$AQ30</f>
        <v>45304</v>
      </c>
      <c r="Z34" s="61">
        <f>[4]Sayfa1!$AR30</f>
        <v>45304.458333333336</v>
      </c>
      <c r="AA34" s="69">
        <f t="shared" si="2"/>
        <v>45304.458333333336</v>
      </c>
      <c r="AB34" s="71">
        <f t="shared" si="3"/>
        <v>3</v>
      </c>
      <c r="AC34" s="60">
        <f t="shared" si="4"/>
        <v>45304</v>
      </c>
      <c r="AD34" s="61">
        <f t="shared" si="5"/>
        <v>45304.458333333336</v>
      </c>
      <c r="AE34" s="69">
        <f t="shared" si="6"/>
        <v>45304.458333333336</v>
      </c>
      <c r="AF34" s="36" t="str">
        <f>[4]Sayfa1!$AP30</f>
        <v>(II) Birden fazla karşılaşılan arıza</v>
      </c>
      <c r="AG34" s="33" t="str">
        <f>IF([4]Sayfa1!$J30="C-Uyarı, sürüş devamlılığı","Bu Arıza Aracın Servise Verilmesine Engel Değil","Bu Arıza Aracın Servise Verilmesine Engel")</f>
        <v>Bu Arıza Aracın Servise Verilmesine Engel</v>
      </c>
      <c r="AH34" s="41">
        <f>[4]Sayfa1!$AB30</f>
        <v>0</v>
      </c>
      <c r="AI34" s="60"/>
      <c r="AJ34" s="60"/>
      <c r="AK34" s="69">
        <f t="shared" si="7"/>
        <v>0</v>
      </c>
      <c r="AL34" s="71">
        <f t="shared" si="8"/>
        <v>180</v>
      </c>
      <c r="AM34" s="71">
        <f t="shared" si="9"/>
        <v>180</v>
      </c>
      <c r="AN34" s="72">
        <f t="shared" si="10"/>
        <v>0</v>
      </c>
      <c r="AO34" s="73" t="str">
        <f>[4]Sayfa1!$X30</f>
        <v>E810-7145</v>
      </c>
      <c r="AP34" s="72">
        <f>[4]Sayfa1!$Y30</f>
        <v>0</v>
      </c>
      <c r="AQ34" s="184" t="str">
        <f>[4]Sayfa1!$V30</f>
        <v>NSC TEKNOLOJİ ve İNŞAAT LTD.ŞTİ.</v>
      </c>
      <c r="AR34" s="74" t="str">
        <f>[4]Sayfa1!$W30</f>
        <v>CCTV EKRANI</v>
      </c>
      <c r="AS34" s="74">
        <f>[4]Sayfa1!$AD30</f>
        <v>0</v>
      </c>
      <c r="AT34" s="60" t="str">
        <f>[4]Sayfa1!$AE30</f>
        <v/>
      </c>
      <c r="AU34" s="60" t="str">
        <f>[4]Sayfa1!$AH30</f>
        <v/>
      </c>
      <c r="AV34" s="75">
        <v>29</v>
      </c>
      <c r="AW34" s="76">
        <f t="shared" si="11"/>
        <v>33</v>
      </c>
      <c r="AX34" s="77" t="str">
        <f>[4]Sayfa1!$A30</f>
        <v>2fe410f3</v>
      </c>
      <c r="AY34" s="78" t="s">
        <v>114</v>
      </c>
      <c r="AZ34" s="79" t="e" vm="1">
        <f t="shared" si="12"/>
        <v>#VALUE!</v>
      </c>
    </row>
    <row r="35" spans="1:52" ht="211.15">
      <c r="A35" s="59" t="s">
        <v>113</v>
      </c>
      <c r="B35" s="59" t="str">
        <f>[4]Sayfa1!$G33</f>
        <v>3878(7)</v>
      </c>
      <c r="C35" s="184" t="str">
        <f>[4]Sayfa1!$H33</f>
        <v>RA</v>
      </c>
      <c r="D35" s="24">
        <f>[4]Sayfa1!$N33</f>
        <v>1111</v>
      </c>
      <c r="E35" s="24" t="str">
        <f>[4]Sayfa1!$B33</f>
        <v>BOZ-KAY5+6-FF-032</v>
      </c>
      <c r="F35" s="60">
        <f>[4]Sayfa1!$E33</f>
        <v>45305</v>
      </c>
      <c r="G35" s="61">
        <f>[4]Sayfa1!$F33</f>
        <v>45305.855555555558</v>
      </c>
      <c r="H35" s="59" t="str">
        <f>[4]Sayfa1!$I33</f>
        <v>Hat/Line</v>
      </c>
      <c r="I35" s="62" t="str">
        <f>IF([4]Sayfa1!$K33="SSH","Notified by Bozankaya","Notified by Customer")</f>
        <v>Notified by Customer</v>
      </c>
      <c r="J35" s="59" t="e">
        <f>VLOOKUP([4]Sayfa1!$AU33,#REF!,2,FALSE)</f>
        <v>#REF!</v>
      </c>
      <c r="K35" s="59">
        <f>[4]Sayfa1!$AC33</f>
        <v>0</v>
      </c>
      <c r="L35" s="63" t="str">
        <f t="shared" si="0"/>
        <v>KAY_5+6-BOZ-KAY5+6-FF-032</v>
      </c>
      <c r="M35" s="64" t="str">
        <f>[4]Sayfa1!$L33</f>
        <v>4 NOLU KAPI ARIZA VERDİ KAPI İZOLE EDİLDİ</v>
      </c>
      <c r="N35" s="33" t="str">
        <f>[4]Sayfa1!$J33</f>
        <v>C-Uyarı, sürüş devamlılığı</v>
      </c>
      <c r="O35" s="33" t="str">
        <f>[4]Sayfa1!$P33</f>
        <v>B(Servisten çekmeye etki eden arızalar)</v>
      </c>
      <c r="P35" s="33" t="str">
        <f>[4]Sayfa1!$Q33</f>
        <v>N.A(Yaralanma yok)</v>
      </c>
      <c r="Q35" s="65" t="str" cm="1">
        <f t="array" ref="Q35">_xlfn.IFS([4]Sayfa1!$R33="Bozankaya","Bozankaya",[4]Sayfa1!$R33="İşletme","Customer",[4]Sayfa1!$R33="Tedarikçi","Equipment Supplier")</f>
        <v>Bozankaya</v>
      </c>
      <c r="R35" s="66" t="str">
        <f>[4]Sayfa1!$M33</f>
        <v>KAPI KONTROLÜ YAPILDI S2 SWİTCH VİDALARI GEVŞEMİŞ SIKILDI ARIZA GİDERİLDİ</v>
      </c>
      <c r="S35" s="36" t="str">
        <f>[4]Sayfa1!$S33</f>
        <v>Üretim</v>
      </c>
      <c r="T35" s="67">
        <f>[4]Sayfa1!$Z33</f>
        <v>0</v>
      </c>
      <c r="U35" s="68">
        <f>[4]Sayfa1!$AN33</f>
        <v>1</v>
      </c>
      <c r="V35" s="60">
        <f>[4]Sayfa1!$T33</f>
        <v>45305</v>
      </c>
      <c r="W35" s="61">
        <f>[4]Sayfa1!$U33</f>
        <v>45305.875</v>
      </c>
      <c r="X35" s="69">
        <f t="shared" si="1"/>
        <v>45305.875</v>
      </c>
      <c r="Y35" s="70">
        <f>[4]Sayfa1!$AQ33</f>
        <v>45306</v>
      </c>
      <c r="Z35" s="61">
        <f>[4]Sayfa1!$AR33</f>
        <v>45306.416666666664</v>
      </c>
      <c r="AA35" s="69">
        <f t="shared" si="2"/>
        <v>45306.416666666664</v>
      </c>
      <c r="AB35" s="71">
        <f t="shared" si="3"/>
        <v>12.999999999941792</v>
      </c>
      <c r="AC35" s="60">
        <f t="shared" si="4"/>
        <v>45306</v>
      </c>
      <c r="AD35" s="61">
        <f t="shared" si="5"/>
        <v>45306.416666666664</v>
      </c>
      <c r="AE35" s="69">
        <f t="shared" si="6"/>
        <v>45306.416666666664</v>
      </c>
      <c r="AF35" s="36" t="str">
        <f>[4]Sayfa1!$AP33</f>
        <v>(I) İlk defa karşılaşılan arıza</v>
      </c>
      <c r="AG35" s="33" t="str">
        <f>IF([4]Sayfa1!$J33="C-Uyarı, sürüş devamlılığı","Bu Arıza Aracın Servise Verilmesine Engel Değil","Bu Arıza Aracın Servise Verilmesine Engel")</f>
        <v>Bu Arıza Aracın Servise Verilmesine Engel Değil</v>
      </c>
      <c r="AH35" s="41" t="str">
        <f>[4]Sayfa1!$AB33</f>
        <v>Tamir edilecek</v>
      </c>
      <c r="AI35" s="60"/>
      <c r="AJ35" s="60"/>
      <c r="AK35" s="69">
        <f t="shared" si="7"/>
        <v>0</v>
      </c>
      <c r="AL35" s="71">
        <f t="shared" si="8"/>
        <v>779.99999999650754</v>
      </c>
      <c r="AM35" s="71">
        <f t="shared" si="9"/>
        <v>779.99999999650754</v>
      </c>
      <c r="AN35" s="72">
        <f t="shared" si="10"/>
        <v>0</v>
      </c>
      <c r="AO35" s="73" t="str">
        <f>[4]Sayfa1!$X33</f>
        <v>M110-7082</v>
      </c>
      <c r="AP35" s="72">
        <f>[4]Sayfa1!$Y33</f>
        <v>1</v>
      </c>
      <c r="AQ35" s="184" t="str">
        <f>[4]Sayfa1!$V33</f>
        <v>KNORR-BREMSE GMBH DİVİSİON IFE AUTO</v>
      </c>
      <c r="AR35" s="74" t="str">
        <f>[4]Sayfa1!$W33</f>
        <v>PRM’LI ÇİFTLİ KAPI</v>
      </c>
      <c r="AS35" s="74">
        <f>[4]Sayfa1!$AD33</f>
        <v>0</v>
      </c>
      <c r="AT35" s="60" t="str">
        <f>[4]Sayfa1!$AE33</f>
        <v/>
      </c>
      <c r="AU35" s="60" t="str">
        <f>[4]Sayfa1!$AH33</f>
        <v/>
      </c>
      <c r="AV35" s="75">
        <v>32</v>
      </c>
      <c r="AW35" s="76">
        <f t="shared" si="11"/>
        <v>142.99999999935972</v>
      </c>
      <c r="AX35" s="77" t="str">
        <f>[4]Sayfa1!$A33</f>
        <v>9a8149b4</v>
      </c>
      <c r="AY35" s="78" t="s">
        <v>114</v>
      </c>
      <c r="AZ35" s="79" t="e" vm="1">
        <f t="shared" si="12"/>
        <v>#VALUE!</v>
      </c>
    </row>
    <row r="36" spans="1:52" ht="400.15">
      <c r="A36" s="59" t="s">
        <v>113</v>
      </c>
      <c r="B36" s="59" t="str">
        <f>[4]Sayfa1!$G32</f>
        <v>3872(1)</v>
      </c>
      <c r="C36" s="184" t="str">
        <f>[4]Sayfa1!$H32</f>
        <v>MB</v>
      </c>
      <c r="D36" s="24">
        <f>[4]Sayfa1!$N32</f>
        <v>38800</v>
      </c>
      <c r="E36" s="24" t="str">
        <f>[4]Sayfa1!$B32</f>
        <v>BOZ-KAY5+6-FF-031</v>
      </c>
      <c r="F36" s="60">
        <f>[4]Sayfa1!$E32</f>
        <v>45303</v>
      </c>
      <c r="G36" s="61">
        <f>[4]Sayfa1!$F32</f>
        <v>45303.899305555555</v>
      </c>
      <c r="H36" s="59" t="str">
        <f>[4]Sayfa1!$I32</f>
        <v>Hat/Line</v>
      </c>
      <c r="I36" s="62" t="str">
        <f>IF([4]Sayfa1!$K32="SSH","Notified by Bozankaya","Notified by Customer")</f>
        <v>Notified by Customer</v>
      </c>
      <c r="J36" s="59" t="e">
        <f>VLOOKUP([4]Sayfa1!$AU32,#REF!,2,FALSE)</f>
        <v>#REF!</v>
      </c>
      <c r="K36" s="59">
        <f>[4]Sayfa1!$AC32</f>
        <v>0</v>
      </c>
      <c r="L36" s="63" t="str">
        <f t="shared" si="0"/>
        <v>KAY_5+6-BOZ-KAY5+6-FF-031</v>
      </c>
      <c r="M36" s="64" t="str">
        <f>[4]Sayfa1!$L32</f>
        <v>3872 nolu araç modül mb 3 ve 4 nolu invertörler devreye girmiyor.Araç restlendikten sonra haraket ediyor birkaç peron sonra tekrar aynı arızayı veriyor.Toplamda 2 sefer iptali ve 2 seferde 11 dakika tehir olmuştur.</v>
      </c>
      <c r="N36" s="33" t="str">
        <f>[4]Sayfa1!$J32</f>
        <v>A-Sürüşü engeller</v>
      </c>
      <c r="O36" s="33" t="str">
        <f>[4]Sayfa1!$P32</f>
        <v>B(Servisten çekmeye etki eden arızalar)</v>
      </c>
      <c r="P36" s="33" t="str">
        <f>[4]Sayfa1!$Q32</f>
        <v>N.A(Yaralanma yok)</v>
      </c>
      <c r="Q36" s="65" t="str" cm="1">
        <f t="array" ref="Q36">_xlfn.IFS([4]Sayfa1!$R32="Bozankaya","Bozankaya",[4]Sayfa1!$R32="İşletme","Customer",[4]Sayfa1!$R32="Tedarikçi","Equipment Supplier")</f>
        <v>Equipment Supplier</v>
      </c>
      <c r="R36" s="66" t="str">
        <f>[4]Sayfa1!$M32</f>
        <v>IGBT Drive kartı değişmiştir</v>
      </c>
      <c r="S36" s="36" t="str">
        <f>[4]Sayfa1!$S32</f>
        <v>Medcom</v>
      </c>
      <c r="T36" s="67">
        <f>[4]Sayfa1!$Z32</f>
        <v>0</v>
      </c>
      <c r="U36" s="68">
        <f>[4]Sayfa1!$AN32</f>
        <v>1</v>
      </c>
      <c r="V36" s="60">
        <f>[4]Sayfa1!$T32</f>
        <v>45531</v>
      </c>
      <c r="W36" s="61">
        <f>[4]Sayfa1!$U32</f>
        <v>45531.63863425926</v>
      </c>
      <c r="X36" s="69">
        <f t="shared" si="1"/>
        <v>45531.63863425926</v>
      </c>
      <c r="Y36" s="70">
        <f>[4]Sayfa1!$AQ32</f>
        <v>45531</v>
      </c>
      <c r="Z36" s="61">
        <f>[4]Sayfa1!$AR32</f>
        <v>45531.75</v>
      </c>
      <c r="AA36" s="69">
        <f t="shared" si="2"/>
        <v>45531.75</v>
      </c>
      <c r="AB36" s="71">
        <f t="shared" si="3"/>
        <v>2.6727777777705342</v>
      </c>
      <c r="AC36" s="60">
        <f t="shared" si="4"/>
        <v>45531</v>
      </c>
      <c r="AD36" s="61">
        <f t="shared" si="5"/>
        <v>45531.75</v>
      </c>
      <c r="AE36" s="69">
        <f t="shared" si="6"/>
        <v>45531.75</v>
      </c>
      <c r="AF36" s="36" t="str">
        <f>[4]Sayfa1!$AP32</f>
        <v>(I) İlk defa karşılaşılan arıza</v>
      </c>
      <c r="AG36" s="33" t="str">
        <f>IF([4]Sayfa1!$J32="C-Uyarı, sürüş devamlılığı","Bu Arıza Aracın Servise Verilmesine Engel Değil","Bu Arıza Aracın Servise Verilmesine Engel")</f>
        <v>Bu Arıza Aracın Servise Verilmesine Engel</v>
      </c>
      <c r="AH36" s="41">
        <f>[4]Sayfa1!$AB32</f>
        <v>0</v>
      </c>
      <c r="AI36" s="60"/>
      <c r="AJ36" s="60"/>
      <c r="AK36" s="69">
        <f t="shared" si="7"/>
        <v>0</v>
      </c>
      <c r="AL36" s="71">
        <f t="shared" si="8"/>
        <v>160.36666666623205</v>
      </c>
      <c r="AM36" s="71">
        <f t="shared" si="9"/>
        <v>160.36666666623205</v>
      </c>
      <c r="AN36" s="72">
        <f t="shared" si="10"/>
        <v>0</v>
      </c>
      <c r="AO36" s="73" t="str">
        <f>[4]Sayfa1!$X32</f>
        <v>P620-7023</v>
      </c>
      <c r="AP36" s="72">
        <f>[4]Sayfa1!$Y32</f>
        <v>0</v>
      </c>
      <c r="AQ36" s="184" t="str">
        <f>[4]Sayfa1!$V32</f>
        <v>MEDCOM SP. Z O.O.</v>
      </c>
      <c r="AR36" s="74" t="str">
        <f>[4]Sayfa1!$W32</f>
        <v>COMBO KUTUSU (+LHD) MEDCOM</v>
      </c>
      <c r="AS36" s="74">
        <f>[4]Sayfa1!$AD32</f>
        <v>0</v>
      </c>
      <c r="AT36" s="60" t="str">
        <f>[4]Sayfa1!$AE32</f>
        <v/>
      </c>
      <c r="AU36" s="60" t="str">
        <f>[4]Sayfa1!$AH32</f>
        <v/>
      </c>
      <c r="AV36" s="75">
        <v>31</v>
      </c>
      <c r="AW36" s="76">
        <f t="shared" si="11"/>
        <v>29.400555555475876</v>
      </c>
      <c r="AX36" s="77" t="str">
        <f>[4]Sayfa1!$A32</f>
        <v>5c9554f2</v>
      </c>
      <c r="AY36" s="78" t="s">
        <v>114</v>
      </c>
      <c r="AZ36" s="79" t="e" vm="1">
        <f t="shared" si="12"/>
        <v>#VALUE!</v>
      </c>
    </row>
    <row r="37" spans="1:52" ht="165.6">
      <c r="A37" s="59" t="s">
        <v>113</v>
      </c>
      <c r="B37" s="59" t="str">
        <f>[4]Sayfa1!$G31</f>
        <v>3874(3)</v>
      </c>
      <c r="C37" s="184" t="str">
        <f>[4]Sayfa1!$H31</f>
        <v>MA</v>
      </c>
      <c r="D37" s="24">
        <f>[4]Sayfa1!$N31</f>
        <v>22222</v>
      </c>
      <c r="E37" s="24" t="str">
        <f>[4]Sayfa1!$B31</f>
        <v>BOZ-KAY5+6-FF-030</v>
      </c>
      <c r="F37" s="60">
        <f>[4]Sayfa1!$E31</f>
        <v>45303</v>
      </c>
      <c r="G37" s="61">
        <f>[4]Sayfa1!$F31</f>
        <v>45303.559027777781</v>
      </c>
      <c r="H37" s="59" t="str">
        <f>[4]Sayfa1!$I31</f>
        <v>Hat/Line</v>
      </c>
      <c r="I37" s="62" t="str">
        <f>IF([4]Sayfa1!$K31="SSH","Notified by Bozankaya","Notified by Customer")</f>
        <v>Notified by Customer</v>
      </c>
      <c r="J37" s="59" t="e">
        <f>VLOOKUP([4]Sayfa1!$AU31,#REF!,2,FALSE)</f>
        <v>#REF!</v>
      </c>
      <c r="K37" s="59">
        <f>[4]Sayfa1!$AC31</f>
        <v>0</v>
      </c>
      <c r="L37" s="63" t="str">
        <f t="shared" si="0"/>
        <v>KAY_5+6-BOZ-KAY5+6-FF-030</v>
      </c>
      <c r="M37" s="64" t="str">
        <f>[4]Sayfa1!$L31</f>
        <v>CA KABİN SİLECEK ÇALIŞMIYOR</v>
      </c>
      <c r="N37" s="33" t="str">
        <f>[4]Sayfa1!$J31</f>
        <v>A-Sürüşü engeller</v>
      </c>
      <c r="O37" s="33" t="str">
        <f>[4]Sayfa1!$P31</f>
        <v>B(Servisten çekmeye etki eden arızalar)</v>
      </c>
      <c r="P37" s="33" t="str">
        <f>[4]Sayfa1!$Q31</f>
        <v>N.A(Yaralanma yok)</v>
      </c>
      <c r="Q37" s="65" t="str" cm="1">
        <f t="array" ref="Q37">_xlfn.IFS([4]Sayfa1!$R31="Bozankaya","Bozankaya",[4]Sayfa1!$R31="İşletme","Customer",[4]Sayfa1!$R31="Tedarikçi","Equipment Supplier")</f>
        <v>Equipment Supplier</v>
      </c>
      <c r="R37" s="66" t="str">
        <f>[4]Sayfa1!$M31</f>
        <v>SİLECEK SOMUNU GEVŞEMİŞ SIKILDI</v>
      </c>
      <c r="S37" s="36" t="str">
        <f>[4]Sayfa1!$S31</f>
        <v>Bozankaya</v>
      </c>
      <c r="T37" s="67">
        <f>[4]Sayfa1!$Z31</f>
        <v>0</v>
      </c>
      <c r="U37" s="68">
        <f>[4]Sayfa1!$AN31</f>
        <v>1</v>
      </c>
      <c r="V37" s="60">
        <f>[4]Sayfa1!$T31</f>
        <v>45303</v>
      </c>
      <c r="W37" s="61">
        <f>[4]Sayfa1!$U31</f>
        <v>45303.583333333336</v>
      </c>
      <c r="X37" s="69">
        <f t="shared" si="1"/>
        <v>45303.583333333336</v>
      </c>
      <c r="Y37" s="70">
        <f>[4]Sayfa1!$AQ31</f>
        <v>45303</v>
      </c>
      <c r="Z37" s="61">
        <f>[4]Sayfa1!$AR31</f>
        <v>45303.666666666664</v>
      </c>
      <c r="AA37" s="69">
        <f t="shared" si="2"/>
        <v>45303.666666666664</v>
      </c>
      <c r="AB37" s="71">
        <f t="shared" si="3"/>
        <v>0</v>
      </c>
      <c r="AC37" s="60">
        <f t="shared" si="4"/>
        <v>45303</v>
      </c>
      <c r="AD37" s="61">
        <f t="shared" si="5"/>
        <v>45303.666666666664</v>
      </c>
      <c r="AE37" s="69">
        <f t="shared" si="6"/>
        <v>45303.666666666664</v>
      </c>
      <c r="AF37" s="36" t="str">
        <f>[4]Sayfa1!$AP31</f>
        <v>(II) Birden fazla karşılaşılan arıza</v>
      </c>
      <c r="AG37" s="33" t="str">
        <f>IF([4]Sayfa1!$J31="C-Uyarı, sürüş devamlılığı","Bu Arıza Aracın Servise Verilmesine Engel Değil","Bu Arıza Aracın Servise Verilmesine Engel")</f>
        <v>Bu Arıza Aracın Servise Verilmesine Engel</v>
      </c>
      <c r="AH37" s="41" t="str">
        <f>[4]Sayfa1!$AB31</f>
        <v>Tamir edilecek</v>
      </c>
      <c r="AI37" s="60"/>
      <c r="AJ37" s="60"/>
      <c r="AK37" s="69">
        <f t="shared" si="7"/>
        <v>0</v>
      </c>
      <c r="AL37" s="71">
        <f t="shared" si="8"/>
        <v>0</v>
      </c>
      <c r="AM37" s="71">
        <f t="shared" si="9"/>
        <v>0</v>
      </c>
      <c r="AN37" s="72">
        <f t="shared" si="10"/>
        <v>0</v>
      </c>
      <c r="AO37" s="73" t="str">
        <f>[4]Sayfa1!$X31</f>
        <v>M100-7066</v>
      </c>
      <c r="AP37" s="72">
        <f>[4]Sayfa1!$Y31</f>
        <v>1</v>
      </c>
      <c r="AQ37" s="184" t="str">
        <f>[4]Sayfa1!$V31</f>
        <v>DENİZLER OTOMOTİV SAN. VE TİC.LTD.Ş</v>
      </c>
      <c r="AR37" s="74" t="str">
        <f>[4]Sayfa1!$W31</f>
        <v>SİLECEK MEKANİZMASI Denizler / M.11.2506</v>
      </c>
      <c r="AS37" s="74">
        <f>[4]Sayfa1!$AD31</f>
        <v>0</v>
      </c>
      <c r="AT37" s="60" t="str">
        <f>[4]Sayfa1!$AE31</f>
        <v/>
      </c>
      <c r="AU37" s="60" t="str">
        <f>[4]Sayfa1!$AH31</f>
        <v/>
      </c>
      <c r="AV37" s="75">
        <v>30</v>
      </c>
      <c r="AW37" s="76">
        <f t="shared" si="11"/>
        <v>0</v>
      </c>
      <c r="AX37" s="77" t="str">
        <f>[4]Sayfa1!$A31</f>
        <v>4d3a79b9</v>
      </c>
      <c r="AY37" s="78" t="s">
        <v>114</v>
      </c>
      <c r="AZ37" s="79" t="e" vm="1">
        <f t="shared" si="12"/>
        <v>#VALUE!</v>
      </c>
    </row>
    <row r="38" spans="1:52" ht="165.6">
      <c r="A38" s="59" t="s">
        <v>113</v>
      </c>
      <c r="B38" s="59" t="str">
        <f>[4]Sayfa1!$G34</f>
        <v>3876(5)</v>
      </c>
      <c r="C38" s="184" t="str">
        <f>[4]Sayfa1!$H34</f>
        <v>MA</v>
      </c>
      <c r="D38" s="24">
        <f>[4]Sayfa1!$N34</f>
        <v>2222</v>
      </c>
      <c r="E38" s="24" t="str">
        <f>[4]Sayfa1!$B34</f>
        <v>BOZ-KAY5+6-FF-033</v>
      </c>
      <c r="F38" s="60">
        <f>[4]Sayfa1!$E34</f>
        <v>45306</v>
      </c>
      <c r="G38" s="61">
        <f>[4]Sayfa1!$F34</f>
        <v>45306.454861111109</v>
      </c>
      <c r="H38" s="59" t="str">
        <f>[4]Sayfa1!$I34</f>
        <v>Hat/Line</v>
      </c>
      <c r="I38" s="62" t="str">
        <f>IF([4]Sayfa1!$K34="SSH","Notified by Bozankaya","Notified by Customer")</f>
        <v>Notified by Customer</v>
      </c>
      <c r="J38" s="59" t="e">
        <f>VLOOKUP([4]Sayfa1!$AU34,#REF!,2,FALSE)</f>
        <v>#REF!</v>
      </c>
      <c r="K38" s="59">
        <f>[4]Sayfa1!$AC34</f>
        <v>0</v>
      </c>
      <c r="L38" s="63" t="str">
        <f t="shared" ref="L38:L59" si="13">A38&amp;"-"&amp;E38</f>
        <v>KAY_5+6-BOZ-KAY5+6-FF-033</v>
      </c>
      <c r="M38" s="64" t="str">
        <f>[4]Sayfa1!$L34</f>
        <v>1 NUMARALI KAPI KAPANIRKEN RAHATSIZ EDİCİ ŞEKİLDE UĞULTU YAPIYOR</v>
      </c>
      <c r="N38" s="33" t="str">
        <f>[4]Sayfa1!$J34</f>
        <v>A-Sürüşü engeller</v>
      </c>
      <c r="O38" s="33" t="str">
        <f>[4]Sayfa1!$P34</f>
        <v>B(Servisten çekmeye etki eden arızalar)</v>
      </c>
      <c r="P38" s="33" t="str">
        <f>[4]Sayfa1!$Q34</f>
        <v>N.A(Yaralanma yok)</v>
      </c>
      <c r="Q38" s="65" t="str" cm="1">
        <f t="array" ref="Q38">_xlfn.IFS([4]Sayfa1!$R34="Bozankaya","Bozankaya",[4]Sayfa1!$R34="İşletme","Customer",[4]Sayfa1!$R34="Tedarikçi","Equipment Supplier")</f>
        <v>Equipment Supplier</v>
      </c>
      <c r="R38" s="66" t="str">
        <f>[4]Sayfa1!$M34</f>
        <v>KAPI BUZZER KONNEKTÖRÜ SÖKÜLÜP</v>
      </c>
      <c r="S38" s="36" t="str">
        <f>[4]Sayfa1!$S34</f>
        <v>TSL</v>
      </c>
      <c r="T38" s="67">
        <f>[4]Sayfa1!$Z34</f>
        <v>0</v>
      </c>
      <c r="U38" s="68">
        <f>[4]Sayfa1!$AN34</f>
        <v>1</v>
      </c>
      <c r="V38" s="60">
        <f>[4]Sayfa1!$T34</f>
        <v>45306</v>
      </c>
      <c r="W38" s="61">
        <f>[4]Sayfa1!$U34</f>
        <v>45306.458333333336</v>
      </c>
      <c r="X38" s="69">
        <f t="shared" ref="X38:X59" si="14">W38</f>
        <v>45306.458333333336</v>
      </c>
      <c r="Y38" s="70">
        <f>[4]Sayfa1!$AQ34</f>
        <v>45306</v>
      </c>
      <c r="Z38" s="61">
        <f>[4]Sayfa1!$AR34</f>
        <v>45306.583333333336</v>
      </c>
      <c r="AA38" s="69">
        <f t="shared" ref="AA38:AA59" si="15">Z38</f>
        <v>45306.583333333336</v>
      </c>
      <c r="AB38" s="71">
        <f t="shared" ref="AB38:AB59" si="16">IF(Y38-F38&gt;0,(AA38-X38)*24,IF(OR(AND(G38&gt;AR$1,G38&lt;AS$1),AND(G38&gt;AT$1,G38&lt;AU$1)),(AA38-X38)*24,0))</f>
        <v>0</v>
      </c>
      <c r="AC38" s="60">
        <f t="shared" ref="AC38:AC59" si="17">Y38</f>
        <v>45306</v>
      </c>
      <c r="AD38" s="61">
        <f t="shared" ref="AD38:AD59" si="18">Z38</f>
        <v>45306.583333333336</v>
      </c>
      <c r="AE38" s="69">
        <f t="shared" ref="AE38:AE59" si="19">AD38</f>
        <v>45306.583333333336</v>
      </c>
      <c r="AF38" s="36" t="str">
        <f>[4]Sayfa1!$AP34</f>
        <v>(II) Birden fazla karşılaşılan arıza</v>
      </c>
      <c r="AG38" s="33" t="str">
        <f>IF([4]Sayfa1!$J34="C-Uyarı, sürüş devamlılığı","Bu Arıza Aracın Servise Verilmesine Engel Değil","Bu Arıza Aracın Servise Verilmesine Engel")</f>
        <v>Bu Arıza Aracın Servise Verilmesine Engel</v>
      </c>
      <c r="AH38" s="41" t="str">
        <f>[4]Sayfa1!$AB34</f>
        <v>Tamir edilecek</v>
      </c>
      <c r="AI38" s="60"/>
      <c r="AJ38" s="60"/>
      <c r="AK38" s="69">
        <f t="shared" ref="AK38:AK59" si="20">AI38+AJ38</f>
        <v>0</v>
      </c>
      <c r="AL38" s="71">
        <f t="shared" ref="AL38:AL59" si="21">IF(AND(N38&lt;&gt;"D:Arıza Değil",AG38="Bu Arıza Aracın Servise Verilmesine Engel Değil"),IF(Y38-F38&gt;0,(AA38-X38)*24,IF(OR(AND(G38&gt;AR$1,G38&lt;AS$1),AND(G38&gt;AT$1,G38&lt;AU$1)),(AK38-X38)*24,0))*60,AM38)</f>
        <v>0</v>
      </c>
      <c r="AM38" s="71">
        <f t="shared" ref="AM38:AM59" si="22">IF(N38&lt;&gt;"D:Arıza Değil",AB38*60,0)</f>
        <v>0</v>
      </c>
      <c r="AN38" s="72">
        <f t="shared" ref="AN38:AN59" si="23">K38</f>
        <v>0</v>
      </c>
      <c r="AO38" s="73" t="str">
        <f>[4]Sayfa1!$X34</f>
        <v>M110-7057</v>
      </c>
      <c r="AP38" s="72">
        <f>[4]Sayfa1!$Y34</f>
        <v>1</v>
      </c>
      <c r="AQ38" s="184" t="str">
        <f>[4]Sayfa1!$V34</f>
        <v>TURCK OTOMASYON TİC. LTD.ŞTİ.</v>
      </c>
      <c r="AR38" s="74" t="str">
        <f>[4]Sayfa1!$W34</f>
        <v>SESLI UYARI CIHAZI</v>
      </c>
      <c r="AS38" s="74">
        <f>[4]Sayfa1!$AD34</f>
        <v>0</v>
      </c>
      <c r="AT38" s="60" t="str">
        <f>[4]Sayfa1!$AE34</f>
        <v/>
      </c>
      <c r="AU38" s="60" t="str">
        <f>[4]Sayfa1!$AH34</f>
        <v/>
      </c>
      <c r="AV38" s="75">
        <v>33</v>
      </c>
      <c r="AW38" s="76">
        <f t="shared" ref="AW38:AW59" si="24">U38*AB38*AZ$1</f>
        <v>0</v>
      </c>
      <c r="AX38" s="77" t="str">
        <f>[4]Sayfa1!$A34</f>
        <v>639ddbde</v>
      </c>
      <c r="AY38" s="78" t="s">
        <v>114</v>
      </c>
      <c r="AZ38" s="79" t="e" vm="1">
        <f t="shared" ref="AZ38:AZ59" si="25">_xlfn.IMAGE(AY38)</f>
        <v>#VALUE!</v>
      </c>
    </row>
    <row r="39" spans="1:52" ht="248.45">
      <c r="A39" s="59" t="s">
        <v>113</v>
      </c>
      <c r="B39" s="59" t="str">
        <f>[4]Sayfa1!$G38</f>
        <v>3875(4)</v>
      </c>
      <c r="C39" s="184" t="str">
        <f>[4]Sayfa1!$H38</f>
        <v>MA</v>
      </c>
      <c r="D39" s="24">
        <f>[4]Sayfa1!$N38</f>
        <v>28650</v>
      </c>
      <c r="E39" s="24" t="str">
        <f>[4]Sayfa1!$B38</f>
        <v>BOZ-KAY5+6-FF-037</v>
      </c>
      <c r="F39" s="60">
        <f>[4]Sayfa1!$E38</f>
        <v>45307</v>
      </c>
      <c r="G39" s="61">
        <f>[4]Sayfa1!$F38</f>
        <v>45307.39166666667</v>
      </c>
      <c r="H39" s="59" t="str">
        <f>[4]Sayfa1!$I38</f>
        <v>Hat/Line</v>
      </c>
      <c r="I39" s="62" t="str">
        <f>IF([4]Sayfa1!$K38="SSH","Notified by Bozankaya","Notified by Customer")</f>
        <v>Notified by Customer</v>
      </c>
      <c r="J39" s="59" t="e">
        <f>VLOOKUP([4]Sayfa1!$AU38,#REF!,2,FALSE)</f>
        <v>#REF!</v>
      </c>
      <c r="K39" s="59">
        <f>[4]Sayfa1!$AC38</f>
        <v>0</v>
      </c>
      <c r="L39" s="63" t="str">
        <f t="shared" si="13"/>
        <v>KAY_5+6-BOZ-KAY5+6-FF-037</v>
      </c>
      <c r="M39" s="64" t="str">
        <f>[4]Sayfa1!$L38</f>
        <v>3875-3877 numaralı araçlar kuplajlıyken 3875'ten kontak aktifken 3877'den kontak açıldığında 3875 pasif olup 3877 aktif oluyor.</v>
      </c>
      <c r="N39" s="33" t="str">
        <f>[4]Sayfa1!$J38</f>
        <v>A-Sürüşü engeller</v>
      </c>
      <c r="O39" s="33" t="str">
        <f>[4]Sayfa1!$P38</f>
        <v>B(Servisten çekmeye etki eden arızalar)</v>
      </c>
      <c r="P39" s="33" t="str">
        <f>[4]Sayfa1!$Q38</f>
        <v>N.A(Yaralanma yok)</v>
      </c>
      <c r="Q39" s="65" t="str" cm="1">
        <f t="array" ref="Q39">_xlfn.IFS([4]Sayfa1!$R38="Bozankaya","Bozankaya",[4]Sayfa1!$R38="İşletme","Customer",[4]Sayfa1!$R38="Tedarikçi","Equipment Supplier")</f>
        <v>Bozankaya</v>
      </c>
      <c r="R39" s="66" t="str">
        <f>[4]Sayfa1!$M38</f>
        <v>Araç kontrolü yapıldı. SB1187.02 kablosu çekildi. Arıza giderildi.</v>
      </c>
      <c r="S39" s="36" t="str">
        <f>[4]Sayfa1!$S38</f>
        <v>Üretim</v>
      </c>
      <c r="T39" s="67">
        <f>[4]Sayfa1!$Z38</f>
        <v>0</v>
      </c>
      <c r="U39" s="68">
        <f>[4]Sayfa1!$AN38</f>
        <v>1</v>
      </c>
      <c r="V39" s="60">
        <f>[4]Sayfa1!$T38</f>
        <v>45537</v>
      </c>
      <c r="W39" s="61">
        <f>[4]Sayfa1!$U38</f>
        <v>45537.409918981481</v>
      </c>
      <c r="X39" s="69">
        <f t="shared" si="14"/>
        <v>45537.409918981481</v>
      </c>
      <c r="Y39" s="70">
        <f>[4]Sayfa1!$AQ38</f>
        <v>45537</v>
      </c>
      <c r="Z39" s="61">
        <f>[4]Sayfa1!$AR38</f>
        <v>45537.541666666664</v>
      </c>
      <c r="AA39" s="69">
        <f t="shared" si="15"/>
        <v>45537.541666666664</v>
      </c>
      <c r="AB39" s="71">
        <f t="shared" si="16"/>
        <v>3.1619444444077089</v>
      </c>
      <c r="AC39" s="60">
        <f t="shared" si="17"/>
        <v>45537</v>
      </c>
      <c r="AD39" s="61">
        <f t="shared" si="18"/>
        <v>45537.541666666664</v>
      </c>
      <c r="AE39" s="69">
        <f t="shared" si="19"/>
        <v>45537.541666666664</v>
      </c>
      <c r="AF39" s="36" t="str">
        <f>[4]Sayfa1!$AP38</f>
        <v>(II) Birden fazla karşılaşılan arıza</v>
      </c>
      <c r="AG39" s="33" t="str">
        <f>IF([4]Sayfa1!$J38="C-Uyarı, sürüş devamlılığı","Bu Arıza Aracın Servise Verilmesine Engel Değil","Bu Arıza Aracın Servise Verilmesine Engel")</f>
        <v>Bu Arıza Aracın Servise Verilmesine Engel</v>
      </c>
      <c r="AH39" s="41" t="str">
        <f>[4]Sayfa1!$AB38</f>
        <v>Arıza çözülecek</v>
      </c>
      <c r="AI39" s="60"/>
      <c r="AJ39" s="60"/>
      <c r="AK39" s="69">
        <f t="shared" si="20"/>
        <v>0</v>
      </c>
      <c r="AL39" s="71">
        <f t="shared" si="21"/>
        <v>189.71666666446254</v>
      </c>
      <c r="AM39" s="71">
        <f t="shared" si="22"/>
        <v>189.71666666446254</v>
      </c>
      <c r="AN39" s="72">
        <f t="shared" si="23"/>
        <v>0</v>
      </c>
      <c r="AO39" s="73" t="str">
        <f>[4]Sayfa1!$X38</f>
        <v>FE750-7303</v>
      </c>
      <c r="AP39" s="72">
        <f>[4]Sayfa1!$Y38</f>
        <v>0</v>
      </c>
      <c r="AQ39" s="184" t="str">
        <f>[4]Sayfa1!$V38</f>
        <v>GREBO OTOMOTİV SANAYİ A.Ş</v>
      </c>
      <c r="AR39" s="74" t="str">
        <f>[4]Sayfa1!$W38</f>
        <v>PANO KOMPLESI</v>
      </c>
      <c r="AS39" s="74">
        <f>[4]Sayfa1!$AD38</f>
        <v>0</v>
      </c>
      <c r="AT39" s="60" t="str">
        <f>[4]Sayfa1!$AE38</f>
        <v/>
      </c>
      <c r="AU39" s="60" t="str">
        <f>[4]Sayfa1!$AH38</f>
        <v/>
      </c>
      <c r="AV39" s="75">
        <v>37</v>
      </c>
      <c r="AW39" s="76">
        <f t="shared" si="24"/>
        <v>34.781388888484798</v>
      </c>
      <c r="AX39" s="77" t="str">
        <f>[4]Sayfa1!$A38</f>
        <v>4bf7825a</v>
      </c>
      <c r="AY39" s="78" t="s">
        <v>114</v>
      </c>
      <c r="AZ39" s="79" t="e" vm="1">
        <f t="shared" si="25"/>
        <v>#VALUE!</v>
      </c>
    </row>
    <row r="40" spans="1:52" ht="165.6">
      <c r="A40" s="59" t="s">
        <v>113</v>
      </c>
      <c r="B40" s="59" t="str">
        <f>[4]Sayfa1!$G35</f>
        <v>3874(3)</v>
      </c>
      <c r="C40" s="184" t="str">
        <f>[4]Sayfa1!$H35</f>
        <v>MA</v>
      </c>
      <c r="D40" s="24">
        <f>[4]Sayfa1!$N35</f>
        <v>46300</v>
      </c>
      <c r="E40" s="24" t="str">
        <f>[4]Sayfa1!$B35</f>
        <v>BOZ-KAY5+6-FF-034</v>
      </c>
      <c r="F40" s="60">
        <f>[4]Sayfa1!$E35</f>
        <v>45306</v>
      </c>
      <c r="G40" s="61">
        <f>[4]Sayfa1!$F35</f>
        <v>45306.456944444442</v>
      </c>
      <c r="H40" s="59" t="str">
        <f>[4]Sayfa1!$I35</f>
        <v>Hat/Line</v>
      </c>
      <c r="I40" s="62" t="str">
        <f>IF([4]Sayfa1!$K35="SSH","Notified by Bozankaya","Notified by Customer")</f>
        <v>Notified by Customer</v>
      </c>
      <c r="J40" s="59" t="e">
        <f>VLOOKUP([4]Sayfa1!$AU35,#REF!,2,FALSE)</f>
        <v>#REF!</v>
      </c>
      <c r="K40" s="59">
        <f>[4]Sayfa1!$AC35</f>
        <v>0</v>
      </c>
      <c r="L40" s="63" t="str">
        <f t="shared" si="13"/>
        <v>KAY_5+6-BOZ-KAY5+6-FF-034</v>
      </c>
      <c r="M40" s="64" t="str">
        <f>[4]Sayfa1!$L35</f>
        <v>3874 nolu araç kabin ca kliması çalışmıyor kabin soğuk</v>
      </c>
      <c r="N40" s="33" t="str">
        <f>[4]Sayfa1!$J35</f>
        <v>C-Uyarı, sürüş devamlılığı</v>
      </c>
      <c r="O40" s="33" t="str">
        <f>[4]Sayfa1!$P35</f>
        <v>C(Sisteme etki etmeyen arıza)</v>
      </c>
      <c r="P40" s="33" t="str">
        <f>[4]Sayfa1!$Q35</f>
        <v>N.A(Yaralanma yok)</v>
      </c>
      <c r="Q40" s="65" t="str" cm="1">
        <f t="array" ref="Q40">_xlfn.IFS([4]Sayfa1!$R35="Bozankaya","Bozankaya",[4]Sayfa1!$R35="İşletme","Customer",[4]Sayfa1!$R35="Tedarikçi","Equipment Supplier")</f>
        <v>Equipment Supplier</v>
      </c>
      <c r="R40" s="66" t="str">
        <f>[4]Sayfa1!$M35</f>
        <v>Kontrol edildi sorun görülmedi</v>
      </c>
      <c r="S40" s="36" t="str">
        <f>[4]Sayfa1!$S35</f>
        <v>Eltesan</v>
      </c>
      <c r="T40" s="67">
        <f>[4]Sayfa1!$Z35</f>
        <v>0</v>
      </c>
      <c r="U40" s="68">
        <f>[4]Sayfa1!$AN35</f>
        <v>1</v>
      </c>
      <c r="V40" s="60">
        <f>[4]Sayfa1!$T35</f>
        <v>45535</v>
      </c>
      <c r="W40" s="61">
        <f>[4]Sayfa1!$U35</f>
        <v>45535.413344907407</v>
      </c>
      <c r="X40" s="69">
        <f t="shared" si="14"/>
        <v>45535.413344907407</v>
      </c>
      <c r="Y40" s="70">
        <f>[4]Sayfa1!$AQ35</f>
        <v>45535</v>
      </c>
      <c r="Z40" s="61">
        <f>[4]Sayfa1!$AR35</f>
        <v>45535.5</v>
      </c>
      <c r="AA40" s="69">
        <f t="shared" si="15"/>
        <v>45535.5</v>
      </c>
      <c r="AB40" s="71">
        <f t="shared" si="16"/>
        <v>2.0797222222317941</v>
      </c>
      <c r="AC40" s="60">
        <f t="shared" si="17"/>
        <v>45535</v>
      </c>
      <c r="AD40" s="61">
        <f t="shared" si="18"/>
        <v>45535.5</v>
      </c>
      <c r="AE40" s="69">
        <f t="shared" si="19"/>
        <v>45535.5</v>
      </c>
      <c r="AF40" s="36" t="str">
        <f>[4]Sayfa1!$AP35</f>
        <v>(II) Birden fazla karşılaşılan arıza</v>
      </c>
      <c r="AG40" s="33" t="str">
        <f>IF([4]Sayfa1!$J35="C-Uyarı, sürüş devamlılığı","Bu Arıza Aracın Servise Verilmesine Engel Değil","Bu Arıza Aracın Servise Verilmesine Engel")</f>
        <v>Bu Arıza Aracın Servise Verilmesine Engel Değil</v>
      </c>
      <c r="AH40" s="41">
        <f>[4]Sayfa1!$AB35</f>
        <v>0</v>
      </c>
      <c r="AI40" s="60"/>
      <c r="AJ40" s="60"/>
      <c r="AK40" s="69">
        <f t="shared" si="20"/>
        <v>0</v>
      </c>
      <c r="AL40" s="71">
        <f t="shared" si="21"/>
        <v>124.78333333390765</v>
      </c>
      <c r="AM40" s="71">
        <f t="shared" si="22"/>
        <v>124.78333333390765</v>
      </c>
      <c r="AN40" s="72">
        <f t="shared" si="23"/>
        <v>0</v>
      </c>
      <c r="AO40" s="73" t="str">
        <f>[4]Sayfa1!$X35</f>
        <v>H500-7243</v>
      </c>
      <c r="AP40" s="72">
        <f>[4]Sayfa1!$Y35</f>
        <v>0</v>
      </c>
      <c r="AQ40" s="184" t="str">
        <f>[4]Sayfa1!$V35</f>
        <v>ELTESAN ELEKTRO MEKANİK SOĞUTMA SAN</v>
      </c>
      <c r="AR40" s="74" t="str">
        <f>[4]Sayfa1!$W35</f>
        <v>SURUCU KLIMASI-Eltesan/Hispacold 4,5 KW</v>
      </c>
      <c r="AS40" s="74">
        <f>[4]Sayfa1!$AD35</f>
        <v>0</v>
      </c>
      <c r="AT40" s="60" t="str">
        <f>[4]Sayfa1!$AE35</f>
        <v/>
      </c>
      <c r="AU40" s="60" t="str">
        <f>[4]Sayfa1!$AH35</f>
        <v/>
      </c>
      <c r="AV40" s="75">
        <v>34</v>
      </c>
      <c r="AW40" s="76">
        <f t="shared" si="24"/>
        <v>22.876944444549736</v>
      </c>
      <c r="AX40" s="77" t="str">
        <f>[4]Sayfa1!$A35</f>
        <v>f8211193</v>
      </c>
      <c r="AY40" s="78" t="s">
        <v>114</v>
      </c>
      <c r="AZ40" s="79" t="e" vm="1">
        <f t="shared" si="25"/>
        <v>#VALUE!</v>
      </c>
    </row>
    <row r="41" spans="1:52" ht="140.44999999999999">
      <c r="A41" s="59" t="s">
        <v>113</v>
      </c>
      <c r="B41" s="59" t="str">
        <f>[4]Sayfa1!$G36</f>
        <v>3877(6)</v>
      </c>
      <c r="C41" s="184" t="str">
        <f>[4]Sayfa1!$H36</f>
        <v>MA</v>
      </c>
      <c r="D41" s="24">
        <f>[4]Sayfa1!$N36</f>
        <v>25500</v>
      </c>
      <c r="E41" s="24" t="str">
        <f>[4]Sayfa1!$B36</f>
        <v>BOZ-KAY5+6-FF-035</v>
      </c>
      <c r="F41" s="60">
        <f>[4]Sayfa1!$E36</f>
        <v>45306</v>
      </c>
      <c r="G41" s="61">
        <f>[4]Sayfa1!$F36</f>
        <v>45306.693749999999</v>
      </c>
      <c r="H41" s="59" t="str">
        <f>[4]Sayfa1!$I36</f>
        <v>Hat/Line</v>
      </c>
      <c r="I41" s="62" t="str">
        <f>IF([4]Sayfa1!$K36="SSH","Notified by Bozankaya","Notified by Customer")</f>
        <v>Notified by Customer</v>
      </c>
      <c r="J41" s="59" t="e">
        <f>VLOOKUP([4]Sayfa1!$AU36,#REF!,2,FALSE)</f>
        <v>#REF!</v>
      </c>
      <c r="K41" s="59">
        <f>[4]Sayfa1!$AC36</f>
        <v>0</v>
      </c>
      <c r="L41" s="63" t="str">
        <f t="shared" si="13"/>
        <v>KAY_5+6-BOZ-KAY5+6-FF-035</v>
      </c>
      <c r="M41" s="64" t="str">
        <f>[4]Sayfa1!$L36</f>
        <v>Kuplaj motoru sağa sola oynuyor</v>
      </c>
      <c r="N41" s="33" t="str">
        <f>[4]Sayfa1!$J36</f>
        <v>B-Hız veya güç azalması</v>
      </c>
      <c r="O41" s="33" t="str">
        <f>[4]Sayfa1!$P36</f>
        <v>C(Sisteme etki etmeyen arıza)</v>
      </c>
      <c r="P41" s="33" t="str">
        <f>[4]Sayfa1!$Q36</f>
        <v>N.A(Yaralanma yok)</v>
      </c>
      <c r="Q41" s="65" t="str" cm="1">
        <f t="array" ref="Q41">_xlfn.IFS([4]Sayfa1!$R36="Bozankaya","Bozankaya",[4]Sayfa1!$R36="İşletme","Customer",[4]Sayfa1!$R36="Tedarikçi","Equipment Supplier")</f>
        <v>Equipment Supplier</v>
      </c>
      <c r="R41" s="66" t="str">
        <f>[4]Sayfa1!$M36</f>
        <v>CA kuplaj asansörden düşmüş yeniden yerinde takıldı</v>
      </c>
      <c r="S41" s="36" t="str">
        <f>[4]Sayfa1!$S36</f>
        <v>Bozankaya</v>
      </c>
      <c r="T41" s="67">
        <f>[4]Sayfa1!$Z36</f>
        <v>0</v>
      </c>
      <c r="U41" s="68">
        <f>[4]Sayfa1!$AN36</f>
        <v>1</v>
      </c>
      <c r="V41" s="60">
        <f>[4]Sayfa1!$T36</f>
        <v>45535</v>
      </c>
      <c r="W41" s="61">
        <f>[4]Sayfa1!$U36</f>
        <v>45535.410196759258</v>
      </c>
      <c r="X41" s="69">
        <f t="shared" si="14"/>
        <v>45535.410196759258</v>
      </c>
      <c r="Y41" s="70">
        <f>[4]Sayfa1!$AQ36</f>
        <v>45535</v>
      </c>
      <c r="Z41" s="61">
        <f>[4]Sayfa1!$AR36</f>
        <v>45535.5</v>
      </c>
      <c r="AA41" s="69">
        <f t="shared" si="15"/>
        <v>45535.5</v>
      </c>
      <c r="AB41" s="71">
        <f t="shared" si="16"/>
        <v>2.1552777778124437</v>
      </c>
      <c r="AC41" s="60">
        <f t="shared" si="17"/>
        <v>45535</v>
      </c>
      <c r="AD41" s="61">
        <f t="shared" si="18"/>
        <v>45535.5</v>
      </c>
      <c r="AE41" s="69">
        <f t="shared" si="19"/>
        <v>45535.5</v>
      </c>
      <c r="AF41" s="36" t="str">
        <f>[4]Sayfa1!$AP36</f>
        <v>(I) İlk defa karşılaşılan arıza</v>
      </c>
      <c r="AG41" s="33" t="str">
        <f>IF([4]Sayfa1!$J36="C-Uyarı, sürüş devamlılığı","Bu Arıza Aracın Servise Verilmesine Engel Değil","Bu Arıza Aracın Servise Verilmesine Engel")</f>
        <v>Bu Arıza Aracın Servise Verilmesine Engel</v>
      </c>
      <c r="AH41" s="41" t="str">
        <f>[4]Sayfa1!$AB36</f>
        <v>Arıza çözülecek</v>
      </c>
      <c r="AI41" s="60"/>
      <c r="AJ41" s="60"/>
      <c r="AK41" s="69">
        <f t="shared" si="20"/>
        <v>0</v>
      </c>
      <c r="AL41" s="71">
        <f t="shared" si="21"/>
        <v>129.31666666874662</v>
      </c>
      <c r="AM41" s="71">
        <f t="shared" si="22"/>
        <v>129.31666666874662</v>
      </c>
      <c r="AN41" s="72">
        <f t="shared" si="23"/>
        <v>0</v>
      </c>
      <c r="AO41" s="73" t="str">
        <f>[4]Sayfa1!$X36</f>
        <v>M350-7062</v>
      </c>
      <c r="AP41" s="72">
        <f>[4]Sayfa1!$Y36</f>
        <v>0</v>
      </c>
      <c r="AQ41" s="184" t="str">
        <f>[4]Sayfa1!$V36</f>
        <v>DELLNER COUPLERC AB</v>
      </c>
      <c r="AR41" s="74" t="str">
        <f>[4]Sayfa1!$W36</f>
        <v>OTOMATIK KUPLÖR DELLNER</v>
      </c>
      <c r="AS41" s="74">
        <f>[4]Sayfa1!$AD36</f>
        <v>0</v>
      </c>
      <c r="AT41" s="60" t="str">
        <f>[4]Sayfa1!$AE36</f>
        <v/>
      </c>
      <c r="AU41" s="60" t="str">
        <f>[4]Sayfa1!$AH36</f>
        <v/>
      </c>
      <c r="AV41" s="75">
        <v>35</v>
      </c>
      <c r="AW41" s="76">
        <f t="shared" si="24"/>
        <v>23.70805555593688</v>
      </c>
      <c r="AX41" s="77" t="str">
        <f>[4]Sayfa1!$A36</f>
        <v>04d632b4</v>
      </c>
      <c r="AY41" s="78" t="s">
        <v>114</v>
      </c>
      <c r="AZ41" s="79" t="e" vm="1">
        <f t="shared" si="25"/>
        <v>#VALUE!</v>
      </c>
    </row>
    <row r="42" spans="1:52" ht="262.14999999999998">
      <c r="A42" s="59" t="s">
        <v>113</v>
      </c>
      <c r="B42" s="59" t="str">
        <f>[4]Sayfa1!$G37</f>
        <v>3875(4)</v>
      </c>
      <c r="C42" s="184" t="str">
        <f>[4]Sayfa1!$H37</f>
        <v>RA</v>
      </c>
      <c r="D42" s="24">
        <f>[4]Sayfa1!$N37</f>
        <v>38652</v>
      </c>
      <c r="E42" s="24" t="str">
        <f>[4]Sayfa1!$B37</f>
        <v>BOZ-KAY5+6-FF-036</v>
      </c>
      <c r="F42" s="60">
        <f>[4]Sayfa1!$E37</f>
        <v>45306</v>
      </c>
      <c r="G42" s="61">
        <f>[4]Sayfa1!$F37</f>
        <v>45306.838194444441</v>
      </c>
      <c r="H42" s="59" t="str">
        <f>[4]Sayfa1!$I37</f>
        <v>Hat/Line</v>
      </c>
      <c r="I42" s="62" t="str">
        <f>IF([4]Sayfa1!$K37="SSH","Notified by Bozankaya","Notified by Customer")</f>
        <v>Notified by Customer</v>
      </c>
      <c r="J42" s="59" t="e">
        <f>VLOOKUP([4]Sayfa1!$AU37,#REF!,2,FALSE)</f>
        <v>#REF!</v>
      </c>
      <c r="K42" s="59">
        <f>[4]Sayfa1!$AC37</f>
        <v>0</v>
      </c>
      <c r="L42" s="63" t="str">
        <f t="shared" si="13"/>
        <v>KAY_5+6-BOZ-KAY5+6-FF-036</v>
      </c>
      <c r="M42" s="64" t="str">
        <f>[4]Sayfa1!$L37</f>
        <v>5 NOLU KAPI KAPANMASINA RAĞMEN KAPI IŞIĞI GELMEDİ KAPI RESETLENİNCE DÜZELDİ 1 SEFERDE 3 DK TEHİR MEYDANA GELD</v>
      </c>
      <c r="N42" s="33" t="str">
        <f>[4]Sayfa1!$J37</f>
        <v>B-Hız veya güç azalması</v>
      </c>
      <c r="O42" s="33" t="str">
        <f>[4]Sayfa1!$P37</f>
        <v>B(Servisten çekmeye etki eden arızalar)</v>
      </c>
      <c r="P42" s="33" t="str">
        <f>[4]Sayfa1!$Q37</f>
        <v>N.A(Yaralanma yok)</v>
      </c>
      <c r="Q42" s="65" t="str" cm="1">
        <f t="array" ref="Q42">_xlfn.IFS([4]Sayfa1!$R37="Bozankaya","Bozankaya",[4]Sayfa1!$R37="İşletme","Customer",[4]Sayfa1!$R37="Tedarikçi","Equipment Supplier")</f>
        <v>Bozankaya</v>
      </c>
      <c r="R42" s="66" t="str">
        <f>[4]Sayfa1!$M37</f>
        <v>KAYITLAR İNCELENDİ ARAÇTA KAPI ARIZASI YOK DİĞER MAKİNİST DİĞER KUPLAJLI ARACA BİNEREK KONTAĞI AKTİF EDİYOR</v>
      </c>
      <c r="S42" s="36" t="str">
        <f>[4]Sayfa1!$S37</f>
        <v>Üretim</v>
      </c>
      <c r="T42" s="67">
        <f>[4]Sayfa1!$Z37</f>
        <v>0</v>
      </c>
      <c r="U42" s="68">
        <f>[4]Sayfa1!$AN37</f>
        <v>1</v>
      </c>
      <c r="V42" s="60">
        <f>[4]Sayfa1!$T37</f>
        <v>45307</v>
      </c>
      <c r="W42" s="61">
        <f>[4]Sayfa1!$U37</f>
        <v>45307.333333333336</v>
      </c>
      <c r="X42" s="69">
        <f t="shared" si="14"/>
        <v>45307.333333333336</v>
      </c>
      <c r="Y42" s="70">
        <f>[4]Sayfa1!$AQ37</f>
        <v>45307</v>
      </c>
      <c r="Z42" s="61">
        <f>[4]Sayfa1!$AR37</f>
        <v>45307.416666666664</v>
      </c>
      <c r="AA42" s="69">
        <f t="shared" si="15"/>
        <v>45307.416666666664</v>
      </c>
      <c r="AB42" s="71">
        <f t="shared" si="16"/>
        <v>1.9999999998835847</v>
      </c>
      <c r="AC42" s="60">
        <f t="shared" si="17"/>
        <v>45307</v>
      </c>
      <c r="AD42" s="61">
        <f t="shared" si="18"/>
        <v>45307.416666666664</v>
      </c>
      <c r="AE42" s="69">
        <f t="shared" si="19"/>
        <v>45307.416666666664</v>
      </c>
      <c r="AF42" s="36" t="str">
        <f>[4]Sayfa1!$AP37</f>
        <v>(II) Birden fazla karşılaşılan arıza</v>
      </c>
      <c r="AG42" s="33" t="str">
        <f>IF([4]Sayfa1!$J37="C-Uyarı, sürüş devamlılığı","Bu Arıza Aracın Servise Verilmesine Engel Değil","Bu Arıza Aracın Servise Verilmesine Engel")</f>
        <v>Bu Arıza Aracın Servise Verilmesine Engel</v>
      </c>
      <c r="AH42" s="41">
        <f>[4]Sayfa1!$AB37</f>
        <v>0</v>
      </c>
      <c r="AI42" s="60"/>
      <c r="AJ42" s="60"/>
      <c r="AK42" s="69">
        <f t="shared" si="20"/>
        <v>0</v>
      </c>
      <c r="AL42" s="71">
        <f t="shared" si="21"/>
        <v>119.99999999301508</v>
      </c>
      <c r="AM42" s="71">
        <f t="shared" si="22"/>
        <v>119.99999999301508</v>
      </c>
      <c r="AN42" s="72">
        <f t="shared" si="23"/>
        <v>0</v>
      </c>
      <c r="AO42" s="73" t="str">
        <f>[4]Sayfa1!$X37</f>
        <v>FE750-7303</v>
      </c>
      <c r="AP42" s="72">
        <f>[4]Sayfa1!$Y37</f>
        <v>0</v>
      </c>
      <c r="AQ42" s="184" t="str">
        <f>[4]Sayfa1!$V37</f>
        <v>GREBO OTOMOTİV SANAYİ A.Ş</v>
      </c>
      <c r="AR42" s="74" t="str">
        <f>[4]Sayfa1!$W37</f>
        <v>PANO KOMPLESI</v>
      </c>
      <c r="AS42" s="74">
        <f>[4]Sayfa1!$AD37</f>
        <v>0</v>
      </c>
      <c r="AT42" s="60" t="str">
        <f>[4]Sayfa1!$AE37</f>
        <v/>
      </c>
      <c r="AU42" s="60" t="str">
        <f>[4]Sayfa1!$AH37</f>
        <v/>
      </c>
      <c r="AV42" s="75">
        <v>36</v>
      </c>
      <c r="AW42" s="76">
        <f t="shared" si="24"/>
        <v>21.999999998719431</v>
      </c>
      <c r="AX42" s="77" t="str">
        <f>[4]Sayfa1!$A37</f>
        <v>9e6aa44f</v>
      </c>
      <c r="AY42" s="78" t="s">
        <v>114</v>
      </c>
      <c r="AZ42" s="79" t="e" vm="1">
        <f t="shared" si="25"/>
        <v>#VALUE!</v>
      </c>
    </row>
    <row r="43" spans="1:52" ht="211.15">
      <c r="A43" s="59" t="s">
        <v>113</v>
      </c>
      <c r="B43" s="59" t="str">
        <f>[4]Sayfa1!$G39</f>
        <v>3878(7)</v>
      </c>
      <c r="C43" s="184" t="str">
        <f>[4]Sayfa1!$H39</f>
        <v>RA</v>
      </c>
      <c r="D43" s="24">
        <f>[4]Sayfa1!$N39</f>
        <v>16200</v>
      </c>
      <c r="E43" s="24" t="str">
        <f>[4]Sayfa1!$B39</f>
        <v>BOZ-KAY5+6-FF-038</v>
      </c>
      <c r="F43" s="60">
        <f>[4]Sayfa1!$E39</f>
        <v>45307</v>
      </c>
      <c r="G43" s="61">
        <f>[4]Sayfa1!$F39</f>
        <v>45307.674305555556</v>
      </c>
      <c r="H43" s="59" t="str">
        <f>[4]Sayfa1!$I39</f>
        <v>Hat/Line</v>
      </c>
      <c r="I43" s="62" t="str">
        <f>IF([4]Sayfa1!$K39="SSH","Notified by Bozankaya","Notified by Customer")</f>
        <v>Notified by Customer</v>
      </c>
      <c r="J43" s="59" t="e">
        <f>VLOOKUP([4]Sayfa1!$AU39,#REF!,2,FALSE)</f>
        <v>#REF!</v>
      </c>
      <c r="K43" s="59">
        <f>[4]Sayfa1!$AC39</f>
        <v>0</v>
      </c>
      <c r="L43" s="63" t="str">
        <f t="shared" si="13"/>
        <v>KAY_5+6-BOZ-KAY5+6-FF-038</v>
      </c>
      <c r="M43" s="64" t="str">
        <f>[4]Sayfa1!$L39</f>
        <v>6 numaralı kapı buzzer uyarısı verdiği için izole edildi</v>
      </c>
      <c r="N43" s="33" t="str">
        <f>[4]Sayfa1!$J39</f>
        <v>C-Uyarı, sürüş devamlılığı</v>
      </c>
      <c r="O43" s="33" t="str">
        <f>[4]Sayfa1!$P39</f>
        <v>C(Sisteme etki etmeyen arıza)</v>
      </c>
      <c r="P43" s="33" t="str">
        <f>[4]Sayfa1!$Q39</f>
        <v>N.A(Yaralanma yok)</v>
      </c>
      <c r="Q43" s="65" t="str" cm="1">
        <f t="array" ref="Q43">_xlfn.IFS([4]Sayfa1!$R39="Bozankaya","Bozankaya",[4]Sayfa1!$R39="İşletme","Customer",[4]Sayfa1!$R39="Tedarikçi","Equipment Supplier")</f>
        <v>Equipment Supplier</v>
      </c>
      <c r="R43" s="66" t="str">
        <f>[4]Sayfa1!$M39</f>
        <v>Kapı buzzer çalışmıyordu.Hoparlör kablosu çıkmış yerinde  takıldı</v>
      </c>
      <c r="S43" s="36" t="str">
        <f>[4]Sayfa1!$S39</f>
        <v>TSL</v>
      </c>
      <c r="T43" s="67">
        <f>[4]Sayfa1!$Z39</f>
        <v>0</v>
      </c>
      <c r="U43" s="68">
        <f>[4]Sayfa1!$AN39</f>
        <v>1</v>
      </c>
      <c r="V43" s="60">
        <f>[4]Sayfa1!$T39</f>
        <v>45535</v>
      </c>
      <c r="W43" s="61">
        <f>[4]Sayfa1!$U39</f>
        <v>45535.402592592596</v>
      </c>
      <c r="X43" s="69">
        <f t="shared" si="14"/>
        <v>45535.402592592596</v>
      </c>
      <c r="Y43" s="70">
        <f>[4]Sayfa1!$AQ39</f>
        <v>45535</v>
      </c>
      <c r="Z43" s="61">
        <f>[4]Sayfa1!$AR39</f>
        <v>45535.5</v>
      </c>
      <c r="AA43" s="69">
        <f t="shared" si="15"/>
        <v>45535.5</v>
      </c>
      <c r="AB43" s="71">
        <f t="shared" si="16"/>
        <v>2.3377777776913717</v>
      </c>
      <c r="AC43" s="60">
        <f t="shared" si="17"/>
        <v>45535</v>
      </c>
      <c r="AD43" s="61">
        <f t="shared" si="18"/>
        <v>45535.5</v>
      </c>
      <c r="AE43" s="69">
        <f t="shared" si="19"/>
        <v>45535.5</v>
      </c>
      <c r="AF43" s="36" t="str">
        <f>[4]Sayfa1!$AP39</f>
        <v>(I) İlk defa karşılaşılan arıza</v>
      </c>
      <c r="AG43" s="33" t="str">
        <f>IF([4]Sayfa1!$J39="C-Uyarı, sürüş devamlılığı","Bu Arıza Aracın Servise Verilmesine Engel Değil","Bu Arıza Aracın Servise Verilmesine Engel")</f>
        <v>Bu Arıza Aracın Servise Verilmesine Engel Değil</v>
      </c>
      <c r="AH43" s="41" t="str">
        <f>[4]Sayfa1!$AB39</f>
        <v>Arıza çözülecek</v>
      </c>
      <c r="AI43" s="60"/>
      <c r="AJ43" s="60"/>
      <c r="AK43" s="69">
        <f t="shared" si="20"/>
        <v>0</v>
      </c>
      <c r="AL43" s="71">
        <f t="shared" si="21"/>
        <v>140.2666666614823</v>
      </c>
      <c r="AM43" s="71">
        <f t="shared" si="22"/>
        <v>140.2666666614823</v>
      </c>
      <c r="AN43" s="72">
        <f t="shared" si="23"/>
        <v>0</v>
      </c>
      <c r="AO43" s="73" t="str">
        <f>[4]Sayfa1!$X39</f>
        <v>M110-7057</v>
      </c>
      <c r="AP43" s="72">
        <f>[4]Sayfa1!$Y39</f>
        <v>0</v>
      </c>
      <c r="AQ43" s="184" t="str">
        <f>[4]Sayfa1!$V39</f>
        <v>TURCK OTOMASYON TİC. LTD.ŞTİ.</v>
      </c>
      <c r="AR43" s="74" t="str">
        <f>[4]Sayfa1!$W39</f>
        <v>SESLI UYARI CIHAZI</v>
      </c>
      <c r="AS43" s="74">
        <f>[4]Sayfa1!$AD39</f>
        <v>0</v>
      </c>
      <c r="AT43" s="60" t="str">
        <f>[4]Sayfa1!$AE39</f>
        <v/>
      </c>
      <c r="AU43" s="60" t="str">
        <f>[4]Sayfa1!$AH39</f>
        <v/>
      </c>
      <c r="AV43" s="75">
        <v>38</v>
      </c>
      <c r="AW43" s="76">
        <f t="shared" si="24"/>
        <v>25.715555554605089</v>
      </c>
      <c r="AX43" s="77" t="str">
        <f>[4]Sayfa1!$A39</f>
        <v>c55321a5</v>
      </c>
      <c r="AY43" s="78" t="s">
        <v>114</v>
      </c>
      <c r="AZ43" s="79" t="e" vm="1">
        <f t="shared" si="25"/>
        <v>#VALUE!</v>
      </c>
    </row>
    <row r="44" spans="1:52" ht="160.15">
      <c r="A44" s="59" t="s">
        <v>113</v>
      </c>
      <c r="B44" s="59" t="str">
        <f>[4]Sayfa1!$G40</f>
        <v>3872(1)</v>
      </c>
      <c r="C44" s="184" t="str">
        <f>[4]Sayfa1!$H40</f>
        <v>MA</v>
      </c>
      <c r="D44" s="24">
        <f>[4]Sayfa1!$N40</f>
        <v>34800</v>
      </c>
      <c r="E44" s="24" t="str">
        <f>[4]Sayfa1!$B40</f>
        <v>BOZ-KAY5+6-FF-039</v>
      </c>
      <c r="F44" s="60">
        <f>[4]Sayfa1!$E40</f>
        <v>45308</v>
      </c>
      <c r="G44" s="61">
        <f>[4]Sayfa1!$F40</f>
        <v>45308.333333333336</v>
      </c>
      <c r="H44" s="59" t="str">
        <f>[4]Sayfa1!$I40</f>
        <v>Hat/Line</v>
      </c>
      <c r="I44" s="62" t="str">
        <f>IF([4]Sayfa1!$K40="SSH","Notified by Bozankaya","Notified by Customer")</f>
        <v>Notified by Customer</v>
      </c>
      <c r="J44" s="59" t="e">
        <f>VLOOKUP([4]Sayfa1!$AU40,#REF!,2,FALSE)</f>
        <v>#REF!</v>
      </c>
      <c r="K44" s="59">
        <f>[4]Sayfa1!$AC40</f>
        <v>0</v>
      </c>
      <c r="L44" s="63" t="str">
        <f t="shared" si="13"/>
        <v>KAY_5+6-BOZ-KAY5+6-FF-039</v>
      </c>
      <c r="M44" s="64" t="str">
        <f>[4]Sayfa1!$L40</f>
        <v>invertör arızaya geçip kendini kapatıyor</v>
      </c>
      <c r="N44" s="33" t="str">
        <f>[4]Sayfa1!$J40</f>
        <v>A-Sürüşü engeller</v>
      </c>
      <c r="O44" s="33" t="str">
        <f>[4]Sayfa1!$P40</f>
        <v>A(Hareket etmeyi engelleyen arıza)</v>
      </c>
      <c r="P44" s="33" t="str">
        <f>[4]Sayfa1!$Q40</f>
        <v>N.A(Yaralanma yok)</v>
      </c>
      <c r="Q44" s="65" t="str" cm="1">
        <f t="array" ref="Q44">_xlfn.IFS([4]Sayfa1!$R40="Bozankaya","Bozankaya",[4]Sayfa1!$R40="İşletme","Customer",[4]Sayfa1!$R40="Tedarikçi","Equipment Supplier")</f>
        <v>Equipment Supplier</v>
      </c>
      <c r="R44" s="66" t="str">
        <f>[4]Sayfa1!$M40</f>
        <v>mecom ile bağlantı kuruldu.IGBT drive kart değişimleri yapıldı</v>
      </c>
      <c r="S44" s="36" t="str">
        <f>[4]Sayfa1!$S40</f>
        <v>Medcom</v>
      </c>
      <c r="T44" s="67">
        <f>[4]Sayfa1!$Z40</f>
        <v>0</v>
      </c>
      <c r="U44" s="68">
        <f>[4]Sayfa1!$AN40</f>
        <v>1</v>
      </c>
      <c r="V44" s="60">
        <f>[4]Sayfa1!$T40</f>
        <v>45532</v>
      </c>
      <c r="W44" s="61">
        <f>[4]Sayfa1!$U40</f>
        <v>45532.4921875</v>
      </c>
      <c r="X44" s="69">
        <f t="shared" si="14"/>
        <v>45532.4921875</v>
      </c>
      <c r="Y44" s="70">
        <f>[4]Sayfa1!$AQ40</f>
        <v>45532</v>
      </c>
      <c r="Z44" s="61">
        <f>[4]Sayfa1!$AR40</f>
        <v>45532.625</v>
      </c>
      <c r="AA44" s="69">
        <f t="shared" si="15"/>
        <v>45532.625</v>
      </c>
      <c r="AB44" s="71">
        <f t="shared" si="16"/>
        <v>3.1875</v>
      </c>
      <c r="AC44" s="60">
        <f t="shared" si="17"/>
        <v>45532</v>
      </c>
      <c r="AD44" s="61">
        <f t="shared" si="18"/>
        <v>45532.625</v>
      </c>
      <c r="AE44" s="69">
        <f t="shared" si="19"/>
        <v>45532.625</v>
      </c>
      <c r="AF44" s="36" t="str">
        <f>[4]Sayfa1!$AP40</f>
        <v>(I) İlk defa karşılaşılan arıza</v>
      </c>
      <c r="AG44" s="33" t="str">
        <f>IF([4]Sayfa1!$J40="C-Uyarı, sürüş devamlılığı","Bu Arıza Aracın Servise Verilmesine Engel Değil","Bu Arıza Aracın Servise Verilmesine Engel")</f>
        <v>Bu Arıza Aracın Servise Verilmesine Engel</v>
      </c>
      <c r="AH44" s="41">
        <f>[4]Sayfa1!$AB40</f>
        <v>0</v>
      </c>
      <c r="AI44" s="60"/>
      <c r="AJ44" s="60"/>
      <c r="AK44" s="69">
        <f t="shared" si="20"/>
        <v>0</v>
      </c>
      <c r="AL44" s="71">
        <f t="shared" si="21"/>
        <v>191.25</v>
      </c>
      <c r="AM44" s="71">
        <f t="shared" si="22"/>
        <v>191.25</v>
      </c>
      <c r="AN44" s="72">
        <f t="shared" si="23"/>
        <v>0</v>
      </c>
      <c r="AO44" s="73" t="str">
        <f>[4]Sayfa1!$X40</f>
        <v>P620-7023</v>
      </c>
      <c r="AP44" s="72">
        <f>[4]Sayfa1!$Y40</f>
        <v>0</v>
      </c>
      <c r="AQ44" s="184" t="str">
        <f>[4]Sayfa1!$V40</f>
        <v>MEDCOM SP. Z O.O.</v>
      </c>
      <c r="AR44" s="74" t="str">
        <f>[4]Sayfa1!$W40</f>
        <v>COMBO KUTUSU (+LHD) MEDCOM</v>
      </c>
      <c r="AS44" s="74">
        <f>[4]Sayfa1!$AD40</f>
        <v>0</v>
      </c>
      <c r="AT44" s="60" t="str">
        <f>[4]Sayfa1!$AE40</f>
        <v/>
      </c>
      <c r="AU44" s="60" t="str">
        <f>[4]Sayfa1!$AH40</f>
        <v/>
      </c>
      <c r="AV44" s="75">
        <v>39</v>
      </c>
      <c r="AW44" s="76">
        <f t="shared" si="24"/>
        <v>35.0625</v>
      </c>
      <c r="AX44" s="77" t="str">
        <f>[4]Sayfa1!$A40</f>
        <v>69a4def3</v>
      </c>
      <c r="AY44" s="78" t="s">
        <v>114</v>
      </c>
      <c r="AZ44" s="79" t="e" vm="1">
        <f t="shared" si="25"/>
        <v>#VALUE!</v>
      </c>
    </row>
    <row r="45" spans="1:52" ht="140.44999999999999">
      <c r="A45" s="59" t="s">
        <v>113</v>
      </c>
      <c r="B45" s="59" t="str">
        <f>[4]Sayfa1!$G42</f>
        <v>3874(3)</v>
      </c>
      <c r="C45" s="184" t="str">
        <f>[4]Sayfa1!$H42</f>
        <v>MA</v>
      </c>
      <c r="D45" s="24">
        <f>[4]Sayfa1!$N42</f>
        <v>45000</v>
      </c>
      <c r="E45" s="24" t="str">
        <f>[4]Sayfa1!$B42</f>
        <v>BOZ-KAY5+6-FF-041</v>
      </c>
      <c r="F45" s="60">
        <f>[4]Sayfa1!$E42</f>
        <v>45309</v>
      </c>
      <c r="G45" s="61">
        <f>[4]Sayfa1!$F42</f>
        <v>45309.303472222222</v>
      </c>
      <c r="H45" s="59" t="str">
        <f>[4]Sayfa1!$I42</f>
        <v>Hat/Line</v>
      </c>
      <c r="I45" s="62" t="str">
        <f>IF([4]Sayfa1!$K42="SSH","Notified by Bozankaya","Notified by Customer")</f>
        <v>Notified by Customer</v>
      </c>
      <c r="J45" s="59" t="e">
        <f>VLOOKUP([4]Sayfa1!$AU42,#REF!,2,FALSE)</f>
        <v>#REF!</v>
      </c>
      <c r="K45" s="59">
        <f>[4]Sayfa1!$AC42</f>
        <v>0</v>
      </c>
      <c r="L45" s="63" t="str">
        <f t="shared" si="13"/>
        <v>KAY_5+6-BOZ-KAY5+6-FF-041</v>
      </c>
      <c r="M45" s="64" t="str">
        <f>[4]Sayfa1!$L42</f>
        <v>makinist kabinleri ısıtma yapmıyor</v>
      </c>
      <c r="N45" s="33" t="str">
        <f>[4]Sayfa1!$J42</f>
        <v>A-Sürüşü engeller</v>
      </c>
      <c r="O45" s="33" t="str">
        <f>[4]Sayfa1!$P42</f>
        <v>B(Servisten çekmeye etki eden arızalar)</v>
      </c>
      <c r="P45" s="33" t="str">
        <f>[4]Sayfa1!$Q42</f>
        <v>N.A(Yaralanma yok)</v>
      </c>
      <c r="Q45" s="65" t="str" cm="1">
        <f t="array" ref="Q45">_xlfn.IFS([4]Sayfa1!$R42="Bozankaya","Bozankaya",[4]Sayfa1!$R42="İşletme","Customer",[4]Sayfa1!$R42="Tedarikçi","Equipment Supplier")</f>
        <v>Equipment Supplier</v>
      </c>
      <c r="R45" s="66" t="str">
        <f>[4]Sayfa1!$M42</f>
        <v>kabindeki ısı sensörleri aşağı alınarak revizyon yapıldı .test edildi sorun görülmedi</v>
      </c>
      <c r="S45" s="36" t="str">
        <f>[4]Sayfa1!$S42</f>
        <v>Eltesan</v>
      </c>
      <c r="T45" s="67">
        <f>[4]Sayfa1!$Z42</f>
        <v>0</v>
      </c>
      <c r="U45" s="68">
        <f>[4]Sayfa1!$AN42</f>
        <v>1</v>
      </c>
      <c r="V45" s="60">
        <f>[4]Sayfa1!$T42</f>
        <v>45532</v>
      </c>
      <c r="W45" s="61">
        <f>[4]Sayfa1!$U42</f>
        <v>45532.486597222225</v>
      </c>
      <c r="X45" s="69">
        <f t="shared" si="14"/>
        <v>45532.486597222225</v>
      </c>
      <c r="Y45" s="70">
        <f>[4]Sayfa1!$AQ42</f>
        <v>45532</v>
      </c>
      <c r="Z45" s="61">
        <f>[4]Sayfa1!$AR42</f>
        <v>45532.583333333336</v>
      </c>
      <c r="AA45" s="69">
        <f t="shared" si="15"/>
        <v>45532.583333333336</v>
      </c>
      <c r="AB45" s="71">
        <f t="shared" si="16"/>
        <v>2.3216666666558012</v>
      </c>
      <c r="AC45" s="60">
        <f t="shared" si="17"/>
        <v>45532</v>
      </c>
      <c r="AD45" s="61">
        <f t="shared" si="18"/>
        <v>45532.583333333336</v>
      </c>
      <c r="AE45" s="69">
        <f t="shared" si="19"/>
        <v>45532.583333333336</v>
      </c>
      <c r="AF45" s="36" t="str">
        <f>[4]Sayfa1!$AP42</f>
        <v>(II) Birden fazla karşılaşılan arıza</v>
      </c>
      <c r="AG45" s="33" t="str">
        <f>IF([4]Sayfa1!$J42="C-Uyarı, sürüş devamlılığı","Bu Arıza Aracın Servise Verilmesine Engel Değil","Bu Arıza Aracın Servise Verilmesine Engel")</f>
        <v>Bu Arıza Aracın Servise Verilmesine Engel</v>
      </c>
      <c r="AH45" s="41" t="str">
        <f>[4]Sayfa1!$AB42</f>
        <v>Arıza çözülecek</v>
      </c>
      <c r="AI45" s="60"/>
      <c r="AJ45" s="60"/>
      <c r="AK45" s="69">
        <f t="shared" si="20"/>
        <v>0</v>
      </c>
      <c r="AL45" s="71">
        <f t="shared" si="21"/>
        <v>139.29999999934807</v>
      </c>
      <c r="AM45" s="71">
        <f t="shared" si="22"/>
        <v>139.29999999934807</v>
      </c>
      <c r="AN45" s="72">
        <f t="shared" si="23"/>
        <v>0</v>
      </c>
      <c r="AO45" s="73" t="str">
        <f>[4]Sayfa1!$X42</f>
        <v>H500-7243</v>
      </c>
      <c r="AP45" s="72">
        <f>[4]Sayfa1!$Y42</f>
        <v>0</v>
      </c>
      <c r="AQ45" s="184" t="str">
        <f>[4]Sayfa1!$V42</f>
        <v>ELTESAN ELEKTRO MEKANİK SOĞUTMA SAN</v>
      </c>
      <c r="AR45" s="74" t="str">
        <f>[4]Sayfa1!$W42</f>
        <v>SURUCU KLIMASI-Eltesan/Hispacold 4,5 KW</v>
      </c>
      <c r="AS45" s="74">
        <f>[4]Sayfa1!$AD42</f>
        <v>0</v>
      </c>
      <c r="AT45" s="60" t="str">
        <f>[4]Sayfa1!$AE42</f>
        <v/>
      </c>
      <c r="AU45" s="60" t="str">
        <f>[4]Sayfa1!$AH42</f>
        <v/>
      </c>
      <c r="AV45" s="75">
        <v>41</v>
      </c>
      <c r="AW45" s="76">
        <f t="shared" si="24"/>
        <v>25.538333333213814</v>
      </c>
      <c r="AX45" s="77" t="str">
        <f>[4]Sayfa1!$A42</f>
        <v>e746a059</v>
      </c>
      <c r="AY45" s="78" t="s">
        <v>114</v>
      </c>
      <c r="AZ45" s="79" t="e" vm="1">
        <f t="shared" si="25"/>
        <v>#VALUE!</v>
      </c>
    </row>
    <row r="46" spans="1:52" ht="140.44999999999999">
      <c r="A46" s="59" t="s">
        <v>113</v>
      </c>
      <c r="B46" s="59" t="str">
        <f>[4]Sayfa1!$G41</f>
        <v>3872(1)</v>
      </c>
      <c r="C46" s="184" t="str">
        <f>[4]Sayfa1!$H41</f>
        <v>MA</v>
      </c>
      <c r="D46" s="24">
        <f>[4]Sayfa1!$N41</f>
        <v>38200</v>
      </c>
      <c r="E46" s="24" t="str">
        <f>[4]Sayfa1!$B41</f>
        <v>BOZ-KAY5+6-FF-040</v>
      </c>
      <c r="F46" s="60">
        <f>[4]Sayfa1!$E41</f>
        <v>45308</v>
      </c>
      <c r="G46" s="61">
        <f>[4]Sayfa1!$F41</f>
        <v>45308.333333333336</v>
      </c>
      <c r="H46" s="59" t="str">
        <f>[4]Sayfa1!$I41</f>
        <v>Hat/Line</v>
      </c>
      <c r="I46" s="62" t="str">
        <f>IF([4]Sayfa1!$K41="SSH","Notified by Bozankaya","Notified by Customer")</f>
        <v>Notified by Customer</v>
      </c>
      <c r="J46" s="59" t="e">
        <f>VLOOKUP([4]Sayfa1!$AU41,#REF!,2,FALSE)</f>
        <v>#REF!</v>
      </c>
      <c r="K46" s="59">
        <f>[4]Sayfa1!$AC41</f>
        <v>0</v>
      </c>
      <c r="L46" s="63" t="str">
        <f t="shared" si="13"/>
        <v>KAY_5+6-BOZ-KAY5+6-FF-040</v>
      </c>
      <c r="M46" s="64" t="str">
        <f>[4]Sayfa1!$L41</f>
        <v>İNVERTÖR ARIZAYA GEÇİP KENDİSİNİ KAPATIYOR</v>
      </c>
      <c r="N46" s="33" t="str">
        <f>[4]Sayfa1!$J41</f>
        <v>B-Hız veya güç azalması</v>
      </c>
      <c r="O46" s="33" t="str">
        <f>[4]Sayfa1!$P41</f>
        <v>B(Servisten çekmeye etki eden arızalar)</v>
      </c>
      <c r="P46" s="33" t="str">
        <f>[4]Sayfa1!$Q41</f>
        <v>N.A(Yaralanma yok)</v>
      </c>
      <c r="Q46" s="65" t="str" cm="1">
        <f t="array" ref="Q46">_xlfn.IFS([4]Sayfa1!$R41="Bozankaya","Bozankaya",[4]Sayfa1!$R41="İşletme","Customer",[4]Sayfa1!$R41="Tedarikçi","Equipment Supplier")</f>
        <v>Equipment Supplier</v>
      </c>
      <c r="R46" s="66" t="str">
        <f>[4]Sayfa1!$M41</f>
        <v>2 ADET IGBT KART DEĞİŞİMİ YAPILDI</v>
      </c>
      <c r="S46" s="36" t="str">
        <f>[4]Sayfa1!$S41</f>
        <v>Medcom</v>
      </c>
      <c r="T46" s="67">
        <f>[4]Sayfa1!$Z41</f>
        <v>0</v>
      </c>
      <c r="U46" s="68">
        <f>[4]Sayfa1!$AN41</f>
        <v>1</v>
      </c>
      <c r="V46" s="60">
        <f>[4]Sayfa1!$T41</f>
        <v>45308</v>
      </c>
      <c r="W46" s="61">
        <f>[4]Sayfa1!$U41</f>
        <v>45308.375</v>
      </c>
      <c r="X46" s="69">
        <f t="shared" si="14"/>
        <v>45308.375</v>
      </c>
      <c r="Y46" s="70">
        <f>[4]Sayfa1!$AQ41</f>
        <v>45309</v>
      </c>
      <c r="Z46" s="61">
        <f>[4]Sayfa1!$AR41</f>
        <v>45309.416666666664</v>
      </c>
      <c r="AA46" s="69">
        <f t="shared" si="15"/>
        <v>45309.416666666664</v>
      </c>
      <c r="AB46" s="71">
        <f t="shared" si="16"/>
        <v>24.999999999941792</v>
      </c>
      <c r="AC46" s="60">
        <f t="shared" si="17"/>
        <v>45309</v>
      </c>
      <c r="AD46" s="61">
        <f t="shared" si="18"/>
        <v>45309.416666666664</v>
      </c>
      <c r="AE46" s="69">
        <f t="shared" si="19"/>
        <v>45309.416666666664</v>
      </c>
      <c r="AF46" s="36" t="str">
        <f>[4]Sayfa1!$AP41</f>
        <v>(I) İlk defa karşılaşılan arıza</v>
      </c>
      <c r="AG46" s="33" t="str">
        <f>IF([4]Sayfa1!$J41="C-Uyarı, sürüş devamlılığı","Bu Arıza Aracın Servise Verilmesine Engel Değil","Bu Arıza Aracın Servise Verilmesine Engel")</f>
        <v>Bu Arıza Aracın Servise Verilmesine Engel</v>
      </c>
      <c r="AH46" s="41">
        <f>[4]Sayfa1!$AB41</f>
        <v>0</v>
      </c>
      <c r="AI46" s="60"/>
      <c r="AJ46" s="60"/>
      <c r="AK46" s="69">
        <f t="shared" si="20"/>
        <v>0</v>
      </c>
      <c r="AL46" s="71">
        <f t="shared" si="21"/>
        <v>1499.9999999965075</v>
      </c>
      <c r="AM46" s="71">
        <f t="shared" si="22"/>
        <v>1499.9999999965075</v>
      </c>
      <c r="AN46" s="72">
        <f t="shared" si="23"/>
        <v>0</v>
      </c>
      <c r="AO46" s="73" t="str">
        <f>[4]Sayfa1!$X41</f>
        <v>P620-7023</v>
      </c>
      <c r="AP46" s="72">
        <f>[4]Sayfa1!$Y41</f>
        <v>0</v>
      </c>
      <c r="AQ46" s="184" t="str">
        <f>[4]Sayfa1!$V41</f>
        <v>MEDCOM SP. Z O.O.</v>
      </c>
      <c r="AR46" s="74" t="str">
        <f>[4]Sayfa1!$W41</f>
        <v>COMBO KUTUSU (+LHD) MEDCOM</v>
      </c>
      <c r="AS46" s="74">
        <f>[4]Sayfa1!$AD41</f>
        <v>0</v>
      </c>
      <c r="AT46" s="60" t="str">
        <f>[4]Sayfa1!$AE41</f>
        <v/>
      </c>
      <c r="AU46" s="60" t="str">
        <f>[4]Sayfa1!$AH41</f>
        <v/>
      </c>
      <c r="AV46" s="75">
        <v>40</v>
      </c>
      <c r="AW46" s="76">
        <f t="shared" si="24"/>
        <v>274.99999999935972</v>
      </c>
      <c r="AX46" s="77" t="str">
        <f>[4]Sayfa1!$A41</f>
        <v>7cbdd980</v>
      </c>
      <c r="AY46" s="78" t="s">
        <v>114</v>
      </c>
      <c r="AZ46" s="79" t="e" vm="1">
        <f t="shared" si="25"/>
        <v>#VALUE!</v>
      </c>
    </row>
    <row r="47" spans="1:52" ht="140.44999999999999">
      <c r="A47" s="59" t="s">
        <v>113</v>
      </c>
      <c r="B47" s="59" t="str">
        <f>[4]Sayfa1!$G43</f>
        <v>3876(5)</v>
      </c>
      <c r="C47" s="184" t="str">
        <f>[4]Sayfa1!$H43</f>
        <v>MB</v>
      </c>
      <c r="D47" s="24">
        <f>[4]Sayfa1!$N43</f>
        <v>38000</v>
      </c>
      <c r="E47" s="24" t="str">
        <f>[4]Sayfa1!$B43</f>
        <v>BOZ-KAY5+6-FF-042</v>
      </c>
      <c r="F47" s="60">
        <f>[4]Sayfa1!$E43</f>
        <v>45309</v>
      </c>
      <c r="G47" s="61">
        <f>[4]Sayfa1!$F43</f>
        <v>45309.304166666669</v>
      </c>
      <c r="H47" s="59" t="str">
        <f>[4]Sayfa1!$I43</f>
        <v>Hat/Line</v>
      </c>
      <c r="I47" s="62" t="str">
        <f>IF([4]Sayfa1!$K43="SSH","Notified by Bozankaya","Notified by Customer")</f>
        <v>Notified by Customer</v>
      </c>
      <c r="J47" s="59" t="e">
        <f>VLOOKUP([4]Sayfa1!$AU43,#REF!,2,FALSE)</f>
        <v>#REF!</v>
      </c>
      <c r="K47" s="59">
        <f>[4]Sayfa1!$AC43</f>
        <v>0</v>
      </c>
      <c r="L47" s="63" t="str">
        <f t="shared" si="13"/>
        <v>KAY_5+6-BOZ-KAY5+6-FF-042</v>
      </c>
      <c r="M47" s="64" t="str">
        <f>[4]Sayfa1!$L43</f>
        <v>makinist kabinleri ısıtma yapmıyor</v>
      </c>
      <c r="N47" s="33" t="str">
        <f>[4]Sayfa1!$J43</f>
        <v>A-Sürüşü engeller</v>
      </c>
      <c r="O47" s="33" t="str">
        <f>[4]Sayfa1!$P43</f>
        <v>B(Servisten çekmeye etki eden arızalar)</v>
      </c>
      <c r="P47" s="33" t="str">
        <f>[4]Sayfa1!$Q43</f>
        <v>N.A(Yaralanma yok)</v>
      </c>
      <c r="Q47" s="65" t="str" cm="1">
        <f t="array" ref="Q47">_xlfn.IFS([4]Sayfa1!$R43="Bozankaya","Bozankaya",[4]Sayfa1!$R43="İşletme","Customer",[4]Sayfa1!$R43="Tedarikçi","Equipment Supplier")</f>
        <v>Equipment Supplier</v>
      </c>
      <c r="R47" s="66" t="str">
        <f>[4]Sayfa1!$M43</f>
        <v>cb kabindeki ısı sensörleri aşağıya alınarak revizyon yapıldı</v>
      </c>
      <c r="S47" s="36" t="str">
        <f>[4]Sayfa1!$S43</f>
        <v>Eltesan</v>
      </c>
      <c r="T47" s="67">
        <f>[4]Sayfa1!$Z43</f>
        <v>0</v>
      </c>
      <c r="U47" s="68">
        <f>[4]Sayfa1!$AN43</f>
        <v>1</v>
      </c>
      <c r="V47" s="60">
        <f>[4]Sayfa1!$T43</f>
        <v>45532</v>
      </c>
      <c r="W47" s="61">
        <f>[4]Sayfa1!$U43</f>
        <v>45532.48978009259</v>
      </c>
      <c r="X47" s="69">
        <f t="shared" si="14"/>
        <v>45532.48978009259</v>
      </c>
      <c r="Y47" s="70">
        <f>[4]Sayfa1!$AQ43</f>
        <v>45532</v>
      </c>
      <c r="Z47" s="61">
        <f>[4]Sayfa1!$AR43</f>
        <v>45532.625</v>
      </c>
      <c r="AA47" s="69">
        <f t="shared" si="15"/>
        <v>45532.625</v>
      </c>
      <c r="AB47" s="71">
        <f t="shared" si="16"/>
        <v>3.245277777838055</v>
      </c>
      <c r="AC47" s="60">
        <f t="shared" si="17"/>
        <v>45532</v>
      </c>
      <c r="AD47" s="61">
        <f t="shared" si="18"/>
        <v>45532.625</v>
      </c>
      <c r="AE47" s="69">
        <f t="shared" si="19"/>
        <v>45532.625</v>
      </c>
      <c r="AF47" s="36" t="str">
        <f>[4]Sayfa1!$AP43</f>
        <v>(III) Birden fazla aynı araçta karşılaşılan arıza</v>
      </c>
      <c r="AG47" s="33" t="str">
        <f>IF([4]Sayfa1!$J43="C-Uyarı, sürüş devamlılığı","Bu Arıza Aracın Servise Verilmesine Engel Değil","Bu Arıza Aracın Servise Verilmesine Engel")</f>
        <v>Bu Arıza Aracın Servise Verilmesine Engel</v>
      </c>
      <c r="AH47" s="41" t="str">
        <f>[4]Sayfa1!$AB43</f>
        <v>Arıza çözülecek</v>
      </c>
      <c r="AI47" s="60"/>
      <c r="AJ47" s="60"/>
      <c r="AK47" s="69">
        <f t="shared" si="20"/>
        <v>0</v>
      </c>
      <c r="AL47" s="71">
        <f t="shared" si="21"/>
        <v>194.7166666702833</v>
      </c>
      <c r="AM47" s="71">
        <f t="shared" si="22"/>
        <v>194.7166666702833</v>
      </c>
      <c r="AN47" s="72">
        <f t="shared" si="23"/>
        <v>0</v>
      </c>
      <c r="AO47" s="73" t="str">
        <f>[4]Sayfa1!$X43</f>
        <v>H500-7243</v>
      </c>
      <c r="AP47" s="72">
        <f>[4]Sayfa1!$Y43</f>
        <v>0</v>
      </c>
      <c r="AQ47" s="184" t="str">
        <f>[4]Sayfa1!$V43</f>
        <v>ELTESAN ELEKTRO MEKANİK SOĞUTMA SAN</v>
      </c>
      <c r="AR47" s="74" t="str">
        <f>[4]Sayfa1!$W43</f>
        <v>SURUCU KLIMASI-Eltesan/Hispacold 4,5 KW</v>
      </c>
      <c r="AS47" s="74">
        <f>[4]Sayfa1!$AD43</f>
        <v>0</v>
      </c>
      <c r="AT47" s="60" t="str">
        <f>[4]Sayfa1!$AE43</f>
        <v/>
      </c>
      <c r="AU47" s="60" t="str">
        <f>[4]Sayfa1!$AH43</f>
        <v/>
      </c>
      <c r="AV47" s="75">
        <v>42</v>
      </c>
      <c r="AW47" s="76">
        <f t="shared" si="24"/>
        <v>35.698055556218605</v>
      </c>
      <c r="AX47" s="77" t="str">
        <f>[4]Sayfa1!$A43</f>
        <v>03a9f63b</v>
      </c>
      <c r="AY47" s="78" t="s">
        <v>114</v>
      </c>
      <c r="AZ47" s="79" t="e" vm="1">
        <f t="shared" si="25"/>
        <v>#VALUE!</v>
      </c>
    </row>
    <row r="48" spans="1:52" ht="160.15">
      <c r="A48" s="59" t="s">
        <v>113</v>
      </c>
      <c r="B48" s="59" t="str">
        <f>[4]Sayfa1!$G44</f>
        <v>3874(3)</v>
      </c>
      <c r="C48" s="184" t="str">
        <f>[4]Sayfa1!$H44</f>
        <v>MB</v>
      </c>
      <c r="D48" s="24">
        <f>[4]Sayfa1!$N44</f>
        <v>45000</v>
      </c>
      <c r="E48" s="24" t="str">
        <f>[4]Sayfa1!$B44</f>
        <v>BOZ-KAY5+6-FF-043</v>
      </c>
      <c r="F48" s="60">
        <f>[4]Sayfa1!$E44</f>
        <v>45314</v>
      </c>
      <c r="G48" s="61">
        <f>[4]Sayfa1!$F44</f>
        <v>45314.31527777778</v>
      </c>
      <c r="H48" s="59" t="str">
        <f>[4]Sayfa1!$I44</f>
        <v>Hat/Line</v>
      </c>
      <c r="I48" s="62" t="str">
        <f>IF([4]Sayfa1!$K44="SSH","Notified by Bozankaya","Notified by Customer")</f>
        <v>Notified by Customer</v>
      </c>
      <c r="J48" s="59" t="e">
        <f>VLOOKUP([4]Sayfa1!$AU44,#REF!,2,FALSE)</f>
        <v>#REF!</v>
      </c>
      <c r="K48" s="59">
        <f>[4]Sayfa1!$AC44</f>
        <v>0</v>
      </c>
      <c r="L48" s="63" t="str">
        <f t="shared" si="13"/>
        <v>KAY_5+6-BOZ-KAY5+6-FF-043</v>
      </c>
      <c r="M48" s="64" t="str">
        <f>[4]Sayfa1!$L44</f>
        <v>iç anons sistemi çalışmıyor</v>
      </c>
      <c r="N48" s="33" t="str">
        <f>[4]Sayfa1!$J44</f>
        <v>C-Uyarı, sürüş devamlılığı</v>
      </c>
      <c r="O48" s="33" t="str">
        <f>[4]Sayfa1!$P44</f>
        <v>C(Sisteme etki etmeyen arıza)</v>
      </c>
      <c r="P48" s="33" t="str">
        <f>[4]Sayfa1!$Q44</f>
        <v>N.A(Yaralanma yok)</v>
      </c>
      <c r="Q48" s="65" t="str" cm="1">
        <f t="array" ref="Q48">_xlfn.IFS([4]Sayfa1!$R44="Bozankaya","Bozankaya",[4]Sayfa1!$R44="İşletme","Customer",[4]Sayfa1!$R44="Tedarikçi","Equipment Supplier")</f>
        <v>Equipment Supplier</v>
      </c>
      <c r="R48" s="66" t="str">
        <f>[4]Sayfa1!$M44</f>
        <v>ses seviyesi ayarlandı</v>
      </c>
      <c r="S48" s="36" t="str">
        <f>[4]Sayfa1!$S44</f>
        <v>LUTZE</v>
      </c>
      <c r="T48" s="67">
        <f>[4]Sayfa1!$Z44</f>
        <v>0</v>
      </c>
      <c r="U48" s="68">
        <f>[4]Sayfa1!$AN44</f>
        <v>1</v>
      </c>
      <c r="V48" s="60">
        <f>[4]Sayfa1!$T44</f>
        <v>45532</v>
      </c>
      <c r="W48" s="61">
        <f>[4]Sayfa1!$U44</f>
        <v>45532.462430555555</v>
      </c>
      <c r="X48" s="69">
        <f t="shared" si="14"/>
        <v>45532.462430555555</v>
      </c>
      <c r="Y48" s="70">
        <f>[4]Sayfa1!$AQ44</f>
        <v>45532</v>
      </c>
      <c r="Z48" s="61">
        <f>[4]Sayfa1!$AR44</f>
        <v>45532.625</v>
      </c>
      <c r="AA48" s="69">
        <f t="shared" si="15"/>
        <v>45532.625</v>
      </c>
      <c r="AB48" s="71">
        <f t="shared" si="16"/>
        <v>3.9016666666720994</v>
      </c>
      <c r="AC48" s="60">
        <f t="shared" si="17"/>
        <v>45532</v>
      </c>
      <c r="AD48" s="61">
        <f t="shared" si="18"/>
        <v>45532.625</v>
      </c>
      <c r="AE48" s="69">
        <f t="shared" si="19"/>
        <v>45532.625</v>
      </c>
      <c r="AF48" s="36" t="str">
        <f>[4]Sayfa1!$AP44</f>
        <v>(I) İlk defa karşılaşılan arıza</v>
      </c>
      <c r="AG48" s="33" t="str">
        <f>IF([4]Sayfa1!$J44="C-Uyarı, sürüş devamlılığı","Bu Arıza Aracın Servise Verilmesine Engel Değil","Bu Arıza Aracın Servise Verilmesine Engel")</f>
        <v>Bu Arıza Aracın Servise Verilmesine Engel Değil</v>
      </c>
      <c r="AH48" s="41">
        <f>[4]Sayfa1!$AB44</f>
        <v>0</v>
      </c>
      <c r="AI48" s="60"/>
      <c r="AJ48" s="60"/>
      <c r="AK48" s="69">
        <f t="shared" si="20"/>
        <v>0</v>
      </c>
      <c r="AL48" s="71">
        <f t="shared" si="21"/>
        <v>234.10000000032596</v>
      </c>
      <c r="AM48" s="71">
        <f t="shared" si="22"/>
        <v>234.10000000032596</v>
      </c>
      <c r="AN48" s="72">
        <f t="shared" si="23"/>
        <v>0</v>
      </c>
      <c r="AO48" s="73" t="str">
        <f>[4]Sayfa1!$X44</f>
        <v>E820-7020</v>
      </c>
      <c r="AP48" s="72">
        <f>[4]Sayfa1!$Y44</f>
        <v>0</v>
      </c>
      <c r="AQ48" s="184" t="str">
        <f>[4]Sayfa1!$V44</f>
        <v>Lütze Transportation GmbH</v>
      </c>
      <c r="AR48" s="74" t="str">
        <f>[4]Sayfa1!$W44</f>
        <v>ACSys-19'' RACK</v>
      </c>
      <c r="AS48" s="74">
        <f>[4]Sayfa1!$AD44</f>
        <v>0</v>
      </c>
      <c r="AT48" s="60" t="str">
        <f>[4]Sayfa1!$AE44</f>
        <v/>
      </c>
      <c r="AU48" s="60" t="str">
        <f>[4]Sayfa1!$AH44</f>
        <v/>
      </c>
      <c r="AV48" s="75">
        <v>43</v>
      </c>
      <c r="AW48" s="76">
        <f t="shared" si="24"/>
        <v>42.918333333393093</v>
      </c>
      <c r="AX48" s="77" t="str">
        <f>[4]Sayfa1!$A44</f>
        <v>899f4fe3</v>
      </c>
      <c r="AY48" s="78" t="s">
        <v>114</v>
      </c>
      <c r="AZ48" s="79" t="e" vm="1">
        <f t="shared" si="25"/>
        <v>#VALUE!</v>
      </c>
    </row>
    <row r="49" spans="1:52" ht="186.6">
      <c r="A49" s="59" t="s">
        <v>113</v>
      </c>
      <c r="B49" s="59" t="str">
        <f>[4]Sayfa1!$G47</f>
        <v>3876(5)</v>
      </c>
      <c r="C49" s="184" t="str">
        <f>[4]Sayfa1!$H47</f>
        <v>RA</v>
      </c>
      <c r="D49" s="24">
        <f>[4]Sayfa1!$N47</f>
        <v>38500</v>
      </c>
      <c r="E49" s="24" t="str">
        <f>[4]Sayfa1!$B47</f>
        <v>BOZ-KAY5+6-FF-046</v>
      </c>
      <c r="F49" s="60">
        <f>[4]Sayfa1!$E47</f>
        <v>45315</v>
      </c>
      <c r="G49" s="61">
        <f>[4]Sayfa1!$F47</f>
        <v>45315.027777777781</v>
      </c>
      <c r="H49" s="59" t="str">
        <f>[4]Sayfa1!$I47</f>
        <v>Hat/Line</v>
      </c>
      <c r="I49" s="62" t="str">
        <f>IF([4]Sayfa1!$K47="SSH","Notified by Bozankaya","Notified by Customer")</f>
        <v>Notified by Customer</v>
      </c>
      <c r="J49" s="59" t="e">
        <f>VLOOKUP([4]Sayfa1!$AU47,#REF!,2,FALSE)</f>
        <v>#REF!</v>
      </c>
      <c r="K49" s="59">
        <f>[4]Sayfa1!$AC47</f>
        <v>0</v>
      </c>
      <c r="L49" s="63" t="str">
        <f t="shared" si="13"/>
        <v>KAY_5+6-BOZ-KAY5+6-FF-046</v>
      </c>
      <c r="M49" s="64" t="str">
        <f>[4]Sayfa1!$L47</f>
        <v>Yolcu bölümü klimalar çalışmıyor.Yolcudan şikayet geldi</v>
      </c>
      <c r="N49" s="33" t="str">
        <f>[4]Sayfa1!$J47</f>
        <v>A-Sürüşü engeller</v>
      </c>
      <c r="O49" s="33" t="str">
        <f>[4]Sayfa1!$P47</f>
        <v>B(Servisten çekmeye etki eden arızalar)</v>
      </c>
      <c r="P49" s="33" t="str">
        <f>[4]Sayfa1!$Q47</f>
        <v>N.A(Yaralanma yok)</v>
      </c>
      <c r="Q49" s="65" t="str" cm="1">
        <f t="array" ref="Q49">_xlfn.IFS([4]Sayfa1!$R47="Bozankaya","Bozankaya",[4]Sayfa1!$R47="İşletme","Customer",[4]Sayfa1!$R47="Tedarikçi","Equipment Supplier")</f>
        <v>Equipment Supplier</v>
      </c>
      <c r="R49" s="66" t="str">
        <f>[4]Sayfa1!$M47</f>
        <v>Araç resetlendi ısıtma yapıyor</v>
      </c>
      <c r="S49" s="36" t="str">
        <f>[4]Sayfa1!$S47</f>
        <v>Eltesan</v>
      </c>
      <c r="T49" s="67">
        <f>[4]Sayfa1!$Z47</f>
        <v>0</v>
      </c>
      <c r="U49" s="68">
        <f>[4]Sayfa1!$AN47</f>
        <v>1</v>
      </c>
      <c r="V49" s="60">
        <f>[4]Sayfa1!$T47</f>
        <v>45532</v>
      </c>
      <c r="W49" s="61">
        <f>[4]Sayfa1!$U47</f>
        <v>45532.45621527778</v>
      </c>
      <c r="X49" s="69">
        <f t="shared" si="14"/>
        <v>45532.45621527778</v>
      </c>
      <c r="Y49" s="70">
        <f>[4]Sayfa1!$AQ47</f>
        <v>45532</v>
      </c>
      <c r="Z49" s="61">
        <f>[4]Sayfa1!$AR47</f>
        <v>45532.625</v>
      </c>
      <c r="AA49" s="69">
        <f t="shared" si="15"/>
        <v>45532.625</v>
      </c>
      <c r="AB49" s="71">
        <f t="shared" si="16"/>
        <v>4.0508333332836628</v>
      </c>
      <c r="AC49" s="60">
        <f t="shared" si="17"/>
        <v>45532</v>
      </c>
      <c r="AD49" s="61">
        <f t="shared" si="18"/>
        <v>45532.625</v>
      </c>
      <c r="AE49" s="69">
        <f t="shared" si="19"/>
        <v>45532.625</v>
      </c>
      <c r="AF49" s="36" t="str">
        <f>[4]Sayfa1!$AP47</f>
        <v>(II) Birden fazla karşılaşılan arıza</v>
      </c>
      <c r="AG49" s="33" t="str">
        <f>IF([4]Sayfa1!$J47="C-Uyarı, sürüş devamlılığı","Bu Arıza Aracın Servise Verilmesine Engel Değil","Bu Arıza Aracın Servise Verilmesine Engel")</f>
        <v>Bu Arıza Aracın Servise Verilmesine Engel</v>
      </c>
      <c r="AH49" s="41" t="str">
        <f>[4]Sayfa1!$AB47</f>
        <v>Arıza çözülecek</v>
      </c>
      <c r="AI49" s="60"/>
      <c r="AJ49" s="60"/>
      <c r="AK49" s="69">
        <f t="shared" si="20"/>
        <v>0</v>
      </c>
      <c r="AL49" s="71">
        <f t="shared" si="21"/>
        <v>243.04999999701977</v>
      </c>
      <c r="AM49" s="71">
        <f t="shared" si="22"/>
        <v>243.04999999701977</v>
      </c>
      <c r="AN49" s="72">
        <f t="shared" si="23"/>
        <v>0</v>
      </c>
      <c r="AO49" s="73" t="str">
        <f>[4]Sayfa1!$X47</f>
        <v>H500-7240</v>
      </c>
      <c r="AP49" s="72">
        <f>[4]Sayfa1!$Y47</f>
        <v>0</v>
      </c>
      <c r="AQ49" s="184" t="str">
        <f>[4]Sayfa1!$V47</f>
        <v>ELTESAN ELEKTRO MEKANİK SOĞUTMA SAN</v>
      </c>
      <c r="AR49" s="74" t="str">
        <f>[4]Sayfa1!$W47</f>
        <v>KLIMA UNITESİ /Eltesan/Hispacold 41,5 kW</v>
      </c>
      <c r="AS49" s="74">
        <f>[4]Sayfa1!$AD47</f>
        <v>0</v>
      </c>
      <c r="AT49" s="60" t="str">
        <f>[4]Sayfa1!$AE47</f>
        <v/>
      </c>
      <c r="AU49" s="60" t="str">
        <f>[4]Sayfa1!$AH47</f>
        <v/>
      </c>
      <c r="AV49" s="75">
        <v>46</v>
      </c>
      <c r="AW49" s="76">
        <f t="shared" si="24"/>
        <v>44.559166666120291</v>
      </c>
      <c r="AX49" s="77" t="str">
        <f>[4]Sayfa1!$A47</f>
        <v>8848521e</v>
      </c>
      <c r="AY49" s="78" t="s">
        <v>114</v>
      </c>
      <c r="AZ49" s="79" t="e" vm="1">
        <f t="shared" si="25"/>
        <v>#VALUE!</v>
      </c>
    </row>
    <row r="50" spans="1:52" ht="160.15">
      <c r="A50" s="59" t="s">
        <v>113</v>
      </c>
      <c r="B50" s="59" t="str">
        <f>[4]Sayfa1!$G45</f>
        <v>3875(4)</v>
      </c>
      <c r="C50" s="184" t="str">
        <f>[4]Sayfa1!$H45</f>
        <v>MA</v>
      </c>
      <c r="D50" s="24">
        <f>[4]Sayfa1!$N45</f>
        <v>38500</v>
      </c>
      <c r="E50" s="24" t="str">
        <f>[4]Sayfa1!$B45</f>
        <v>BOZ-KAY5+6-FF-044</v>
      </c>
      <c r="F50" s="60">
        <f>[4]Sayfa1!$E45</f>
        <v>45314</v>
      </c>
      <c r="G50" s="61">
        <f>[4]Sayfa1!$F45</f>
        <v>45314.567361111112</v>
      </c>
      <c r="H50" s="59" t="str">
        <f>[4]Sayfa1!$I45</f>
        <v>Hat/Line</v>
      </c>
      <c r="I50" s="62" t="str">
        <f>IF([4]Sayfa1!$K45="SSH","Notified by Bozankaya","Notified by Customer")</f>
        <v>Notified by Customer</v>
      </c>
      <c r="J50" s="59" t="e">
        <f>VLOOKUP([4]Sayfa1!$AU45,#REF!,2,FALSE)</f>
        <v>#REF!</v>
      </c>
      <c r="K50" s="59">
        <f>[4]Sayfa1!$AC45</f>
        <v>0</v>
      </c>
      <c r="L50" s="63" t="str">
        <f t="shared" si="13"/>
        <v>KAY_5+6-BOZ-KAY5+6-FF-044</v>
      </c>
      <c r="M50" s="64" t="str">
        <f>[4]Sayfa1!$L45</f>
        <v>3875 nolu araç 1 nolu kapı kapanırken sesli kapanıyor</v>
      </c>
      <c r="N50" s="33" t="str">
        <f>[4]Sayfa1!$J45</f>
        <v>C-Uyarı, sürüş devamlılığı</v>
      </c>
      <c r="O50" s="33" t="str">
        <f>[4]Sayfa1!$P45</f>
        <v>C(Sisteme etki etmeyen arıza)</v>
      </c>
      <c r="P50" s="33" t="str">
        <f>[4]Sayfa1!$Q45</f>
        <v>N.A(Yaralanma yok)</v>
      </c>
      <c r="Q50" s="65" t="str" cm="1">
        <f t="array" ref="Q50">_xlfn.IFS([4]Sayfa1!$R45="Bozankaya","Bozankaya",[4]Sayfa1!$R45="İşletme","Customer",[4]Sayfa1!$R45="Tedarikçi","Equipment Supplier")</f>
        <v>Equipment Supplier</v>
      </c>
      <c r="R50" s="66" t="str">
        <f>[4]Sayfa1!$M45</f>
        <v>kapı ayarı yapılıp gerekli testler yapıldı</v>
      </c>
      <c r="S50" s="36" t="str">
        <f>[4]Sayfa1!$S45</f>
        <v>IFE</v>
      </c>
      <c r="T50" s="67">
        <f>[4]Sayfa1!$Z45</f>
        <v>0</v>
      </c>
      <c r="U50" s="68">
        <f>[4]Sayfa1!$AN45</f>
        <v>1</v>
      </c>
      <c r="V50" s="60">
        <f>[4]Sayfa1!$T45</f>
        <v>45532</v>
      </c>
      <c r="W50" s="61">
        <f>[4]Sayfa1!$U45</f>
        <v>45532.460879629631</v>
      </c>
      <c r="X50" s="69">
        <f t="shared" si="14"/>
        <v>45532.460879629631</v>
      </c>
      <c r="Y50" s="70">
        <f>[4]Sayfa1!$AQ45</f>
        <v>45532</v>
      </c>
      <c r="Z50" s="61">
        <f>[4]Sayfa1!$AR45</f>
        <v>45532.625</v>
      </c>
      <c r="AA50" s="69">
        <f t="shared" si="15"/>
        <v>45532.625</v>
      </c>
      <c r="AB50" s="71">
        <f t="shared" si="16"/>
        <v>3.9388888888643123</v>
      </c>
      <c r="AC50" s="60">
        <f t="shared" si="17"/>
        <v>45532</v>
      </c>
      <c r="AD50" s="61">
        <f t="shared" si="18"/>
        <v>45532.625</v>
      </c>
      <c r="AE50" s="69">
        <f t="shared" si="19"/>
        <v>45532.625</v>
      </c>
      <c r="AF50" s="36" t="str">
        <f>[4]Sayfa1!$AP45</f>
        <v>(I) İlk defa karşılaşılan arıza</v>
      </c>
      <c r="AG50" s="33" t="str">
        <f>IF([4]Sayfa1!$J45="C-Uyarı, sürüş devamlılığı","Bu Arıza Aracın Servise Verilmesine Engel Değil","Bu Arıza Aracın Servise Verilmesine Engel")</f>
        <v>Bu Arıza Aracın Servise Verilmesine Engel Değil</v>
      </c>
      <c r="AH50" s="41" t="str">
        <f>[4]Sayfa1!$AB45</f>
        <v>Arıza çözülecek</v>
      </c>
      <c r="AI50" s="60"/>
      <c r="AJ50" s="60"/>
      <c r="AK50" s="69">
        <f t="shared" si="20"/>
        <v>0</v>
      </c>
      <c r="AL50" s="71">
        <f t="shared" si="21"/>
        <v>236.33333333185874</v>
      </c>
      <c r="AM50" s="71">
        <f t="shared" si="22"/>
        <v>236.33333333185874</v>
      </c>
      <c r="AN50" s="72">
        <f t="shared" si="23"/>
        <v>0</v>
      </c>
      <c r="AO50" s="73" t="str">
        <f>[4]Sayfa1!$X45</f>
        <v>M110-7085</v>
      </c>
      <c r="AP50" s="72">
        <f>[4]Sayfa1!$Y45</f>
        <v>0</v>
      </c>
      <c r="AQ50" s="184" t="str">
        <f>[4]Sayfa1!$V45</f>
        <v>KNORR-BREMSE GMBH DİVİSİON IFE AUTO</v>
      </c>
      <c r="AR50" s="74" t="str">
        <f>[4]Sayfa1!$W45</f>
        <v>TEKLİ KAPI</v>
      </c>
      <c r="AS50" s="74">
        <f>[4]Sayfa1!$AD45</f>
        <v>0</v>
      </c>
      <c r="AT50" s="60" t="str">
        <f>[4]Sayfa1!$AE45</f>
        <v/>
      </c>
      <c r="AU50" s="60" t="str">
        <f>[4]Sayfa1!$AH45</f>
        <v/>
      </c>
      <c r="AV50" s="75">
        <v>44</v>
      </c>
      <c r="AW50" s="76">
        <f t="shared" si="24"/>
        <v>43.327777777507436</v>
      </c>
      <c r="AX50" s="77" t="str">
        <f>[4]Sayfa1!$A45</f>
        <v>6b11f2c7</v>
      </c>
      <c r="AY50" s="78" t="s">
        <v>114</v>
      </c>
      <c r="AZ50" s="79" t="e" vm="1">
        <f t="shared" si="25"/>
        <v>#VALUE!</v>
      </c>
    </row>
    <row r="51" spans="1:52" ht="234.6">
      <c r="A51" s="59" t="s">
        <v>113</v>
      </c>
      <c r="B51" s="59" t="str">
        <f>[4]Sayfa1!$G46</f>
        <v>3877(6)</v>
      </c>
      <c r="C51" s="184" t="str">
        <f>[4]Sayfa1!$H46</f>
        <v>MA</v>
      </c>
      <c r="D51" s="24">
        <f>[4]Sayfa1!$N46</f>
        <v>25000</v>
      </c>
      <c r="E51" s="24" t="str">
        <f>[4]Sayfa1!$B46</f>
        <v>BOZ-KAY5+6-FF-045</v>
      </c>
      <c r="F51" s="60">
        <f>[4]Sayfa1!$E46</f>
        <v>45314</v>
      </c>
      <c r="G51" s="61">
        <f>[4]Sayfa1!$F46</f>
        <v>45314.575694444444</v>
      </c>
      <c r="H51" s="59" t="str">
        <f>[4]Sayfa1!$I46</f>
        <v>Hat/Line</v>
      </c>
      <c r="I51" s="62" t="str">
        <f>IF([4]Sayfa1!$K46="SSH","Notified by Bozankaya","Notified by Customer")</f>
        <v>Notified by Customer</v>
      </c>
      <c r="J51" s="59" t="e">
        <f>VLOOKUP([4]Sayfa1!$AU46,#REF!,2,FALSE)</f>
        <v>#REF!</v>
      </c>
      <c r="K51" s="59">
        <f>[4]Sayfa1!$AC46</f>
        <v>0</v>
      </c>
      <c r="L51" s="63" t="str">
        <f t="shared" si="13"/>
        <v>KAY_5+6-BOZ-KAY5+6-FF-045</v>
      </c>
      <c r="M51" s="64" t="str">
        <f>[4]Sayfa1!$L46</f>
        <v>3877 ca 2 nolu kapı kapanırken gürültü çıkarıyor</v>
      </c>
      <c r="N51" s="33" t="str">
        <f>[4]Sayfa1!$J46</f>
        <v>C-Uyarı, sürüş devamlılığı</v>
      </c>
      <c r="O51" s="33" t="str">
        <f>[4]Sayfa1!$P46</f>
        <v>C(Sisteme etki etmeyen arıza)</v>
      </c>
      <c r="P51" s="33" t="str">
        <f>[4]Sayfa1!$Q46</f>
        <v>N.A(Yaralanma yok)</v>
      </c>
      <c r="Q51" s="65" t="str" cm="1">
        <f t="array" ref="Q51">_xlfn.IFS([4]Sayfa1!$R46="Bozankaya","Bozankaya",[4]Sayfa1!$R46="İşletme","Customer",[4]Sayfa1!$R46="Tedarikçi","Equipment Supplier")</f>
        <v>Equipment Supplier</v>
      </c>
      <c r="R51" s="66" t="str">
        <f>[4]Sayfa1!$M46</f>
        <v>Kapı altındaki sonradan yapılmış revizyonlu braket düzgün kesilmediği  için kapıya temas ediyor idi.braket düzgün kesilerek montajı yapıldı</v>
      </c>
      <c r="S51" s="36" t="str">
        <f>[4]Sayfa1!$S46</f>
        <v>Bozankaya</v>
      </c>
      <c r="T51" s="67">
        <f>[4]Sayfa1!$Z46</f>
        <v>0</v>
      </c>
      <c r="U51" s="68">
        <f>[4]Sayfa1!$AN46</f>
        <v>1</v>
      </c>
      <c r="V51" s="60">
        <f>[4]Sayfa1!$T46</f>
        <v>45532</v>
      </c>
      <c r="W51" s="61">
        <f>[4]Sayfa1!$U46</f>
        <v>45532.481840277775</v>
      </c>
      <c r="X51" s="69">
        <f t="shared" si="14"/>
        <v>45532.481840277775</v>
      </c>
      <c r="Y51" s="70">
        <f>[4]Sayfa1!$AQ46</f>
        <v>45532</v>
      </c>
      <c r="Z51" s="61">
        <f>[4]Sayfa1!$AR46</f>
        <v>45532.625</v>
      </c>
      <c r="AA51" s="69">
        <f t="shared" si="15"/>
        <v>45532.625</v>
      </c>
      <c r="AB51" s="71">
        <f t="shared" si="16"/>
        <v>3.4358333334093913</v>
      </c>
      <c r="AC51" s="60">
        <f t="shared" si="17"/>
        <v>45532</v>
      </c>
      <c r="AD51" s="61">
        <f t="shared" si="18"/>
        <v>45532.625</v>
      </c>
      <c r="AE51" s="69">
        <f t="shared" si="19"/>
        <v>45532.625</v>
      </c>
      <c r="AF51" s="36" t="str">
        <f>[4]Sayfa1!$AP46</f>
        <v>(I) İlk defa karşılaşılan arıza</v>
      </c>
      <c r="AG51" s="33" t="str">
        <f>IF([4]Sayfa1!$J46="C-Uyarı, sürüş devamlılığı","Bu Arıza Aracın Servise Verilmesine Engel Değil","Bu Arıza Aracın Servise Verilmesine Engel")</f>
        <v>Bu Arıza Aracın Servise Verilmesine Engel Değil</v>
      </c>
      <c r="AH51" s="41" t="str">
        <f>[4]Sayfa1!$AB46</f>
        <v>Arıza çözülecek</v>
      </c>
      <c r="AI51" s="60"/>
      <c r="AJ51" s="60"/>
      <c r="AK51" s="69">
        <f t="shared" si="20"/>
        <v>0</v>
      </c>
      <c r="AL51" s="71">
        <f t="shared" si="21"/>
        <v>206.15000000456348</v>
      </c>
      <c r="AM51" s="71">
        <f t="shared" si="22"/>
        <v>206.15000000456348</v>
      </c>
      <c r="AN51" s="72">
        <f t="shared" si="23"/>
        <v>0</v>
      </c>
      <c r="AO51" s="73" t="str">
        <f>[4]Sayfa1!$X46</f>
        <v>M110-7085</v>
      </c>
      <c r="AP51" s="72">
        <f>[4]Sayfa1!$Y46</f>
        <v>0</v>
      </c>
      <c r="AQ51" s="184" t="str">
        <f>[4]Sayfa1!$V46</f>
        <v>KNORR-BREMSE GMBH DİVİSİON IFE AUTO</v>
      </c>
      <c r="AR51" s="74" t="str">
        <f>[4]Sayfa1!$W46</f>
        <v>TEKLİ KAPI</v>
      </c>
      <c r="AS51" s="74">
        <f>[4]Sayfa1!$AD46</f>
        <v>0</v>
      </c>
      <c r="AT51" s="60" t="str">
        <f>[4]Sayfa1!$AE46</f>
        <v/>
      </c>
      <c r="AU51" s="60" t="str">
        <f>[4]Sayfa1!$AH46</f>
        <v/>
      </c>
      <c r="AV51" s="75">
        <v>45</v>
      </c>
      <c r="AW51" s="76">
        <f t="shared" si="24"/>
        <v>37.794166667503305</v>
      </c>
      <c r="AX51" s="77" t="str">
        <f>[4]Sayfa1!$A46</f>
        <v>197f74fa</v>
      </c>
      <c r="AY51" s="78" t="s">
        <v>114</v>
      </c>
      <c r="AZ51" s="79" t="e" vm="1">
        <f t="shared" si="25"/>
        <v>#VALUE!</v>
      </c>
    </row>
    <row r="52" spans="1:52" ht="165.6">
      <c r="A52" s="59" t="s">
        <v>113</v>
      </c>
      <c r="B52" s="59" t="str">
        <f>[4]Sayfa1!$G48</f>
        <v>3877(6)</v>
      </c>
      <c r="C52" s="184" t="str">
        <f>[4]Sayfa1!$H48</f>
        <v>MA</v>
      </c>
      <c r="D52" s="24">
        <f>[4]Sayfa1!$N48</f>
        <v>25000</v>
      </c>
      <c r="E52" s="24" t="str">
        <f>[4]Sayfa1!$B48</f>
        <v>BOZ-KAY5+6-FF-047</v>
      </c>
      <c r="F52" s="60">
        <f>[4]Sayfa1!$E48</f>
        <v>45315</v>
      </c>
      <c r="G52" s="61">
        <f>[4]Sayfa1!$F48</f>
        <v>45315.679861111108</v>
      </c>
      <c r="H52" s="59" t="str">
        <f>[4]Sayfa1!$I48</f>
        <v>Hat/Line</v>
      </c>
      <c r="I52" s="62" t="str">
        <f>IF([4]Sayfa1!$K48="SSH","Notified by Bozankaya","Notified by Customer")</f>
        <v>Notified by Customer</v>
      </c>
      <c r="J52" s="59" t="e">
        <f>VLOOKUP([4]Sayfa1!$AU48,#REF!,2,FALSE)</f>
        <v>#REF!</v>
      </c>
      <c r="K52" s="59">
        <f>[4]Sayfa1!$AC48</f>
        <v>0</v>
      </c>
      <c r="L52" s="63" t="str">
        <f t="shared" si="13"/>
        <v>KAY_5+6-BOZ-KAY5+6-FF-047</v>
      </c>
      <c r="M52" s="64" t="str">
        <f>[4]Sayfa1!$L48</f>
        <v>3877 nolu araç 1 nolu kapı kapanmadığı için izole edildi 1 seferde 6 dakika tehir oluştu</v>
      </c>
      <c r="N52" s="33" t="str">
        <f>[4]Sayfa1!$J48</f>
        <v>B-Hız veya güç azalması</v>
      </c>
      <c r="O52" s="33" t="str">
        <f>[4]Sayfa1!$P48</f>
        <v>A(Hareket etmeyi engelleyen arıza)</v>
      </c>
      <c r="P52" s="33" t="str">
        <f>[4]Sayfa1!$Q48</f>
        <v>N.A(Yaralanma yok)</v>
      </c>
      <c r="Q52" s="65" t="str" cm="1">
        <f t="array" ref="Q52">_xlfn.IFS([4]Sayfa1!$R48="Bozankaya","Bozankaya",[4]Sayfa1!$R48="İşletme","Customer",[4]Sayfa1!$R48="Tedarikçi","Equipment Supplier")</f>
        <v>Equipment Supplier</v>
      </c>
      <c r="R52" s="66" t="str">
        <f>[4]Sayfa1!$M48</f>
        <v>kapı ayarı bozulduğu için  switch basmıyordu ayar yapıldı sorunsuz çalışıyor</v>
      </c>
      <c r="S52" s="36" t="str">
        <f>[4]Sayfa1!$S48</f>
        <v>IFE</v>
      </c>
      <c r="T52" s="67">
        <f>[4]Sayfa1!$Z48</f>
        <v>0</v>
      </c>
      <c r="U52" s="68">
        <f>[4]Sayfa1!$AN48</f>
        <v>1</v>
      </c>
      <c r="V52" s="60">
        <f>[4]Sayfa1!$T48</f>
        <v>45532</v>
      </c>
      <c r="W52" s="61">
        <f>[4]Sayfa1!$U48</f>
        <v>45532.458935185183</v>
      </c>
      <c r="X52" s="69">
        <f t="shared" si="14"/>
        <v>45532.458935185183</v>
      </c>
      <c r="Y52" s="70">
        <f>[4]Sayfa1!$AQ48</f>
        <v>45532</v>
      </c>
      <c r="Z52" s="61">
        <f>[4]Sayfa1!$AR48</f>
        <v>45532.666666666664</v>
      </c>
      <c r="AA52" s="69">
        <f t="shared" si="15"/>
        <v>45532.666666666664</v>
      </c>
      <c r="AB52" s="71">
        <f t="shared" si="16"/>
        <v>4.9855555555550382</v>
      </c>
      <c r="AC52" s="60">
        <f t="shared" si="17"/>
        <v>45532</v>
      </c>
      <c r="AD52" s="61">
        <f t="shared" si="18"/>
        <v>45532.666666666664</v>
      </c>
      <c r="AE52" s="69">
        <f t="shared" si="19"/>
        <v>45532.666666666664</v>
      </c>
      <c r="AF52" s="36" t="str">
        <f>[4]Sayfa1!$AP48</f>
        <v>(II) Birden fazla karşılaşılan arıza</v>
      </c>
      <c r="AG52" s="33" t="str">
        <f>IF([4]Sayfa1!$J48="C-Uyarı, sürüş devamlılığı","Bu Arıza Aracın Servise Verilmesine Engel Değil","Bu Arıza Aracın Servise Verilmesine Engel")</f>
        <v>Bu Arıza Aracın Servise Verilmesine Engel</v>
      </c>
      <c r="AH52" s="41" t="str">
        <f>[4]Sayfa1!$AB48</f>
        <v>Arıza çözülecek</v>
      </c>
      <c r="AI52" s="60"/>
      <c r="AJ52" s="60"/>
      <c r="AK52" s="69">
        <f t="shared" si="20"/>
        <v>0</v>
      </c>
      <c r="AL52" s="71">
        <f t="shared" si="21"/>
        <v>299.13333333330229</v>
      </c>
      <c r="AM52" s="71">
        <f t="shared" si="22"/>
        <v>299.13333333330229</v>
      </c>
      <c r="AN52" s="72">
        <f t="shared" si="23"/>
        <v>0</v>
      </c>
      <c r="AO52" s="73" t="str">
        <f>[4]Sayfa1!$X48</f>
        <v>M110-7085</v>
      </c>
      <c r="AP52" s="72">
        <f>[4]Sayfa1!$Y48</f>
        <v>0</v>
      </c>
      <c r="AQ52" s="184" t="str">
        <f>[4]Sayfa1!$V48</f>
        <v>KNORR-BREMSE GMBH DİVİSİON IFE AUTO</v>
      </c>
      <c r="AR52" s="74" t="str">
        <f>[4]Sayfa1!$W48</f>
        <v>TEKLİ KAPI</v>
      </c>
      <c r="AS52" s="74">
        <f>[4]Sayfa1!$AD48</f>
        <v>0</v>
      </c>
      <c r="AT52" s="60" t="str">
        <f>[4]Sayfa1!$AE48</f>
        <v/>
      </c>
      <c r="AU52" s="60" t="str">
        <f>[4]Sayfa1!$AH48</f>
        <v/>
      </c>
      <c r="AV52" s="75">
        <v>47</v>
      </c>
      <c r="AW52" s="76">
        <f t="shared" si="24"/>
        <v>54.84111111110542</v>
      </c>
      <c r="AX52" s="77" t="str">
        <f>[4]Sayfa1!$A48</f>
        <v>d0a413eb</v>
      </c>
      <c r="AY52" s="78" t="s">
        <v>114</v>
      </c>
      <c r="AZ52" s="79" t="e" vm="1">
        <f t="shared" si="25"/>
        <v>#VALUE!</v>
      </c>
    </row>
    <row r="53" spans="1:52" ht="140.44999999999999">
      <c r="A53" s="59" t="s">
        <v>113</v>
      </c>
      <c r="B53" s="59" t="str">
        <f>[4]Sayfa1!$G49</f>
        <v>3878(7)</v>
      </c>
      <c r="C53" s="184" t="str">
        <f>[4]Sayfa1!$H49</f>
        <v>MA</v>
      </c>
      <c r="D53" s="24">
        <f>[4]Sayfa1!$N49</f>
        <v>1500</v>
      </c>
      <c r="E53" s="24" t="str">
        <f>[4]Sayfa1!$B49</f>
        <v>BOZ-KAY5+6-FF-048</v>
      </c>
      <c r="F53" s="60">
        <f>[4]Sayfa1!$E49</f>
        <v>45316</v>
      </c>
      <c r="G53" s="61">
        <f>[4]Sayfa1!$F49</f>
        <v>45316</v>
      </c>
      <c r="H53" s="59" t="str">
        <f>[4]Sayfa1!$I49</f>
        <v>Hat/Line</v>
      </c>
      <c r="I53" s="62" t="str">
        <f>IF([4]Sayfa1!$K49="SSH","Notified by Bozankaya","Notified by Customer")</f>
        <v>Notified by Customer</v>
      </c>
      <c r="J53" s="59" t="e">
        <f>VLOOKUP([4]Sayfa1!$AU49,#REF!,2,FALSE)</f>
        <v>#REF!</v>
      </c>
      <c r="K53" s="59">
        <f>[4]Sayfa1!$AC49</f>
        <v>0</v>
      </c>
      <c r="L53" s="63" t="str">
        <f t="shared" si="13"/>
        <v>KAY_5+6-BOZ-KAY5+6-FF-048</v>
      </c>
      <c r="M53" s="64" t="str">
        <f>[4]Sayfa1!$L49</f>
        <v>3878 CA Kameralar gidip gidip geliyor</v>
      </c>
      <c r="N53" s="33" t="str">
        <f>[4]Sayfa1!$J49</f>
        <v>C-Uyarı, sürüş devamlılığı</v>
      </c>
      <c r="O53" s="33" t="str">
        <f>[4]Sayfa1!$P49</f>
        <v>C(Sisteme etki etmeyen arıza)</v>
      </c>
      <c r="P53" s="33" t="str">
        <f>[4]Sayfa1!$Q49</f>
        <v>N.A(Yaralanma yok)</v>
      </c>
      <c r="Q53" s="65" t="str" cm="1">
        <f t="array" ref="Q53">_xlfn.IFS([4]Sayfa1!$R49="Bozankaya","Bozankaya",[4]Sayfa1!$R49="İşletme","Customer",[4]Sayfa1!$R49="Tedarikçi","Equipment Supplier")</f>
        <v>Equipment Supplier</v>
      </c>
      <c r="R53" s="66" t="str">
        <f>[4]Sayfa1!$M49</f>
        <v>Akıllı port üzerinden switch yeri değiştirildi</v>
      </c>
      <c r="S53" s="36" t="str">
        <f>[4]Sayfa1!$S49</f>
        <v>NSC</v>
      </c>
      <c r="T53" s="67">
        <f>[4]Sayfa1!$Z49</f>
        <v>0</v>
      </c>
      <c r="U53" s="68">
        <f>[4]Sayfa1!$AN49</f>
        <v>1</v>
      </c>
      <c r="V53" s="60">
        <f>[4]Sayfa1!$T49</f>
        <v>45532</v>
      </c>
      <c r="W53" s="61">
        <f>[4]Sayfa1!$U49</f>
        <v>45532.445486111108</v>
      </c>
      <c r="X53" s="69">
        <f t="shared" si="14"/>
        <v>45532.445486111108</v>
      </c>
      <c r="Y53" s="70">
        <f>[4]Sayfa1!$AQ49</f>
        <v>45532</v>
      </c>
      <c r="Z53" s="61">
        <f>[4]Sayfa1!$AR49</f>
        <v>45532.666666666664</v>
      </c>
      <c r="AA53" s="69">
        <f t="shared" si="15"/>
        <v>45532.666666666664</v>
      </c>
      <c r="AB53" s="71">
        <f t="shared" si="16"/>
        <v>5.3083333333488554</v>
      </c>
      <c r="AC53" s="60">
        <f t="shared" si="17"/>
        <v>45532</v>
      </c>
      <c r="AD53" s="61">
        <f t="shared" si="18"/>
        <v>45532.666666666664</v>
      </c>
      <c r="AE53" s="69">
        <f t="shared" si="19"/>
        <v>45532.666666666664</v>
      </c>
      <c r="AF53" s="36" t="str">
        <f>[4]Sayfa1!$AP49</f>
        <v>(I) İlk defa karşılaşılan arıza</v>
      </c>
      <c r="AG53" s="33" t="str">
        <f>IF([4]Sayfa1!$J49="C-Uyarı, sürüş devamlılığı","Bu Arıza Aracın Servise Verilmesine Engel Değil","Bu Arıza Aracın Servise Verilmesine Engel")</f>
        <v>Bu Arıza Aracın Servise Verilmesine Engel Değil</v>
      </c>
      <c r="AH53" s="41" t="str">
        <f>[4]Sayfa1!$AB49</f>
        <v>Arıza çözülecek</v>
      </c>
      <c r="AI53" s="60"/>
      <c r="AJ53" s="60"/>
      <c r="AK53" s="69">
        <f t="shared" si="20"/>
        <v>0</v>
      </c>
      <c r="AL53" s="71">
        <f t="shared" si="21"/>
        <v>318.50000000093132</v>
      </c>
      <c r="AM53" s="71">
        <f t="shared" si="22"/>
        <v>318.50000000093132</v>
      </c>
      <c r="AN53" s="72">
        <f t="shared" si="23"/>
        <v>0</v>
      </c>
      <c r="AO53" s="73" t="str">
        <f>[4]Sayfa1!$X49</f>
        <v>E810-7114</v>
      </c>
      <c r="AP53" s="72">
        <f>[4]Sayfa1!$Y49</f>
        <v>0</v>
      </c>
      <c r="AQ53" s="184" t="str">
        <f>[4]Sayfa1!$V49</f>
        <v>NSC TEKNOLOJİ ve İNŞAAT LTD.ŞTİ.</v>
      </c>
      <c r="AR53" s="74" t="str">
        <f>[4]Sayfa1!$W49</f>
        <v>8 Port POE switch HIRSCHMANN</v>
      </c>
      <c r="AS53" s="74">
        <f>[4]Sayfa1!$AD49</f>
        <v>0</v>
      </c>
      <c r="AT53" s="60" t="str">
        <f>[4]Sayfa1!$AE49</f>
        <v/>
      </c>
      <c r="AU53" s="60" t="str">
        <f>[4]Sayfa1!$AH49</f>
        <v/>
      </c>
      <c r="AV53" s="75">
        <v>48</v>
      </c>
      <c r="AW53" s="76">
        <f t="shared" si="24"/>
        <v>58.391666666837409</v>
      </c>
      <c r="AX53" s="77" t="str">
        <f>[4]Sayfa1!$A49</f>
        <v>3ffd4ca8</v>
      </c>
      <c r="AY53" s="78" t="s">
        <v>114</v>
      </c>
      <c r="AZ53" s="79" t="e" vm="1">
        <f t="shared" si="25"/>
        <v>#VALUE!</v>
      </c>
    </row>
    <row r="54" spans="1:52" ht="140.44999999999999">
      <c r="A54" s="59" t="s">
        <v>113</v>
      </c>
      <c r="B54" s="59" t="str">
        <f>[4]Sayfa1!$G50</f>
        <v>3875(4)</v>
      </c>
      <c r="C54" s="184" t="str">
        <f>[4]Sayfa1!$H50</f>
        <v>MB</v>
      </c>
      <c r="D54" s="24">
        <f>[4]Sayfa1!$N50</f>
        <v>38000</v>
      </c>
      <c r="E54" s="24" t="str">
        <f>[4]Sayfa1!$B50</f>
        <v>BOZ-KAY5+6-FF-049</v>
      </c>
      <c r="F54" s="60">
        <f>[4]Sayfa1!$E50</f>
        <v>45317</v>
      </c>
      <c r="G54" s="61">
        <f>[4]Sayfa1!$F50</f>
        <v>45317.262499999997</v>
      </c>
      <c r="H54" s="59" t="str">
        <f>[4]Sayfa1!$I50</f>
        <v>Hat/Line</v>
      </c>
      <c r="I54" s="62" t="str">
        <f>IF([4]Sayfa1!$K50="SSH","Notified by Bozankaya","Notified by Customer")</f>
        <v>Notified by Customer</v>
      </c>
      <c r="J54" s="59" t="e">
        <f>VLOOKUP([4]Sayfa1!$AU50,#REF!,2,FALSE)</f>
        <v>#REF!</v>
      </c>
      <c r="K54" s="59">
        <f>[4]Sayfa1!$AC50</f>
        <v>0</v>
      </c>
      <c r="L54" s="63" t="str">
        <f t="shared" si="13"/>
        <v>KAY_5+6-BOZ-KAY5+6-FF-049</v>
      </c>
      <c r="M54" s="64" t="str">
        <f>[4]Sayfa1!$L50</f>
        <v>12 nolu kapı izole edildi</v>
      </c>
      <c r="N54" s="33" t="str">
        <f>[4]Sayfa1!$J50</f>
        <v>C-Uyarı, sürüş devamlılığı</v>
      </c>
      <c r="O54" s="33" t="str">
        <f>[4]Sayfa1!$P50</f>
        <v>B(Servisten çekmeye etki eden arızalar)</v>
      </c>
      <c r="P54" s="33" t="str">
        <f>[4]Sayfa1!$Q50</f>
        <v>N.A(Yaralanma yok)</v>
      </c>
      <c r="Q54" s="65" t="str" cm="1">
        <f t="array" ref="Q54">_xlfn.IFS([4]Sayfa1!$R50="Bozankaya","Bozankaya",[4]Sayfa1!$R50="İşletme","Customer",[4]Sayfa1!$R50="Tedarikçi","Equipment Supplier")</f>
        <v>Equipment Supplier</v>
      </c>
      <c r="R54" s="66" t="str">
        <f>[4]Sayfa1!$M50</f>
        <v>Kapı ayarı yapıldı.Switch ayarlandı</v>
      </c>
      <c r="S54" s="36" t="str">
        <f>[4]Sayfa1!$S50</f>
        <v>Bozankaya</v>
      </c>
      <c r="T54" s="67">
        <f>[4]Sayfa1!$Z50</f>
        <v>0</v>
      </c>
      <c r="U54" s="68">
        <f>[4]Sayfa1!$AN50</f>
        <v>1</v>
      </c>
      <c r="V54" s="60">
        <f>[4]Sayfa1!$T50</f>
        <v>45532</v>
      </c>
      <c r="W54" s="61">
        <f>[4]Sayfa1!$U50</f>
        <v>45532.423715277779</v>
      </c>
      <c r="X54" s="69">
        <f t="shared" si="14"/>
        <v>45532.423715277779</v>
      </c>
      <c r="Y54" s="70">
        <f>[4]Sayfa1!$AQ50</f>
        <v>45532</v>
      </c>
      <c r="Z54" s="61">
        <f>[4]Sayfa1!$AR50</f>
        <v>45532.75</v>
      </c>
      <c r="AA54" s="69">
        <f t="shared" si="15"/>
        <v>45532.75</v>
      </c>
      <c r="AB54" s="71">
        <f t="shared" si="16"/>
        <v>7.8308333333116025</v>
      </c>
      <c r="AC54" s="60">
        <f t="shared" si="17"/>
        <v>45532</v>
      </c>
      <c r="AD54" s="61">
        <f t="shared" si="18"/>
        <v>45532.75</v>
      </c>
      <c r="AE54" s="69">
        <f t="shared" si="19"/>
        <v>45532.75</v>
      </c>
      <c r="AF54" s="36" t="str">
        <f>[4]Sayfa1!$AP50</f>
        <v>(II) Birden fazla karşılaşılan arıza</v>
      </c>
      <c r="AG54" s="33" t="str">
        <f>IF([4]Sayfa1!$J50="C-Uyarı, sürüş devamlılığı","Bu Arıza Aracın Servise Verilmesine Engel Değil","Bu Arıza Aracın Servise Verilmesine Engel")</f>
        <v>Bu Arıza Aracın Servise Verilmesine Engel Değil</v>
      </c>
      <c r="AH54" s="41" t="str">
        <f>[4]Sayfa1!$AB50</f>
        <v>Arıza çözülecek</v>
      </c>
      <c r="AI54" s="60"/>
      <c r="AJ54" s="60"/>
      <c r="AK54" s="69">
        <f t="shared" si="20"/>
        <v>0</v>
      </c>
      <c r="AL54" s="71">
        <f t="shared" si="21"/>
        <v>469.84999999869615</v>
      </c>
      <c r="AM54" s="71">
        <f t="shared" si="22"/>
        <v>469.84999999869615</v>
      </c>
      <c r="AN54" s="72">
        <f t="shared" si="23"/>
        <v>0</v>
      </c>
      <c r="AO54" s="73" t="str">
        <f>[4]Sayfa1!$X50</f>
        <v>M110-7085</v>
      </c>
      <c r="AP54" s="72">
        <f>[4]Sayfa1!$Y50</f>
        <v>0</v>
      </c>
      <c r="AQ54" s="184" t="str">
        <f>[4]Sayfa1!$V50</f>
        <v>KNORR-BREMSE GMBH DİVİSİON IFE AUTO</v>
      </c>
      <c r="AR54" s="74" t="str">
        <f>[4]Sayfa1!$W50</f>
        <v>TEKLİ KAPI</v>
      </c>
      <c r="AS54" s="74">
        <f>[4]Sayfa1!$AD50</f>
        <v>0</v>
      </c>
      <c r="AT54" s="60" t="str">
        <f>[4]Sayfa1!$AE50</f>
        <v/>
      </c>
      <c r="AU54" s="60" t="str">
        <f>[4]Sayfa1!$AH50</f>
        <v/>
      </c>
      <c r="AV54" s="75">
        <v>49</v>
      </c>
      <c r="AW54" s="76">
        <f t="shared" si="24"/>
        <v>86.139166666427627</v>
      </c>
      <c r="AX54" s="77" t="str">
        <f>[4]Sayfa1!$A50</f>
        <v>c8b65e82</v>
      </c>
      <c r="AY54" s="78" t="s">
        <v>114</v>
      </c>
      <c r="AZ54" s="79" t="e" vm="1">
        <f t="shared" si="25"/>
        <v>#VALUE!</v>
      </c>
    </row>
    <row r="55" spans="1:52" ht="165.6">
      <c r="A55" s="59" t="s">
        <v>113</v>
      </c>
      <c r="B55" s="59" t="str">
        <f>[4]Sayfa1!$G51</f>
        <v>3873(2)</v>
      </c>
      <c r="C55" s="184" t="str">
        <f>[4]Sayfa1!$H51</f>
        <v>MB</v>
      </c>
      <c r="D55" s="24">
        <f>[4]Sayfa1!$N51</f>
        <v>46000</v>
      </c>
      <c r="E55" s="24" t="str">
        <f>[4]Sayfa1!$B51</f>
        <v>BOZ-KAY5+6-FF-050</v>
      </c>
      <c r="F55" s="60">
        <f>[4]Sayfa1!$E51</f>
        <v>45322</v>
      </c>
      <c r="G55" s="61">
        <f>[4]Sayfa1!$F51</f>
        <v>45322.904166666667</v>
      </c>
      <c r="H55" s="59" t="str">
        <f>[4]Sayfa1!$I51</f>
        <v>Hat/Line</v>
      </c>
      <c r="I55" s="62" t="str">
        <f>IF([4]Sayfa1!$K51="SSH","Notified by Bozankaya","Notified by Customer")</f>
        <v>Notified by Customer</v>
      </c>
      <c r="J55" s="59" t="e">
        <f>VLOOKUP([4]Sayfa1!$AU51,#REF!,2,FALSE)</f>
        <v>#REF!</v>
      </c>
      <c r="K55" s="59">
        <f>[4]Sayfa1!$AC51</f>
        <v>0</v>
      </c>
      <c r="L55" s="63" t="str">
        <f t="shared" si="13"/>
        <v>KAY_5+6-BOZ-KAY5+6-FF-050</v>
      </c>
      <c r="M55" s="64" t="str">
        <f>[4]Sayfa1!$L51</f>
        <v>CB kabin çalıştıktan sonra kendiliğinden kapanıyor.kabin soğuk</v>
      </c>
      <c r="N55" s="33" t="str">
        <f>[4]Sayfa1!$J51</f>
        <v>A-Sürüşü engeller</v>
      </c>
      <c r="O55" s="33" t="str">
        <f>[4]Sayfa1!$P51</f>
        <v>B(Servisten çekmeye etki eden arızalar)</v>
      </c>
      <c r="P55" s="33" t="str">
        <f>[4]Sayfa1!$Q51</f>
        <v>N.A(Yaralanma yok)</v>
      </c>
      <c r="Q55" s="65" t="str" cm="1">
        <f t="array" ref="Q55">_xlfn.IFS([4]Sayfa1!$R51="Bozankaya","Bozankaya",[4]Sayfa1!$R51="İşletme","Customer",[4]Sayfa1!$R51="Tedarikçi","Equipment Supplier")</f>
        <v>Equipment Supplier</v>
      </c>
      <c r="R55" s="66" t="str">
        <f>[4]Sayfa1!$M51</f>
        <v>Kontrol edildi.Sorun görülmedi</v>
      </c>
      <c r="S55" s="36" t="str">
        <f>[4]Sayfa1!$S51</f>
        <v>Eltesan</v>
      </c>
      <c r="T55" s="67">
        <f>[4]Sayfa1!$Z51</f>
        <v>0</v>
      </c>
      <c r="U55" s="68">
        <f>[4]Sayfa1!$AN51</f>
        <v>1</v>
      </c>
      <c r="V55" s="60">
        <f>[4]Sayfa1!$T51</f>
        <v>45532</v>
      </c>
      <c r="W55" s="61">
        <f>[4]Sayfa1!$U51</f>
        <v>45532.41978009259</v>
      </c>
      <c r="X55" s="69">
        <f t="shared" si="14"/>
        <v>45532.41978009259</v>
      </c>
      <c r="Y55" s="70">
        <f>[4]Sayfa1!$AQ51</f>
        <v>45532</v>
      </c>
      <c r="Z55" s="61">
        <f>[4]Sayfa1!$AR51</f>
        <v>45532.583333333336</v>
      </c>
      <c r="AA55" s="69">
        <f t="shared" si="15"/>
        <v>45532.583333333336</v>
      </c>
      <c r="AB55" s="71">
        <f t="shared" si="16"/>
        <v>3.9252777778892778</v>
      </c>
      <c r="AC55" s="60">
        <f t="shared" si="17"/>
        <v>45532</v>
      </c>
      <c r="AD55" s="61">
        <f t="shared" si="18"/>
        <v>45532.583333333336</v>
      </c>
      <c r="AE55" s="69">
        <f t="shared" si="19"/>
        <v>45532.583333333336</v>
      </c>
      <c r="AF55" s="36" t="str">
        <f>[4]Sayfa1!$AP51</f>
        <v>(II) Birden fazla karşılaşılan arıza</v>
      </c>
      <c r="AG55" s="33" t="str">
        <f>IF([4]Sayfa1!$J51="C-Uyarı, sürüş devamlılığı","Bu Arıza Aracın Servise Verilmesine Engel Değil","Bu Arıza Aracın Servise Verilmesine Engel")</f>
        <v>Bu Arıza Aracın Servise Verilmesine Engel</v>
      </c>
      <c r="AH55" s="41" t="str">
        <f>[4]Sayfa1!$AB51</f>
        <v>Arıza çözülecek</v>
      </c>
      <c r="AI55" s="60"/>
      <c r="AJ55" s="60"/>
      <c r="AK55" s="69">
        <f t="shared" si="20"/>
        <v>0</v>
      </c>
      <c r="AL55" s="71">
        <f t="shared" si="21"/>
        <v>235.51666667335667</v>
      </c>
      <c r="AM55" s="71">
        <f t="shared" si="22"/>
        <v>235.51666667335667</v>
      </c>
      <c r="AN55" s="72">
        <f t="shared" si="23"/>
        <v>0</v>
      </c>
      <c r="AO55" s="73" t="str">
        <f>[4]Sayfa1!$X51</f>
        <v>H500-7243</v>
      </c>
      <c r="AP55" s="72">
        <f>[4]Sayfa1!$Y51</f>
        <v>0</v>
      </c>
      <c r="AQ55" s="184" t="str">
        <f>[4]Sayfa1!$V51</f>
        <v>ELTESAN ELEKTRO MEKANİK SOĞUTMA SAN</v>
      </c>
      <c r="AR55" s="74" t="str">
        <f>[4]Sayfa1!$W51</f>
        <v>SURUCU KLIMASI-Eltesan/Hispacold 4,5 KW</v>
      </c>
      <c r="AS55" s="74">
        <f>[4]Sayfa1!$AD51</f>
        <v>0</v>
      </c>
      <c r="AT55" s="60" t="str">
        <f>[4]Sayfa1!$AE51</f>
        <v/>
      </c>
      <c r="AU55" s="60" t="str">
        <f>[4]Sayfa1!$AH51</f>
        <v/>
      </c>
      <c r="AV55" s="75">
        <v>50</v>
      </c>
      <c r="AW55" s="76">
        <f t="shared" si="24"/>
        <v>43.178055556782056</v>
      </c>
      <c r="AX55" s="77" t="str">
        <f>[4]Sayfa1!$A51</f>
        <v>bea9271f</v>
      </c>
      <c r="AY55" s="78" t="s">
        <v>114</v>
      </c>
      <c r="AZ55" s="79" t="e" vm="1">
        <f t="shared" si="25"/>
        <v>#VALUE!</v>
      </c>
    </row>
    <row r="56" spans="1:52" ht="140.44999999999999">
      <c r="A56" s="59" t="s">
        <v>113</v>
      </c>
      <c r="B56" s="59" t="str">
        <f>[4]Sayfa1!$G52</f>
        <v>3875(4)</v>
      </c>
      <c r="C56" s="184" t="str">
        <f>[4]Sayfa1!$H52</f>
        <v>MA</v>
      </c>
      <c r="D56" s="24">
        <f>[4]Sayfa1!$N52</f>
        <v>40000</v>
      </c>
      <c r="E56" s="24" t="str">
        <f>[4]Sayfa1!$B52</f>
        <v>BOZ-KAY5+6-FF-051</v>
      </c>
      <c r="F56" s="60">
        <f>[4]Sayfa1!$E52</f>
        <v>45324</v>
      </c>
      <c r="G56" s="61">
        <f>[4]Sayfa1!$F52</f>
        <v>45324.256249999999</v>
      </c>
      <c r="H56" s="59" t="str">
        <f>[4]Sayfa1!$I52</f>
        <v>Hat/Line</v>
      </c>
      <c r="I56" s="62" t="str">
        <f>IF([4]Sayfa1!$K52="SSH","Notified by Bozankaya","Notified by Customer")</f>
        <v>Notified by Customer</v>
      </c>
      <c r="J56" s="59" t="e">
        <f>VLOOKUP([4]Sayfa1!$AU52,#REF!,2,FALSE)</f>
        <v>#REF!</v>
      </c>
      <c r="K56" s="59">
        <f>[4]Sayfa1!$AC52</f>
        <v>0</v>
      </c>
      <c r="L56" s="63" t="str">
        <f t="shared" si="13"/>
        <v>KAY_5+6-BOZ-KAY5+6-FF-051</v>
      </c>
      <c r="M56" s="64" t="str">
        <f>[4]Sayfa1!$L52</f>
        <v>75 nolu aracın askılık kırık</v>
      </c>
      <c r="N56" s="33" t="str">
        <f>[4]Sayfa1!$J52</f>
        <v>C-Uyarı, sürüş devamlılığı</v>
      </c>
      <c r="O56" s="33" t="str">
        <f>[4]Sayfa1!$P52</f>
        <v>C(Sisteme etki etmeyen arıza)</v>
      </c>
      <c r="P56" s="33" t="str">
        <f>[4]Sayfa1!$Q52</f>
        <v>N.A(Yaralanma yok)</v>
      </c>
      <c r="Q56" s="65" t="str" cm="1">
        <f t="array" ref="Q56">_xlfn.IFS([4]Sayfa1!$R52="Bozankaya","Bozankaya",[4]Sayfa1!$R52="İşletme","Customer",[4]Sayfa1!$R52="Tedarikçi","Equipment Supplier")</f>
        <v>Equipment Supplier</v>
      </c>
      <c r="R56" s="66" t="str">
        <f>[4]Sayfa1!$M52</f>
        <v>Askılık değişimi yapıldı</v>
      </c>
      <c r="S56" s="36" t="str">
        <f>[4]Sayfa1!$S52</f>
        <v>Bozankaya</v>
      </c>
      <c r="T56" s="67">
        <f>[4]Sayfa1!$Z52</f>
        <v>0</v>
      </c>
      <c r="U56" s="68">
        <f>[4]Sayfa1!$AN52</f>
        <v>1</v>
      </c>
      <c r="V56" s="60">
        <f>[4]Sayfa1!$T52</f>
        <v>45531</v>
      </c>
      <c r="W56" s="61">
        <f>[4]Sayfa1!$U52</f>
        <v>45531.648587962962</v>
      </c>
      <c r="X56" s="69">
        <f t="shared" si="14"/>
        <v>45531.648587962962</v>
      </c>
      <c r="Y56" s="70">
        <f>[4]Sayfa1!$AQ52</f>
        <v>45531</v>
      </c>
      <c r="Z56" s="61">
        <f>[4]Sayfa1!$AR52</f>
        <v>45531.75</v>
      </c>
      <c r="AA56" s="69">
        <f t="shared" si="15"/>
        <v>45531.75</v>
      </c>
      <c r="AB56" s="71">
        <f t="shared" si="16"/>
        <v>2.4338888889178634</v>
      </c>
      <c r="AC56" s="60">
        <f t="shared" si="17"/>
        <v>45531</v>
      </c>
      <c r="AD56" s="61">
        <f t="shared" si="18"/>
        <v>45531.75</v>
      </c>
      <c r="AE56" s="69">
        <f t="shared" si="19"/>
        <v>45531.75</v>
      </c>
      <c r="AF56" s="36" t="str">
        <f>[4]Sayfa1!$AP52</f>
        <v>(I) İlk defa karşılaşılan arıza</v>
      </c>
      <c r="AG56" s="33" t="str">
        <f>IF([4]Sayfa1!$J52="C-Uyarı, sürüş devamlılığı","Bu Arıza Aracın Servise Verilmesine Engel Değil","Bu Arıza Aracın Servise Verilmesine Engel")</f>
        <v>Bu Arıza Aracın Servise Verilmesine Engel Değil</v>
      </c>
      <c r="AH56" s="41">
        <f>[4]Sayfa1!$AB52</f>
        <v>0</v>
      </c>
      <c r="AI56" s="60"/>
      <c r="AJ56" s="60"/>
      <c r="AK56" s="69">
        <f t="shared" si="20"/>
        <v>0</v>
      </c>
      <c r="AL56" s="71">
        <f t="shared" si="21"/>
        <v>146.0333333350718</v>
      </c>
      <c r="AM56" s="71">
        <f t="shared" si="22"/>
        <v>146.0333333350718</v>
      </c>
      <c r="AN56" s="72">
        <f t="shared" si="23"/>
        <v>0</v>
      </c>
      <c r="AO56" s="73" t="str">
        <f>[4]Sayfa1!$X52</f>
        <v>T210-1001</v>
      </c>
      <c r="AP56" s="72">
        <f>[4]Sayfa1!$Y52</f>
        <v>0</v>
      </c>
      <c r="AQ56" s="184" t="str">
        <f>[4]Sayfa1!$V52</f>
        <v>HAPPICH OTOMOTİV AKUSTİK PARÇALARI</v>
      </c>
      <c r="AR56" s="74" t="str">
        <f>[4]Sayfa1!$W52</f>
        <v>ASKILIK</v>
      </c>
      <c r="AS56" s="74">
        <f>[4]Sayfa1!$AD52</f>
        <v>0</v>
      </c>
      <c r="AT56" s="60" t="str">
        <f>[4]Sayfa1!$AE52</f>
        <v/>
      </c>
      <c r="AU56" s="60" t="str">
        <f>[4]Sayfa1!$AH52</f>
        <v/>
      </c>
      <c r="AV56" s="75">
        <v>51</v>
      </c>
      <c r="AW56" s="76">
        <f t="shared" si="24"/>
        <v>26.772777778096497</v>
      </c>
      <c r="AX56" s="77" t="str">
        <f>[4]Sayfa1!$A52</f>
        <v>1c638a2a</v>
      </c>
      <c r="AY56" s="78" t="s">
        <v>114</v>
      </c>
      <c r="AZ56" s="79" t="e" vm="1">
        <f t="shared" si="25"/>
        <v>#VALUE!</v>
      </c>
    </row>
    <row r="57" spans="1:52" ht="165.6">
      <c r="A57" s="59" t="s">
        <v>113</v>
      </c>
      <c r="B57" s="59" t="str">
        <f>[4]Sayfa1!$G54</f>
        <v>3876(5)</v>
      </c>
      <c r="C57" s="184" t="str">
        <f>[4]Sayfa1!$H54</f>
        <v>MA</v>
      </c>
      <c r="D57" s="24">
        <f>[4]Sayfa1!$N54</f>
        <v>40500</v>
      </c>
      <c r="E57" s="24" t="str">
        <f>[4]Sayfa1!$B54</f>
        <v>BOZ-KAY5+6-FF-053</v>
      </c>
      <c r="F57" s="60">
        <f>[4]Sayfa1!$E54</f>
        <v>45327</v>
      </c>
      <c r="G57" s="61">
        <f>[4]Sayfa1!$F54</f>
        <v>45327.463194444441</v>
      </c>
      <c r="H57" s="59" t="str">
        <f>[4]Sayfa1!$I54</f>
        <v>Hat/Line</v>
      </c>
      <c r="I57" s="62" t="str">
        <f>IF([4]Sayfa1!$K54="SSH","Notified by Bozankaya","Notified by Customer")</f>
        <v>Notified by Customer</v>
      </c>
      <c r="J57" s="59" t="e">
        <f>VLOOKUP([4]Sayfa1!$AU54,#REF!,2,FALSE)</f>
        <v>#REF!</v>
      </c>
      <c r="K57" s="59">
        <f>[4]Sayfa1!$AC54</f>
        <v>0</v>
      </c>
      <c r="L57" s="63" t="str">
        <f t="shared" si="13"/>
        <v>KAY_5+6-BOZ-KAY5+6-FF-053</v>
      </c>
      <c r="M57" s="64" t="str">
        <f>[4]Sayfa1!$L54</f>
        <v>2 NOLU KAPI AÇILIRKEN RAHATSIZ EDİCİ SES ÇIKARIYOR(YOLCU ŞİKAYETİ)</v>
      </c>
      <c r="N57" s="33" t="str">
        <f>[4]Sayfa1!$J54</f>
        <v>C-Uyarı, sürüş devamlılığı</v>
      </c>
      <c r="O57" s="33" t="str">
        <f>[4]Sayfa1!$P54</f>
        <v>C(Sisteme etki etmeyen arıza)</v>
      </c>
      <c r="P57" s="33" t="str">
        <f>[4]Sayfa1!$Q54</f>
        <v>N.A(Yaralanma yok)</v>
      </c>
      <c r="Q57" s="65" t="str" cm="1">
        <f t="array" ref="Q57">_xlfn.IFS([4]Sayfa1!$R54="Bozankaya","Bozankaya",[4]Sayfa1!$R54="İşletme","Customer",[4]Sayfa1!$R54="Tedarikçi","Equipment Supplier")</f>
        <v>Equipment Supplier</v>
      </c>
      <c r="R57" s="66">
        <f>[4]Sayfa1!$M54</f>
        <v>0</v>
      </c>
      <c r="S57" s="36" t="str">
        <f>[4]Sayfa1!$S54</f>
        <v>TSL</v>
      </c>
      <c r="T57" s="67">
        <f>[4]Sayfa1!$Z54</f>
        <v>0</v>
      </c>
      <c r="U57" s="68">
        <f>[4]Sayfa1!$AN54</f>
        <v>1</v>
      </c>
      <c r="V57" s="60">
        <f>[4]Sayfa1!$T54</f>
        <v>45327</v>
      </c>
      <c r="W57" s="61">
        <f>[4]Sayfa1!$U54</f>
        <v>45327.541666666664</v>
      </c>
      <c r="X57" s="69">
        <f t="shared" si="14"/>
        <v>45327.541666666664</v>
      </c>
      <c r="Y57" s="70">
        <f>[4]Sayfa1!$AQ54</f>
        <v>45327</v>
      </c>
      <c r="Z57" s="61">
        <f>[4]Sayfa1!$AR54</f>
        <v>45327.666666666664</v>
      </c>
      <c r="AA57" s="69">
        <f t="shared" si="15"/>
        <v>45327.666666666664</v>
      </c>
      <c r="AB57" s="71">
        <f t="shared" si="16"/>
        <v>0</v>
      </c>
      <c r="AC57" s="60">
        <f t="shared" si="17"/>
        <v>45327</v>
      </c>
      <c r="AD57" s="61">
        <f t="shared" si="18"/>
        <v>45327.666666666664</v>
      </c>
      <c r="AE57" s="69">
        <f t="shared" si="19"/>
        <v>45327.666666666664</v>
      </c>
      <c r="AF57" s="36" t="str">
        <f>[4]Sayfa1!$AP54</f>
        <v>(III) Birden fazla aynı araçta karşılaşılan arıza</v>
      </c>
      <c r="AG57" s="33" t="str">
        <f>IF([4]Sayfa1!$J54="C-Uyarı, sürüş devamlılığı","Bu Arıza Aracın Servise Verilmesine Engel Değil","Bu Arıza Aracın Servise Verilmesine Engel")</f>
        <v>Bu Arıza Aracın Servise Verilmesine Engel Değil</v>
      </c>
      <c r="AH57" s="41">
        <f>[4]Sayfa1!$AB54</f>
        <v>0</v>
      </c>
      <c r="AI57" s="60"/>
      <c r="AJ57" s="60"/>
      <c r="AK57" s="69">
        <f t="shared" si="20"/>
        <v>0</v>
      </c>
      <c r="AL57" s="71">
        <f t="shared" si="21"/>
        <v>0</v>
      </c>
      <c r="AM57" s="71">
        <f t="shared" si="22"/>
        <v>0</v>
      </c>
      <c r="AN57" s="72">
        <f t="shared" si="23"/>
        <v>0</v>
      </c>
      <c r="AO57" s="73" t="str">
        <f>[4]Sayfa1!$X54</f>
        <v>M110-7057</v>
      </c>
      <c r="AP57" s="72">
        <f>[4]Sayfa1!$Y54</f>
        <v>0</v>
      </c>
      <c r="AQ57" s="184" t="str">
        <f>[4]Sayfa1!$V54</f>
        <v>TURCK OTOMASYON TİC. LTD.ŞTİ.</v>
      </c>
      <c r="AR57" s="74" t="str">
        <f>[4]Sayfa1!$W54</f>
        <v>SESLI UYARI CIHAZI</v>
      </c>
      <c r="AS57" s="74">
        <f>[4]Sayfa1!$AD54</f>
        <v>0</v>
      </c>
      <c r="AT57" s="60" t="str">
        <f>[4]Sayfa1!$AE54</f>
        <v/>
      </c>
      <c r="AU57" s="60" t="str">
        <f>[4]Sayfa1!$AH54</f>
        <v/>
      </c>
      <c r="AV57" s="75">
        <v>53</v>
      </c>
      <c r="AW57" s="76">
        <f t="shared" si="24"/>
        <v>0</v>
      </c>
      <c r="AX57" s="77" t="str">
        <f>[4]Sayfa1!$A54</f>
        <v>94d74445</v>
      </c>
      <c r="AY57" s="78" t="s">
        <v>114</v>
      </c>
      <c r="AZ57" s="79" t="e" vm="1">
        <f t="shared" si="25"/>
        <v>#VALUE!</v>
      </c>
    </row>
    <row r="58" spans="1:52" ht="140.44999999999999">
      <c r="A58" s="59" t="s">
        <v>113</v>
      </c>
      <c r="B58" s="59" t="str">
        <f>[4]Sayfa1!$G53</f>
        <v>3875(4)</v>
      </c>
      <c r="C58" s="184" t="str">
        <f>[4]Sayfa1!$H53</f>
        <v>MA</v>
      </c>
      <c r="D58" s="24">
        <f>[4]Sayfa1!$N53</f>
        <v>45000</v>
      </c>
      <c r="E58" s="24" t="str">
        <f>[4]Sayfa1!$B53</f>
        <v>BOZ-KAY5+6-FF-052</v>
      </c>
      <c r="F58" s="60">
        <f>[4]Sayfa1!$E53</f>
        <v>45324</v>
      </c>
      <c r="G58" s="61">
        <f>[4]Sayfa1!$F53</f>
        <v>45324.702777777777</v>
      </c>
      <c r="H58" s="59" t="str">
        <f>[4]Sayfa1!$I53</f>
        <v>Hat/Line</v>
      </c>
      <c r="I58" s="62" t="str">
        <f>IF([4]Sayfa1!$K53="SSH","Notified by Bozankaya","Notified by Customer")</f>
        <v>Notified by Customer</v>
      </c>
      <c r="J58" s="59" t="e">
        <f>VLOOKUP([4]Sayfa1!$AU53,#REF!,2,FALSE)</f>
        <v>#REF!</v>
      </c>
      <c r="K58" s="59">
        <f>[4]Sayfa1!$AC53</f>
        <v>0</v>
      </c>
      <c r="L58" s="63" t="str">
        <f t="shared" si="13"/>
        <v>KAY_5+6-BOZ-KAY5+6-FF-052</v>
      </c>
      <c r="M58" s="64" t="str">
        <f>[4]Sayfa1!$L53</f>
        <v>MA frenler arıza verdi 2 seferde 11 dk tehir meydana geldi</v>
      </c>
      <c r="N58" s="33" t="str">
        <f>[4]Sayfa1!$J53</f>
        <v>A-Sürüşü engeller</v>
      </c>
      <c r="O58" s="33" t="str">
        <f>[4]Sayfa1!$P53</f>
        <v>A(Hareket etmeyi engelleyen arıza)</v>
      </c>
      <c r="P58" s="33" t="str">
        <f>[4]Sayfa1!$Q53</f>
        <v>N.A(Yaralanma yok)</v>
      </c>
      <c r="Q58" s="65" t="str" cm="1">
        <f t="array" ref="Q58">_xlfn.IFS([4]Sayfa1!$R53="Bozankaya","Bozankaya",[4]Sayfa1!$R53="İşletme","Customer",[4]Sayfa1!$R53="Tedarikçi","Equipment Supplier")</f>
        <v>Equipment Supplier</v>
      </c>
      <c r="R58" s="66" t="str">
        <f>[4]Sayfa1!$M53</f>
        <v>28.02.2024 tarihi itibari ile fren arızası bulunmamaktadır</v>
      </c>
      <c r="S58" s="36" t="str">
        <f>[4]Sayfa1!$S53</f>
        <v>Medcom</v>
      </c>
      <c r="T58" s="67">
        <f>[4]Sayfa1!$Z53</f>
        <v>0</v>
      </c>
      <c r="U58" s="68">
        <f>[4]Sayfa1!$AN53</f>
        <v>1</v>
      </c>
      <c r="V58" s="60">
        <f>[4]Sayfa1!$T53</f>
        <v>45532</v>
      </c>
      <c r="W58" s="61">
        <f>[4]Sayfa1!$U53</f>
        <v>45532.415254629632</v>
      </c>
      <c r="X58" s="69">
        <f t="shared" si="14"/>
        <v>45532.415254629632</v>
      </c>
      <c r="Y58" s="70">
        <f>[4]Sayfa1!$AQ53</f>
        <v>45532</v>
      </c>
      <c r="Z58" s="61">
        <f>[4]Sayfa1!$AR53</f>
        <v>45532.583333333336</v>
      </c>
      <c r="AA58" s="69">
        <f t="shared" si="15"/>
        <v>45532.583333333336</v>
      </c>
      <c r="AB58" s="71">
        <f t="shared" si="16"/>
        <v>4.0338888888945803</v>
      </c>
      <c r="AC58" s="60">
        <f t="shared" si="17"/>
        <v>45532</v>
      </c>
      <c r="AD58" s="61">
        <f t="shared" si="18"/>
        <v>45532.583333333336</v>
      </c>
      <c r="AE58" s="69">
        <f t="shared" si="19"/>
        <v>45532.583333333336</v>
      </c>
      <c r="AF58" s="36" t="str">
        <f>[4]Sayfa1!$AP53</f>
        <v>(I) İlk defa karşılaşılan arıza</v>
      </c>
      <c r="AG58" s="33" t="str">
        <f>IF([4]Sayfa1!$J53="C-Uyarı, sürüş devamlılığı","Bu Arıza Aracın Servise Verilmesine Engel Değil","Bu Arıza Aracın Servise Verilmesine Engel")</f>
        <v>Bu Arıza Aracın Servise Verilmesine Engel</v>
      </c>
      <c r="AH58" s="41">
        <f>[4]Sayfa1!$AB53</f>
        <v>0</v>
      </c>
      <c r="AI58" s="60"/>
      <c r="AJ58" s="60"/>
      <c r="AK58" s="69">
        <f t="shared" si="20"/>
        <v>0</v>
      </c>
      <c r="AL58" s="71">
        <f t="shared" si="21"/>
        <v>242.03333333367482</v>
      </c>
      <c r="AM58" s="71">
        <f t="shared" si="22"/>
        <v>242.03333333367482</v>
      </c>
      <c r="AN58" s="72">
        <f t="shared" si="23"/>
        <v>0</v>
      </c>
      <c r="AO58" s="73" t="str">
        <f>[4]Sayfa1!$X53</f>
        <v>P620-7023</v>
      </c>
      <c r="AP58" s="72">
        <f>[4]Sayfa1!$Y53</f>
        <v>0</v>
      </c>
      <c r="AQ58" s="184" t="str">
        <f>[4]Sayfa1!$V53</f>
        <v>MEDCOM SP. Z O.O.</v>
      </c>
      <c r="AR58" s="74" t="str">
        <f>[4]Sayfa1!$W53</f>
        <v>COMBO KUTUSU (+LHD) MEDCOM</v>
      </c>
      <c r="AS58" s="74">
        <f>[4]Sayfa1!$AD53</f>
        <v>0</v>
      </c>
      <c r="AT58" s="60" t="str">
        <f>[4]Sayfa1!$AE53</f>
        <v/>
      </c>
      <c r="AU58" s="60" t="str">
        <f>[4]Sayfa1!$AH53</f>
        <v/>
      </c>
      <c r="AV58" s="75">
        <v>52</v>
      </c>
      <c r="AW58" s="76">
        <f t="shared" si="24"/>
        <v>44.372777777840383</v>
      </c>
      <c r="AX58" s="77" t="str">
        <f>[4]Sayfa1!$A53</f>
        <v>5aad4c57</v>
      </c>
      <c r="AY58" s="78" t="s">
        <v>114</v>
      </c>
      <c r="AZ58" s="79" t="e" vm="1">
        <f t="shared" si="25"/>
        <v>#VALUE!</v>
      </c>
    </row>
    <row r="59" spans="1:52" ht="211.15">
      <c r="A59" s="59" t="s">
        <v>113</v>
      </c>
      <c r="B59" s="59" t="str">
        <f>[4]Sayfa1!$G55</f>
        <v>3876(5)</v>
      </c>
      <c r="C59" s="184" t="str">
        <f>[4]Sayfa1!$H55</f>
        <v>MB</v>
      </c>
      <c r="D59" s="24">
        <f>[4]Sayfa1!$N55</f>
        <v>39500</v>
      </c>
      <c r="E59" s="24" t="str">
        <f>[4]Sayfa1!$B55</f>
        <v>BOZ-KAY5+6-FF-054</v>
      </c>
      <c r="F59" s="60">
        <f>[4]Sayfa1!$E55</f>
        <v>45327</v>
      </c>
      <c r="G59" s="61">
        <f>[4]Sayfa1!$F55</f>
        <v>45327.463888888888</v>
      </c>
      <c r="H59" s="59" t="str">
        <f>[4]Sayfa1!$I55</f>
        <v>Hat/Line</v>
      </c>
      <c r="I59" s="62" t="str">
        <f>IF([4]Sayfa1!$K55="SSH","Notified by Bozankaya","Notified by Customer")</f>
        <v>Notified by Customer</v>
      </c>
      <c r="J59" s="59" t="e">
        <f>VLOOKUP([4]Sayfa1!$AU55,#REF!,2,FALSE)</f>
        <v>#REF!</v>
      </c>
      <c r="K59" s="59">
        <f>[4]Sayfa1!$AC55</f>
        <v>0</v>
      </c>
      <c r="L59" s="63" t="str">
        <f t="shared" si="13"/>
        <v>KAY_5+6-BOZ-KAY5+6-FF-054</v>
      </c>
      <c r="M59" s="64" t="str">
        <f>[4]Sayfa1!$L55</f>
        <v>CB sol ayna görüntüsü yok</v>
      </c>
      <c r="N59" s="33" t="str">
        <f>[4]Sayfa1!$J55</f>
        <v>C-Uyarı, sürüş devamlılığı</v>
      </c>
      <c r="O59" s="33" t="str">
        <f>[4]Sayfa1!$P55</f>
        <v>C(Sisteme etki etmeyen arıza)</v>
      </c>
      <c r="P59" s="33" t="str">
        <f>[4]Sayfa1!$Q55</f>
        <v>N.A(Yaralanma yok)</v>
      </c>
      <c r="Q59" s="65" t="str" cm="1">
        <f t="array" ref="Q59">_xlfn.IFS([4]Sayfa1!$R55="Bozankaya","Bozankaya",[4]Sayfa1!$R55="İşletme","Customer",[4]Sayfa1!$R55="Tedarikçi","Equipment Supplier")</f>
        <v>Bozankaya</v>
      </c>
      <c r="R59" s="66" t="str">
        <f>[4]Sayfa1!$M55</f>
        <v>CB sol ayna bağlantı kablosunda temassızlık ve kısa devre vardı.Yeniden lehim yapıldı.An itibariyle kameralar normal çalışıyor</v>
      </c>
      <c r="S59" s="36" t="str">
        <f>[4]Sayfa1!$S55</f>
        <v>Üretim</v>
      </c>
      <c r="T59" s="67">
        <f>[4]Sayfa1!$Z55</f>
        <v>0</v>
      </c>
      <c r="U59" s="68">
        <f>[4]Sayfa1!$AN55</f>
        <v>1</v>
      </c>
      <c r="V59" s="60">
        <f>[4]Sayfa1!$T55</f>
        <v>45531</v>
      </c>
      <c r="W59" s="61">
        <f>[4]Sayfa1!$U55</f>
        <v>45531.652499999997</v>
      </c>
      <c r="X59" s="69">
        <f t="shared" si="14"/>
        <v>45531.652499999997</v>
      </c>
      <c r="Y59" s="70">
        <f>[4]Sayfa1!$AQ55</f>
        <v>45531</v>
      </c>
      <c r="Z59" s="61">
        <f>[4]Sayfa1!$AR55</f>
        <v>45531.75</v>
      </c>
      <c r="AA59" s="69">
        <f t="shared" si="15"/>
        <v>45531.75</v>
      </c>
      <c r="AB59" s="71">
        <f t="shared" si="16"/>
        <v>2.340000000083819</v>
      </c>
      <c r="AC59" s="60">
        <f t="shared" si="17"/>
        <v>45531</v>
      </c>
      <c r="AD59" s="61">
        <f t="shared" si="18"/>
        <v>45531.75</v>
      </c>
      <c r="AE59" s="69">
        <f t="shared" si="19"/>
        <v>45531.75</v>
      </c>
      <c r="AF59" s="36" t="str">
        <f>[4]Sayfa1!$AP55</f>
        <v>(I) İlk defa karşılaşılan arıza</v>
      </c>
      <c r="AG59" s="33" t="str">
        <f>IF([4]Sayfa1!$J55="C-Uyarı, sürüş devamlılığı","Bu Arıza Aracın Servise Verilmesine Engel Değil","Bu Arıza Aracın Servise Verilmesine Engel")</f>
        <v>Bu Arıza Aracın Servise Verilmesine Engel Değil</v>
      </c>
      <c r="AH59" s="41">
        <f>[4]Sayfa1!$AB55</f>
        <v>0</v>
      </c>
      <c r="AI59" s="60"/>
      <c r="AJ59" s="60"/>
      <c r="AK59" s="69">
        <f t="shared" si="20"/>
        <v>0</v>
      </c>
      <c r="AL59" s="71">
        <f t="shared" si="21"/>
        <v>140.40000000502914</v>
      </c>
      <c r="AM59" s="71">
        <f t="shared" si="22"/>
        <v>140.40000000502914</v>
      </c>
      <c r="AN59" s="72">
        <f t="shared" si="23"/>
        <v>0</v>
      </c>
      <c r="AO59" s="73" t="str">
        <f>[4]Sayfa1!$X55</f>
        <v>E810-7004</v>
      </c>
      <c r="AP59" s="72">
        <f>[4]Sayfa1!$Y55</f>
        <v>0</v>
      </c>
      <c r="AQ59" s="184" t="str">
        <f>[4]Sayfa1!$V55</f>
        <v>NSC TEKNOLOJİ ve İNŞAAT LTD.ŞTİ.</v>
      </c>
      <c r="AR59" s="74" t="str">
        <f>[4]Sayfa1!$W55</f>
        <v>XAYNA KAMERA</v>
      </c>
      <c r="AS59" s="74">
        <f>[4]Sayfa1!$AD55</f>
        <v>0</v>
      </c>
      <c r="AT59" s="60" t="str">
        <f>[4]Sayfa1!$AE55</f>
        <v/>
      </c>
      <c r="AU59" s="60" t="str">
        <f>[4]Sayfa1!$AH55</f>
        <v/>
      </c>
      <c r="AV59" s="75">
        <v>54</v>
      </c>
      <c r="AW59" s="76">
        <f t="shared" si="24"/>
        <v>25.740000000922009</v>
      </c>
      <c r="AX59" s="77" t="str">
        <f>[4]Sayfa1!$A55</f>
        <v>db5d24ec</v>
      </c>
      <c r="AY59" s="78" t="s">
        <v>114</v>
      </c>
      <c r="AZ59" s="79" t="e" vm="1">
        <f t="shared" si="25"/>
        <v>#VALUE!</v>
      </c>
    </row>
    <row r="60" spans="1:52" ht="220.9">
      <c r="A60" s="59" t="s">
        <v>115</v>
      </c>
      <c r="B60" s="59" t="str">
        <f>[4]Sayfa1!$G56</f>
        <v>3873(2)</v>
      </c>
      <c r="C60" s="184" t="str">
        <f>[4]Sayfa1!$H56</f>
        <v>RA</v>
      </c>
      <c r="D60" s="24">
        <f>[4]Sayfa1!$N56</f>
        <v>47500</v>
      </c>
      <c r="E60" s="24" t="str">
        <f>[4]Sayfa1!$B56</f>
        <v>BOZ-KAY5+6-FF-055</v>
      </c>
      <c r="F60" s="60">
        <f>[4]Sayfa1!$E56</f>
        <v>45327</v>
      </c>
      <c r="G60" s="61">
        <f>[4]Sayfa1!$F56</f>
        <v>45327.618055555555</v>
      </c>
      <c r="H60" s="59" t="str">
        <f>[4]Sayfa1!$I56</f>
        <v>Hat/Line</v>
      </c>
      <c r="I60" s="62" t="str">
        <f>IF([4]Sayfa1!$K56="SSH","Notified by Bozankaya","Notified by Customer")</f>
        <v>Notified by Customer</v>
      </c>
      <c r="J60" s="59" t="e">
        <f>VLOOKUP([4]Sayfa1!$AU56,#REF!,2,FALSE)</f>
        <v>#REF!</v>
      </c>
      <c r="K60" s="59">
        <f>[4]Sayfa1!$AC56</f>
        <v>0</v>
      </c>
      <c r="L60" s="63" t="str">
        <f t="shared" ref="L60:L123" si="26">A60&amp;"-"&amp;E60</f>
        <v>KAY_5+7-BOZ-KAY5+6-FF-055</v>
      </c>
      <c r="M60" s="64" t="str">
        <f>[4]Sayfa1!$L56</f>
        <v>Anons sistemi sık sık taklma yapıyor</v>
      </c>
      <c r="N60" s="33" t="str">
        <f>[4]Sayfa1!$J56</f>
        <v>C-Uyarı, sürüş devamlılığı</v>
      </c>
      <c r="O60" s="33" t="str">
        <f>[4]Sayfa1!$P56</f>
        <v>C(Sisteme etki etmeyen arıza)</v>
      </c>
      <c r="P60" s="33" t="str">
        <f>[4]Sayfa1!$Q56</f>
        <v>N.A(Yaralanma yok)</v>
      </c>
      <c r="Q60" s="65" t="str" cm="1">
        <f t="array" ref="Q60">_xlfn.IFS([4]Sayfa1!$R56="Bozankaya","Bozankaya",[4]Sayfa1!$R56="İşletme","Customer",[4]Sayfa1!$R56="Tedarikçi","Equipment Supplier")</f>
        <v>Equipment Supplier</v>
      </c>
      <c r="R60" s="66" t="str">
        <f>[4]Sayfa1!$M56</f>
        <v>Aracın odometresine enerji gidip geliyordu gerekli kontoller sağlanırken sistem normale döndü.Arıza tekrar gelirse detaylı kontol edilecek.</v>
      </c>
      <c r="S60" s="36" t="str">
        <f>[4]Sayfa1!$S56</f>
        <v>Atak</v>
      </c>
      <c r="T60" s="67">
        <f>[4]Sayfa1!$Z56</f>
        <v>0</v>
      </c>
      <c r="U60" s="68">
        <f>[4]Sayfa1!$AN56</f>
        <v>1</v>
      </c>
      <c r="V60" s="60">
        <f>[4]Sayfa1!$T56</f>
        <v>45531</v>
      </c>
      <c r="W60" s="61">
        <f>[4]Sayfa1!$U56</f>
        <v>45531.657407407409</v>
      </c>
      <c r="X60" s="69">
        <f t="shared" ref="X60:X123" si="27">W60</f>
        <v>45531.657407407409</v>
      </c>
      <c r="Y60" s="70">
        <f>[4]Sayfa1!$AQ56</f>
        <v>45531</v>
      </c>
      <c r="Z60" s="61">
        <f>[4]Sayfa1!$AR56</f>
        <v>45531.75</v>
      </c>
      <c r="AA60" s="69">
        <f t="shared" ref="AA60:AA123" si="28">Z60</f>
        <v>45531.75</v>
      </c>
      <c r="AB60" s="71">
        <f t="shared" ref="AB60:AB123" si="29">IF(Y60-F60&gt;0,(AA60-X60)*24,IF(OR(AND(G60&gt;AR$1,G60&lt;AS$1),AND(G60&gt;AT$1,G60&lt;AU$1)),(AA60-X60)*24,0))</f>
        <v>2.2222222221898846</v>
      </c>
      <c r="AC60" s="60">
        <f t="shared" ref="AC60:AC123" si="30">Y60</f>
        <v>45531</v>
      </c>
      <c r="AD60" s="61">
        <f t="shared" ref="AD60:AD123" si="31">Z60</f>
        <v>45531.75</v>
      </c>
      <c r="AE60" s="69">
        <f t="shared" ref="AE60:AE123" si="32">AD60</f>
        <v>45531.75</v>
      </c>
      <c r="AF60" s="36" t="str">
        <f>[4]Sayfa1!$AP56</f>
        <v>(I) İlk defa karşılaşılan arıza</v>
      </c>
      <c r="AG60" s="33" t="str">
        <f>IF([4]Sayfa1!$J56="C-Uyarı, sürüş devamlılığı","Bu Arıza Aracın Servise Verilmesine Engel Değil","Bu Arıza Aracın Servise Verilmesine Engel")</f>
        <v>Bu Arıza Aracın Servise Verilmesine Engel Değil</v>
      </c>
      <c r="AH60" s="41" t="str">
        <f>[4]Sayfa1!$AB56</f>
        <v>Arıza çözülecek</v>
      </c>
      <c r="AI60" s="60"/>
      <c r="AJ60" s="60"/>
      <c r="AK60" s="69">
        <f t="shared" ref="AK60:AK123" si="33">AI60+AJ60</f>
        <v>0</v>
      </c>
      <c r="AL60" s="71">
        <f t="shared" ref="AL60:AL123" si="34">IF(AND(N60&lt;&gt;"D:Arıza Değil",AG60="Bu Arıza Aracın Servise Verilmesine Engel Değil"),IF(Y60-F60&gt;0,(AA60-X60)*24,IF(OR(AND(G60&gt;AR$1,G60&lt;AS$1),AND(G60&gt;AT$1,G60&lt;AU$1)),(AK60-X60)*24,0))*60,AM60)</f>
        <v>133.33333333139308</v>
      </c>
      <c r="AM60" s="71">
        <f t="shared" ref="AM60:AM123" si="35">IF(N60&lt;&gt;"D:Arıza Değil",AB60*60,0)</f>
        <v>133.33333333139308</v>
      </c>
      <c r="AN60" s="72">
        <f t="shared" ref="AN60:AN123" si="36">K60</f>
        <v>0</v>
      </c>
      <c r="AO60" s="73" t="str">
        <f>[4]Sayfa1!$X56</f>
        <v>E840-7002</v>
      </c>
      <c r="AP60" s="72">
        <f>[4]Sayfa1!$Y56</f>
        <v>0</v>
      </c>
      <c r="AQ60" s="184" t="str">
        <f>[4]Sayfa1!$V56</f>
        <v>ATAK ULAŞIM SAN.TİC.LTD.ŞTİ.</v>
      </c>
      <c r="AR60" s="74" t="str">
        <f>[4]Sayfa1!$W56</f>
        <v>Merkez Ünite AU300 (train bus, vehicle b</v>
      </c>
      <c r="AS60" s="74">
        <f>[4]Sayfa1!$AD56</f>
        <v>0</v>
      </c>
      <c r="AT60" s="60" t="str">
        <f>[4]Sayfa1!$AE56</f>
        <v/>
      </c>
      <c r="AU60" s="60" t="str">
        <f>[4]Sayfa1!$AH56</f>
        <v/>
      </c>
      <c r="AV60" s="75">
        <v>55</v>
      </c>
      <c r="AW60" s="76">
        <f t="shared" ref="AW60:AW123" si="37">U60*AB60*AZ$1</f>
        <v>24.444444444088731</v>
      </c>
      <c r="AX60" s="77" t="str">
        <f>[4]Sayfa1!$A56</f>
        <v>bd7c518c</v>
      </c>
      <c r="AY60" s="78" t="s">
        <v>114</v>
      </c>
      <c r="AZ60" s="79" t="e" vm="1">
        <f t="shared" ref="AZ60:AZ123" si="38">_xlfn.IMAGE(AY60)</f>
        <v>#VALUE!</v>
      </c>
    </row>
    <row r="61" spans="1:52" ht="211.15">
      <c r="A61" s="59" t="s">
        <v>116</v>
      </c>
      <c r="B61" s="59" t="str">
        <f>[4]Sayfa1!$G57</f>
        <v>3875(4)</v>
      </c>
      <c r="C61" s="184" t="str">
        <f>[4]Sayfa1!$H57</f>
        <v>MA</v>
      </c>
      <c r="D61" s="24">
        <f>[4]Sayfa1!$N57</f>
        <v>40000</v>
      </c>
      <c r="E61" s="24" t="str">
        <f>[4]Sayfa1!$B57</f>
        <v>BOZ-KAY5+6-FF-056</v>
      </c>
      <c r="F61" s="60">
        <f>[4]Sayfa1!$E57</f>
        <v>45327</v>
      </c>
      <c r="G61" s="61">
        <f>[4]Sayfa1!$F57</f>
        <v>45327.80972222222</v>
      </c>
      <c r="H61" s="59" t="str">
        <f>[4]Sayfa1!$I57</f>
        <v>Hat/Line</v>
      </c>
      <c r="I61" s="62" t="str">
        <f>IF([4]Sayfa1!$K57="SSH","Notified by Bozankaya","Notified by Customer")</f>
        <v>Notified by Customer</v>
      </c>
      <c r="J61" s="59" t="e">
        <f>VLOOKUP([4]Sayfa1!$AU57,#REF!,2,FALSE)</f>
        <v>#REF!</v>
      </c>
      <c r="K61" s="59">
        <f>[4]Sayfa1!$AC57</f>
        <v>0</v>
      </c>
      <c r="L61" s="63" t="str">
        <f t="shared" si="26"/>
        <v>KAY_5+8-BOZ-KAY5+6-FF-056</v>
      </c>
      <c r="M61" s="64" t="str">
        <f>[4]Sayfa1!$L57</f>
        <v>3875 CB Kabin750 v ışığı yanmıyor.araç haraketinde problem  bulunmuyor</v>
      </c>
      <c r="N61" s="33" t="str">
        <f>[4]Sayfa1!$J57</f>
        <v>C-Uyarı, sürüş devamlılığı</v>
      </c>
      <c r="O61" s="33" t="str">
        <f>[4]Sayfa1!$P57</f>
        <v>C(Sisteme etki etmeyen arıza)</v>
      </c>
      <c r="P61" s="33" t="str">
        <f>[4]Sayfa1!$Q57</f>
        <v>N.A(Yaralanma yok)</v>
      </c>
      <c r="Q61" s="65" t="str" cm="1">
        <f t="array" ref="Q61">_xlfn.IFS([4]Sayfa1!$R57="Bozankaya","Bozankaya",[4]Sayfa1!$R57="İşletme","Customer",[4]Sayfa1!$R57="Tedarikçi","Equipment Supplier")</f>
        <v>Equipment Supplier</v>
      </c>
      <c r="R61" s="66" t="str">
        <f>[4]Sayfa1!$M57</f>
        <v>indikatör paneli 750 v ışığı patlamış.değişimi yapıldı.</v>
      </c>
      <c r="S61" s="36" t="str">
        <f>[4]Sayfa1!$S57</f>
        <v>Atak</v>
      </c>
      <c r="T61" s="67">
        <f>[4]Sayfa1!$Z57</f>
        <v>0</v>
      </c>
      <c r="U61" s="68">
        <f>[4]Sayfa1!$AN57</f>
        <v>1</v>
      </c>
      <c r="V61" s="60">
        <f>[4]Sayfa1!$T57</f>
        <v>45335</v>
      </c>
      <c r="W61" s="61">
        <f>[4]Sayfa1!$U57</f>
        <v>45335.603472222225</v>
      </c>
      <c r="X61" s="69">
        <f t="shared" si="27"/>
        <v>45335.603472222225</v>
      </c>
      <c r="Y61" s="70">
        <f>[4]Sayfa1!$AQ57</f>
        <v>45335</v>
      </c>
      <c r="Z61" s="61">
        <f>[4]Sayfa1!$AR57</f>
        <v>45335.666666666664</v>
      </c>
      <c r="AA61" s="69">
        <f t="shared" si="28"/>
        <v>45335.666666666664</v>
      </c>
      <c r="AB61" s="71">
        <f t="shared" si="29"/>
        <v>1.5166666665463708</v>
      </c>
      <c r="AC61" s="60">
        <f t="shared" si="30"/>
        <v>45335</v>
      </c>
      <c r="AD61" s="61">
        <f t="shared" si="31"/>
        <v>45335.666666666664</v>
      </c>
      <c r="AE61" s="69">
        <f t="shared" si="32"/>
        <v>45335.666666666664</v>
      </c>
      <c r="AF61" s="36" t="str">
        <f>[4]Sayfa1!$AP57</f>
        <v>(I) İlk defa karşılaşılan arıza</v>
      </c>
      <c r="AG61" s="33" t="str">
        <f>IF([4]Sayfa1!$J57="C-Uyarı, sürüş devamlılığı","Bu Arıza Aracın Servise Verilmesine Engel Değil","Bu Arıza Aracın Servise Verilmesine Engel")</f>
        <v>Bu Arıza Aracın Servise Verilmesine Engel Değil</v>
      </c>
      <c r="AH61" s="41" t="str">
        <f>[4]Sayfa1!$AB57</f>
        <v>Ekipman değiştirilecek</v>
      </c>
      <c r="AI61" s="60"/>
      <c r="AJ61" s="60"/>
      <c r="AK61" s="69">
        <f t="shared" si="33"/>
        <v>0</v>
      </c>
      <c r="AL61" s="71">
        <f t="shared" si="34"/>
        <v>90.99999999278225</v>
      </c>
      <c r="AM61" s="71">
        <f t="shared" si="35"/>
        <v>90.99999999278225</v>
      </c>
      <c r="AN61" s="72">
        <f t="shared" si="36"/>
        <v>0</v>
      </c>
      <c r="AO61" s="73" t="str">
        <f>[4]Sayfa1!$X57</f>
        <v>E300-7007</v>
      </c>
      <c r="AP61" s="72">
        <f>[4]Sayfa1!$Y57</f>
        <v>1</v>
      </c>
      <c r="AQ61" s="184" t="str">
        <f>[4]Sayfa1!$V57</f>
        <v>ATAK ULAŞIM SAN.TİC.LTD.ŞTİ.</v>
      </c>
      <c r="AR61" s="74" t="str">
        <f>[4]Sayfa1!$W57</f>
        <v>İNDİKATÖR PANELİ</v>
      </c>
      <c r="AS61" s="74">
        <f>[4]Sayfa1!$AD57</f>
        <v>0</v>
      </c>
      <c r="AT61" s="60" t="str">
        <f>[4]Sayfa1!$AE57</f>
        <v/>
      </c>
      <c r="AU61" s="60" t="str">
        <f>[4]Sayfa1!$AH57</f>
        <v/>
      </c>
      <c r="AV61" s="75">
        <v>56</v>
      </c>
      <c r="AW61" s="76">
        <f t="shared" si="37"/>
        <v>16.683333332010079</v>
      </c>
      <c r="AX61" s="77" t="str">
        <f>[4]Sayfa1!$A57</f>
        <v>86e1e8f3</v>
      </c>
      <c r="AY61" s="78" t="s">
        <v>114</v>
      </c>
      <c r="AZ61" s="79" t="e" vm="1">
        <f t="shared" si="38"/>
        <v>#VALUE!</v>
      </c>
    </row>
    <row r="62" spans="1:52" ht="186.6">
      <c r="A62" s="59" t="s">
        <v>117</v>
      </c>
      <c r="B62" s="59" t="str">
        <f>[4]Sayfa1!$G58</f>
        <v>3877(6)</v>
      </c>
      <c r="C62" s="184" t="str">
        <f>[4]Sayfa1!$H58</f>
        <v>MA</v>
      </c>
      <c r="D62" s="24">
        <f>[4]Sayfa1!$N58</f>
        <v>25700</v>
      </c>
      <c r="E62" s="24" t="str">
        <f>[4]Sayfa1!$B58</f>
        <v>BOZ-KAY5+6-FF-057</v>
      </c>
      <c r="F62" s="60">
        <f>[4]Sayfa1!$E58</f>
        <v>45327</v>
      </c>
      <c r="G62" s="61">
        <f>[4]Sayfa1!$F58</f>
        <v>45327.80972222222</v>
      </c>
      <c r="H62" s="59" t="str">
        <f>[4]Sayfa1!$I58</f>
        <v>Hat/Line</v>
      </c>
      <c r="I62" s="62" t="str">
        <f>IF([4]Sayfa1!$K58="SSH","Notified by Bozankaya","Notified by Customer")</f>
        <v>Notified by Customer</v>
      </c>
      <c r="J62" s="59" t="e">
        <f>VLOOKUP([4]Sayfa1!$AU58,#REF!,2,FALSE)</f>
        <v>#REF!</v>
      </c>
      <c r="K62" s="59">
        <f>[4]Sayfa1!$AC58</f>
        <v>0</v>
      </c>
      <c r="L62" s="63" t="str">
        <f t="shared" si="26"/>
        <v>KAY_5+9-BOZ-KAY5+6-FF-057</v>
      </c>
      <c r="M62" s="64" t="str">
        <f>[4]Sayfa1!$L58</f>
        <v>4800 KODLU FREN ARIZASI UYARISI VAR</v>
      </c>
      <c r="N62" s="33" t="str">
        <f>[4]Sayfa1!$J58</f>
        <v>C-Uyarı, sürüş devamlılığı</v>
      </c>
      <c r="O62" s="33" t="str">
        <f>[4]Sayfa1!$P58</f>
        <v>C(Sisteme etki etmeyen arıza)</v>
      </c>
      <c r="P62" s="33" t="str">
        <f>[4]Sayfa1!$Q58</f>
        <v>N.A(Yaralanma yok)</v>
      </c>
      <c r="Q62" s="65" t="str" cm="1">
        <f t="array" ref="Q62">_xlfn.IFS([4]Sayfa1!$R58="Bozankaya","Bozankaya",[4]Sayfa1!$R58="İşletme","Customer",[4]Sayfa1!$R58="Tedarikçi","Equipment Supplier")</f>
        <v>Equipment Supplier</v>
      </c>
      <c r="R62" s="66" t="str">
        <f>[4]Sayfa1!$M58</f>
        <v>ARAÇ FC48 ARIZASI VERMİŞ ARAÇ RESETLENDİ TEST YAPILDI ARIZA DEVAMLILIĞI GÖRÜLMEDİ</v>
      </c>
      <c r="S62" s="36" t="str">
        <f>[4]Sayfa1!$S58</f>
        <v>HANNING  KAHL</v>
      </c>
      <c r="T62" s="67">
        <f>[4]Sayfa1!$Z58</f>
        <v>0</v>
      </c>
      <c r="U62" s="68">
        <f>[4]Sayfa1!$AN58</f>
        <v>1</v>
      </c>
      <c r="V62" s="60">
        <f>[4]Sayfa1!$T58</f>
        <v>45327</v>
      </c>
      <c r="W62" s="61">
        <f>[4]Sayfa1!$U58</f>
        <v>45327.833333333336</v>
      </c>
      <c r="X62" s="69">
        <f t="shared" si="27"/>
        <v>45327.833333333336</v>
      </c>
      <c r="Y62" s="70">
        <f>[4]Sayfa1!$AQ58</f>
        <v>45327</v>
      </c>
      <c r="Z62" s="61">
        <f>[4]Sayfa1!$AR58</f>
        <v>45327.916666666664</v>
      </c>
      <c r="AA62" s="69">
        <f t="shared" si="28"/>
        <v>45327.916666666664</v>
      </c>
      <c r="AB62" s="71">
        <f t="shared" si="29"/>
        <v>0</v>
      </c>
      <c r="AC62" s="60">
        <f t="shared" si="30"/>
        <v>45327</v>
      </c>
      <c r="AD62" s="61">
        <f t="shared" si="31"/>
        <v>45327.916666666664</v>
      </c>
      <c r="AE62" s="69">
        <f t="shared" si="32"/>
        <v>45327.916666666664</v>
      </c>
      <c r="AF62" s="36" t="str">
        <f>[4]Sayfa1!$AP58</f>
        <v>(I) İlk defa karşılaşılan arıza</v>
      </c>
      <c r="AG62" s="33" t="str">
        <f>IF([4]Sayfa1!$J58="C-Uyarı, sürüş devamlılığı","Bu Arıza Aracın Servise Verilmesine Engel Değil","Bu Arıza Aracın Servise Verilmesine Engel")</f>
        <v>Bu Arıza Aracın Servise Verilmesine Engel Değil</v>
      </c>
      <c r="AH62" s="41">
        <f>[4]Sayfa1!$AB58</f>
        <v>0</v>
      </c>
      <c r="AI62" s="60"/>
      <c r="AJ62" s="60"/>
      <c r="AK62" s="69">
        <f t="shared" si="33"/>
        <v>0</v>
      </c>
      <c r="AL62" s="71">
        <f t="shared" si="34"/>
        <v>0</v>
      </c>
      <c r="AM62" s="71">
        <f t="shared" si="35"/>
        <v>0</v>
      </c>
      <c r="AN62" s="72">
        <f t="shared" si="36"/>
        <v>0</v>
      </c>
      <c r="AO62" s="73" t="str">
        <f>[4]Sayfa1!$X58</f>
        <v>S306-7074</v>
      </c>
      <c r="AP62" s="72">
        <f>[4]Sayfa1!$Y58</f>
        <v>0</v>
      </c>
      <c r="AQ62" s="184" t="str">
        <f>[4]Sayfa1!$V58</f>
        <v>HANNING &amp; KAHL GMBH &amp; CO.KG</v>
      </c>
      <c r="AR62" s="74" t="str">
        <f>[4]Sayfa1!$W58</f>
        <v>XFren Kontrol Ünitesi</v>
      </c>
      <c r="AS62" s="74">
        <f>[4]Sayfa1!$AD58</f>
        <v>0</v>
      </c>
      <c r="AT62" s="60" t="str">
        <f>[4]Sayfa1!$AE58</f>
        <v/>
      </c>
      <c r="AU62" s="60" t="str">
        <f>[4]Sayfa1!$AH58</f>
        <v/>
      </c>
      <c r="AV62" s="75">
        <v>57</v>
      </c>
      <c r="AW62" s="76">
        <f t="shared" si="37"/>
        <v>0</v>
      </c>
      <c r="AX62" s="77" t="str">
        <f>[4]Sayfa1!$A58</f>
        <v>e3addd4f</v>
      </c>
      <c r="AY62" s="78" t="s">
        <v>114</v>
      </c>
      <c r="AZ62" s="79" t="e" vm="1">
        <f t="shared" si="38"/>
        <v>#VALUE!</v>
      </c>
    </row>
    <row r="63" spans="1:52" ht="165.6">
      <c r="A63" s="59" t="s">
        <v>118</v>
      </c>
      <c r="B63" s="59" t="str">
        <f>[4]Sayfa1!$G59</f>
        <v>3873(2)</v>
      </c>
      <c r="C63" s="184" t="str">
        <f>[4]Sayfa1!$H59</f>
        <v>MB</v>
      </c>
      <c r="D63" s="24">
        <f>[4]Sayfa1!$N59</f>
        <v>47153</v>
      </c>
      <c r="E63" s="24" t="str">
        <f>[4]Sayfa1!$B59</f>
        <v>BOZ-KAY5+6-FF-058</v>
      </c>
      <c r="F63" s="60">
        <f>[4]Sayfa1!$E59</f>
        <v>45335</v>
      </c>
      <c r="G63" s="61">
        <f>[4]Sayfa1!$F59</f>
        <v>45335.731944444444</v>
      </c>
      <c r="H63" s="59" t="str">
        <f>[4]Sayfa1!$I59</f>
        <v>Hat/Line</v>
      </c>
      <c r="I63" s="62" t="str">
        <f>IF([4]Sayfa1!$K59="SSH","Notified by Bozankaya","Notified by Customer")</f>
        <v>Notified by Customer</v>
      </c>
      <c r="J63" s="59" t="e">
        <f>VLOOKUP([4]Sayfa1!$AU59,#REF!,2,FALSE)</f>
        <v>#REF!</v>
      </c>
      <c r="K63" s="59">
        <f>[4]Sayfa1!$AC59</f>
        <v>0</v>
      </c>
      <c r="L63" s="63" t="str">
        <f t="shared" si="26"/>
        <v>KAY_5+10-BOZ-KAY5+6-FF-058</v>
      </c>
      <c r="M63" s="64" t="str">
        <f>[4]Sayfa1!$L59</f>
        <v>CB KABİN AYNA KAMERA EKRANI SALLANIYOR</v>
      </c>
      <c r="N63" s="33" t="str">
        <f>[4]Sayfa1!$J59</f>
        <v>C-Uyarı, sürüş devamlılığı</v>
      </c>
      <c r="O63" s="33" t="str">
        <f>[4]Sayfa1!$P59</f>
        <v>C(Sisteme etki etmeyen arıza)</v>
      </c>
      <c r="P63" s="33" t="str">
        <f>[4]Sayfa1!$Q59</f>
        <v>N.A(Yaralanma yok)</v>
      </c>
      <c r="Q63" s="65" t="str" cm="1">
        <f t="array" ref="Q63">_xlfn.IFS([4]Sayfa1!$R59="Bozankaya","Bozankaya",[4]Sayfa1!$R59="İşletme","Customer",[4]Sayfa1!$R59="Tedarikçi","Equipment Supplier")</f>
        <v>Bozankaya</v>
      </c>
      <c r="R63" s="66" t="str">
        <f>[4]Sayfa1!$M59</f>
        <v>AYNA KAMERA EKRAN SOMUNU GEVŞEMİŞ SIKILDI ARIZA GİDERİLDİ</v>
      </c>
      <c r="S63" s="36" t="str">
        <f>[4]Sayfa1!$S59</f>
        <v>Üretim</v>
      </c>
      <c r="T63" s="67">
        <f>[4]Sayfa1!$Z59</f>
        <v>0</v>
      </c>
      <c r="U63" s="68">
        <f>[4]Sayfa1!$AN59</f>
        <v>1</v>
      </c>
      <c r="V63" s="60">
        <f>[4]Sayfa1!$T59</f>
        <v>45335</v>
      </c>
      <c r="W63" s="61">
        <f>[4]Sayfa1!$U59</f>
        <v>45335.736111111109</v>
      </c>
      <c r="X63" s="69">
        <f t="shared" si="27"/>
        <v>45335.736111111109</v>
      </c>
      <c r="Y63" s="70">
        <f>[4]Sayfa1!$AQ59</f>
        <v>45335</v>
      </c>
      <c r="Z63" s="61">
        <f>[4]Sayfa1!$AR59</f>
        <v>45335.770833333336</v>
      </c>
      <c r="AA63" s="69">
        <f t="shared" si="28"/>
        <v>45335.770833333336</v>
      </c>
      <c r="AB63" s="71">
        <f t="shared" si="29"/>
        <v>0</v>
      </c>
      <c r="AC63" s="60">
        <f t="shared" si="30"/>
        <v>45335</v>
      </c>
      <c r="AD63" s="61">
        <f t="shared" si="31"/>
        <v>45335.770833333336</v>
      </c>
      <c r="AE63" s="69">
        <f t="shared" si="32"/>
        <v>45335.770833333336</v>
      </c>
      <c r="AF63" s="36" t="str">
        <f>[4]Sayfa1!$AP59</f>
        <v>(II) Birden fazla karşılaşılan arıza</v>
      </c>
      <c r="AG63" s="33" t="str">
        <f>IF([4]Sayfa1!$J59="C-Uyarı, sürüş devamlılığı","Bu Arıza Aracın Servise Verilmesine Engel Değil","Bu Arıza Aracın Servise Verilmesine Engel")</f>
        <v>Bu Arıza Aracın Servise Verilmesine Engel Değil</v>
      </c>
      <c r="AH63" s="41">
        <f>[4]Sayfa1!$AB59</f>
        <v>0</v>
      </c>
      <c r="AI63" s="60"/>
      <c r="AJ63" s="60"/>
      <c r="AK63" s="69">
        <f t="shared" si="33"/>
        <v>0</v>
      </c>
      <c r="AL63" s="71">
        <f t="shared" si="34"/>
        <v>0</v>
      </c>
      <c r="AM63" s="71">
        <f t="shared" si="35"/>
        <v>0</v>
      </c>
      <c r="AN63" s="72">
        <f t="shared" si="36"/>
        <v>0</v>
      </c>
      <c r="AO63" s="73" t="str">
        <f>[4]Sayfa1!$X59</f>
        <v>E810-7151</v>
      </c>
      <c r="AP63" s="72">
        <f>[4]Sayfa1!$Y59</f>
        <v>0</v>
      </c>
      <c r="AQ63" s="184" t="str">
        <f>[4]Sayfa1!$V59</f>
        <v>STONKAM CO ., LTD</v>
      </c>
      <c r="AR63" s="74" t="str">
        <f>[4]Sayfa1!$W59</f>
        <v>AYNA EKRAN</v>
      </c>
      <c r="AS63" s="74">
        <f>[4]Sayfa1!$AD59</f>
        <v>0</v>
      </c>
      <c r="AT63" s="60" t="str">
        <f>[4]Sayfa1!$AE59</f>
        <v/>
      </c>
      <c r="AU63" s="60" t="str">
        <f>[4]Sayfa1!$AH59</f>
        <v/>
      </c>
      <c r="AV63" s="75">
        <v>58</v>
      </c>
      <c r="AW63" s="76">
        <f t="shared" si="37"/>
        <v>0</v>
      </c>
      <c r="AX63" s="77" t="str">
        <f>[4]Sayfa1!$A59</f>
        <v>74cd0b22</v>
      </c>
      <c r="AY63" s="78" t="s">
        <v>114</v>
      </c>
      <c r="AZ63" s="79" t="e" vm="1">
        <f t="shared" si="38"/>
        <v>#VALUE!</v>
      </c>
    </row>
    <row r="64" spans="1:52" ht="211.15">
      <c r="A64" s="59" t="s">
        <v>119</v>
      </c>
      <c r="B64" s="59" t="str">
        <f>[4]Sayfa1!$G60</f>
        <v>3872(1)</v>
      </c>
      <c r="C64" s="184" t="str">
        <f>[4]Sayfa1!$H60</f>
        <v>MB</v>
      </c>
      <c r="D64" s="24">
        <f>[4]Sayfa1!$N60</f>
        <v>39700</v>
      </c>
      <c r="E64" s="24" t="str">
        <f>[4]Sayfa1!$B60</f>
        <v>BOZ-KAY5+6-FF-059</v>
      </c>
      <c r="F64" s="60">
        <f>[4]Sayfa1!$E60</f>
        <v>45336</v>
      </c>
      <c r="G64" s="61">
        <f>[4]Sayfa1!$F60</f>
        <v>45336.649305555555</v>
      </c>
      <c r="H64" s="59" t="str">
        <f>[4]Sayfa1!$I60</f>
        <v>Hat/Line</v>
      </c>
      <c r="I64" s="62" t="str">
        <f>IF([4]Sayfa1!$K60="SSH","Notified by Bozankaya","Notified by Customer")</f>
        <v>Notified by Customer</v>
      </c>
      <c r="J64" s="59" t="e">
        <f>VLOOKUP([4]Sayfa1!$AU60,#REF!,2,FALSE)</f>
        <v>#REF!</v>
      </c>
      <c r="K64" s="59">
        <f>[4]Sayfa1!$AC60</f>
        <v>0</v>
      </c>
      <c r="L64" s="63" t="str">
        <f t="shared" si="26"/>
        <v>KAY_5+11-BOZ-KAY5+6-FF-059</v>
      </c>
      <c r="M64" s="64" t="str">
        <f>[4]Sayfa1!$L60</f>
        <v>aracın her iki makinist kolçakları arızalı</v>
      </c>
      <c r="N64" s="33" t="str">
        <f>[4]Sayfa1!$J60</f>
        <v>C-Uyarı, sürüş devamlılığı</v>
      </c>
      <c r="O64" s="33" t="str">
        <f>[4]Sayfa1!$P60</f>
        <v>C(Sisteme etki etmeyen arıza)</v>
      </c>
      <c r="P64" s="33" t="str">
        <f>[4]Sayfa1!$Q60</f>
        <v>N.A(Yaralanma yok)</v>
      </c>
      <c r="Q64" s="65" t="str" cm="1">
        <f t="array" ref="Q64">_xlfn.IFS([4]Sayfa1!$R60="Bozankaya","Bozankaya",[4]Sayfa1!$R60="İşletme","Customer",[4]Sayfa1!$R60="Tedarikçi","Equipment Supplier")</f>
        <v>Bozankaya</v>
      </c>
      <c r="R64" s="66" t="str">
        <f>[4]Sayfa1!$M60</f>
        <v>cb kolçak tamir edildi.ca tamir edilince form kapatılacak ca baş kolçak 26/05/2024de tamir edildi.bozankaya ssh ekibine bilgi verildi</v>
      </c>
      <c r="S64" s="36" t="str">
        <f>[4]Sayfa1!$S60</f>
        <v>Tasarım</v>
      </c>
      <c r="T64" s="67">
        <f>[4]Sayfa1!$Z60</f>
        <v>0</v>
      </c>
      <c r="U64" s="68">
        <f>[4]Sayfa1!$AN60</f>
        <v>0</v>
      </c>
      <c r="V64" s="60">
        <f>[4]Sayfa1!$T60</f>
        <v>45528</v>
      </c>
      <c r="W64" s="61">
        <f>[4]Sayfa1!$U60</f>
        <v>45528.425625000003</v>
      </c>
      <c r="X64" s="69">
        <f t="shared" si="27"/>
        <v>45528.425625000003</v>
      </c>
      <c r="Y64" s="70" t="str">
        <f>[4]Sayfa1!$AQ60</f>
        <v/>
      </c>
      <c r="Z64" s="61">
        <f>[4]Sayfa1!$AR60</f>
        <v>0</v>
      </c>
      <c r="AA64" s="69">
        <f t="shared" si="28"/>
        <v>0</v>
      </c>
      <c r="AB64" s="71" t="e">
        <f t="shared" si="29"/>
        <v>#VALUE!</v>
      </c>
      <c r="AC64" s="60" t="str">
        <f t="shared" si="30"/>
        <v/>
      </c>
      <c r="AD64" s="61">
        <f t="shared" si="31"/>
        <v>0</v>
      </c>
      <c r="AE64" s="69">
        <f t="shared" si="32"/>
        <v>0</v>
      </c>
      <c r="AF64" s="36" t="str">
        <f>[4]Sayfa1!$AP60</f>
        <v>(I) İlk defa karşılaşılan arıza</v>
      </c>
      <c r="AG64" s="33" t="str">
        <f>IF([4]Sayfa1!$J60="C-Uyarı, sürüş devamlılığı","Bu Arıza Aracın Servise Verilmesine Engel Değil","Bu Arıza Aracın Servise Verilmesine Engel")</f>
        <v>Bu Arıza Aracın Servise Verilmesine Engel Değil</v>
      </c>
      <c r="AH64" s="41">
        <f>[4]Sayfa1!$AB60</f>
        <v>0</v>
      </c>
      <c r="AI64" s="60"/>
      <c r="AJ64" s="60"/>
      <c r="AK64" s="69">
        <f t="shared" si="33"/>
        <v>0</v>
      </c>
      <c r="AL64" s="71" t="e">
        <f t="shared" si="34"/>
        <v>#VALUE!</v>
      </c>
      <c r="AM64" s="71" t="e">
        <f t="shared" si="35"/>
        <v>#VALUE!</v>
      </c>
      <c r="AN64" s="72">
        <f t="shared" si="36"/>
        <v>0</v>
      </c>
      <c r="AO64" s="73">
        <f>[4]Sayfa1!$X60</f>
        <v>0</v>
      </c>
      <c r="AP64" s="72">
        <f>[4]Sayfa1!$Y60</f>
        <v>0</v>
      </c>
      <c r="AQ64" s="184" t="str">
        <f>[4]Sayfa1!$V60</f>
        <v>Bozankaya</v>
      </c>
      <c r="AR64" s="74">
        <f>[4]Sayfa1!$W60</f>
        <v>0</v>
      </c>
      <c r="AS64" s="74">
        <f>[4]Sayfa1!$AD60</f>
        <v>0</v>
      </c>
      <c r="AT64" s="60" t="str">
        <f>[4]Sayfa1!$AE60</f>
        <v/>
      </c>
      <c r="AU64" s="60" t="str">
        <f>[4]Sayfa1!$AH60</f>
        <v/>
      </c>
      <c r="AV64" s="75">
        <v>59</v>
      </c>
      <c r="AW64" s="76" t="e">
        <f t="shared" si="37"/>
        <v>#VALUE!</v>
      </c>
      <c r="AX64" s="77" t="str">
        <f>[4]Sayfa1!$A60</f>
        <v>c7ebabbb</v>
      </c>
      <c r="AY64" s="78" t="s">
        <v>114</v>
      </c>
      <c r="AZ64" s="79" t="e" vm="1">
        <f t="shared" si="38"/>
        <v>#VALUE!</v>
      </c>
    </row>
    <row r="65" spans="1:52" ht="211.15">
      <c r="A65" s="59" t="s">
        <v>120</v>
      </c>
      <c r="B65" s="59" t="str">
        <f>[4]Sayfa1!$G61</f>
        <v>3877(6)</v>
      </c>
      <c r="C65" s="184" t="str">
        <f>[4]Sayfa1!$H61</f>
        <v>MA</v>
      </c>
      <c r="D65" s="24">
        <f>[4]Sayfa1!$N61</f>
        <v>26500</v>
      </c>
      <c r="E65" s="24" t="str">
        <f>[4]Sayfa1!$B61</f>
        <v>BOZ-KAY5+6-FF-060</v>
      </c>
      <c r="F65" s="60">
        <f>[4]Sayfa1!$E61</f>
        <v>45338</v>
      </c>
      <c r="G65" s="61">
        <f>[4]Sayfa1!$F61</f>
        <v>45338.498611111114</v>
      </c>
      <c r="H65" s="59" t="str">
        <f>[4]Sayfa1!$I61</f>
        <v>Hat/Line</v>
      </c>
      <c r="I65" s="62" t="str">
        <f>IF([4]Sayfa1!$K61="SSH","Notified by Bozankaya","Notified by Customer")</f>
        <v>Notified by Customer</v>
      </c>
      <c r="J65" s="59" t="e">
        <f>VLOOKUP([4]Sayfa1!$AU61,#REF!,2,FALSE)</f>
        <v>#REF!</v>
      </c>
      <c r="K65" s="59">
        <f>[4]Sayfa1!$AC61</f>
        <v>0</v>
      </c>
      <c r="L65" s="63" t="str">
        <f t="shared" si="26"/>
        <v>KAY_5+12-BOZ-KAY5+6-FF-060</v>
      </c>
      <c r="M65" s="64" t="str">
        <f>[4]Sayfa1!$L61</f>
        <v>araç kameralarının görüntüsü görünmüyor</v>
      </c>
      <c r="N65" s="33" t="str">
        <f>[4]Sayfa1!$J61</f>
        <v>C-Uyarı, sürüş devamlılığı</v>
      </c>
      <c r="O65" s="33" t="str">
        <f>[4]Sayfa1!$P61</f>
        <v>C(Sisteme etki etmeyen arıza)</v>
      </c>
      <c r="P65" s="33" t="str">
        <f>[4]Sayfa1!$Q61</f>
        <v>N.A(Yaralanma yok)</v>
      </c>
      <c r="Q65" s="65" t="str" cm="1">
        <f t="array" ref="Q65">_xlfn.IFS([4]Sayfa1!$R61="Bozankaya","Bozankaya",[4]Sayfa1!$R61="İşletme","Customer",[4]Sayfa1!$R61="Tedarikçi","Equipment Supplier")</f>
        <v>Equipment Supplier</v>
      </c>
      <c r="R65" s="66" t="str">
        <f>[4]Sayfa1!$M61</f>
        <v>sistem kontrol edildi.normal çalışıyor</v>
      </c>
      <c r="S65" s="36" t="str">
        <f>[4]Sayfa1!$S61</f>
        <v>NSC</v>
      </c>
      <c r="T65" s="67">
        <f>[4]Sayfa1!$Z61</f>
        <v>0</v>
      </c>
      <c r="U65" s="68">
        <f>[4]Sayfa1!$AN61</f>
        <v>1</v>
      </c>
      <c r="V65" s="60">
        <f>[4]Sayfa1!$T61</f>
        <v>45338</v>
      </c>
      <c r="W65" s="61">
        <f>[4]Sayfa1!$U61</f>
        <v>45338.541666666664</v>
      </c>
      <c r="X65" s="69">
        <f t="shared" si="27"/>
        <v>45338.541666666664</v>
      </c>
      <c r="Y65" s="70">
        <f>[4]Sayfa1!$AQ61</f>
        <v>45338</v>
      </c>
      <c r="Z65" s="61">
        <f>[4]Sayfa1!$AR61</f>
        <v>45338.666666666664</v>
      </c>
      <c r="AA65" s="69">
        <f t="shared" si="28"/>
        <v>45338.666666666664</v>
      </c>
      <c r="AB65" s="71">
        <f t="shared" si="29"/>
        <v>0</v>
      </c>
      <c r="AC65" s="60">
        <f t="shared" si="30"/>
        <v>45338</v>
      </c>
      <c r="AD65" s="61">
        <f t="shared" si="31"/>
        <v>45338.666666666664</v>
      </c>
      <c r="AE65" s="69">
        <f t="shared" si="32"/>
        <v>45338.666666666664</v>
      </c>
      <c r="AF65" s="36" t="str">
        <f>[4]Sayfa1!$AP61</f>
        <v>(II) Birden fazla karşılaşılan arıza</v>
      </c>
      <c r="AG65" s="33" t="str">
        <f>IF([4]Sayfa1!$J61="C-Uyarı, sürüş devamlılığı","Bu Arıza Aracın Servise Verilmesine Engel Değil","Bu Arıza Aracın Servise Verilmesine Engel")</f>
        <v>Bu Arıza Aracın Servise Verilmesine Engel Değil</v>
      </c>
      <c r="AH65" s="41" t="str">
        <f>[4]Sayfa1!$AB61</f>
        <v>Arıza çözülecek</v>
      </c>
      <c r="AI65" s="60"/>
      <c r="AJ65" s="60"/>
      <c r="AK65" s="69">
        <f t="shared" si="33"/>
        <v>0</v>
      </c>
      <c r="AL65" s="71">
        <f t="shared" si="34"/>
        <v>0</v>
      </c>
      <c r="AM65" s="71">
        <f t="shared" si="35"/>
        <v>0</v>
      </c>
      <c r="AN65" s="72">
        <f t="shared" si="36"/>
        <v>0</v>
      </c>
      <c r="AO65" s="73" t="str">
        <f>[4]Sayfa1!$X61</f>
        <v>E810-7145</v>
      </c>
      <c r="AP65" s="72">
        <f>[4]Sayfa1!$Y61</f>
        <v>0</v>
      </c>
      <c r="AQ65" s="184" t="str">
        <f>[4]Sayfa1!$V61</f>
        <v>NSC TEKNOLOJİ ve İNŞAAT LTD.ŞTİ.</v>
      </c>
      <c r="AR65" s="74" t="str">
        <f>[4]Sayfa1!$W61</f>
        <v>CCTV EKRANI</v>
      </c>
      <c r="AS65" s="74">
        <f>[4]Sayfa1!$AD61</f>
        <v>0</v>
      </c>
      <c r="AT65" s="60" t="str">
        <f>[4]Sayfa1!$AE61</f>
        <v/>
      </c>
      <c r="AU65" s="60" t="str">
        <f>[4]Sayfa1!$AH61</f>
        <v/>
      </c>
      <c r="AV65" s="75">
        <v>60</v>
      </c>
      <c r="AW65" s="76">
        <f t="shared" si="37"/>
        <v>0</v>
      </c>
      <c r="AX65" s="77" t="str">
        <f>[4]Sayfa1!$A61</f>
        <v>bda2fce3</v>
      </c>
      <c r="AY65" s="78" t="s">
        <v>114</v>
      </c>
      <c r="AZ65" s="79" t="e" vm="1">
        <f t="shared" si="38"/>
        <v>#VALUE!</v>
      </c>
    </row>
    <row r="66" spans="1:52" ht="358.9">
      <c r="A66" s="59" t="s">
        <v>121</v>
      </c>
      <c r="B66" s="59" t="str">
        <f>[4]Sayfa1!$G62</f>
        <v>3875(4)</v>
      </c>
      <c r="C66" s="184" t="str">
        <f>[4]Sayfa1!$H62</f>
        <v>RB</v>
      </c>
      <c r="D66" s="24">
        <f>[4]Sayfa1!$N62</f>
        <v>40300</v>
      </c>
      <c r="E66" s="24" t="str">
        <f>[4]Sayfa1!$B62</f>
        <v>BOZ-KAY5+6-FF-061</v>
      </c>
      <c r="F66" s="60">
        <f>[4]Sayfa1!$E62</f>
        <v>45341</v>
      </c>
      <c r="G66" s="61">
        <f>[4]Sayfa1!$F62</f>
        <v>45341.451388888891</v>
      </c>
      <c r="H66" s="59" t="str">
        <f>[4]Sayfa1!$I62</f>
        <v>Hat/Line</v>
      </c>
      <c r="I66" s="62" t="str">
        <f>IF([4]Sayfa1!$K62="SSH","Notified by Bozankaya","Notified by Customer")</f>
        <v>Notified by Customer</v>
      </c>
      <c r="J66" s="59" t="e">
        <f>VLOOKUP([4]Sayfa1!$AU62,#REF!,2,FALSE)</f>
        <v>#REF!</v>
      </c>
      <c r="K66" s="59">
        <f>[4]Sayfa1!$AC62</f>
        <v>0</v>
      </c>
      <c r="L66" s="63" t="str">
        <f t="shared" si="26"/>
        <v>KAY_5+13-BOZ-KAY5+6-FF-061</v>
      </c>
      <c r="M66" s="64" t="str">
        <f>[4]Sayfa1!$L62</f>
        <v>3875 nolu aracın kapı üstü ve iç ekranlar çalışmıyor</v>
      </c>
      <c r="N66" s="33" t="str">
        <f>[4]Sayfa1!$J62</f>
        <v>C-Uyarı, sürüş devamlılığı</v>
      </c>
      <c r="O66" s="33" t="str">
        <f>[4]Sayfa1!$P62</f>
        <v>C(Sisteme etki etmeyen arıza)</v>
      </c>
      <c r="P66" s="33" t="str">
        <f>[4]Sayfa1!$Q62</f>
        <v>N.A(Yaralanma yok)</v>
      </c>
      <c r="Q66" s="65" t="str" cm="1">
        <f t="array" ref="Q66">_xlfn.IFS([4]Sayfa1!$R62="Bozankaya","Bozankaya",[4]Sayfa1!$R62="İşletme","Customer",[4]Sayfa1!$R62="Tedarikçi","Equipment Supplier")</f>
        <v>Equipment Supplier</v>
      </c>
      <c r="R66" s="66" t="str">
        <f>[4]Sayfa1!$M62</f>
        <v>Aracın tüm ekipmanları sigortadan resetlendi,ayrıca ana bilgisayar resetlendi.Ayrıca ana bilgisayardan displaylere paylaşım yapan cihazın HDMI kablosu PB1140.01 Kablosu bozuktu.Bozankaya tarafından değiştirildi</v>
      </c>
      <c r="S66" s="36" t="str">
        <f>[4]Sayfa1!$S62</f>
        <v>Atak</v>
      </c>
      <c r="T66" s="67">
        <f>[4]Sayfa1!$Z62</f>
        <v>0</v>
      </c>
      <c r="U66" s="68">
        <f>[4]Sayfa1!$AN62</f>
        <v>1</v>
      </c>
      <c r="V66" s="60">
        <f>[4]Sayfa1!$T62</f>
        <v>45341</v>
      </c>
      <c r="W66" s="61">
        <f>[4]Sayfa1!$U62</f>
        <v>45341.451388888891</v>
      </c>
      <c r="X66" s="69">
        <f t="shared" si="27"/>
        <v>45341.451388888891</v>
      </c>
      <c r="Y66" s="70">
        <f>[4]Sayfa1!$AQ62</f>
        <v>45341</v>
      </c>
      <c r="Z66" s="61">
        <f>[4]Sayfa1!$AR62</f>
        <v>45341.5</v>
      </c>
      <c r="AA66" s="69">
        <f t="shared" si="28"/>
        <v>45341.5</v>
      </c>
      <c r="AB66" s="71">
        <f t="shared" si="29"/>
        <v>0</v>
      </c>
      <c r="AC66" s="60">
        <f t="shared" si="30"/>
        <v>45341</v>
      </c>
      <c r="AD66" s="61">
        <f t="shared" si="31"/>
        <v>45341.5</v>
      </c>
      <c r="AE66" s="69">
        <f t="shared" si="32"/>
        <v>45341.5</v>
      </c>
      <c r="AF66" s="36" t="str">
        <f>[4]Sayfa1!$AP62</f>
        <v>(I) İlk defa karşılaşılan arıza</v>
      </c>
      <c r="AG66" s="33" t="str">
        <f>IF([4]Sayfa1!$J62="C-Uyarı, sürüş devamlılığı","Bu Arıza Aracın Servise Verilmesine Engel Değil","Bu Arıza Aracın Servise Verilmesine Engel")</f>
        <v>Bu Arıza Aracın Servise Verilmesine Engel Değil</v>
      </c>
      <c r="AH66" s="41" t="str">
        <f>[4]Sayfa1!$AB62</f>
        <v>Ekipman değiştirilecek</v>
      </c>
      <c r="AI66" s="60"/>
      <c r="AJ66" s="60"/>
      <c r="AK66" s="69">
        <f t="shared" si="33"/>
        <v>0</v>
      </c>
      <c r="AL66" s="71">
        <f t="shared" si="34"/>
        <v>0</v>
      </c>
      <c r="AM66" s="71">
        <f t="shared" si="35"/>
        <v>0</v>
      </c>
      <c r="AN66" s="72">
        <f t="shared" si="36"/>
        <v>0</v>
      </c>
      <c r="AO66" s="73" t="str">
        <f>[4]Sayfa1!$X62</f>
        <v>E110-7503</v>
      </c>
      <c r="AP66" s="72">
        <f>[4]Sayfa1!$Y62</f>
        <v>1</v>
      </c>
      <c r="AQ66" s="184" t="str">
        <f>[4]Sayfa1!$V62</f>
        <v>ARDA MAKİNA ELEKTRİK TİC.VE</v>
      </c>
      <c r="AR66" s="74" t="str">
        <f>[4]Sayfa1!$W62</f>
        <v>HDMI KABLO ERKEK-ERKEK 3 METRE</v>
      </c>
      <c r="AS66" s="74">
        <f>[4]Sayfa1!$AD62</f>
        <v>0</v>
      </c>
      <c r="AT66" s="60" t="str">
        <f>[4]Sayfa1!$AE62</f>
        <v/>
      </c>
      <c r="AU66" s="60" t="str">
        <f>[4]Sayfa1!$AH62</f>
        <v/>
      </c>
      <c r="AV66" s="75">
        <v>61</v>
      </c>
      <c r="AW66" s="76">
        <f t="shared" si="37"/>
        <v>0</v>
      </c>
      <c r="AX66" s="77" t="str">
        <f>[4]Sayfa1!$A62</f>
        <v>e4bb3ce4</v>
      </c>
      <c r="AY66" s="78" t="s">
        <v>114</v>
      </c>
      <c r="AZ66" s="79" t="e" vm="1">
        <f t="shared" si="38"/>
        <v>#VALUE!</v>
      </c>
    </row>
    <row r="67" spans="1:52" ht="211.15">
      <c r="A67" s="59" t="s">
        <v>122</v>
      </c>
      <c r="B67" s="59" t="str">
        <f>[4]Sayfa1!$G63</f>
        <v>3879(8)</v>
      </c>
      <c r="C67" s="184" t="str">
        <f>[4]Sayfa1!$H63</f>
        <v>MB</v>
      </c>
      <c r="D67" s="24">
        <f>[4]Sayfa1!$N63</f>
        <v>1800</v>
      </c>
      <c r="E67" s="24" t="str">
        <f>[4]Sayfa1!$B63</f>
        <v>BOZ-KAY5+6-FF-062</v>
      </c>
      <c r="F67" s="60">
        <f>[4]Sayfa1!$E63</f>
        <v>45341</v>
      </c>
      <c r="G67" s="61">
        <f>[4]Sayfa1!$F63</f>
        <v>45341.68472222222</v>
      </c>
      <c r="H67" s="59" t="str">
        <f>[4]Sayfa1!$I63</f>
        <v>Hat/Line</v>
      </c>
      <c r="I67" s="62" t="str">
        <f>IF([4]Sayfa1!$K63="SSH","Notified by Bozankaya","Notified by Customer")</f>
        <v>Notified by Customer</v>
      </c>
      <c r="J67" s="59" t="e">
        <f>VLOOKUP([4]Sayfa1!$AU63,#REF!,2,FALSE)</f>
        <v>#REF!</v>
      </c>
      <c r="K67" s="59">
        <f>[4]Sayfa1!$AC63</f>
        <v>0</v>
      </c>
      <c r="L67" s="63" t="str">
        <f t="shared" si="26"/>
        <v>KAY_5+14-BOZ-KAY5+6-FF-062</v>
      </c>
      <c r="M67" s="64" t="str">
        <f>[4]Sayfa1!$L63</f>
        <v>3879 B baş sol ve sağ ayna kameraları ters</v>
      </c>
      <c r="N67" s="33" t="str">
        <f>[4]Sayfa1!$J63</f>
        <v>C-Uyarı, sürüş devamlılığı</v>
      </c>
      <c r="O67" s="33" t="str">
        <f>[4]Sayfa1!$P63</f>
        <v>C(Sisteme etki etmeyen arıza)</v>
      </c>
      <c r="P67" s="33" t="str">
        <f>[4]Sayfa1!$Q63</f>
        <v>N.A(Yaralanma yok)</v>
      </c>
      <c r="Q67" s="65" t="str" cm="1">
        <f t="array" ref="Q67">_xlfn.IFS([4]Sayfa1!$R63="Bozankaya","Bozankaya",[4]Sayfa1!$R63="İşletme","Customer",[4]Sayfa1!$R63="Tedarikçi","Equipment Supplier")</f>
        <v>Equipment Supplier</v>
      </c>
      <c r="R67" s="66" t="str">
        <f>[4]Sayfa1!$M63</f>
        <v>Ayna kameraları koridor moduna alındı kameralar düzeldi</v>
      </c>
      <c r="S67" s="36" t="str">
        <f>[4]Sayfa1!$S63</f>
        <v>NSC</v>
      </c>
      <c r="T67" s="67">
        <f>[4]Sayfa1!$Z63</f>
        <v>0</v>
      </c>
      <c r="U67" s="68">
        <f>[4]Sayfa1!$AN63</f>
        <v>0</v>
      </c>
      <c r="V67" s="60">
        <f>[4]Sayfa1!$T63</f>
        <v>45341</v>
      </c>
      <c r="W67" s="61">
        <f>[4]Sayfa1!$U63</f>
        <v>45341.68472222222</v>
      </c>
      <c r="X67" s="69">
        <f t="shared" si="27"/>
        <v>45341.68472222222</v>
      </c>
      <c r="Y67" s="70" t="str">
        <f>[4]Sayfa1!$AQ63</f>
        <v/>
      </c>
      <c r="Z67" s="61">
        <f>[4]Sayfa1!$AR63</f>
        <v>0</v>
      </c>
      <c r="AA67" s="69">
        <f t="shared" si="28"/>
        <v>0</v>
      </c>
      <c r="AB67" s="71" t="e">
        <f t="shared" si="29"/>
        <v>#VALUE!</v>
      </c>
      <c r="AC67" s="60" t="str">
        <f t="shared" si="30"/>
        <v/>
      </c>
      <c r="AD67" s="61">
        <f t="shared" si="31"/>
        <v>0</v>
      </c>
      <c r="AE67" s="69">
        <f t="shared" si="32"/>
        <v>0</v>
      </c>
      <c r="AF67" s="36" t="str">
        <f>[4]Sayfa1!$AP63</f>
        <v>(I) İlk defa karşılaşılan arıza</v>
      </c>
      <c r="AG67" s="33" t="str">
        <f>IF([4]Sayfa1!$J63="C-Uyarı, sürüş devamlılığı","Bu Arıza Aracın Servise Verilmesine Engel Değil","Bu Arıza Aracın Servise Verilmesine Engel")</f>
        <v>Bu Arıza Aracın Servise Verilmesine Engel Değil</v>
      </c>
      <c r="AH67" s="41" t="str">
        <f>[4]Sayfa1!$AB63</f>
        <v>Arıza çözülecek</v>
      </c>
      <c r="AI67" s="60"/>
      <c r="AJ67" s="60"/>
      <c r="AK67" s="69">
        <f t="shared" si="33"/>
        <v>0</v>
      </c>
      <c r="AL67" s="71" t="e">
        <f t="shared" si="34"/>
        <v>#VALUE!</v>
      </c>
      <c r="AM67" s="71" t="e">
        <f t="shared" si="35"/>
        <v>#VALUE!</v>
      </c>
      <c r="AN67" s="72">
        <f t="shared" si="36"/>
        <v>0</v>
      </c>
      <c r="AO67" s="73" t="str">
        <f>[4]Sayfa1!$X63</f>
        <v>E810-7002</v>
      </c>
      <c r="AP67" s="72">
        <f>[4]Sayfa1!$Y63</f>
        <v>0</v>
      </c>
      <c r="AQ67" s="184" t="str">
        <f>[4]Sayfa1!$V63</f>
        <v>NSC TEKNOLOJİ ve İNŞAAT LTD.ŞTİ.</v>
      </c>
      <c r="AR67" s="74" t="str">
        <f>[4]Sayfa1!$W63</f>
        <v>XKAYIT CİHAZI(NVR)</v>
      </c>
      <c r="AS67" s="74">
        <f>[4]Sayfa1!$AD63</f>
        <v>0</v>
      </c>
      <c r="AT67" s="60" t="str">
        <f>[4]Sayfa1!$AE63</f>
        <v/>
      </c>
      <c r="AU67" s="60" t="str">
        <f>[4]Sayfa1!$AH63</f>
        <v/>
      </c>
      <c r="AV67" s="75">
        <v>62</v>
      </c>
      <c r="AW67" s="76" t="e">
        <f t="shared" si="37"/>
        <v>#VALUE!</v>
      </c>
      <c r="AX67" s="77" t="str">
        <f>[4]Sayfa1!$A63</f>
        <v>73ae576c</v>
      </c>
      <c r="AY67" s="78" t="s">
        <v>114</v>
      </c>
      <c r="AZ67" s="79" t="e" vm="1">
        <f t="shared" si="38"/>
        <v>#VALUE!</v>
      </c>
    </row>
    <row r="68" spans="1:52" ht="248.45">
      <c r="A68" s="59" t="s">
        <v>123</v>
      </c>
      <c r="B68" s="59" t="str">
        <f>[4]Sayfa1!$G64</f>
        <v>3879(8)</v>
      </c>
      <c r="C68" s="184" t="str">
        <f>[4]Sayfa1!$H64</f>
        <v>MA</v>
      </c>
      <c r="D68" s="24">
        <f>[4]Sayfa1!$N64</f>
        <v>44800</v>
      </c>
      <c r="E68" s="24" t="str">
        <f>[4]Sayfa1!$B64</f>
        <v>BOZ-KAY5+6-FF-063</v>
      </c>
      <c r="F68" s="60">
        <f>[4]Sayfa1!$E64</f>
        <v>45342</v>
      </c>
      <c r="G68" s="61">
        <f>[4]Sayfa1!$F64</f>
        <v>45342.39166666667</v>
      </c>
      <c r="H68" s="59" t="str">
        <f>[4]Sayfa1!$I64</f>
        <v>Depo/Depot</v>
      </c>
      <c r="I68" s="62" t="str">
        <f>IF([4]Sayfa1!$K64="SSH","Notified by Bozankaya","Notified by Customer")</f>
        <v>Notified by Customer</v>
      </c>
      <c r="J68" s="59" t="e">
        <f>VLOOKUP([4]Sayfa1!$AU64,#REF!,2,FALSE)</f>
        <v>#REF!</v>
      </c>
      <c r="K68" s="59">
        <f>[4]Sayfa1!$AC64</f>
        <v>0</v>
      </c>
      <c r="L68" s="63" t="str">
        <f t="shared" si="26"/>
        <v>KAY_5+15-BOZ-KAY5+6-FF-063</v>
      </c>
      <c r="M68" s="64" t="str">
        <f>[4]Sayfa1!$L64</f>
        <v>3875-3877 nolu araçlar kuplajlı iken 3875 den kontak aktifken 3877 den kontak açıldığında 3875 pasif olup 3877 aktif oluyor</v>
      </c>
      <c r="N68" s="33" t="str">
        <f>[4]Sayfa1!$J64</f>
        <v>C-Uyarı, sürüş devamlılığı</v>
      </c>
      <c r="O68" s="33" t="str">
        <f>[4]Sayfa1!$P64</f>
        <v>A(Hareket etmeyi engelleyen arıza)</v>
      </c>
      <c r="P68" s="33" t="str">
        <f>[4]Sayfa1!$Q64</f>
        <v>N.A(Yaralanma yok)</v>
      </c>
      <c r="Q68" s="65" t="str" cm="1">
        <f t="array" ref="Q68">_xlfn.IFS([4]Sayfa1!$R64="Bozankaya","Bozankaya",[4]Sayfa1!$R64="İşletme","Customer",[4]Sayfa1!$R64="Tedarikçi","Equipment Supplier")</f>
        <v>Bozankaya</v>
      </c>
      <c r="R68" s="66" t="str">
        <f>[4]Sayfa1!$M64</f>
        <v>Araç kontrolü yapıldı.SB1187.02 Kablosu çekildi.Arıza giderildi</v>
      </c>
      <c r="S68" s="36" t="str">
        <f>[4]Sayfa1!$S64</f>
        <v>Üretim</v>
      </c>
      <c r="T68" s="67">
        <f>[4]Sayfa1!$Z64</f>
        <v>0</v>
      </c>
      <c r="U68" s="68">
        <f>[4]Sayfa1!$AN64</f>
        <v>1</v>
      </c>
      <c r="V68" s="60">
        <f>[4]Sayfa1!$T64</f>
        <v>45532</v>
      </c>
      <c r="W68" s="61">
        <f>[4]Sayfa1!$U64</f>
        <v>45532.592187499999</v>
      </c>
      <c r="X68" s="69">
        <f t="shared" si="27"/>
        <v>45532.592187499999</v>
      </c>
      <c r="Y68" s="70">
        <f>[4]Sayfa1!$AQ64</f>
        <v>45532</v>
      </c>
      <c r="Z68" s="61">
        <f>[4]Sayfa1!$AR64</f>
        <v>45532.75</v>
      </c>
      <c r="AA68" s="69">
        <f t="shared" si="28"/>
        <v>45532.75</v>
      </c>
      <c r="AB68" s="71">
        <f t="shared" si="29"/>
        <v>3.7875000000349246</v>
      </c>
      <c r="AC68" s="60">
        <f t="shared" si="30"/>
        <v>45532</v>
      </c>
      <c r="AD68" s="61">
        <f t="shared" si="31"/>
        <v>45532.75</v>
      </c>
      <c r="AE68" s="69">
        <f t="shared" si="32"/>
        <v>45532.75</v>
      </c>
      <c r="AF68" s="36" t="str">
        <f>[4]Sayfa1!$AP64</f>
        <v>(II) Birden fazla karşılaşılan arıza</v>
      </c>
      <c r="AG68" s="33" t="str">
        <f>IF([4]Sayfa1!$J64="C-Uyarı, sürüş devamlılığı","Bu Arıza Aracın Servise Verilmesine Engel Değil","Bu Arıza Aracın Servise Verilmesine Engel")</f>
        <v>Bu Arıza Aracın Servise Verilmesine Engel Değil</v>
      </c>
      <c r="AH68" s="41" t="str">
        <f>[4]Sayfa1!$AB64</f>
        <v>Arıza çözülecek</v>
      </c>
      <c r="AI68" s="60"/>
      <c r="AJ68" s="60"/>
      <c r="AK68" s="69">
        <f t="shared" si="33"/>
        <v>0</v>
      </c>
      <c r="AL68" s="71">
        <f t="shared" si="34"/>
        <v>227.25000000209548</v>
      </c>
      <c r="AM68" s="71">
        <f t="shared" si="35"/>
        <v>227.25000000209548</v>
      </c>
      <c r="AN68" s="72">
        <f t="shared" si="36"/>
        <v>0</v>
      </c>
      <c r="AO68" s="73" t="str">
        <f>[4]Sayfa1!$X64</f>
        <v>FE750-7303</v>
      </c>
      <c r="AP68" s="72">
        <f>[4]Sayfa1!$Y64</f>
        <v>0</v>
      </c>
      <c r="AQ68" s="184" t="str">
        <f>[4]Sayfa1!$V64</f>
        <v>GREBO OTOMOTİV SANAYİ A.Ş</v>
      </c>
      <c r="AR68" s="74" t="str">
        <f>[4]Sayfa1!$W64</f>
        <v>PANO KOMPLESI</v>
      </c>
      <c r="AS68" s="74">
        <f>[4]Sayfa1!$AD64</f>
        <v>0</v>
      </c>
      <c r="AT68" s="60" t="str">
        <f>[4]Sayfa1!$AE64</f>
        <v/>
      </c>
      <c r="AU68" s="60" t="str">
        <f>[4]Sayfa1!$AH64</f>
        <v/>
      </c>
      <c r="AV68" s="75">
        <v>63</v>
      </c>
      <c r="AW68" s="76">
        <f t="shared" si="37"/>
        <v>41.662500000384171</v>
      </c>
      <c r="AX68" s="77" t="str">
        <f>[4]Sayfa1!$A64</f>
        <v>e72058d4</v>
      </c>
      <c r="AY68" s="78" t="s">
        <v>114</v>
      </c>
      <c r="AZ68" s="79" t="e" vm="1">
        <f t="shared" si="38"/>
        <v>#VALUE!</v>
      </c>
    </row>
    <row r="69" spans="1:52" ht="211.15">
      <c r="A69" s="59" t="s">
        <v>124</v>
      </c>
      <c r="B69" s="59" t="str">
        <f>[4]Sayfa1!$G65</f>
        <v>3872(1)</v>
      </c>
      <c r="C69" s="184" t="str">
        <f>[4]Sayfa1!$H65</f>
        <v>MA</v>
      </c>
      <c r="D69" s="24">
        <f>[4]Sayfa1!$N65</f>
        <v>40000</v>
      </c>
      <c r="E69" s="24" t="str">
        <f>[4]Sayfa1!$B65</f>
        <v>BOZ-KAY5+6-FF-064</v>
      </c>
      <c r="F69" s="60">
        <f>[4]Sayfa1!$E65</f>
        <v>45342</v>
      </c>
      <c r="G69" s="61">
        <f>[4]Sayfa1!$F65</f>
        <v>45342.667361111111</v>
      </c>
      <c r="H69" s="59" t="str">
        <f>[4]Sayfa1!$I65</f>
        <v>Hat/Line</v>
      </c>
      <c r="I69" s="62" t="str">
        <f>IF([4]Sayfa1!$K65="SSH","Notified by Bozankaya","Notified by Customer")</f>
        <v>Notified by Customer</v>
      </c>
      <c r="J69" s="59" t="e">
        <f>VLOOKUP([4]Sayfa1!$AU65,#REF!,2,FALSE)</f>
        <v>#REF!</v>
      </c>
      <c r="K69" s="59">
        <f>[4]Sayfa1!$AC65</f>
        <v>0</v>
      </c>
      <c r="L69" s="63" t="str">
        <f t="shared" si="26"/>
        <v>KAY_5+16-BOZ-KAY5+6-FF-064</v>
      </c>
      <c r="M69" s="64" t="str">
        <f>[4]Sayfa1!$L65</f>
        <v>4 nolu kapı buzzer sürekli çalışıyor</v>
      </c>
      <c r="N69" s="33" t="str">
        <f>[4]Sayfa1!$J65</f>
        <v>C-Uyarı, sürüş devamlılığı</v>
      </c>
      <c r="O69" s="33" t="str">
        <f>[4]Sayfa1!$P65</f>
        <v>C(Sisteme etki etmeyen arıza)</v>
      </c>
      <c r="P69" s="33" t="str">
        <f>[4]Sayfa1!$Q65</f>
        <v>N.A(Yaralanma yok)</v>
      </c>
      <c r="Q69" s="65" t="str" cm="1">
        <f t="array" ref="Q69">_xlfn.IFS([4]Sayfa1!$R65="Bozankaya","Bozankaya",[4]Sayfa1!$R65="İşletme","Customer",[4]Sayfa1!$R65="Tedarikçi","Equipment Supplier")</f>
        <v>Equipment Supplier</v>
      </c>
      <c r="R69" s="66" t="str">
        <f>[4]Sayfa1!$M65</f>
        <v>kapı resetlendi arıza düzeltildi</v>
      </c>
      <c r="S69" s="36" t="str">
        <f>[4]Sayfa1!$S65</f>
        <v>TSL</v>
      </c>
      <c r="T69" s="67">
        <f>[4]Sayfa1!$Z65</f>
        <v>0</v>
      </c>
      <c r="U69" s="68">
        <f>[4]Sayfa1!$AN65</f>
        <v>1</v>
      </c>
      <c r="V69" s="60">
        <f>[4]Sayfa1!$T65</f>
        <v>45342</v>
      </c>
      <c r="W69" s="61">
        <f>[4]Sayfa1!$U65</f>
        <v>45342.667361111111</v>
      </c>
      <c r="X69" s="69">
        <f t="shared" si="27"/>
        <v>45342.667361111111</v>
      </c>
      <c r="Y69" s="70">
        <f>[4]Sayfa1!$AQ65</f>
        <v>45342</v>
      </c>
      <c r="Z69" s="61">
        <f>[4]Sayfa1!$AR65</f>
        <v>45342.75</v>
      </c>
      <c r="AA69" s="69">
        <f t="shared" si="28"/>
        <v>45342.75</v>
      </c>
      <c r="AB69" s="71">
        <f t="shared" si="29"/>
        <v>0</v>
      </c>
      <c r="AC69" s="60">
        <f t="shared" si="30"/>
        <v>45342</v>
      </c>
      <c r="AD69" s="61">
        <f t="shared" si="31"/>
        <v>45342.75</v>
      </c>
      <c r="AE69" s="69">
        <f t="shared" si="32"/>
        <v>45342.75</v>
      </c>
      <c r="AF69" s="36" t="str">
        <f>[4]Sayfa1!$AP65</f>
        <v>(I) İlk defa karşılaşılan arıza</v>
      </c>
      <c r="AG69" s="33" t="str">
        <f>IF([4]Sayfa1!$J65="C-Uyarı, sürüş devamlılığı","Bu Arıza Aracın Servise Verilmesine Engel Değil","Bu Arıza Aracın Servise Verilmesine Engel")</f>
        <v>Bu Arıza Aracın Servise Verilmesine Engel Değil</v>
      </c>
      <c r="AH69" s="41" t="str">
        <f>[4]Sayfa1!$AB65</f>
        <v>Arıza çözülecek</v>
      </c>
      <c r="AI69" s="60"/>
      <c r="AJ69" s="60"/>
      <c r="AK69" s="69">
        <f t="shared" si="33"/>
        <v>0</v>
      </c>
      <c r="AL69" s="71">
        <f t="shared" si="34"/>
        <v>0</v>
      </c>
      <c r="AM69" s="71">
        <f t="shared" si="35"/>
        <v>0</v>
      </c>
      <c r="AN69" s="72">
        <f t="shared" si="36"/>
        <v>0</v>
      </c>
      <c r="AO69" s="73" t="str">
        <f>[4]Sayfa1!$X65</f>
        <v>M110-7057</v>
      </c>
      <c r="AP69" s="72">
        <f>[4]Sayfa1!$Y65</f>
        <v>0</v>
      </c>
      <c r="AQ69" s="184" t="str">
        <f>[4]Sayfa1!$V65</f>
        <v>TURCK OTOMASYON TİC. LTD.ŞTİ.</v>
      </c>
      <c r="AR69" s="74" t="str">
        <f>[4]Sayfa1!$W65</f>
        <v>SESLI UYARI CIHAZI</v>
      </c>
      <c r="AS69" s="74">
        <f>[4]Sayfa1!$AD65</f>
        <v>0</v>
      </c>
      <c r="AT69" s="60" t="str">
        <f>[4]Sayfa1!$AE65</f>
        <v/>
      </c>
      <c r="AU69" s="60" t="str">
        <f>[4]Sayfa1!$AH65</f>
        <v/>
      </c>
      <c r="AV69" s="75">
        <v>64</v>
      </c>
      <c r="AW69" s="76">
        <f t="shared" si="37"/>
        <v>0</v>
      </c>
      <c r="AX69" s="77" t="str">
        <f>[4]Sayfa1!$A65</f>
        <v>f9f76ac7</v>
      </c>
      <c r="AY69" s="78" t="s">
        <v>114</v>
      </c>
      <c r="AZ69" s="79" t="e" vm="1">
        <f t="shared" si="38"/>
        <v>#VALUE!</v>
      </c>
    </row>
    <row r="70" spans="1:52" ht="165.6">
      <c r="A70" s="59" t="s">
        <v>125</v>
      </c>
      <c r="B70" s="59" t="str">
        <f>[4]Sayfa1!$G66</f>
        <v>3877(6)</v>
      </c>
      <c r="C70" s="184" t="str">
        <f>[4]Sayfa1!$H66</f>
        <v>MB</v>
      </c>
      <c r="D70" s="24">
        <f>[4]Sayfa1!$N66</f>
        <v>25000</v>
      </c>
      <c r="E70" s="24" t="str">
        <f>[4]Sayfa1!$B66</f>
        <v>BOZ-KAY5+6-FF-065</v>
      </c>
      <c r="F70" s="60">
        <f>[4]Sayfa1!$E66</f>
        <v>45342</v>
      </c>
      <c r="G70" s="61">
        <f>[4]Sayfa1!$F66</f>
        <v>45342.708333333336</v>
      </c>
      <c r="H70" s="59" t="str">
        <f>[4]Sayfa1!$I66</f>
        <v>Hat/Line</v>
      </c>
      <c r="I70" s="62" t="str">
        <f>IF([4]Sayfa1!$K66="SSH","Notified by Bozankaya","Notified by Customer")</f>
        <v>Notified by Customer</v>
      </c>
      <c r="J70" s="59" t="e">
        <f>VLOOKUP([4]Sayfa1!$AU66,#REF!,2,FALSE)</f>
        <v>#REF!</v>
      </c>
      <c r="K70" s="59">
        <f>[4]Sayfa1!$AC66</f>
        <v>0</v>
      </c>
      <c r="L70" s="63" t="str">
        <f t="shared" si="26"/>
        <v>KAY_5+17-BOZ-KAY5+6-FF-065</v>
      </c>
      <c r="M70" s="64" t="str">
        <f>[4]Sayfa1!$L66</f>
        <v>CB silecek çalışmıyor</v>
      </c>
      <c r="N70" s="33" t="str">
        <f>[4]Sayfa1!$J66</f>
        <v>C-Uyarı, sürüş devamlılığı</v>
      </c>
      <c r="O70" s="33" t="str">
        <f>[4]Sayfa1!$P66</f>
        <v>C(Sisteme etki etmeyen arıza)</v>
      </c>
      <c r="P70" s="33" t="str">
        <f>[4]Sayfa1!$Q66</f>
        <v>N.A(Yaralanma yok)</v>
      </c>
      <c r="Q70" s="65" t="str" cm="1">
        <f t="array" ref="Q70">_xlfn.IFS([4]Sayfa1!$R66="Bozankaya","Bozankaya",[4]Sayfa1!$R66="İşletme","Customer",[4]Sayfa1!$R66="Tedarikçi","Equipment Supplier")</f>
        <v>Equipment Supplier</v>
      </c>
      <c r="R70" s="66" t="str">
        <f>[4]Sayfa1!$M66</f>
        <v>CB silecek çalışmıyordu sabitleme somunları gevşekti sıkılandıayar yapıldı.test edildi sorun görülmedi</v>
      </c>
      <c r="S70" s="36" t="str">
        <f>[4]Sayfa1!$S66</f>
        <v>Bozankaya</v>
      </c>
      <c r="T70" s="67">
        <f>[4]Sayfa1!$Z66</f>
        <v>0</v>
      </c>
      <c r="U70" s="68">
        <f>[4]Sayfa1!$AN66</f>
        <v>1</v>
      </c>
      <c r="V70" s="60">
        <f>[4]Sayfa1!$T66</f>
        <v>45342</v>
      </c>
      <c r="W70" s="61">
        <f>[4]Sayfa1!$U66</f>
        <v>45342.708333333336</v>
      </c>
      <c r="X70" s="69">
        <f t="shared" si="27"/>
        <v>45342.708333333336</v>
      </c>
      <c r="Y70" s="70">
        <f>[4]Sayfa1!$AQ66</f>
        <v>45342</v>
      </c>
      <c r="Z70" s="61">
        <f>[4]Sayfa1!$AR66</f>
        <v>45342.75</v>
      </c>
      <c r="AA70" s="69">
        <f t="shared" si="28"/>
        <v>45342.75</v>
      </c>
      <c r="AB70" s="71">
        <f t="shared" si="29"/>
        <v>0</v>
      </c>
      <c r="AC70" s="60">
        <f t="shared" si="30"/>
        <v>45342</v>
      </c>
      <c r="AD70" s="61">
        <f t="shared" si="31"/>
        <v>45342.75</v>
      </c>
      <c r="AE70" s="69">
        <f t="shared" si="32"/>
        <v>45342.75</v>
      </c>
      <c r="AF70" s="36" t="str">
        <f>[4]Sayfa1!$AP66</f>
        <v>(II) Birden fazla karşılaşılan arıza</v>
      </c>
      <c r="AG70" s="33" t="str">
        <f>IF([4]Sayfa1!$J66="C-Uyarı, sürüş devamlılığı","Bu Arıza Aracın Servise Verilmesine Engel Değil","Bu Arıza Aracın Servise Verilmesine Engel")</f>
        <v>Bu Arıza Aracın Servise Verilmesine Engel Değil</v>
      </c>
      <c r="AH70" s="41" t="str">
        <f>[4]Sayfa1!$AB66</f>
        <v>Tamir edilecek</v>
      </c>
      <c r="AI70" s="60"/>
      <c r="AJ70" s="60"/>
      <c r="AK70" s="69">
        <f t="shared" si="33"/>
        <v>0</v>
      </c>
      <c r="AL70" s="71">
        <f t="shared" si="34"/>
        <v>0</v>
      </c>
      <c r="AM70" s="71">
        <f t="shared" si="35"/>
        <v>0</v>
      </c>
      <c r="AN70" s="72">
        <f t="shared" si="36"/>
        <v>0</v>
      </c>
      <c r="AO70" s="73" t="str">
        <f>[4]Sayfa1!$X66</f>
        <v>M100-7066</v>
      </c>
      <c r="AP70" s="72">
        <f>[4]Sayfa1!$Y66</f>
        <v>0</v>
      </c>
      <c r="AQ70" s="184" t="str">
        <f>[4]Sayfa1!$V66</f>
        <v>DENİZLER OTOMOTİV SAN. VE TİC.LTD.Ş</v>
      </c>
      <c r="AR70" s="74" t="str">
        <f>[4]Sayfa1!$W66</f>
        <v>SİLECEK MEKANİZMASI Denizler / M.11.2506</v>
      </c>
      <c r="AS70" s="74">
        <f>[4]Sayfa1!$AD66</f>
        <v>0</v>
      </c>
      <c r="AT70" s="60" t="str">
        <f>[4]Sayfa1!$AE66</f>
        <v/>
      </c>
      <c r="AU70" s="60" t="str">
        <f>[4]Sayfa1!$AH66</f>
        <v/>
      </c>
      <c r="AV70" s="75">
        <v>65</v>
      </c>
      <c r="AW70" s="76">
        <f t="shared" si="37"/>
        <v>0</v>
      </c>
      <c r="AX70" s="77" t="str">
        <f>[4]Sayfa1!$A66</f>
        <v>aaf892d7</v>
      </c>
      <c r="AY70" s="78" t="s">
        <v>114</v>
      </c>
      <c r="AZ70" s="79" t="e" vm="1">
        <f t="shared" si="38"/>
        <v>#VALUE!</v>
      </c>
    </row>
    <row r="71" spans="1:52" ht="160.15">
      <c r="A71" s="59" t="s">
        <v>126</v>
      </c>
      <c r="B71" s="59" t="str">
        <f>[4]Sayfa1!$G67</f>
        <v>3877(6)</v>
      </c>
      <c r="C71" s="184" t="str">
        <f>[4]Sayfa1!$H67</f>
        <v>RB</v>
      </c>
      <c r="D71" s="24">
        <f>[4]Sayfa1!$N67</f>
        <v>25000</v>
      </c>
      <c r="E71" s="24" t="str">
        <f>[4]Sayfa1!$B67</f>
        <v>BOZ-KAY5+6-FF-066</v>
      </c>
      <c r="F71" s="60">
        <f>[4]Sayfa1!$E67</f>
        <v>45342</v>
      </c>
      <c r="G71" s="61">
        <f>[4]Sayfa1!$F67</f>
        <v>45342.71597222222</v>
      </c>
      <c r="H71" s="59" t="str">
        <f>[4]Sayfa1!$I67</f>
        <v>Hat/Line</v>
      </c>
      <c r="I71" s="62" t="str">
        <f>IF([4]Sayfa1!$K67="SSH","Notified by Bozankaya","Notified by Customer")</f>
        <v>Notified by Customer</v>
      </c>
      <c r="J71" s="59" t="e">
        <f>VLOOKUP([4]Sayfa1!$AU67,#REF!,2,FALSE)</f>
        <v>#REF!</v>
      </c>
      <c r="K71" s="59">
        <f>[4]Sayfa1!$AC67</f>
        <v>0</v>
      </c>
      <c r="L71" s="63" t="str">
        <f t="shared" si="26"/>
        <v>KAY_5+18-BOZ-KAY5+6-FF-066</v>
      </c>
      <c r="M71" s="64" t="str">
        <f>[4]Sayfa1!$L67</f>
        <v>7 nolu kapı açıldıktan sonra mekanizmaya çarpıyor</v>
      </c>
      <c r="N71" s="33" t="str">
        <f>[4]Sayfa1!$J67</f>
        <v>C-Uyarı, sürüş devamlılığı</v>
      </c>
      <c r="O71" s="33" t="str">
        <f>[4]Sayfa1!$P67</f>
        <v>B(Servisten çekmeye etki eden arızalar)</v>
      </c>
      <c r="P71" s="33" t="str">
        <f>[4]Sayfa1!$Q67</f>
        <v>N.A(Yaralanma yok)</v>
      </c>
      <c r="Q71" s="65" t="str" cm="1">
        <f t="array" ref="Q71">_xlfn.IFS([4]Sayfa1!$R67="Bozankaya","Bozankaya",[4]Sayfa1!$R67="İşletme","Customer",[4]Sayfa1!$R67="Tedarikçi","Equipment Supplier")</f>
        <v>Equipment Supplier</v>
      </c>
      <c r="R71" s="66" t="str">
        <f>[4]Sayfa1!$M67</f>
        <v>7 nolu kapı sağ kanat sonlandırma topuzu ayarı yapıldı.ses gitti sorun giderildi.</v>
      </c>
      <c r="S71" s="36" t="str">
        <f>[4]Sayfa1!$S67</f>
        <v>IFE</v>
      </c>
      <c r="T71" s="67">
        <f>[4]Sayfa1!$Z67</f>
        <v>0</v>
      </c>
      <c r="U71" s="68">
        <f>[4]Sayfa1!$AN67</f>
        <v>1</v>
      </c>
      <c r="V71" s="60">
        <f>[4]Sayfa1!$T67</f>
        <v>45342</v>
      </c>
      <c r="W71" s="61">
        <f>[4]Sayfa1!$U67</f>
        <v>45342.71597222222</v>
      </c>
      <c r="X71" s="69">
        <f t="shared" si="27"/>
        <v>45342.71597222222</v>
      </c>
      <c r="Y71" s="70">
        <f>[4]Sayfa1!$AQ67</f>
        <v>45342</v>
      </c>
      <c r="Z71" s="61">
        <f>[4]Sayfa1!$AR67</f>
        <v>45342.75</v>
      </c>
      <c r="AA71" s="69">
        <f t="shared" si="28"/>
        <v>45342.75</v>
      </c>
      <c r="AB71" s="71">
        <f t="shared" si="29"/>
        <v>0</v>
      </c>
      <c r="AC71" s="60">
        <f t="shared" si="30"/>
        <v>45342</v>
      </c>
      <c r="AD71" s="61">
        <f t="shared" si="31"/>
        <v>45342.75</v>
      </c>
      <c r="AE71" s="69">
        <f t="shared" si="32"/>
        <v>45342.75</v>
      </c>
      <c r="AF71" s="36" t="str">
        <f>[4]Sayfa1!$AP67</f>
        <v>(I) İlk defa karşılaşılan arıza</v>
      </c>
      <c r="AG71" s="33" t="str">
        <f>IF([4]Sayfa1!$J67="C-Uyarı, sürüş devamlılığı","Bu Arıza Aracın Servise Verilmesine Engel Değil","Bu Arıza Aracın Servise Verilmesine Engel")</f>
        <v>Bu Arıza Aracın Servise Verilmesine Engel Değil</v>
      </c>
      <c r="AH71" s="41" t="str">
        <f>[4]Sayfa1!$AB67</f>
        <v>Tamir edilecek</v>
      </c>
      <c r="AI71" s="60"/>
      <c r="AJ71" s="60"/>
      <c r="AK71" s="69">
        <f t="shared" si="33"/>
        <v>0</v>
      </c>
      <c r="AL71" s="71">
        <f t="shared" si="34"/>
        <v>0</v>
      </c>
      <c r="AM71" s="71">
        <f t="shared" si="35"/>
        <v>0</v>
      </c>
      <c r="AN71" s="72">
        <f t="shared" si="36"/>
        <v>0</v>
      </c>
      <c r="AO71" s="73" t="str">
        <f>[4]Sayfa1!$X67</f>
        <v>M110-7082</v>
      </c>
      <c r="AP71" s="72">
        <f>[4]Sayfa1!$Y67</f>
        <v>0</v>
      </c>
      <c r="AQ71" s="184" t="str">
        <f>[4]Sayfa1!$V67</f>
        <v>KNORR-BREMSE GMBH DİVİSİON IFE AUTO</v>
      </c>
      <c r="AR71" s="74" t="str">
        <f>[4]Sayfa1!$W67</f>
        <v>PRM’LI ÇİFTLİ KAPI</v>
      </c>
      <c r="AS71" s="74">
        <f>[4]Sayfa1!$AD67</f>
        <v>0</v>
      </c>
      <c r="AT71" s="60" t="str">
        <f>[4]Sayfa1!$AE67</f>
        <v/>
      </c>
      <c r="AU71" s="60" t="str">
        <f>[4]Sayfa1!$AH67</f>
        <v/>
      </c>
      <c r="AV71" s="75">
        <v>66</v>
      </c>
      <c r="AW71" s="76">
        <f t="shared" si="37"/>
        <v>0</v>
      </c>
      <c r="AX71" s="77" t="str">
        <f>[4]Sayfa1!$A67</f>
        <v>4f17d1ed</v>
      </c>
      <c r="AY71" s="78" t="s">
        <v>114</v>
      </c>
      <c r="AZ71" s="79" t="e" vm="1">
        <f t="shared" si="38"/>
        <v>#VALUE!</v>
      </c>
    </row>
    <row r="72" spans="1:52" ht="142.9">
      <c r="A72" s="59" t="s">
        <v>127</v>
      </c>
      <c r="B72" s="59" t="str">
        <f>[4]Sayfa1!$G68</f>
        <v>3879(8)</v>
      </c>
      <c r="C72" s="184" t="str">
        <f>[4]Sayfa1!$H68</f>
        <v>MB</v>
      </c>
      <c r="D72" s="24">
        <f>[4]Sayfa1!$N68</f>
        <v>1489</v>
      </c>
      <c r="E72" s="24" t="str">
        <f>[4]Sayfa1!$B68</f>
        <v>BOZ-KAY5+6-FF-067</v>
      </c>
      <c r="F72" s="60">
        <f>[4]Sayfa1!$E68</f>
        <v>45343</v>
      </c>
      <c r="G72" s="61">
        <f>[4]Sayfa1!$F68</f>
        <v>45343.393750000003</v>
      </c>
      <c r="H72" s="59" t="str">
        <f>[4]Sayfa1!$I68</f>
        <v>Hat/Line</v>
      </c>
      <c r="I72" s="62" t="str">
        <f>IF([4]Sayfa1!$K68="SSH","Notified by Bozankaya","Notified by Customer")</f>
        <v>Notified by Customer</v>
      </c>
      <c r="J72" s="59" t="e">
        <f>VLOOKUP([4]Sayfa1!$AU68,#REF!,2,FALSE)</f>
        <v>#REF!</v>
      </c>
      <c r="K72" s="59">
        <f>[4]Sayfa1!$AC68</f>
        <v>0</v>
      </c>
      <c r="L72" s="63" t="str">
        <f t="shared" si="26"/>
        <v>KAY_5+19-BOZ-KAY5+6-FF-067</v>
      </c>
      <c r="M72" s="64" t="str">
        <f>[4]Sayfa1!$L68</f>
        <v>CB KABİN KAPISI ÜST CİVATALARI YERİNDEN ÇIKMIŞ</v>
      </c>
      <c r="N72" s="33" t="str">
        <f>[4]Sayfa1!$J68</f>
        <v>C-Uyarı, sürüş devamlılığı</v>
      </c>
      <c r="O72" s="33" t="str">
        <f>[4]Sayfa1!$P68</f>
        <v>C(Sisteme etki etmeyen arıza)</v>
      </c>
      <c r="P72" s="33" t="str">
        <f>[4]Sayfa1!$Q68</f>
        <v>N.A(Yaralanma yok)</v>
      </c>
      <c r="Q72" s="65" t="str" cm="1">
        <f t="array" ref="Q72">_xlfn.IFS([4]Sayfa1!$R68="Bozankaya","Bozankaya",[4]Sayfa1!$R68="İşletme","Customer",[4]Sayfa1!$R68="Tedarikçi","Equipment Supplier")</f>
        <v>Bozankaya</v>
      </c>
      <c r="R72" s="66">
        <f>[4]Sayfa1!$M68</f>
        <v>0</v>
      </c>
      <c r="S72" s="36" t="str">
        <f>[4]Sayfa1!$S68</f>
        <v>Üretim</v>
      </c>
      <c r="T72" s="67">
        <f>[4]Sayfa1!$Z68</f>
        <v>0</v>
      </c>
      <c r="U72" s="68">
        <f>[4]Sayfa1!$AN68</f>
        <v>1</v>
      </c>
      <c r="V72" s="60">
        <f>[4]Sayfa1!$T68</f>
        <v>45526</v>
      </c>
      <c r="W72" s="61">
        <f>[4]Sayfa1!$U68</f>
        <v>45526.427627314813</v>
      </c>
      <c r="X72" s="69">
        <f t="shared" si="27"/>
        <v>45526.427627314813</v>
      </c>
      <c r="Y72" s="70">
        <f>[4]Sayfa1!$AQ68</f>
        <v>45526</v>
      </c>
      <c r="Z72" s="61">
        <f>[4]Sayfa1!$AR68</f>
        <v>45526.583333333336</v>
      </c>
      <c r="AA72" s="69">
        <f t="shared" si="28"/>
        <v>45526.583333333336</v>
      </c>
      <c r="AB72" s="71">
        <f t="shared" si="29"/>
        <v>3.7369444445357658</v>
      </c>
      <c r="AC72" s="60">
        <f t="shared" si="30"/>
        <v>45526</v>
      </c>
      <c r="AD72" s="61">
        <f t="shared" si="31"/>
        <v>45526.583333333336</v>
      </c>
      <c r="AE72" s="69">
        <f t="shared" si="32"/>
        <v>45526.583333333336</v>
      </c>
      <c r="AF72" s="36" t="str">
        <f>[4]Sayfa1!$AP68</f>
        <v>(II) Birden fazla karşılaşılan arıza</v>
      </c>
      <c r="AG72" s="33" t="str">
        <f>IF([4]Sayfa1!$J68="C-Uyarı, sürüş devamlılığı","Bu Arıza Aracın Servise Verilmesine Engel Değil","Bu Arıza Aracın Servise Verilmesine Engel")</f>
        <v>Bu Arıza Aracın Servise Verilmesine Engel Değil</v>
      </c>
      <c r="AH72" s="41">
        <f>[4]Sayfa1!$AB68</f>
        <v>0</v>
      </c>
      <c r="AI72" s="60"/>
      <c r="AJ72" s="60"/>
      <c r="AK72" s="69">
        <f t="shared" si="33"/>
        <v>0</v>
      </c>
      <c r="AL72" s="71">
        <f t="shared" si="34"/>
        <v>224.21666667214595</v>
      </c>
      <c r="AM72" s="71">
        <f t="shared" si="35"/>
        <v>224.21666667214595</v>
      </c>
      <c r="AN72" s="72">
        <f t="shared" si="36"/>
        <v>0</v>
      </c>
      <c r="AO72" s="73" t="str">
        <f>[4]Sayfa1!$X68</f>
        <v>T110-7047</v>
      </c>
      <c r="AP72" s="72">
        <f>[4]Sayfa1!$Y68</f>
        <v>0</v>
      </c>
      <c r="AQ72" s="184" t="str">
        <f>[4]Sayfa1!$V68</f>
        <v>GREBO OTOMOTİV SANAYİ A.Ş</v>
      </c>
      <c r="AR72" s="74" t="str">
        <f>[4]Sayfa1!$W68</f>
        <v>SURUCU KAPISI KOMPLESI</v>
      </c>
      <c r="AS72" s="74">
        <f>[4]Sayfa1!$AD68</f>
        <v>0</v>
      </c>
      <c r="AT72" s="60" t="str">
        <f>[4]Sayfa1!$AE68</f>
        <v/>
      </c>
      <c r="AU72" s="60" t="str">
        <f>[4]Sayfa1!$AH68</f>
        <v/>
      </c>
      <c r="AV72" s="75">
        <v>67</v>
      </c>
      <c r="AW72" s="76">
        <f t="shared" si="37"/>
        <v>41.106388889893424</v>
      </c>
      <c r="AX72" s="77" t="str">
        <f>[4]Sayfa1!$A68</f>
        <v>15a8f894</v>
      </c>
      <c r="AY72" s="78" t="s">
        <v>114</v>
      </c>
      <c r="AZ72" s="79" t="e" vm="1">
        <f t="shared" si="38"/>
        <v>#VALUE!</v>
      </c>
    </row>
    <row r="73" spans="1:52" ht="409.6">
      <c r="A73" s="59" t="s">
        <v>128</v>
      </c>
      <c r="B73" s="59" t="str">
        <f>[4]Sayfa1!$G69</f>
        <v>3872(1)</v>
      </c>
      <c r="C73" s="184" t="str">
        <f>[4]Sayfa1!$H69</f>
        <v>MB</v>
      </c>
      <c r="D73" s="24">
        <f>[4]Sayfa1!$N69</f>
        <v>38000</v>
      </c>
      <c r="E73" s="24" t="str">
        <f>[4]Sayfa1!$B69</f>
        <v>BOZ-KAY5+6-FF-068</v>
      </c>
      <c r="F73" s="60">
        <f>[4]Sayfa1!$E69</f>
        <v>45343</v>
      </c>
      <c r="G73" s="61">
        <f>[4]Sayfa1!$F69</f>
        <v>45343.684027777781</v>
      </c>
      <c r="H73" s="59" t="str">
        <f>[4]Sayfa1!$I69</f>
        <v>Hat/Line</v>
      </c>
      <c r="I73" s="62" t="str">
        <f>IF([4]Sayfa1!$K69="SSH","Notified by Bozankaya","Notified by Customer")</f>
        <v>Notified by Customer</v>
      </c>
      <c r="J73" s="59" t="e">
        <f>VLOOKUP([4]Sayfa1!$AU69,#REF!,2,FALSE)</f>
        <v>#REF!</v>
      </c>
      <c r="K73" s="59">
        <f>[4]Sayfa1!$AC69</f>
        <v>0</v>
      </c>
      <c r="L73" s="63" t="str">
        <f t="shared" si="26"/>
        <v>KAY_5+20-BOZ-KAY5+6-FF-068</v>
      </c>
      <c r="M73" s="64" t="str">
        <f>[4]Sayfa1!$L69</f>
        <v>FREN BÖLÜMÜ ARIZA VERDİ ARAÇ RESETLENDİ PS1-PS2 DEVREYE GİRMEDİ YOLCULAR TAHLİYE EDİLDİ FREN RESET KULLANILARAK 20KM/H İLE YOLCUSUZ DEVAM EDİLDİ (T4 HATTI 2 SEFERDE 9 DK) (T1 HATTI 1 SEFERDE 4 DK) (T3 HATTI 1 SEFERDE 9 DK) TEHİR OLUŞTU TOPLAM 4 SEFERDE 22 DK TEHİR OLUŞTU</v>
      </c>
      <c r="N73" s="33" t="str">
        <f>[4]Sayfa1!$J69</f>
        <v>A-Sürüşü engeller</v>
      </c>
      <c r="O73" s="33" t="str">
        <f>[4]Sayfa1!$P69</f>
        <v>B(Servisten çekmeye etki eden arızalar)</v>
      </c>
      <c r="P73" s="33" t="str">
        <f>[4]Sayfa1!$Q69</f>
        <v>N.A(Yaralanma yok)</v>
      </c>
      <c r="Q73" s="65" t="str" cm="1">
        <f t="array" ref="Q73">_xlfn.IFS([4]Sayfa1!$R69="Bozankaya","Bozankaya",[4]Sayfa1!$R69="İşletme","Customer",[4]Sayfa1!$R69="Tedarikçi","Equipment Supplier")</f>
        <v>Equipment Supplier</v>
      </c>
      <c r="R73" s="66" t="str">
        <f>[4]Sayfa1!$M69</f>
        <v>ARAÇTA İNVERTER SİSTEMİ KAPANDIĞI İÇİN HİDROLİK FREN SÜREKLİ DEVREYE GİRMEKTEDİR. ARAÇTA FREN ARIZASI BULUNMAMAKTADIR</v>
      </c>
      <c r="S73" s="36" t="str">
        <f>[4]Sayfa1!$S69</f>
        <v>Medcom</v>
      </c>
      <c r="T73" s="67">
        <f>[4]Sayfa1!$Z69</f>
        <v>0</v>
      </c>
      <c r="U73" s="68">
        <f>[4]Sayfa1!$AN69</f>
        <v>1</v>
      </c>
      <c r="V73" s="60">
        <f>[4]Sayfa1!$T69</f>
        <v>45352</v>
      </c>
      <c r="W73" s="61">
        <f>[4]Sayfa1!$U69</f>
        <v>45352.333333333336</v>
      </c>
      <c r="X73" s="69">
        <f t="shared" si="27"/>
        <v>45352.333333333336</v>
      </c>
      <c r="Y73" s="70">
        <f>[4]Sayfa1!$AQ69</f>
        <v>45352</v>
      </c>
      <c r="Z73" s="61">
        <f>[4]Sayfa1!$AR69</f>
        <v>45352.75</v>
      </c>
      <c r="AA73" s="69">
        <f t="shared" si="28"/>
        <v>45352.75</v>
      </c>
      <c r="AB73" s="71">
        <f t="shared" si="29"/>
        <v>9.9999999999417923</v>
      </c>
      <c r="AC73" s="60">
        <f t="shared" si="30"/>
        <v>45352</v>
      </c>
      <c r="AD73" s="61">
        <f t="shared" si="31"/>
        <v>45352.75</v>
      </c>
      <c r="AE73" s="69">
        <f t="shared" si="32"/>
        <v>45352.75</v>
      </c>
      <c r="AF73" s="36" t="str">
        <f>[4]Sayfa1!$AP69</f>
        <v>(I) İlk defa karşılaşılan arıza</v>
      </c>
      <c r="AG73" s="33" t="str">
        <f>IF([4]Sayfa1!$J69="C-Uyarı, sürüş devamlılığı","Bu Arıza Aracın Servise Verilmesine Engel Değil","Bu Arıza Aracın Servise Verilmesine Engel")</f>
        <v>Bu Arıza Aracın Servise Verilmesine Engel</v>
      </c>
      <c r="AH73" s="41">
        <f>[4]Sayfa1!$AB69</f>
        <v>0</v>
      </c>
      <c r="AI73" s="60"/>
      <c r="AJ73" s="60"/>
      <c r="AK73" s="69">
        <f t="shared" si="33"/>
        <v>0</v>
      </c>
      <c r="AL73" s="71">
        <f t="shared" si="34"/>
        <v>599.99999999650754</v>
      </c>
      <c r="AM73" s="71">
        <f t="shared" si="35"/>
        <v>599.99999999650754</v>
      </c>
      <c r="AN73" s="72">
        <f t="shared" si="36"/>
        <v>0</v>
      </c>
      <c r="AO73" s="73" t="str">
        <f>[4]Sayfa1!$X69</f>
        <v>P620-7023</v>
      </c>
      <c r="AP73" s="72">
        <f>[4]Sayfa1!$Y69</f>
        <v>0</v>
      </c>
      <c r="AQ73" s="184" t="str">
        <f>[4]Sayfa1!$V69</f>
        <v>MEDCOM SP. Z O.O.</v>
      </c>
      <c r="AR73" s="74" t="str">
        <f>[4]Sayfa1!$W69</f>
        <v>COMBO KUTUSU (+LHD) MEDCOM</v>
      </c>
      <c r="AS73" s="74">
        <f>[4]Sayfa1!$AD69</f>
        <v>0</v>
      </c>
      <c r="AT73" s="60" t="str">
        <f>[4]Sayfa1!$AE69</f>
        <v/>
      </c>
      <c r="AU73" s="60" t="str">
        <f>[4]Sayfa1!$AH69</f>
        <v/>
      </c>
      <c r="AV73" s="75">
        <v>68</v>
      </c>
      <c r="AW73" s="76">
        <f t="shared" si="37"/>
        <v>109.99999999935972</v>
      </c>
      <c r="AX73" s="77" t="str">
        <f>[4]Sayfa1!$A69</f>
        <v>176d4518</v>
      </c>
      <c r="AY73" s="78" t="s">
        <v>114</v>
      </c>
      <c r="AZ73" s="79" t="e" vm="1">
        <f t="shared" si="38"/>
        <v>#VALUE!</v>
      </c>
    </row>
    <row r="74" spans="1:52" ht="186.6">
      <c r="A74" s="59" t="s">
        <v>129</v>
      </c>
      <c r="B74" s="59" t="str">
        <f>[4]Sayfa1!$G70</f>
        <v>3879(8)</v>
      </c>
      <c r="C74" s="184" t="str">
        <f>[4]Sayfa1!$H70</f>
        <v>P</v>
      </c>
      <c r="D74" s="24">
        <f>[4]Sayfa1!$N70</f>
        <v>1459</v>
      </c>
      <c r="E74" s="24" t="str">
        <f>[4]Sayfa1!$B70</f>
        <v>BOZ-KAY5+6-FF-069</v>
      </c>
      <c r="F74" s="60">
        <f>[4]Sayfa1!$E70</f>
        <v>45343</v>
      </c>
      <c r="G74" s="61">
        <f>[4]Sayfa1!$F70</f>
        <v>45343.869675925926</v>
      </c>
      <c r="H74" s="59" t="str">
        <f>[4]Sayfa1!$I70</f>
        <v>Hat/Line</v>
      </c>
      <c r="I74" s="62" t="str">
        <f>IF([4]Sayfa1!$K70="SSH","Notified by Bozankaya","Notified by Customer")</f>
        <v>Notified by Customer</v>
      </c>
      <c r="J74" s="59" t="e">
        <f>VLOOKUP([4]Sayfa1!$AU70,#REF!,2,FALSE)</f>
        <v>#REF!</v>
      </c>
      <c r="K74" s="59">
        <f>[4]Sayfa1!$AC70</f>
        <v>0</v>
      </c>
      <c r="L74" s="63" t="str">
        <f t="shared" si="26"/>
        <v>KAY_5+21-BOZ-KAY5+6-FF-069</v>
      </c>
      <c r="M74" s="64" t="str">
        <f>[4]Sayfa1!$L70</f>
        <v>ARAÇ TALEP VERMİYOR VİCOSTA GÖRÜNMÜYOR</v>
      </c>
      <c r="N74" s="33" t="str">
        <f>[4]Sayfa1!$J70</f>
        <v>A-Sürüşü engeller</v>
      </c>
      <c r="O74" s="33" t="str">
        <f>[4]Sayfa1!$P70</f>
        <v>B(Servisten çekmeye etki eden arızalar)</v>
      </c>
      <c r="P74" s="33" t="str">
        <f>[4]Sayfa1!$Q70</f>
        <v>N.A(Yaralanma yok)</v>
      </c>
      <c r="Q74" s="65" t="str" cm="1">
        <f t="array" ref="Q74">_xlfn.IFS([4]Sayfa1!$R70="Bozankaya","Bozankaya",[4]Sayfa1!$R70="İşletme","Customer",[4]Sayfa1!$R70="Tedarikçi","Equipment Supplier")</f>
        <v>Bozankaya</v>
      </c>
      <c r="R74" s="66" t="str">
        <f>[4]Sayfa1!$M70</f>
        <v>CARTRİDGE KABLOSU TAKILDI</v>
      </c>
      <c r="S74" s="36" t="str">
        <f>[4]Sayfa1!$S70</f>
        <v>Üretim</v>
      </c>
      <c r="T74" s="67">
        <f>[4]Sayfa1!$Z70</f>
        <v>0</v>
      </c>
      <c r="U74" s="68">
        <f>[4]Sayfa1!$AN70</f>
        <v>1</v>
      </c>
      <c r="V74" s="60">
        <f>[4]Sayfa1!$T70</f>
        <v>45343</v>
      </c>
      <c r="W74" s="61">
        <f>[4]Sayfa1!$U70</f>
        <v>45343.927083333336</v>
      </c>
      <c r="X74" s="69">
        <f t="shared" si="27"/>
        <v>45343.927083333336</v>
      </c>
      <c r="Y74" s="70">
        <f>[4]Sayfa1!$AQ70</f>
        <v>45344</v>
      </c>
      <c r="Z74" s="61">
        <f>[4]Sayfa1!$AR70</f>
        <v>45344</v>
      </c>
      <c r="AA74" s="69">
        <f t="shared" si="28"/>
        <v>45344</v>
      </c>
      <c r="AB74" s="71">
        <f t="shared" si="29"/>
        <v>1.7499999999417923</v>
      </c>
      <c r="AC74" s="60">
        <f t="shared" si="30"/>
        <v>45344</v>
      </c>
      <c r="AD74" s="61">
        <f t="shared" si="31"/>
        <v>45344</v>
      </c>
      <c r="AE74" s="69">
        <f t="shared" si="32"/>
        <v>45344</v>
      </c>
      <c r="AF74" s="36" t="str">
        <f>[4]Sayfa1!$AP70</f>
        <v>(I) İlk defa karşılaşılan arıza</v>
      </c>
      <c r="AG74" s="33" t="str">
        <f>IF([4]Sayfa1!$J70="C-Uyarı, sürüş devamlılığı","Bu Arıza Aracın Servise Verilmesine Engel Değil","Bu Arıza Aracın Servise Verilmesine Engel")</f>
        <v>Bu Arıza Aracın Servise Verilmesine Engel</v>
      </c>
      <c r="AH74" s="41">
        <f>[4]Sayfa1!$AB70</f>
        <v>0</v>
      </c>
      <c r="AI74" s="60"/>
      <c r="AJ74" s="60"/>
      <c r="AK74" s="69">
        <f t="shared" si="33"/>
        <v>0</v>
      </c>
      <c r="AL74" s="71">
        <f t="shared" si="34"/>
        <v>104.99999999650754</v>
      </c>
      <c r="AM74" s="71">
        <f t="shared" si="35"/>
        <v>104.99999999650754</v>
      </c>
      <c r="AN74" s="72">
        <f t="shared" si="36"/>
        <v>0</v>
      </c>
      <c r="AO74" s="73" t="str">
        <f>[4]Sayfa1!$X70</f>
        <v>E865-7011</v>
      </c>
      <c r="AP74" s="72">
        <f>[4]Sayfa1!$Y70</f>
        <v>0</v>
      </c>
      <c r="AQ74" s="184" t="str">
        <f>[4]Sayfa1!$V70</f>
        <v>Stadler Signalling Deutschland GmbH</v>
      </c>
      <c r="AR74" s="74" t="str">
        <f>[4]Sayfa1!$W70</f>
        <v>IMU 100 FZA KOMPLESI</v>
      </c>
      <c r="AS74" s="74">
        <f>[4]Sayfa1!$AD70</f>
        <v>0</v>
      </c>
      <c r="AT74" s="60" t="str">
        <f>[4]Sayfa1!$AE70</f>
        <v/>
      </c>
      <c r="AU74" s="60" t="str">
        <f>[4]Sayfa1!$AH70</f>
        <v/>
      </c>
      <c r="AV74" s="75">
        <v>69</v>
      </c>
      <c r="AW74" s="76">
        <f t="shared" si="37"/>
        <v>19.249999999359716</v>
      </c>
      <c r="AX74" s="77" t="str">
        <f>[4]Sayfa1!$A70</f>
        <v>a281baec</v>
      </c>
      <c r="AY74" s="78" t="s">
        <v>114</v>
      </c>
      <c r="AZ74" s="79" t="e" vm="1">
        <f t="shared" si="38"/>
        <v>#VALUE!</v>
      </c>
    </row>
    <row r="75" spans="1:52" ht="142.9">
      <c r="A75" s="59" t="s">
        <v>130</v>
      </c>
      <c r="B75" s="59" t="str">
        <f>[4]Sayfa1!$G71</f>
        <v>3879(8)</v>
      </c>
      <c r="C75" s="184" t="str">
        <f>[4]Sayfa1!$H71</f>
        <v>MA</v>
      </c>
      <c r="D75" s="24">
        <f>[4]Sayfa1!$N71</f>
        <v>1459</v>
      </c>
      <c r="E75" s="24" t="str">
        <f>[4]Sayfa1!$B71</f>
        <v>BOZ-KAY5+6-FF-070</v>
      </c>
      <c r="F75" s="60">
        <f>[4]Sayfa1!$E71</f>
        <v>45343</v>
      </c>
      <c r="G75" s="61">
        <f>[4]Sayfa1!$F71</f>
        <v>45343.915277777778</v>
      </c>
      <c r="H75" s="59" t="str">
        <f>[4]Sayfa1!$I71</f>
        <v>Hat/Line</v>
      </c>
      <c r="I75" s="62" t="str">
        <f>IF([4]Sayfa1!$K71="SSH","Notified by Bozankaya","Notified by Customer")</f>
        <v>Notified by Customer</v>
      </c>
      <c r="J75" s="59" t="e">
        <f>VLOOKUP([4]Sayfa1!$AU71,#REF!,2,FALSE)</f>
        <v>#REF!</v>
      </c>
      <c r="K75" s="59">
        <f>[4]Sayfa1!$AC71</f>
        <v>0</v>
      </c>
      <c r="L75" s="63" t="str">
        <f t="shared" si="26"/>
        <v>KAY_5+22-BOZ-KAY5+6-FF-070</v>
      </c>
      <c r="M75" s="64" t="str">
        <f>[4]Sayfa1!$L71</f>
        <v>KAMERALARDA GÖRÜNTÜ YOK</v>
      </c>
      <c r="N75" s="33" t="str">
        <f>[4]Sayfa1!$J71</f>
        <v>A-Sürüşü engeller</v>
      </c>
      <c r="O75" s="33" t="str">
        <f>[4]Sayfa1!$P71</f>
        <v>B(Servisten çekmeye etki eden arızalar)</v>
      </c>
      <c r="P75" s="33" t="str">
        <f>[4]Sayfa1!$Q71</f>
        <v>N.A(Yaralanma yok)</v>
      </c>
      <c r="Q75" s="65" t="str" cm="1">
        <f t="array" ref="Q75">_xlfn.IFS([4]Sayfa1!$R71="Bozankaya","Bozankaya",[4]Sayfa1!$R71="İşletme","Customer",[4]Sayfa1!$R71="Tedarikçi","Equipment Supplier")</f>
        <v>Equipment Supplier</v>
      </c>
      <c r="R75" s="66" t="str">
        <f>[4]Sayfa1!$M71</f>
        <v>CCTV EKRANI IP NUMARASI YANLIŞ GİRİLMİŞ DÜZELTİLDİ</v>
      </c>
      <c r="S75" s="36" t="str">
        <f>[4]Sayfa1!$S71</f>
        <v>NSC</v>
      </c>
      <c r="T75" s="67">
        <f>[4]Sayfa1!$Z71</f>
        <v>0</v>
      </c>
      <c r="U75" s="68">
        <f>[4]Sayfa1!$AN71</f>
        <v>1</v>
      </c>
      <c r="V75" s="60">
        <f>[4]Sayfa1!$T71</f>
        <v>45343</v>
      </c>
      <c r="W75" s="61">
        <f>[4]Sayfa1!$U71</f>
        <v>45343.916666666664</v>
      </c>
      <c r="X75" s="69">
        <f t="shared" si="27"/>
        <v>45343.916666666664</v>
      </c>
      <c r="Y75" s="70">
        <f>[4]Sayfa1!$AQ71</f>
        <v>45344</v>
      </c>
      <c r="Z75" s="61">
        <f>[4]Sayfa1!$AR71</f>
        <v>45344</v>
      </c>
      <c r="AA75" s="69">
        <f t="shared" si="28"/>
        <v>45344</v>
      </c>
      <c r="AB75" s="71">
        <f t="shared" si="29"/>
        <v>2.0000000000582077</v>
      </c>
      <c r="AC75" s="60">
        <f t="shared" si="30"/>
        <v>45344</v>
      </c>
      <c r="AD75" s="61">
        <f t="shared" si="31"/>
        <v>45344</v>
      </c>
      <c r="AE75" s="69">
        <f t="shared" si="32"/>
        <v>45344</v>
      </c>
      <c r="AF75" s="36" t="str">
        <f>[4]Sayfa1!$AP71</f>
        <v>(I) İlk defa karşılaşılan arıza</v>
      </c>
      <c r="AG75" s="33" t="str">
        <f>IF([4]Sayfa1!$J71="C-Uyarı, sürüş devamlılığı","Bu Arıza Aracın Servise Verilmesine Engel Değil","Bu Arıza Aracın Servise Verilmesine Engel")</f>
        <v>Bu Arıza Aracın Servise Verilmesine Engel</v>
      </c>
      <c r="AH75" s="41">
        <f>[4]Sayfa1!$AB71</f>
        <v>0</v>
      </c>
      <c r="AI75" s="60"/>
      <c r="AJ75" s="60"/>
      <c r="AK75" s="69">
        <f t="shared" si="33"/>
        <v>0</v>
      </c>
      <c r="AL75" s="71">
        <f t="shared" si="34"/>
        <v>120.00000000349246</v>
      </c>
      <c r="AM75" s="71">
        <f t="shared" si="35"/>
        <v>120.00000000349246</v>
      </c>
      <c r="AN75" s="72">
        <f t="shared" si="36"/>
        <v>0</v>
      </c>
      <c r="AO75" s="73" t="str">
        <f>[4]Sayfa1!$X71</f>
        <v>E810-7145</v>
      </c>
      <c r="AP75" s="72">
        <f>[4]Sayfa1!$Y71</f>
        <v>0</v>
      </c>
      <c r="AQ75" s="184" t="str">
        <f>[4]Sayfa1!$V71</f>
        <v>NSC TEKNOLOJİ ve İNŞAAT LTD.ŞTİ.</v>
      </c>
      <c r="AR75" s="74" t="str">
        <f>[4]Sayfa1!$W71</f>
        <v>CCTV EKRANI</v>
      </c>
      <c r="AS75" s="74">
        <f>[4]Sayfa1!$AD71</f>
        <v>0</v>
      </c>
      <c r="AT75" s="60" t="str">
        <f>[4]Sayfa1!$AE71</f>
        <v/>
      </c>
      <c r="AU75" s="60" t="str">
        <f>[4]Sayfa1!$AH71</f>
        <v/>
      </c>
      <c r="AV75" s="75">
        <v>70</v>
      </c>
      <c r="AW75" s="76">
        <f t="shared" si="37"/>
        <v>22.000000000640284</v>
      </c>
      <c r="AX75" s="77" t="str">
        <f>[4]Sayfa1!$A71</f>
        <v>07b5c65e</v>
      </c>
      <c r="AY75" s="78" t="s">
        <v>114</v>
      </c>
      <c r="AZ75" s="79" t="e" vm="1">
        <f t="shared" si="38"/>
        <v>#VALUE!</v>
      </c>
    </row>
    <row r="76" spans="1:52" ht="142.9">
      <c r="A76" s="59" t="s">
        <v>131</v>
      </c>
      <c r="B76" s="59" t="str">
        <f>[4]Sayfa1!$G72</f>
        <v>3879(8)</v>
      </c>
      <c r="C76" s="184" t="str">
        <f>[4]Sayfa1!$H72</f>
        <v>P</v>
      </c>
      <c r="D76" s="24">
        <f>[4]Sayfa1!$N72</f>
        <v>1459</v>
      </c>
      <c r="E76" s="24" t="str">
        <f>[4]Sayfa1!$B72</f>
        <v>BOZ-KAY5+6-FF-071</v>
      </c>
      <c r="F76" s="60">
        <f>[4]Sayfa1!$E72</f>
        <v>45343</v>
      </c>
      <c r="G76" s="61">
        <f>[4]Sayfa1!$F72</f>
        <v>45343.917361111111</v>
      </c>
      <c r="H76" s="59" t="str">
        <f>[4]Sayfa1!$I72</f>
        <v>Hat/Line</v>
      </c>
      <c r="I76" s="62" t="str">
        <f>IF([4]Sayfa1!$K72="SSH","Notified by Bozankaya","Notified by Customer")</f>
        <v>Notified by Customer</v>
      </c>
      <c r="J76" s="59" t="e">
        <f>VLOOKUP([4]Sayfa1!$AU72,#REF!,2,FALSE)</f>
        <v>#REF!</v>
      </c>
      <c r="K76" s="59">
        <f>[4]Sayfa1!$AC72</f>
        <v>0</v>
      </c>
      <c r="L76" s="63" t="str">
        <f t="shared" si="26"/>
        <v>KAY_5+23-BOZ-KAY5+6-FF-071</v>
      </c>
      <c r="M76" s="64" t="str">
        <f>[4]Sayfa1!$L72</f>
        <v>IMU ÇALIŞMIYOR BİLGİ GİRİŞİ YAPILMIYOR</v>
      </c>
      <c r="N76" s="33" t="str">
        <f>[4]Sayfa1!$J72</f>
        <v>A-Sürüşü engeller</v>
      </c>
      <c r="O76" s="33" t="str">
        <f>[4]Sayfa1!$P72</f>
        <v>B(Servisten çekmeye etki eden arızalar)</v>
      </c>
      <c r="P76" s="33" t="str">
        <f>[4]Sayfa1!$Q72</f>
        <v>N.A(Yaralanma yok)</v>
      </c>
      <c r="Q76" s="65" t="str" cm="1">
        <f t="array" ref="Q76">_xlfn.IFS([4]Sayfa1!$R72="Bozankaya","Bozankaya",[4]Sayfa1!$R72="İşletme","Customer",[4]Sayfa1!$R72="Tedarikçi","Equipment Supplier")</f>
        <v>Bozankaya</v>
      </c>
      <c r="R76" s="66" t="str">
        <f>[4]Sayfa1!$M72</f>
        <v>IMU CİHAZINDAKİ CARTRİDGE KABLOSU TAKILDI</v>
      </c>
      <c r="S76" s="36" t="str">
        <f>[4]Sayfa1!$S72</f>
        <v>Üretim</v>
      </c>
      <c r="T76" s="67">
        <f>[4]Sayfa1!$Z72</f>
        <v>0</v>
      </c>
      <c r="U76" s="68">
        <f>[4]Sayfa1!$AN72</f>
        <v>1</v>
      </c>
      <c r="V76" s="60">
        <f>[4]Sayfa1!$T72</f>
        <v>45344</v>
      </c>
      <c r="W76" s="61">
        <f>[4]Sayfa1!$U72</f>
        <v>45344.333333333336</v>
      </c>
      <c r="X76" s="69">
        <f t="shared" si="27"/>
        <v>45344.333333333336</v>
      </c>
      <c r="Y76" s="70">
        <f>[4]Sayfa1!$AQ72</f>
        <v>45344</v>
      </c>
      <c r="Z76" s="61">
        <f>[4]Sayfa1!$AR72</f>
        <v>45344.458333333336</v>
      </c>
      <c r="AA76" s="69">
        <f t="shared" si="28"/>
        <v>45344.458333333336</v>
      </c>
      <c r="AB76" s="71">
        <f t="shared" si="29"/>
        <v>3</v>
      </c>
      <c r="AC76" s="60">
        <f t="shared" si="30"/>
        <v>45344</v>
      </c>
      <c r="AD76" s="61">
        <f t="shared" si="31"/>
        <v>45344.458333333336</v>
      </c>
      <c r="AE76" s="69">
        <f t="shared" si="32"/>
        <v>45344.458333333336</v>
      </c>
      <c r="AF76" s="36" t="str">
        <f>[4]Sayfa1!$AP72</f>
        <v>(I) İlk defa karşılaşılan arıza</v>
      </c>
      <c r="AG76" s="33" t="str">
        <f>IF([4]Sayfa1!$J72="C-Uyarı, sürüş devamlılığı","Bu Arıza Aracın Servise Verilmesine Engel Değil","Bu Arıza Aracın Servise Verilmesine Engel")</f>
        <v>Bu Arıza Aracın Servise Verilmesine Engel</v>
      </c>
      <c r="AH76" s="41">
        <f>[4]Sayfa1!$AB72</f>
        <v>0</v>
      </c>
      <c r="AI76" s="60"/>
      <c r="AJ76" s="60"/>
      <c r="AK76" s="69">
        <f t="shared" si="33"/>
        <v>0</v>
      </c>
      <c r="AL76" s="71">
        <f t="shared" si="34"/>
        <v>180</v>
      </c>
      <c r="AM76" s="71">
        <f t="shared" si="35"/>
        <v>180</v>
      </c>
      <c r="AN76" s="72">
        <f t="shared" si="36"/>
        <v>0</v>
      </c>
      <c r="AO76" s="73" t="str">
        <f>[4]Sayfa1!$X72</f>
        <v>E865-7011</v>
      </c>
      <c r="AP76" s="72">
        <f>[4]Sayfa1!$Y72</f>
        <v>0</v>
      </c>
      <c r="AQ76" s="184" t="str">
        <f>[4]Sayfa1!$V72</f>
        <v>Stadler Signalling Deutschland GmbH</v>
      </c>
      <c r="AR76" s="74" t="str">
        <f>[4]Sayfa1!$W72</f>
        <v>IMU 100 FZA KOMPLESI</v>
      </c>
      <c r="AS76" s="74">
        <f>[4]Sayfa1!$AD72</f>
        <v>0</v>
      </c>
      <c r="AT76" s="60" t="str">
        <f>[4]Sayfa1!$AE72</f>
        <v/>
      </c>
      <c r="AU76" s="60" t="str">
        <f>[4]Sayfa1!$AH72</f>
        <v/>
      </c>
      <c r="AV76" s="75">
        <v>71</v>
      </c>
      <c r="AW76" s="76">
        <f t="shared" si="37"/>
        <v>33</v>
      </c>
      <c r="AX76" s="77" t="str">
        <f>[4]Sayfa1!$A72</f>
        <v>6efa5765</v>
      </c>
      <c r="AY76" s="78" t="s">
        <v>114</v>
      </c>
      <c r="AZ76" s="79" t="e" vm="1">
        <f t="shared" si="38"/>
        <v>#VALUE!</v>
      </c>
    </row>
    <row r="77" spans="1:52" ht="220.9">
      <c r="A77" s="59" t="s">
        <v>132</v>
      </c>
      <c r="B77" s="59" t="str">
        <f>[4]Sayfa1!$G73</f>
        <v>3879(8)</v>
      </c>
      <c r="C77" s="184" t="str">
        <f>[4]Sayfa1!$H73</f>
        <v>MA</v>
      </c>
      <c r="D77" s="24">
        <f>[4]Sayfa1!$N73</f>
        <v>1459</v>
      </c>
      <c r="E77" s="24" t="str">
        <f>[4]Sayfa1!$B73</f>
        <v>BOZ-KAY5+6-FF-072</v>
      </c>
      <c r="F77" s="60">
        <f>[4]Sayfa1!$E73</f>
        <v>45343</v>
      </c>
      <c r="G77" s="61">
        <f>[4]Sayfa1!$F73</f>
        <v>45343.918055555558</v>
      </c>
      <c r="H77" s="59" t="str">
        <f>[4]Sayfa1!$I73</f>
        <v>Hat/Line</v>
      </c>
      <c r="I77" s="62" t="str">
        <f>IF([4]Sayfa1!$K73="SSH","Notified by Bozankaya","Notified by Customer")</f>
        <v>Notified by Customer</v>
      </c>
      <c r="J77" s="59" t="e">
        <f>VLOOKUP([4]Sayfa1!$AU73,#REF!,2,FALSE)</f>
        <v>#REF!</v>
      </c>
      <c r="K77" s="59">
        <f>[4]Sayfa1!$AC73</f>
        <v>0</v>
      </c>
      <c r="L77" s="63" t="str">
        <f t="shared" si="26"/>
        <v>KAY_5+24-BOZ-KAY5+6-FF-072</v>
      </c>
      <c r="M77" s="64" t="str">
        <f>[4]Sayfa1!$L73</f>
        <v>ANONS SİSTEMİ PERONA GELMEDEN ANONS YAPIYOR KAPILAR AÇILINCA PERON ANONSU YAPMIYOR</v>
      </c>
      <c r="N77" s="33" t="str">
        <f>[4]Sayfa1!$J73</f>
        <v>C-Uyarı, sürüş devamlılığı</v>
      </c>
      <c r="O77" s="33" t="str">
        <f>[4]Sayfa1!$P73</f>
        <v>C(Sisteme etki etmeyen arıza)</v>
      </c>
      <c r="P77" s="33" t="str">
        <f>[4]Sayfa1!$Q73</f>
        <v>N.A(Yaralanma yok)</v>
      </c>
      <c r="Q77" s="65" t="str" cm="1">
        <f t="array" ref="Q77">_xlfn.IFS([4]Sayfa1!$R73="Bozankaya","Bozankaya",[4]Sayfa1!$R73="İşletme","Customer",[4]Sayfa1!$R73="Tedarikçi","Equipment Supplier")</f>
        <v>Bozankaya</v>
      </c>
      <c r="R77" s="66" t="str">
        <f>[4]Sayfa1!$M73</f>
        <v>ARIZA GÜNÜ ARACA TEST YAPILAMADI 29.02.2024 TARİHİ İTİBARİ İLE ARAÇ SERVİSTE ÇALIŞMAKTADIR.</v>
      </c>
      <c r="S77" s="36" t="str">
        <f>[4]Sayfa1!$S73</f>
        <v>Fabrika Test</v>
      </c>
      <c r="T77" s="67">
        <f>[4]Sayfa1!$Z73</f>
        <v>0</v>
      </c>
      <c r="U77" s="68">
        <f>[4]Sayfa1!$AN73</f>
        <v>1</v>
      </c>
      <c r="V77" s="60">
        <f>[4]Sayfa1!$T73</f>
        <v>45344</v>
      </c>
      <c r="W77" s="61">
        <f>[4]Sayfa1!$U73</f>
        <v>45344.333333333336</v>
      </c>
      <c r="X77" s="69">
        <f t="shared" si="27"/>
        <v>45344.333333333336</v>
      </c>
      <c r="Y77" s="70">
        <f>[4]Sayfa1!$AQ73</f>
        <v>45344</v>
      </c>
      <c r="Z77" s="61">
        <f>[4]Sayfa1!$AR73</f>
        <v>45344.5</v>
      </c>
      <c r="AA77" s="69">
        <f t="shared" si="28"/>
        <v>45344.5</v>
      </c>
      <c r="AB77" s="71">
        <f t="shared" si="29"/>
        <v>3.9999999999417923</v>
      </c>
      <c r="AC77" s="60">
        <f t="shared" si="30"/>
        <v>45344</v>
      </c>
      <c r="AD77" s="61">
        <f t="shared" si="31"/>
        <v>45344.5</v>
      </c>
      <c r="AE77" s="69">
        <f t="shared" si="32"/>
        <v>45344.5</v>
      </c>
      <c r="AF77" s="36" t="str">
        <f>[4]Sayfa1!$AP73</f>
        <v>(I) İlk defa karşılaşılan arıza</v>
      </c>
      <c r="AG77" s="33" t="str">
        <f>IF([4]Sayfa1!$J73="C-Uyarı, sürüş devamlılığı","Bu Arıza Aracın Servise Verilmesine Engel Değil","Bu Arıza Aracın Servise Verilmesine Engel")</f>
        <v>Bu Arıza Aracın Servise Verilmesine Engel Değil</v>
      </c>
      <c r="AH77" s="41">
        <f>[4]Sayfa1!$AB73</f>
        <v>0</v>
      </c>
      <c r="AI77" s="60"/>
      <c r="AJ77" s="60"/>
      <c r="AK77" s="69">
        <f t="shared" si="33"/>
        <v>0</v>
      </c>
      <c r="AL77" s="71">
        <f t="shared" si="34"/>
        <v>239.99999999650754</v>
      </c>
      <c r="AM77" s="71">
        <f t="shared" si="35"/>
        <v>239.99999999650754</v>
      </c>
      <c r="AN77" s="72">
        <f t="shared" si="36"/>
        <v>0</v>
      </c>
      <c r="AO77" s="73" t="str">
        <f>[4]Sayfa1!$X73</f>
        <v>E820-7020</v>
      </c>
      <c r="AP77" s="72">
        <f>[4]Sayfa1!$Y73</f>
        <v>0</v>
      </c>
      <c r="AQ77" s="184" t="str">
        <f>[4]Sayfa1!$V73</f>
        <v>Lütze Transportation GmbH</v>
      </c>
      <c r="AR77" s="74" t="str">
        <f>[4]Sayfa1!$W73</f>
        <v>ACSys-19'' RACK</v>
      </c>
      <c r="AS77" s="74">
        <f>[4]Sayfa1!$AD73</f>
        <v>0</v>
      </c>
      <c r="AT77" s="60" t="str">
        <f>[4]Sayfa1!$AE73</f>
        <v/>
      </c>
      <c r="AU77" s="60" t="str">
        <f>[4]Sayfa1!$AH73</f>
        <v/>
      </c>
      <c r="AV77" s="75">
        <v>72</v>
      </c>
      <c r="AW77" s="76">
        <f t="shared" si="37"/>
        <v>43.999999999359716</v>
      </c>
      <c r="AX77" s="77" t="str">
        <f>[4]Sayfa1!$A73</f>
        <v>524dff30</v>
      </c>
      <c r="AY77" s="78" t="s">
        <v>114</v>
      </c>
      <c r="AZ77" s="79" t="e" vm="1">
        <f t="shared" si="38"/>
        <v>#VALUE!</v>
      </c>
    </row>
    <row r="78" spans="1:52" ht="211.15">
      <c r="A78" s="59" t="s">
        <v>133</v>
      </c>
      <c r="B78" s="59" t="str">
        <f>[4]Sayfa1!$G74</f>
        <v>3873(2)</v>
      </c>
      <c r="C78" s="184" t="str">
        <f>[4]Sayfa1!$H74</f>
        <v>RA</v>
      </c>
      <c r="D78" s="24">
        <f>[4]Sayfa1!$N74</f>
        <v>45200</v>
      </c>
      <c r="E78" s="24" t="str">
        <f>[4]Sayfa1!$B74</f>
        <v>BOZ-KAY5+6-FF-073</v>
      </c>
      <c r="F78" s="60">
        <f>[4]Sayfa1!$E74</f>
        <v>45344</v>
      </c>
      <c r="G78" s="61">
        <f>[4]Sayfa1!$F74</f>
        <v>45344.466666666667</v>
      </c>
      <c r="H78" s="59" t="str">
        <f>[4]Sayfa1!$I74</f>
        <v>Hat/Line</v>
      </c>
      <c r="I78" s="62" t="str">
        <f>IF([4]Sayfa1!$K74="SSH","Notified by Bozankaya","Notified by Customer")</f>
        <v>Notified by Customer</v>
      </c>
      <c r="J78" s="59" t="e">
        <f>VLOOKUP([4]Sayfa1!$AU74,#REF!,2,FALSE)</f>
        <v>#REF!</v>
      </c>
      <c r="K78" s="59">
        <f>[4]Sayfa1!$AC74</f>
        <v>0</v>
      </c>
      <c r="L78" s="63" t="str">
        <f t="shared" si="26"/>
        <v>KAY_5+25-BOZ-KAY5+6-FF-073</v>
      </c>
      <c r="M78" s="64" t="str">
        <f>[4]Sayfa1!$L74</f>
        <v>6 NOLU KAPI BUZZER SÜREKLİ ÖTÜYOR</v>
      </c>
      <c r="N78" s="33" t="str">
        <f>[4]Sayfa1!$J74</f>
        <v>C-Uyarı, sürüş devamlılığı</v>
      </c>
      <c r="O78" s="33" t="str">
        <f>[4]Sayfa1!$P74</f>
        <v>C(Sisteme etki etmeyen arıza)</v>
      </c>
      <c r="P78" s="33" t="str">
        <f>[4]Sayfa1!$Q74</f>
        <v>N.A(Yaralanma yok)</v>
      </c>
      <c r="Q78" s="65" t="str" cm="1">
        <f t="array" ref="Q78">_xlfn.IFS([4]Sayfa1!$R74="Bozankaya","Bozankaya",[4]Sayfa1!$R74="İşletme","Customer",[4]Sayfa1!$R74="Tedarikçi","Equipment Supplier")</f>
        <v>Equipment Supplier</v>
      </c>
      <c r="R78" s="66" t="str">
        <f>[4]Sayfa1!$M74</f>
        <v>KAPI RESETLENDİ ARIZA DÜZELDİ</v>
      </c>
      <c r="S78" s="36" t="str">
        <f>[4]Sayfa1!$S74</f>
        <v>TSL</v>
      </c>
      <c r="T78" s="67">
        <f>[4]Sayfa1!$Z74</f>
        <v>0</v>
      </c>
      <c r="U78" s="68">
        <f>[4]Sayfa1!$AN74</f>
        <v>1</v>
      </c>
      <c r="V78" s="60">
        <f>[4]Sayfa1!$T74</f>
        <v>45344</v>
      </c>
      <c r="W78" s="61">
        <f>[4]Sayfa1!$U74</f>
        <v>45344.5</v>
      </c>
      <c r="X78" s="69">
        <f t="shared" si="27"/>
        <v>45344.5</v>
      </c>
      <c r="Y78" s="70">
        <f>[4]Sayfa1!$AQ74</f>
        <v>45344</v>
      </c>
      <c r="Z78" s="61">
        <f>[4]Sayfa1!$AR74</f>
        <v>45344.583333333336</v>
      </c>
      <c r="AA78" s="69">
        <f t="shared" si="28"/>
        <v>45344.583333333336</v>
      </c>
      <c r="AB78" s="71">
        <f t="shared" si="29"/>
        <v>0</v>
      </c>
      <c r="AC78" s="60">
        <f t="shared" si="30"/>
        <v>45344</v>
      </c>
      <c r="AD78" s="61">
        <f t="shared" si="31"/>
        <v>45344.583333333336</v>
      </c>
      <c r="AE78" s="69">
        <f t="shared" si="32"/>
        <v>45344.583333333336</v>
      </c>
      <c r="AF78" s="36" t="str">
        <f>[4]Sayfa1!$AP74</f>
        <v>(II) Birden fazla karşılaşılan arıza</v>
      </c>
      <c r="AG78" s="33" t="str">
        <f>IF([4]Sayfa1!$J74="C-Uyarı, sürüş devamlılığı","Bu Arıza Aracın Servise Verilmesine Engel Değil","Bu Arıza Aracın Servise Verilmesine Engel")</f>
        <v>Bu Arıza Aracın Servise Verilmesine Engel Değil</v>
      </c>
      <c r="AH78" s="41">
        <f>[4]Sayfa1!$AB74</f>
        <v>0</v>
      </c>
      <c r="AI78" s="60"/>
      <c r="AJ78" s="60"/>
      <c r="AK78" s="69">
        <f t="shared" si="33"/>
        <v>0</v>
      </c>
      <c r="AL78" s="71">
        <f t="shared" si="34"/>
        <v>0</v>
      </c>
      <c r="AM78" s="71">
        <f t="shared" si="35"/>
        <v>0</v>
      </c>
      <c r="AN78" s="72">
        <f t="shared" si="36"/>
        <v>0</v>
      </c>
      <c r="AO78" s="73" t="str">
        <f>[4]Sayfa1!$X74</f>
        <v>M110-7057</v>
      </c>
      <c r="AP78" s="72">
        <f>[4]Sayfa1!$Y74</f>
        <v>0</v>
      </c>
      <c r="AQ78" s="184" t="str">
        <f>[4]Sayfa1!$V74</f>
        <v>TURCK OTOMASYON TİC. LTD.ŞTİ.</v>
      </c>
      <c r="AR78" s="74" t="str">
        <f>[4]Sayfa1!$W74</f>
        <v>SESLI UYARI CIHAZI</v>
      </c>
      <c r="AS78" s="74">
        <f>[4]Sayfa1!$AD74</f>
        <v>0</v>
      </c>
      <c r="AT78" s="60" t="str">
        <f>[4]Sayfa1!$AE74</f>
        <v/>
      </c>
      <c r="AU78" s="60" t="str">
        <f>[4]Sayfa1!$AH74</f>
        <v/>
      </c>
      <c r="AV78" s="75">
        <v>73</v>
      </c>
      <c r="AW78" s="76">
        <f t="shared" si="37"/>
        <v>0</v>
      </c>
      <c r="AX78" s="77" t="str">
        <f>[4]Sayfa1!$A74</f>
        <v>4e49d947</v>
      </c>
      <c r="AY78" s="78" t="s">
        <v>114</v>
      </c>
      <c r="AZ78" s="79" t="e" vm="1">
        <f t="shared" si="38"/>
        <v>#VALUE!</v>
      </c>
    </row>
    <row r="79" spans="1:52" ht="142.9">
      <c r="A79" s="59" t="s">
        <v>134</v>
      </c>
      <c r="B79" s="59" t="str">
        <f>[4]Sayfa1!$G75</f>
        <v>3874(3)</v>
      </c>
      <c r="C79" s="184" t="str">
        <f>[4]Sayfa1!$H75</f>
        <v>MA</v>
      </c>
      <c r="D79" s="24">
        <f>[4]Sayfa1!$N75</f>
        <v>46200</v>
      </c>
      <c r="E79" s="24" t="str">
        <f>[4]Sayfa1!$B75</f>
        <v>BOZ-KAY5+6-FF-074</v>
      </c>
      <c r="F79" s="60">
        <f>[4]Sayfa1!$E75</f>
        <v>45344</v>
      </c>
      <c r="G79" s="61">
        <f>[4]Sayfa1!$F75</f>
        <v>45344.469444444447</v>
      </c>
      <c r="H79" s="59" t="str">
        <f>[4]Sayfa1!$I75</f>
        <v>Hat/Line</v>
      </c>
      <c r="I79" s="62" t="str">
        <f>IF([4]Sayfa1!$K75="SSH","Notified by Bozankaya","Notified by Customer")</f>
        <v>Notified by Customer</v>
      </c>
      <c r="J79" s="59" t="e">
        <f>VLOOKUP([4]Sayfa1!$AU75,#REF!,2,FALSE)</f>
        <v>#REF!</v>
      </c>
      <c r="K79" s="59">
        <f>[4]Sayfa1!$AC75</f>
        <v>0</v>
      </c>
      <c r="L79" s="63" t="str">
        <f t="shared" si="26"/>
        <v>KAY_5+26-BOZ-KAY5+6-FF-074</v>
      </c>
      <c r="M79" s="64" t="str">
        <f>[4]Sayfa1!$L75</f>
        <v>MA BOJİ HPU YARDIMCI HİDROLİKTE YAĞ KAÇAĞI VAR</v>
      </c>
      <c r="N79" s="33" t="str">
        <f>[4]Sayfa1!$J75</f>
        <v>A-Sürüşü engeller</v>
      </c>
      <c r="O79" s="33" t="str">
        <f>[4]Sayfa1!$P75</f>
        <v>A(Hareket etmeyi engelleyen arıza)</v>
      </c>
      <c r="P79" s="33" t="str">
        <f>[4]Sayfa1!$Q75</f>
        <v>N.A(Yaralanma yok)</v>
      </c>
      <c r="Q79" s="65" t="str" cm="1">
        <f t="array" ref="Q79">_xlfn.IFS([4]Sayfa1!$R75="Bozankaya","Bozankaya",[4]Sayfa1!$R75="İşletme","Customer",[4]Sayfa1!$R75="Tedarikçi","Equipment Supplier")</f>
        <v>Equipment Supplier</v>
      </c>
      <c r="R79" s="66" t="str">
        <f>[4]Sayfa1!$M75</f>
        <v>YARDIMCI HPU DEĞİŞİMİ YAPILDI</v>
      </c>
      <c r="S79" s="36" t="str">
        <f>[4]Sayfa1!$S75</f>
        <v>HANNING  KAHL</v>
      </c>
      <c r="T79" s="67">
        <f>[4]Sayfa1!$Z75</f>
        <v>0</v>
      </c>
      <c r="U79" s="68">
        <f>[4]Sayfa1!$AN75</f>
        <v>1</v>
      </c>
      <c r="V79" s="60">
        <f>[4]Sayfa1!$T75</f>
        <v>45345</v>
      </c>
      <c r="W79" s="61">
        <f>[4]Sayfa1!$U75</f>
        <v>45345.333333333336</v>
      </c>
      <c r="X79" s="69">
        <f t="shared" si="27"/>
        <v>45345.333333333336</v>
      </c>
      <c r="Y79" s="70">
        <f>[4]Sayfa1!$AQ75</f>
        <v>45345</v>
      </c>
      <c r="Z79" s="61">
        <f>[4]Sayfa1!$AR75</f>
        <v>45345.625</v>
      </c>
      <c r="AA79" s="69">
        <f t="shared" si="28"/>
        <v>45345.625</v>
      </c>
      <c r="AB79" s="71">
        <f t="shared" si="29"/>
        <v>6.9999999999417923</v>
      </c>
      <c r="AC79" s="60">
        <f t="shared" si="30"/>
        <v>45345</v>
      </c>
      <c r="AD79" s="61">
        <f t="shared" si="31"/>
        <v>45345.625</v>
      </c>
      <c r="AE79" s="69">
        <f t="shared" si="32"/>
        <v>45345.625</v>
      </c>
      <c r="AF79" s="36" t="str">
        <f>[4]Sayfa1!$AP75</f>
        <v>(I) İlk defa karşılaşılan arıza</v>
      </c>
      <c r="AG79" s="33" t="str">
        <f>IF([4]Sayfa1!$J75="C-Uyarı, sürüş devamlılığı","Bu Arıza Aracın Servise Verilmesine Engel Değil","Bu Arıza Aracın Servise Verilmesine Engel")</f>
        <v>Bu Arıza Aracın Servise Verilmesine Engel</v>
      </c>
      <c r="AH79" s="41" t="str">
        <f>[4]Sayfa1!$AB75</f>
        <v>Ekipman değiştirilecek</v>
      </c>
      <c r="AI79" s="60"/>
      <c r="AJ79" s="60"/>
      <c r="AK79" s="69">
        <f t="shared" si="33"/>
        <v>0</v>
      </c>
      <c r="AL79" s="71">
        <f t="shared" si="34"/>
        <v>419.99999999650754</v>
      </c>
      <c r="AM79" s="71">
        <f t="shared" si="35"/>
        <v>419.99999999650754</v>
      </c>
      <c r="AN79" s="72">
        <f t="shared" si="36"/>
        <v>0</v>
      </c>
      <c r="AO79" s="73" t="str">
        <f>[4]Sayfa1!$X75</f>
        <v>S306-7003</v>
      </c>
      <c r="AP79" s="72">
        <f>[4]Sayfa1!$Y75</f>
        <v>0</v>
      </c>
      <c r="AQ79" s="184" t="str">
        <f>[4]Sayfa1!$V75</f>
        <v>HANNING &amp; KAHL GMBH &amp; CO.KG</v>
      </c>
      <c r="AR79" s="74" t="str">
        <f>[4]Sayfa1!$W75</f>
        <v>XHidrolik Ünite HZY-NL</v>
      </c>
      <c r="AS79" s="74">
        <f>[4]Sayfa1!$AD75</f>
        <v>0</v>
      </c>
      <c r="AT79" s="60" t="str">
        <f>[4]Sayfa1!$AE75</f>
        <v/>
      </c>
      <c r="AU79" s="60" t="str">
        <f>[4]Sayfa1!$AH75</f>
        <v/>
      </c>
      <c r="AV79" s="75">
        <v>74</v>
      </c>
      <c r="AW79" s="76">
        <f t="shared" si="37"/>
        <v>76.999999999359716</v>
      </c>
      <c r="AX79" s="77" t="str">
        <f>[4]Sayfa1!$A75</f>
        <v>74daaf62</v>
      </c>
      <c r="AY79" s="78" t="s">
        <v>114</v>
      </c>
      <c r="AZ79" s="79" t="e" vm="1">
        <f t="shared" si="38"/>
        <v>#VALUE!</v>
      </c>
    </row>
    <row r="80" spans="1:52" ht="142.9">
      <c r="A80" s="59" t="s">
        <v>135</v>
      </c>
      <c r="B80" s="59" t="str">
        <f>[4]Sayfa1!$G76</f>
        <v>3877(6)</v>
      </c>
      <c r="C80" s="184" t="str">
        <f>[4]Sayfa1!$H76</f>
        <v>MA</v>
      </c>
      <c r="D80" s="24">
        <f>[4]Sayfa1!$N76</f>
        <v>26200</v>
      </c>
      <c r="E80" s="24" t="str">
        <f>[4]Sayfa1!$B76</f>
        <v>BOZ-KAY5+6-FF-075</v>
      </c>
      <c r="F80" s="60">
        <f>[4]Sayfa1!$E76</f>
        <v>45344</v>
      </c>
      <c r="G80" s="61">
        <f>[4]Sayfa1!$F76</f>
        <v>45344.783333333333</v>
      </c>
      <c r="H80" s="59" t="str">
        <f>[4]Sayfa1!$I76</f>
        <v>Hat/Line</v>
      </c>
      <c r="I80" s="62" t="str">
        <f>IF([4]Sayfa1!$K76="SSH","Notified by Bozankaya","Notified by Customer")</f>
        <v>Notified by Customer</v>
      </c>
      <c r="J80" s="59" t="e">
        <f>VLOOKUP([4]Sayfa1!$AU76,#REF!,2,FALSE)</f>
        <v>#REF!</v>
      </c>
      <c r="K80" s="59">
        <f>[4]Sayfa1!$AC76</f>
        <v>0</v>
      </c>
      <c r="L80" s="63" t="str">
        <f t="shared" si="26"/>
        <v>KAY_5+27-BOZ-KAY5+6-FF-075</v>
      </c>
      <c r="M80" s="64" t="str">
        <f>[4]Sayfa1!$L76</f>
        <v>A KABİN SİLECEK ÇALIŞMIYOR</v>
      </c>
      <c r="N80" s="33" t="str">
        <f>[4]Sayfa1!$J76</f>
        <v>A-Sürüşü engeller</v>
      </c>
      <c r="O80" s="33" t="str">
        <f>[4]Sayfa1!$P76</f>
        <v>B(Servisten çekmeye etki eden arızalar)</v>
      </c>
      <c r="P80" s="33" t="str">
        <f>[4]Sayfa1!$Q76</f>
        <v>N.A(Yaralanma yok)</v>
      </c>
      <c r="Q80" s="65" t="str" cm="1">
        <f t="array" ref="Q80">_xlfn.IFS([4]Sayfa1!$R76="Bozankaya","Bozankaya",[4]Sayfa1!$R76="İşletme","Customer",[4]Sayfa1!$R76="Tedarikçi","Equipment Supplier")</f>
        <v>Equipment Supplier</v>
      </c>
      <c r="R80" s="66" t="str">
        <f>[4]Sayfa1!$M76</f>
        <v>SİLECEK MODÜLÜ TAKILI KALMIŞ RESETLENDİ</v>
      </c>
      <c r="S80" s="36" t="str">
        <f>[4]Sayfa1!$S76</f>
        <v>Bozankaya</v>
      </c>
      <c r="T80" s="67">
        <f>[4]Sayfa1!$Z76</f>
        <v>0</v>
      </c>
      <c r="U80" s="68">
        <f>[4]Sayfa1!$AN76</f>
        <v>1</v>
      </c>
      <c r="V80" s="60">
        <f>[4]Sayfa1!$T76</f>
        <v>45344</v>
      </c>
      <c r="W80" s="61">
        <f>[4]Sayfa1!$U76</f>
        <v>45344.791666666664</v>
      </c>
      <c r="X80" s="69">
        <f t="shared" si="27"/>
        <v>45344.791666666664</v>
      </c>
      <c r="Y80" s="70">
        <f>[4]Sayfa1!$AQ76</f>
        <v>45344</v>
      </c>
      <c r="Z80" s="61">
        <f>[4]Sayfa1!$AR76</f>
        <v>45344.833333333336</v>
      </c>
      <c r="AA80" s="69">
        <f t="shared" si="28"/>
        <v>45344.833333333336</v>
      </c>
      <c r="AB80" s="71">
        <f t="shared" si="29"/>
        <v>0</v>
      </c>
      <c r="AC80" s="60">
        <f t="shared" si="30"/>
        <v>45344</v>
      </c>
      <c r="AD80" s="61">
        <f t="shared" si="31"/>
        <v>45344.833333333336</v>
      </c>
      <c r="AE80" s="69">
        <f t="shared" si="32"/>
        <v>45344.833333333336</v>
      </c>
      <c r="AF80" s="36" t="str">
        <f>[4]Sayfa1!$AP76</f>
        <v>(II) Birden fazla karşılaşılan arıza</v>
      </c>
      <c r="AG80" s="33" t="str">
        <f>IF([4]Sayfa1!$J76="C-Uyarı, sürüş devamlılığı","Bu Arıza Aracın Servise Verilmesine Engel Değil","Bu Arıza Aracın Servise Verilmesine Engel")</f>
        <v>Bu Arıza Aracın Servise Verilmesine Engel</v>
      </c>
      <c r="AH80" s="41">
        <f>[4]Sayfa1!$AB76</f>
        <v>0</v>
      </c>
      <c r="AI80" s="60"/>
      <c r="AJ80" s="60"/>
      <c r="AK80" s="69">
        <f t="shared" si="33"/>
        <v>0</v>
      </c>
      <c r="AL80" s="71">
        <f t="shared" si="34"/>
        <v>0</v>
      </c>
      <c r="AM80" s="71">
        <f t="shared" si="35"/>
        <v>0</v>
      </c>
      <c r="AN80" s="72">
        <f t="shared" si="36"/>
        <v>0</v>
      </c>
      <c r="AO80" s="73" t="str">
        <f>[4]Sayfa1!$X76</f>
        <v>M100-7066</v>
      </c>
      <c r="AP80" s="72">
        <f>[4]Sayfa1!$Y76</f>
        <v>0</v>
      </c>
      <c r="AQ80" s="184" t="str">
        <f>[4]Sayfa1!$V76</f>
        <v>DENİZLER OTOMOTİV SAN. VE TİC.LTD.Ş</v>
      </c>
      <c r="AR80" s="74" t="str">
        <f>[4]Sayfa1!$W76</f>
        <v>SİLECEK MEKANİZMASI Denizler / M.11.2506</v>
      </c>
      <c r="AS80" s="74">
        <f>[4]Sayfa1!$AD76</f>
        <v>0</v>
      </c>
      <c r="AT80" s="60" t="str">
        <f>[4]Sayfa1!$AE76</f>
        <v/>
      </c>
      <c r="AU80" s="60" t="str">
        <f>[4]Sayfa1!$AH76</f>
        <v/>
      </c>
      <c r="AV80" s="75">
        <v>75</v>
      </c>
      <c r="AW80" s="76">
        <f t="shared" si="37"/>
        <v>0</v>
      </c>
      <c r="AX80" s="77" t="str">
        <f>[4]Sayfa1!$A76</f>
        <v>178085ec</v>
      </c>
      <c r="AY80" s="78" t="s">
        <v>114</v>
      </c>
      <c r="AZ80" s="79" t="e" vm="1">
        <f t="shared" si="38"/>
        <v>#VALUE!</v>
      </c>
    </row>
    <row r="81" spans="1:52" ht="142.9">
      <c r="A81" s="59" t="s">
        <v>136</v>
      </c>
      <c r="B81" s="59" t="str">
        <f>[4]Sayfa1!$G77</f>
        <v>3877(6)</v>
      </c>
      <c r="C81" s="184" t="str">
        <f>[4]Sayfa1!$H77</f>
        <v>MA</v>
      </c>
      <c r="D81" s="24">
        <f>[4]Sayfa1!$N77</f>
        <v>26500</v>
      </c>
      <c r="E81" s="24" t="str">
        <f>[4]Sayfa1!$B77</f>
        <v>BOZ-KAY5+6-FF-076</v>
      </c>
      <c r="F81" s="60">
        <f>[4]Sayfa1!$E77</f>
        <v>45344</v>
      </c>
      <c r="G81" s="61">
        <f>[4]Sayfa1!$F77</f>
        <v>45344.783333333333</v>
      </c>
      <c r="H81" s="59" t="str">
        <f>[4]Sayfa1!$I77</f>
        <v>Hat/Line</v>
      </c>
      <c r="I81" s="62" t="str">
        <f>IF([4]Sayfa1!$K77="SSH","Notified by Bozankaya","Notified by Customer")</f>
        <v>Notified by Customer</v>
      </c>
      <c r="J81" s="59" t="e">
        <f>VLOOKUP([4]Sayfa1!$AU77,#REF!,2,FALSE)</f>
        <v>#REF!</v>
      </c>
      <c r="K81" s="59">
        <f>[4]Sayfa1!$AC77</f>
        <v>0</v>
      </c>
      <c r="L81" s="63" t="str">
        <f t="shared" si="26"/>
        <v>KAY_5+28-BOZ-KAY5+6-FF-076</v>
      </c>
      <c r="M81" s="64" t="str">
        <f>[4]Sayfa1!$L77</f>
        <v>A KABİN SİLECEK ÇALIŞMIYOR</v>
      </c>
      <c r="N81" s="33" t="str">
        <f>[4]Sayfa1!$J77</f>
        <v>A-Sürüşü engeller</v>
      </c>
      <c r="O81" s="33" t="str">
        <f>[4]Sayfa1!$P77</f>
        <v>B(Servisten çekmeye etki eden arızalar)</v>
      </c>
      <c r="P81" s="33" t="str">
        <f>[4]Sayfa1!$Q77</f>
        <v>N.A(Yaralanma yok)</v>
      </c>
      <c r="Q81" s="65" t="str" cm="1">
        <f t="array" ref="Q81">_xlfn.IFS([4]Sayfa1!$R77="Bozankaya","Bozankaya",[4]Sayfa1!$R77="İşletme","Customer",[4]Sayfa1!$R77="Tedarikçi","Equipment Supplier")</f>
        <v>Bozankaya</v>
      </c>
      <c r="R81" s="66" t="str">
        <f>[4]Sayfa1!$M77</f>
        <v>SİLECEK MODÜLÜ TAKILI KALMIŞ ONARILDI</v>
      </c>
      <c r="S81" s="36" t="str">
        <f>[4]Sayfa1!$S77</f>
        <v>Tasarım</v>
      </c>
      <c r="T81" s="67">
        <f>[4]Sayfa1!$Z77</f>
        <v>0</v>
      </c>
      <c r="U81" s="68">
        <f>[4]Sayfa1!$AN77</f>
        <v>1</v>
      </c>
      <c r="V81" s="60">
        <f>[4]Sayfa1!$T77</f>
        <v>45344</v>
      </c>
      <c r="W81" s="61">
        <f>[4]Sayfa1!$U77</f>
        <v>45344.791666666664</v>
      </c>
      <c r="X81" s="69">
        <f t="shared" si="27"/>
        <v>45344.791666666664</v>
      </c>
      <c r="Y81" s="70">
        <f>[4]Sayfa1!$AQ77</f>
        <v>45344</v>
      </c>
      <c r="Z81" s="61">
        <f>[4]Sayfa1!$AR77</f>
        <v>45344.875</v>
      </c>
      <c r="AA81" s="69">
        <f t="shared" si="28"/>
        <v>45344.875</v>
      </c>
      <c r="AB81" s="71">
        <f t="shared" si="29"/>
        <v>0</v>
      </c>
      <c r="AC81" s="60">
        <f t="shared" si="30"/>
        <v>45344</v>
      </c>
      <c r="AD81" s="61">
        <f t="shared" si="31"/>
        <v>45344.875</v>
      </c>
      <c r="AE81" s="69">
        <f t="shared" si="32"/>
        <v>45344.875</v>
      </c>
      <c r="AF81" s="36" t="str">
        <f>[4]Sayfa1!$AP77</f>
        <v>(II) Birden fazla karşılaşılan arıza</v>
      </c>
      <c r="AG81" s="33" t="str">
        <f>IF([4]Sayfa1!$J77="C-Uyarı, sürüş devamlılığı","Bu Arıza Aracın Servise Verilmesine Engel Değil","Bu Arıza Aracın Servise Verilmesine Engel")</f>
        <v>Bu Arıza Aracın Servise Verilmesine Engel</v>
      </c>
      <c r="AH81" s="41">
        <f>[4]Sayfa1!$AB77</f>
        <v>0</v>
      </c>
      <c r="AI81" s="60"/>
      <c r="AJ81" s="60"/>
      <c r="AK81" s="69">
        <f t="shared" si="33"/>
        <v>0</v>
      </c>
      <c r="AL81" s="71">
        <f t="shared" si="34"/>
        <v>0</v>
      </c>
      <c r="AM81" s="71">
        <f t="shared" si="35"/>
        <v>0</v>
      </c>
      <c r="AN81" s="72">
        <f t="shared" si="36"/>
        <v>0</v>
      </c>
      <c r="AO81" s="73" t="str">
        <f>[4]Sayfa1!$X77</f>
        <v>M100-7066</v>
      </c>
      <c r="AP81" s="72">
        <f>[4]Sayfa1!$Y77</f>
        <v>0</v>
      </c>
      <c r="AQ81" s="184" t="str">
        <f>[4]Sayfa1!$V77</f>
        <v>DENİZLER OTOMOTİV SAN. VE TİC.LTD.Ş</v>
      </c>
      <c r="AR81" s="74" t="str">
        <f>[4]Sayfa1!$W77</f>
        <v>SİLECEK MEKANİZMASI Denizler / M.11.2506</v>
      </c>
      <c r="AS81" s="74">
        <f>[4]Sayfa1!$AD77</f>
        <v>0</v>
      </c>
      <c r="AT81" s="60" t="str">
        <f>[4]Sayfa1!$AE77</f>
        <v/>
      </c>
      <c r="AU81" s="60" t="str">
        <f>[4]Sayfa1!$AH77</f>
        <v/>
      </c>
      <c r="AV81" s="75">
        <v>76</v>
      </c>
      <c r="AW81" s="76">
        <f t="shared" si="37"/>
        <v>0</v>
      </c>
      <c r="AX81" s="77" t="str">
        <f>[4]Sayfa1!$A77</f>
        <v>647d09a9</v>
      </c>
      <c r="AY81" s="78" t="s">
        <v>114</v>
      </c>
      <c r="AZ81" s="79" t="e" vm="1">
        <f t="shared" si="38"/>
        <v>#VALUE!</v>
      </c>
    </row>
    <row r="82" spans="1:52" ht="142.9">
      <c r="A82" s="59" t="s">
        <v>137</v>
      </c>
      <c r="B82" s="59" t="str">
        <f>[4]Sayfa1!$G78</f>
        <v>3877(6)</v>
      </c>
      <c r="C82" s="184" t="str">
        <f>[4]Sayfa1!$H78</f>
        <v>MA</v>
      </c>
      <c r="D82" s="24">
        <f>[4]Sayfa1!$N78</f>
        <v>25500</v>
      </c>
      <c r="E82" s="24" t="str">
        <f>[4]Sayfa1!$B78</f>
        <v>BOZ-KAY5+6-FF-077</v>
      </c>
      <c r="F82" s="60">
        <f>[4]Sayfa1!$E78</f>
        <v>45344</v>
      </c>
      <c r="G82" s="61">
        <f>[4]Sayfa1!$F78</f>
        <v>45344.783333333333</v>
      </c>
      <c r="H82" s="59" t="str">
        <f>[4]Sayfa1!$I78</f>
        <v>Hat/Line</v>
      </c>
      <c r="I82" s="62" t="str">
        <f>IF([4]Sayfa1!$K78="SSH","Notified by Bozankaya","Notified by Customer")</f>
        <v>Notified by Customer</v>
      </c>
      <c r="J82" s="59" t="e">
        <f>VLOOKUP([4]Sayfa1!$AU78,#REF!,2,FALSE)</f>
        <v>#REF!</v>
      </c>
      <c r="K82" s="59">
        <f>[4]Sayfa1!$AC78</f>
        <v>0</v>
      </c>
      <c r="L82" s="63" t="str">
        <f t="shared" si="26"/>
        <v>KAY_5+29-BOZ-KAY5+6-FF-077</v>
      </c>
      <c r="M82" s="64" t="str">
        <f>[4]Sayfa1!$L78</f>
        <v>A Kabin silgeç çalışmıyor</v>
      </c>
      <c r="N82" s="33" t="str">
        <f>[4]Sayfa1!$J78</f>
        <v>C-Uyarı, sürüş devamlılığı</v>
      </c>
      <c r="O82" s="33" t="str">
        <f>[4]Sayfa1!$P78</f>
        <v>B(Servisten çekmeye etki eden arızalar)</v>
      </c>
      <c r="P82" s="33" t="str">
        <f>[4]Sayfa1!$Q78</f>
        <v>N.A(Yaralanma yok)</v>
      </c>
      <c r="Q82" s="65" t="str" cm="1">
        <f t="array" ref="Q82">_xlfn.IFS([4]Sayfa1!$R78="Bozankaya","Bozankaya",[4]Sayfa1!$R78="İşletme","Customer",[4]Sayfa1!$R78="Tedarikçi","Equipment Supplier")</f>
        <v>Equipment Supplier</v>
      </c>
      <c r="R82" s="66" t="str">
        <f>[4]Sayfa1!$M78</f>
        <v>3877 silecek arızası kontrol edildi.Silecek modülü takılı kalmış onarıldı</v>
      </c>
      <c r="S82" s="36" t="str">
        <f>[4]Sayfa1!$S78</f>
        <v>Bozankaya</v>
      </c>
      <c r="T82" s="67">
        <f>[4]Sayfa1!$Z78</f>
        <v>0</v>
      </c>
      <c r="U82" s="68">
        <f>[4]Sayfa1!$AN78</f>
        <v>1</v>
      </c>
      <c r="V82" s="60">
        <f>[4]Sayfa1!$T78</f>
        <v>45538</v>
      </c>
      <c r="W82" s="61">
        <f>[4]Sayfa1!$U78</f>
        <v>45538.378819444442</v>
      </c>
      <c r="X82" s="69">
        <f t="shared" si="27"/>
        <v>45538.378819444442</v>
      </c>
      <c r="Y82" s="70">
        <f>[4]Sayfa1!$AQ78</f>
        <v>45538</v>
      </c>
      <c r="Z82" s="61">
        <f>[4]Sayfa1!$AR78</f>
        <v>45538.458333333336</v>
      </c>
      <c r="AA82" s="69">
        <f t="shared" si="28"/>
        <v>45538.458333333336</v>
      </c>
      <c r="AB82" s="71">
        <f t="shared" si="29"/>
        <v>1.9083333334419876</v>
      </c>
      <c r="AC82" s="60">
        <f t="shared" si="30"/>
        <v>45538</v>
      </c>
      <c r="AD82" s="61">
        <f t="shared" si="31"/>
        <v>45538.458333333336</v>
      </c>
      <c r="AE82" s="69">
        <f t="shared" si="32"/>
        <v>45538.458333333336</v>
      </c>
      <c r="AF82" s="36" t="str">
        <f>[4]Sayfa1!$AP78</f>
        <v>(II) Birden fazla karşılaşılan arıza</v>
      </c>
      <c r="AG82" s="33" t="str">
        <f>IF([4]Sayfa1!$J78="C-Uyarı, sürüş devamlılığı","Bu Arıza Aracın Servise Verilmesine Engel Değil","Bu Arıza Aracın Servise Verilmesine Engel")</f>
        <v>Bu Arıza Aracın Servise Verilmesine Engel Değil</v>
      </c>
      <c r="AH82" s="41" t="str">
        <f>[4]Sayfa1!$AB78</f>
        <v>Arıza çözülecek</v>
      </c>
      <c r="AI82" s="60"/>
      <c r="AJ82" s="60"/>
      <c r="AK82" s="69">
        <f t="shared" si="33"/>
        <v>0</v>
      </c>
      <c r="AL82" s="71">
        <f t="shared" si="34"/>
        <v>114.50000000651926</v>
      </c>
      <c r="AM82" s="71">
        <f t="shared" si="35"/>
        <v>114.50000000651926</v>
      </c>
      <c r="AN82" s="72">
        <f t="shared" si="36"/>
        <v>0</v>
      </c>
      <c r="AO82" s="73" t="str">
        <f>[4]Sayfa1!$X78</f>
        <v>E865-7038</v>
      </c>
      <c r="AP82" s="72">
        <f>[4]Sayfa1!$Y78</f>
        <v>0</v>
      </c>
      <c r="AQ82" s="184" t="str">
        <f>[4]Sayfa1!$V78</f>
        <v>YILKA OTOMOTİV VE RAYLI ARAÇ TEKNO.</v>
      </c>
      <c r="AR82" s="74" t="str">
        <f>[4]Sayfa1!$W78</f>
        <v>SİLECEK MODÜLÜ (24 VOLT)</v>
      </c>
      <c r="AS82" s="74">
        <f>[4]Sayfa1!$AD78</f>
        <v>0</v>
      </c>
      <c r="AT82" s="60" t="str">
        <f>[4]Sayfa1!$AE78</f>
        <v/>
      </c>
      <c r="AU82" s="60" t="str">
        <f>[4]Sayfa1!$AH78</f>
        <v/>
      </c>
      <c r="AV82" s="75">
        <v>77</v>
      </c>
      <c r="AW82" s="76">
        <f t="shared" si="37"/>
        <v>20.991666667861864</v>
      </c>
      <c r="AX82" s="77" t="str">
        <f>[4]Sayfa1!$A78</f>
        <v>e3cbd052</v>
      </c>
      <c r="AY82" s="78" t="s">
        <v>114</v>
      </c>
      <c r="AZ82" s="79" t="e" vm="1">
        <f t="shared" si="38"/>
        <v>#VALUE!</v>
      </c>
    </row>
    <row r="83" spans="1:52" ht="207">
      <c r="A83" s="59" t="s">
        <v>138</v>
      </c>
      <c r="B83" s="59" t="str">
        <f>[4]Sayfa1!$G79</f>
        <v>3880(9)</v>
      </c>
      <c r="C83" s="184" t="str">
        <f>[4]Sayfa1!$H79</f>
        <v>P</v>
      </c>
      <c r="D83" s="24">
        <f>[4]Sayfa1!$N79</f>
        <v>2450</v>
      </c>
      <c r="E83" s="24" t="str">
        <f>[4]Sayfa1!$B79</f>
        <v>BOZ-KAY5+6-FF-078</v>
      </c>
      <c r="F83" s="60">
        <f>[4]Sayfa1!$E79</f>
        <v>45344</v>
      </c>
      <c r="G83" s="61">
        <f>[4]Sayfa1!$F79</f>
        <v>45344.958333333336</v>
      </c>
      <c r="H83" s="59" t="str">
        <f>[4]Sayfa1!$I79</f>
        <v>Hat/Line</v>
      </c>
      <c r="I83" s="62" t="str">
        <f>IF([4]Sayfa1!$K79="SSH","Notified by Bozankaya","Notified by Customer")</f>
        <v>Notified by Customer</v>
      </c>
      <c r="J83" s="59" t="e">
        <f>VLOOKUP([4]Sayfa1!$AU79,#REF!,2,FALSE)</f>
        <v>#REF!</v>
      </c>
      <c r="K83" s="59">
        <f>[4]Sayfa1!$AC79</f>
        <v>0</v>
      </c>
      <c r="L83" s="63" t="str">
        <f t="shared" si="26"/>
        <v>KAY_5+30-BOZ-KAY5+6-FF-078</v>
      </c>
      <c r="M83" s="64" t="str">
        <f>[4]Sayfa1!$L79</f>
        <v>ARAÇ KLİMA IMU ANONS SİSTEMİ ARIZASI NEDENİYLE RESETLENDİ ARAÇ PANTOGRAF ARIZASI VERDİ</v>
      </c>
      <c r="N83" s="33" t="str">
        <f>[4]Sayfa1!$J79</f>
        <v>A-Sürüşü engeller</v>
      </c>
      <c r="O83" s="33" t="str">
        <f>[4]Sayfa1!$P79</f>
        <v>A(Hareket etmeyi engelleyen arıza)</v>
      </c>
      <c r="P83" s="33" t="str">
        <f>[4]Sayfa1!$Q79</f>
        <v>N.A(Yaralanma yok)</v>
      </c>
      <c r="Q83" s="65" t="str" cm="1">
        <f t="array" ref="Q83">_xlfn.IFS([4]Sayfa1!$R79="Bozankaya","Bozankaya",[4]Sayfa1!$R79="İşletme","Customer",[4]Sayfa1!$R79="Tedarikçi","Equipment Supplier")</f>
        <v>Equipment Supplier</v>
      </c>
      <c r="R83" s="66" t="str">
        <f>[4]Sayfa1!$M79</f>
        <v>PANTOGRAF HALL EFFECT SENSOR AYARI YAPILDI IMU KABLOSU YANLIŞ TAKILMIŞ DÜZELTİLDİ</v>
      </c>
      <c r="S83" s="36" t="str">
        <f>[4]Sayfa1!$S79</f>
        <v>Bozankaya</v>
      </c>
      <c r="T83" s="67">
        <f>[4]Sayfa1!$Z79</f>
        <v>0</v>
      </c>
      <c r="U83" s="68">
        <f>[4]Sayfa1!$AN79</f>
        <v>1</v>
      </c>
      <c r="V83" s="60">
        <f>[4]Sayfa1!$T79</f>
        <v>45345</v>
      </c>
      <c r="W83" s="61">
        <f>[4]Sayfa1!$U79</f>
        <v>45345.333333333336</v>
      </c>
      <c r="X83" s="69">
        <f t="shared" si="27"/>
        <v>45345.333333333336</v>
      </c>
      <c r="Y83" s="70">
        <f>[4]Sayfa1!$AQ79</f>
        <v>45345</v>
      </c>
      <c r="Z83" s="61">
        <f>[4]Sayfa1!$AR79</f>
        <v>45345.5</v>
      </c>
      <c r="AA83" s="69">
        <f t="shared" si="28"/>
        <v>45345.5</v>
      </c>
      <c r="AB83" s="71">
        <f t="shared" si="29"/>
        <v>3.9999999999417923</v>
      </c>
      <c r="AC83" s="60">
        <f t="shared" si="30"/>
        <v>45345</v>
      </c>
      <c r="AD83" s="61">
        <f t="shared" si="31"/>
        <v>45345.5</v>
      </c>
      <c r="AE83" s="69">
        <f t="shared" si="32"/>
        <v>45345.5</v>
      </c>
      <c r="AF83" s="36" t="str">
        <f>[4]Sayfa1!$AP79</f>
        <v>(I) İlk defa karşılaşılan arıza</v>
      </c>
      <c r="AG83" s="33" t="str">
        <f>IF([4]Sayfa1!$J79="C-Uyarı, sürüş devamlılığı","Bu Arıza Aracın Servise Verilmesine Engel Değil","Bu Arıza Aracın Servise Verilmesine Engel")</f>
        <v>Bu Arıza Aracın Servise Verilmesine Engel</v>
      </c>
      <c r="AH83" s="41">
        <f>[4]Sayfa1!$AB79</f>
        <v>0</v>
      </c>
      <c r="AI83" s="60"/>
      <c r="AJ83" s="60"/>
      <c r="AK83" s="69">
        <f t="shared" si="33"/>
        <v>0</v>
      </c>
      <c r="AL83" s="71">
        <f t="shared" si="34"/>
        <v>239.99999999650754</v>
      </c>
      <c r="AM83" s="71">
        <f t="shared" si="35"/>
        <v>239.99999999650754</v>
      </c>
      <c r="AN83" s="72">
        <f t="shared" si="36"/>
        <v>0</v>
      </c>
      <c r="AO83" s="73" t="str">
        <f>[4]Sayfa1!$X79</f>
        <v>P710-7019</v>
      </c>
      <c r="AP83" s="72">
        <f>[4]Sayfa1!$Y79</f>
        <v>0</v>
      </c>
      <c r="AQ83" s="184" t="str">
        <f>[4]Sayfa1!$V79</f>
        <v>STEMMANN-POLSKA SP. Z O.O.</v>
      </c>
      <c r="AR83" s="74" t="str">
        <f>[4]Sayfa1!$W79</f>
        <v>PANTOGRAF KOMPLESI</v>
      </c>
      <c r="AS83" s="74">
        <f>[4]Sayfa1!$AD79</f>
        <v>0</v>
      </c>
      <c r="AT83" s="60" t="str">
        <f>[4]Sayfa1!$AE79</f>
        <v/>
      </c>
      <c r="AU83" s="60" t="str">
        <f>[4]Sayfa1!$AH79</f>
        <v/>
      </c>
      <c r="AV83" s="75">
        <v>78</v>
      </c>
      <c r="AW83" s="76">
        <f t="shared" si="37"/>
        <v>43.999999999359716</v>
      </c>
      <c r="AX83" s="77" t="str">
        <f>[4]Sayfa1!$A79</f>
        <v>d13e944e</v>
      </c>
      <c r="AY83" s="78" t="s">
        <v>114</v>
      </c>
      <c r="AZ83" s="79" t="e" vm="1">
        <f t="shared" si="38"/>
        <v>#VALUE!</v>
      </c>
    </row>
    <row r="84" spans="1:52" ht="186.6">
      <c r="A84" s="59" t="s">
        <v>139</v>
      </c>
      <c r="B84" s="59" t="str">
        <f>[4]Sayfa1!$G80</f>
        <v>3874(3)</v>
      </c>
      <c r="C84" s="184" t="str">
        <f>[4]Sayfa1!$H80</f>
        <v>MB</v>
      </c>
      <c r="D84" s="24">
        <f>[4]Sayfa1!$N80</f>
        <v>47757</v>
      </c>
      <c r="E84" s="24" t="str">
        <f>[4]Sayfa1!$B80</f>
        <v>BOZ-KAY5+6-FF-079</v>
      </c>
      <c r="F84" s="60">
        <f>[4]Sayfa1!$E80</f>
        <v>45345</v>
      </c>
      <c r="G84" s="61">
        <f>[4]Sayfa1!$F80</f>
        <v>45345.368055555555</v>
      </c>
      <c r="H84" s="59" t="str">
        <f>[4]Sayfa1!$I80</f>
        <v>Hat/Line</v>
      </c>
      <c r="I84" s="62" t="str">
        <f>IF([4]Sayfa1!$K80="SSH","Notified by Bozankaya","Notified by Customer")</f>
        <v>Notified by Customer</v>
      </c>
      <c r="J84" s="59" t="e">
        <f>VLOOKUP([4]Sayfa1!$AU80,#REF!,2,FALSE)</f>
        <v>#REF!</v>
      </c>
      <c r="K84" s="59">
        <f>[4]Sayfa1!$AC80</f>
        <v>0</v>
      </c>
      <c r="L84" s="63" t="str">
        <f t="shared" si="26"/>
        <v>KAY_5+31-BOZ-KAY5+6-FF-079</v>
      </c>
      <c r="M84" s="64" t="str">
        <f>[4]Sayfa1!$L80</f>
        <v>CB SİLECEK ÇALIŞMIYOR</v>
      </c>
      <c r="N84" s="33" t="str">
        <f>[4]Sayfa1!$J80</f>
        <v>A-Sürüşü engeller</v>
      </c>
      <c r="O84" s="33" t="str">
        <f>[4]Sayfa1!$P80</f>
        <v>B(Servisten çekmeye etki eden arızalar)</v>
      </c>
      <c r="P84" s="33" t="str">
        <f>[4]Sayfa1!$Q80</f>
        <v>N.A(Yaralanma yok)</v>
      </c>
      <c r="Q84" s="65" t="str" cm="1">
        <f t="array" ref="Q84">_xlfn.IFS([4]Sayfa1!$R80="Bozankaya","Bozankaya",[4]Sayfa1!$R80="İşletme","Customer",[4]Sayfa1!$R80="Tedarikçi","Equipment Supplier")</f>
        <v>Equipment Supplier</v>
      </c>
      <c r="R84" s="66" t="str">
        <f>[4]Sayfa1!$M80</f>
        <v>SİLECEK SOMUNU GEVŞEMİŞ SIKILDI</v>
      </c>
      <c r="S84" s="36" t="str">
        <f>[4]Sayfa1!$S80</f>
        <v>Bozankaya</v>
      </c>
      <c r="T84" s="67">
        <f>[4]Sayfa1!$Z80</f>
        <v>0</v>
      </c>
      <c r="U84" s="68">
        <f>[4]Sayfa1!$AN80</f>
        <v>1</v>
      </c>
      <c r="V84" s="60">
        <f>[4]Sayfa1!$T80</f>
        <v>45345</v>
      </c>
      <c r="W84" s="61">
        <f>[4]Sayfa1!$U80</f>
        <v>45345.416666666664</v>
      </c>
      <c r="X84" s="69">
        <f t="shared" si="27"/>
        <v>45345.416666666664</v>
      </c>
      <c r="Y84" s="70">
        <f>[4]Sayfa1!$AQ80</f>
        <v>45345</v>
      </c>
      <c r="Z84" s="61">
        <f>[4]Sayfa1!$AR80</f>
        <v>45345.5</v>
      </c>
      <c r="AA84" s="69">
        <f t="shared" si="28"/>
        <v>45345.5</v>
      </c>
      <c r="AB84" s="71">
        <f t="shared" si="29"/>
        <v>0</v>
      </c>
      <c r="AC84" s="60">
        <f t="shared" si="30"/>
        <v>45345</v>
      </c>
      <c r="AD84" s="61">
        <f t="shared" si="31"/>
        <v>45345.5</v>
      </c>
      <c r="AE84" s="69">
        <f t="shared" si="32"/>
        <v>45345.5</v>
      </c>
      <c r="AF84" s="36" t="str">
        <f>[4]Sayfa1!$AP80</f>
        <v>(II) Birden fazla karşılaşılan arıza</v>
      </c>
      <c r="AG84" s="33" t="str">
        <f>IF([4]Sayfa1!$J80="C-Uyarı, sürüş devamlılığı","Bu Arıza Aracın Servise Verilmesine Engel Değil","Bu Arıza Aracın Servise Verilmesine Engel")</f>
        <v>Bu Arıza Aracın Servise Verilmesine Engel</v>
      </c>
      <c r="AH84" s="41" t="str">
        <f>[4]Sayfa1!$AB80</f>
        <v>Tamir edilecek</v>
      </c>
      <c r="AI84" s="60"/>
      <c r="AJ84" s="60"/>
      <c r="AK84" s="69">
        <f t="shared" si="33"/>
        <v>0</v>
      </c>
      <c r="AL84" s="71">
        <f t="shared" si="34"/>
        <v>0</v>
      </c>
      <c r="AM84" s="71">
        <f t="shared" si="35"/>
        <v>0</v>
      </c>
      <c r="AN84" s="72">
        <f t="shared" si="36"/>
        <v>0</v>
      </c>
      <c r="AO84" s="73" t="str">
        <f>[4]Sayfa1!$X80</f>
        <v>M100-7066</v>
      </c>
      <c r="AP84" s="72">
        <f>[4]Sayfa1!$Y80</f>
        <v>1</v>
      </c>
      <c r="AQ84" s="184" t="str">
        <f>[4]Sayfa1!$V80</f>
        <v>DENİZLER OTOMOTİV SAN. VE TİC.LTD.Ş</v>
      </c>
      <c r="AR84" s="74" t="str">
        <f>[4]Sayfa1!$W80</f>
        <v>SİLECEK MEKANİZMASI Denizler / M.11.2506</v>
      </c>
      <c r="AS84" s="74">
        <f>[4]Sayfa1!$AD80</f>
        <v>0</v>
      </c>
      <c r="AT84" s="60" t="str">
        <f>[4]Sayfa1!$AE80</f>
        <v/>
      </c>
      <c r="AU84" s="60" t="str">
        <f>[4]Sayfa1!$AH80</f>
        <v/>
      </c>
      <c r="AV84" s="75">
        <v>79</v>
      </c>
      <c r="AW84" s="76">
        <f t="shared" si="37"/>
        <v>0</v>
      </c>
      <c r="AX84" s="77" t="str">
        <f>[4]Sayfa1!$A80</f>
        <v>bd460d2e</v>
      </c>
      <c r="AY84" s="78" t="s">
        <v>114</v>
      </c>
      <c r="AZ84" s="79" t="e" vm="1">
        <f t="shared" si="38"/>
        <v>#VALUE!</v>
      </c>
    </row>
    <row r="85" spans="1:52" ht="142.9">
      <c r="A85" s="59" t="s">
        <v>140</v>
      </c>
      <c r="B85" s="59" t="str">
        <f>[4]Sayfa1!$G81</f>
        <v>3873(2)</v>
      </c>
      <c r="C85" s="184" t="str">
        <f>[4]Sayfa1!$H81</f>
        <v>MA</v>
      </c>
      <c r="D85" s="24">
        <f>[4]Sayfa1!$N81</f>
        <v>40000</v>
      </c>
      <c r="E85" s="24" t="str">
        <f>[4]Sayfa1!$B81</f>
        <v>BOZ-KAY5+6-FF-080</v>
      </c>
      <c r="F85" s="60">
        <f>[4]Sayfa1!$E81</f>
        <v>45345</v>
      </c>
      <c r="G85" s="61">
        <f>[4]Sayfa1!$F81</f>
        <v>45345.43472222222</v>
      </c>
      <c r="H85" s="59" t="str">
        <f>[4]Sayfa1!$I81</f>
        <v>Hat/Line</v>
      </c>
      <c r="I85" s="62" t="str">
        <f>IF([4]Sayfa1!$K81="SSH","Notified by Bozankaya","Notified by Customer")</f>
        <v>Notified by Customer</v>
      </c>
      <c r="J85" s="59" t="e">
        <f>VLOOKUP([4]Sayfa1!$AU81,#REF!,2,FALSE)</f>
        <v>#REF!</v>
      </c>
      <c r="K85" s="59">
        <f>[4]Sayfa1!$AC81</f>
        <v>0</v>
      </c>
      <c r="L85" s="63" t="str">
        <f t="shared" si="26"/>
        <v>KAY_5+32-BOZ-KAY5+6-FF-080</v>
      </c>
      <c r="M85" s="64" t="str">
        <f>[4]Sayfa1!$L81</f>
        <v>A BAŞ CCTV EKRANI ÇALIŞMIYOR</v>
      </c>
      <c r="N85" s="33" t="str">
        <f>[4]Sayfa1!$J81</f>
        <v>A-Sürüşü engeller</v>
      </c>
      <c r="O85" s="33" t="str">
        <f>[4]Sayfa1!$P81</f>
        <v>B(Servisten çekmeye etki eden arızalar)</v>
      </c>
      <c r="P85" s="33" t="str">
        <f>[4]Sayfa1!$Q81</f>
        <v>N.A(Yaralanma yok)</v>
      </c>
      <c r="Q85" s="65" t="str" cm="1">
        <f t="array" ref="Q85">_xlfn.IFS([4]Sayfa1!$R81="Bozankaya","Bozankaya",[4]Sayfa1!$R81="İşletme","Customer",[4]Sayfa1!$R81="Tedarikçi","Equipment Supplier")</f>
        <v>Equipment Supplier</v>
      </c>
      <c r="R85" s="66" t="str">
        <f>[4]Sayfa1!$M81</f>
        <v>EKRAN DEĞİŞİMİ YAPILDI</v>
      </c>
      <c r="S85" s="36" t="str">
        <f>[4]Sayfa1!$S81</f>
        <v>NSC</v>
      </c>
      <c r="T85" s="67">
        <f>[4]Sayfa1!$Z81</f>
        <v>0</v>
      </c>
      <c r="U85" s="68">
        <f>[4]Sayfa1!$AN81</f>
        <v>1</v>
      </c>
      <c r="V85" s="60">
        <f>[4]Sayfa1!$T81</f>
        <v>45345</v>
      </c>
      <c r="W85" s="61">
        <f>[4]Sayfa1!$U81</f>
        <v>45345.458333333336</v>
      </c>
      <c r="X85" s="69">
        <f t="shared" si="27"/>
        <v>45345.458333333336</v>
      </c>
      <c r="Y85" s="70">
        <f>[4]Sayfa1!$AQ81</f>
        <v>45345</v>
      </c>
      <c r="Z85" s="61">
        <f>[4]Sayfa1!$AR81</f>
        <v>45345.583333333336</v>
      </c>
      <c r="AA85" s="69">
        <f t="shared" si="28"/>
        <v>45345.583333333336</v>
      </c>
      <c r="AB85" s="71">
        <f t="shared" si="29"/>
        <v>0</v>
      </c>
      <c r="AC85" s="60">
        <f t="shared" si="30"/>
        <v>45345</v>
      </c>
      <c r="AD85" s="61">
        <f t="shared" si="31"/>
        <v>45345.583333333336</v>
      </c>
      <c r="AE85" s="69">
        <f t="shared" si="32"/>
        <v>45345.583333333336</v>
      </c>
      <c r="AF85" s="36" t="str">
        <f>[4]Sayfa1!$AP81</f>
        <v>(II) Birden fazla karşılaşılan arıza</v>
      </c>
      <c r="AG85" s="33" t="str">
        <f>IF([4]Sayfa1!$J81="C-Uyarı, sürüş devamlılığı","Bu Arıza Aracın Servise Verilmesine Engel Değil","Bu Arıza Aracın Servise Verilmesine Engel")</f>
        <v>Bu Arıza Aracın Servise Verilmesine Engel</v>
      </c>
      <c r="AH85" s="41">
        <f>[4]Sayfa1!$AB81</f>
        <v>0</v>
      </c>
      <c r="AI85" s="60"/>
      <c r="AJ85" s="60"/>
      <c r="AK85" s="69">
        <f t="shared" si="33"/>
        <v>0</v>
      </c>
      <c r="AL85" s="71">
        <f t="shared" si="34"/>
        <v>0</v>
      </c>
      <c r="AM85" s="71">
        <f t="shared" si="35"/>
        <v>0</v>
      </c>
      <c r="AN85" s="72">
        <f t="shared" si="36"/>
        <v>0</v>
      </c>
      <c r="AO85" s="73" t="str">
        <f>[4]Sayfa1!$X81</f>
        <v>E810-7145</v>
      </c>
      <c r="AP85" s="72">
        <f>[4]Sayfa1!$Y81</f>
        <v>0</v>
      </c>
      <c r="AQ85" s="184" t="str">
        <f>[4]Sayfa1!$V81</f>
        <v>NSC TEKNOLOJİ ve İNŞAAT LTD.ŞTİ.</v>
      </c>
      <c r="AR85" s="74" t="str">
        <f>[4]Sayfa1!$W81</f>
        <v>CCTV EKRANI</v>
      </c>
      <c r="AS85" s="74">
        <f>[4]Sayfa1!$AD81</f>
        <v>0</v>
      </c>
      <c r="AT85" s="60" t="str">
        <f>[4]Sayfa1!$AE81</f>
        <v/>
      </c>
      <c r="AU85" s="60" t="str">
        <f>[4]Sayfa1!$AH81</f>
        <v/>
      </c>
      <c r="AV85" s="75">
        <v>80</v>
      </c>
      <c r="AW85" s="76">
        <f t="shared" si="37"/>
        <v>0</v>
      </c>
      <c r="AX85" s="77" t="str">
        <f>[4]Sayfa1!$A81</f>
        <v>3d023442</v>
      </c>
      <c r="AY85" s="78" t="s">
        <v>114</v>
      </c>
      <c r="AZ85" s="79" t="e" vm="1">
        <f t="shared" si="38"/>
        <v>#VALUE!</v>
      </c>
    </row>
    <row r="86" spans="1:52" ht="142.9">
      <c r="A86" s="59" t="s">
        <v>141</v>
      </c>
      <c r="B86" s="59" t="str">
        <f>[4]Sayfa1!$G82</f>
        <v>3874(3)</v>
      </c>
      <c r="C86" s="184" t="str">
        <f>[4]Sayfa1!$H82</f>
        <v>RB</v>
      </c>
      <c r="D86" s="24">
        <f>[4]Sayfa1!$N82</f>
        <v>40000</v>
      </c>
      <c r="E86" s="24" t="str">
        <f>[4]Sayfa1!$B82</f>
        <v>BOZ-KAY5+6-FF-081</v>
      </c>
      <c r="F86" s="60">
        <f>[4]Sayfa1!$E82</f>
        <v>45345</v>
      </c>
      <c r="G86" s="61">
        <f>[4]Sayfa1!$F82</f>
        <v>45345.445833333331</v>
      </c>
      <c r="H86" s="59" t="str">
        <f>[4]Sayfa1!$I82</f>
        <v>Hat/Line</v>
      </c>
      <c r="I86" s="62" t="str">
        <f>IF([4]Sayfa1!$K82="SSH","Notified by Bozankaya","Notified by Customer")</f>
        <v>Notified by Customer</v>
      </c>
      <c r="J86" s="59" t="e">
        <f>VLOOKUP([4]Sayfa1!$AU82,#REF!,2,FALSE)</f>
        <v>#REF!</v>
      </c>
      <c r="K86" s="59">
        <f>[4]Sayfa1!$AC82</f>
        <v>0</v>
      </c>
      <c r="L86" s="63" t="str">
        <f t="shared" si="26"/>
        <v>KAY_5+33-BOZ-KAY5+6-FF-081</v>
      </c>
      <c r="M86" s="64" t="str">
        <f>[4]Sayfa1!$L82</f>
        <v>8 NOLU KAPI AÇMA BUTONU ÇALIŞMIYOR</v>
      </c>
      <c r="N86" s="33" t="str">
        <f>[4]Sayfa1!$J82</f>
        <v>B-Hız veya güç azalması</v>
      </c>
      <c r="O86" s="33" t="str">
        <f>[4]Sayfa1!$P82</f>
        <v>B(Servisten çekmeye etki eden arızalar)</v>
      </c>
      <c r="P86" s="33" t="str">
        <f>[4]Sayfa1!$Q82</f>
        <v>N.A(Yaralanma yok)</v>
      </c>
      <c r="Q86" s="65" t="str" cm="1">
        <f t="array" ref="Q86">_xlfn.IFS([4]Sayfa1!$R82="Bozankaya","Bozankaya",[4]Sayfa1!$R82="İşletme","Customer",[4]Sayfa1!$R82="Tedarikçi","Equipment Supplier")</f>
        <v>Bozankaya</v>
      </c>
      <c r="R86" s="66" t="str">
        <f>[4]Sayfa1!$M82</f>
        <v>BUTON KABLOSU KOPMUŞ LEHİMLENDİ SORUN GİDERİLDİ</v>
      </c>
      <c r="S86" s="36" t="str">
        <f>[4]Sayfa1!$S82</f>
        <v>Üretim</v>
      </c>
      <c r="T86" s="67">
        <f>[4]Sayfa1!$Z82</f>
        <v>0</v>
      </c>
      <c r="U86" s="68">
        <f>[4]Sayfa1!$AN82</f>
        <v>1</v>
      </c>
      <c r="V86" s="60">
        <f>[4]Sayfa1!$T82</f>
        <v>45345</v>
      </c>
      <c r="W86" s="61">
        <f>[4]Sayfa1!$U82</f>
        <v>45345.5</v>
      </c>
      <c r="X86" s="69">
        <f t="shared" si="27"/>
        <v>45345.5</v>
      </c>
      <c r="Y86" s="70">
        <f>[4]Sayfa1!$AQ82</f>
        <v>45345</v>
      </c>
      <c r="Z86" s="61">
        <f>[4]Sayfa1!$AR82</f>
        <v>45345.583333333336</v>
      </c>
      <c r="AA86" s="69">
        <f t="shared" si="28"/>
        <v>45345.583333333336</v>
      </c>
      <c r="AB86" s="71">
        <f t="shared" si="29"/>
        <v>0</v>
      </c>
      <c r="AC86" s="60">
        <f t="shared" si="30"/>
        <v>45345</v>
      </c>
      <c r="AD86" s="61">
        <f t="shared" si="31"/>
        <v>45345.583333333336</v>
      </c>
      <c r="AE86" s="69">
        <f t="shared" si="32"/>
        <v>45345.583333333336</v>
      </c>
      <c r="AF86" s="36" t="str">
        <f>[4]Sayfa1!$AP82</f>
        <v>(I) İlk defa karşılaşılan arıza</v>
      </c>
      <c r="AG86" s="33" t="str">
        <f>IF([4]Sayfa1!$J82="C-Uyarı, sürüş devamlılığı","Bu Arıza Aracın Servise Verilmesine Engel Değil","Bu Arıza Aracın Servise Verilmesine Engel")</f>
        <v>Bu Arıza Aracın Servise Verilmesine Engel</v>
      </c>
      <c r="AH86" s="41">
        <f>[4]Sayfa1!$AB82</f>
        <v>0</v>
      </c>
      <c r="AI86" s="60"/>
      <c r="AJ86" s="60"/>
      <c r="AK86" s="69">
        <f t="shared" si="33"/>
        <v>0</v>
      </c>
      <c r="AL86" s="71">
        <f t="shared" si="34"/>
        <v>0</v>
      </c>
      <c r="AM86" s="71">
        <f t="shared" si="35"/>
        <v>0</v>
      </c>
      <c r="AN86" s="72">
        <f t="shared" si="36"/>
        <v>0</v>
      </c>
      <c r="AO86" s="73" t="str">
        <f>[4]Sayfa1!$X82</f>
        <v>M110-7082</v>
      </c>
      <c r="AP86" s="72">
        <f>[4]Sayfa1!$Y82</f>
        <v>0</v>
      </c>
      <c r="AQ86" s="184" t="str">
        <f>[4]Sayfa1!$V82</f>
        <v>KNORR-BREMSE GMBH DİVİSİON IFE AUTO</v>
      </c>
      <c r="AR86" s="74" t="str">
        <f>[4]Sayfa1!$W82</f>
        <v>PRM’LI ÇİFTLİ KAPI</v>
      </c>
      <c r="AS86" s="74">
        <f>[4]Sayfa1!$AD82</f>
        <v>0</v>
      </c>
      <c r="AT86" s="60" t="str">
        <f>[4]Sayfa1!$AE82</f>
        <v/>
      </c>
      <c r="AU86" s="60" t="str">
        <f>[4]Sayfa1!$AH82</f>
        <v/>
      </c>
      <c r="AV86" s="75">
        <v>81</v>
      </c>
      <c r="AW86" s="76">
        <f t="shared" si="37"/>
        <v>0</v>
      </c>
      <c r="AX86" s="77" t="str">
        <f>[4]Sayfa1!$A82</f>
        <v>8ee5cd92</v>
      </c>
      <c r="AY86" s="78" t="s">
        <v>114</v>
      </c>
      <c r="AZ86" s="79" t="e" vm="1">
        <f t="shared" si="38"/>
        <v>#VALUE!</v>
      </c>
    </row>
    <row r="87" spans="1:52" ht="186.6">
      <c r="A87" s="59" t="s">
        <v>142</v>
      </c>
      <c r="B87" s="59" t="str">
        <f>[4]Sayfa1!$G83</f>
        <v>3874(3)</v>
      </c>
      <c r="C87" s="184" t="str">
        <f>[4]Sayfa1!$H83</f>
        <v>MB</v>
      </c>
      <c r="D87" s="24">
        <f>[4]Sayfa1!$N83</f>
        <v>47754</v>
      </c>
      <c r="E87" s="24" t="str">
        <f>[4]Sayfa1!$B83</f>
        <v>BOZ-KAY5+6-FF-082</v>
      </c>
      <c r="F87" s="60">
        <f>[4]Sayfa1!$E83</f>
        <v>45345</v>
      </c>
      <c r="G87" s="61">
        <f>[4]Sayfa1!$F83</f>
        <v>45345.45208333333</v>
      </c>
      <c r="H87" s="59" t="str">
        <f>[4]Sayfa1!$I83</f>
        <v>Hat/Line</v>
      </c>
      <c r="I87" s="62" t="str">
        <f>IF([4]Sayfa1!$K83="SSH","Notified by Bozankaya","Notified by Customer")</f>
        <v>Notified by Customer</v>
      </c>
      <c r="J87" s="59" t="e">
        <f>VLOOKUP([4]Sayfa1!$AU83,#REF!,2,FALSE)</f>
        <v>#REF!</v>
      </c>
      <c r="K87" s="59">
        <f>[4]Sayfa1!$AC83</f>
        <v>0</v>
      </c>
      <c r="L87" s="63" t="str">
        <f t="shared" si="26"/>
        <v>KAY_5+34-BOZ-KAY5+6-FF-082</v>
      </c>
      <c r="M87" s="64" t="str">
        <f>[4]Sayfa1!$L83</f>
        <v>SC SİLECEK KOLÇAK BUTONUNDAN ÇALIŞTIRILDIĞINDA TAKILARAK ÇALIŞIYOR</v>
      </c>
      <c r="N87" s="33" t="str">
        <f>[4]Sayfa1!$J83</f>
        <v>A-Sürüşü engeller</v>
      </c>
      <c r="O87" s="33" t="str">
        <f>[4]Sayfa1!$P83</f>
        <v>B(Servisten çekmeye etki eden arızalar)</v>
      </c>
      <c r="P87" s="33" t="str">
        <f>[4]Sayfa1!$Q83</f>
        <v>N.A(Yaralanma yok)</v>
      </c>
      <c r="Q87" s="65" t="str" cm="1">
        <f t="array" ref="Q87">_xlfn.IFS([4]Sayfa1!$R83="Bozankaya","Bozankaya",[4]Sayfa1!$R83="İşletme","Customer",[4]Sayfa1!$R83="Tedarikçi","Equipment Supplier")</f>
        <v>Bozankaya</v>
      </c>
      <c r="R87" s="66" t="str">
        <f>[4]Sayfa1!$M83</f>
        <v>KONNEKTÖR TAM OTURTULDU SORUN GİDERİLDİ</v>
      </c>
      <c r="S87" s="36" t="str">
        <f>[4]Sayfa1!$S83</f>
        <v>Üretim</v>
      </c>
      <c r="T87" s="67">
        <f>[4]Sayfa1!$Z83</f>
        <v>0</v>
      </c>
      <c r="U87" s="68">
        <f>[4]Sayfa1!$AN83</f>
        <v>1</v>
      </c>
      <c r="V87" s="60">
        <f>[4]Sayfa1!$T83</f>
        <v>45345</v>
      </c>
      <c r="W87" s="61">
        <f>[4]Sayfa1!$U83</f>
        <v>45345.458333333336</v>
      </c>
      <c r="X87" s="69">
        <f t="shared" si="27"/>
        <v>45345.458333333336</v>
      </c>
      <c r="Y87" s="70">
        <f>[4]Sayfa1!$AQ83</f>
        <v>45345</v>
      </c>
      <c r="Z87" s="61">
        <f>[4]Sayfa1!$AR83</f>
        <v>45345.666666666664</v>
      </c>
      <c r="AA87" s="69">
        <f t="shared" si="28"/>
        <v>45345.666666666664</v>
      </c>
      <c r="AB87" s="71">
        <f t="shared" si="29"/>
        <v>0</v>
      </c>
      <c r="AC87" s="60">
        <f t="shared" si="30"/>
        <v>45345</v>
      </c>
      <c r="AD87" s="61">
        <f t="shared" si="31"/>
        <v>45345.666666666664</v>
      </c>
      <c r="AE87" s="69">
        <f t="shared" si="32"/>
        <v>45345.666666666664</v>
      </c>
      <c r="AF87" s="36" t="str">
        <f>[4]Sayfa1!$AP83</f>
        <v>(I) İlk defa karşılaşılan arıza</v>
      </c>
      <c r="AG87" s="33" t="str">
        <f>IF([4]Sayfa1!$J83="C-Uyarı, sürüş devamlılığı","Bu Arıza Aracın Servise Verilmesine Engel Değil","Bu Arıza Aracın Servise Verilmesine Engel")</f>
        <v>Bu Arıza Aracın Servise Verilmesine Engel</v>
      </c>
      <c r="AH87" s="41" t="str">
        <f>[4]Sayfa1!$AB83</f>
        <v>Tamir edilecek</v>
      </c>
      <c r="AI87" s="60"/>
      <c r="AJ87" s="60"/>
      <c r="AK87" s="69">
        <f t="shared" si="33"/>
        <v>0</v>
      </c>
      <c r="AL87" s="71">
        <f t="shared" si="34"/>
        <v>0</v>
      </c>
      <c r="AM87" s="71">
        <f t="shared" si="35"/>
        <v>0</v>
      </c>
      <c r="AN87" s="72">
        <f t="shared" si="36"/>
        <v>0</v>
      </c>
      <c r="AO87" s="73" t="str">
        <f>[4]Sayfa1!$X83</f>
        <v>E300-7359</v>
      </c>
      <c r="AP87" s="72">
        <f>[4]Sayfa1!$Y83</f>
        <v>1</v>
      </c>
      <c r="AQ87" s="184" t="str">
        <f>[4]Sayfa1!$V83</f>
        <v>GENERAL TEKNİK ELEKTRONİK TESİSAT</v>
      </c>
      <c r="AR87" s="74" t="str">
        <f>[4]Sayfa1!$W83</f>
        <v>SAĞ BUTON KOMPLESİ</v>
      </c>
      <c r="AS87" s="74">
        <f>[4]Sayfa1!$AD83</f>
        <v>0</v>
      </c>
      <c r="AT87" s="60" t="str">
        <f>[4]Sayfa1!$AE83</f>
        <v/>
      </c>
      <c r="AU87" s="60" t="str">
        <f>[4]Sayfa1!$AH83</f>
        <v/>
      </c>
      <c r="AV87" s="75">
        <v>82</v>
      </c>
      <c r="AW87" s="76">
        <f t="shared" si="37"/>
        <v>0</v>
      </c>
      <c r="AX87" s="77" t="str">
        <f>[4]Sayfa1!$A83</f>
        <v>a75c49dc</v>
      </c>
      <c r="AY87" s="78" t="s">
        <v>114</v>
      </c>
      <c r="AZ87" s="79" t="e" vm="1">
        <f t="shared" si="38"/>
        <v>#VALUE!</v>
      </c>
    </row>
    <row r="88" spans="1:52" ht="186.6">
      <c r="A88" s="59" t="s">
        <v>143</v>
      </c>
      <c r="B88" s="59" t="str">
        <f>[4]Sayfa1!$G84</f>
        <v>3874(3)</v>
      </c>
      <c r="C88" s="184" t="str">
        <f>[4]Sayfa1!$H84</f>
        <v>MA</v>
      </c>
      <c r="D88" s="24">
        <f>[4]Sayfa1!$N84</f>
        <v>47754</v>
      </c>
      <c r="E88" s="24" t="str">
        <f>[4]Sayfa1!$B84</f>
        <v>BOZ-KAY5+6-FF-083</v>
      </c>
      <c r="F88" s="60">
        <f>[4]Sayfa1!$E84</f>
        <v>45345</v>
      </c>
      <c r="G88" s="61">
        <f>[4]Sayfa1!$F84</f>
        <v>45345.652777777781</v>
      </c>
      <c r="H88" s="59" t="str">
        <f>[4]Sayfa1!$I84</f>
        <v>Hat/Line</v>
      </c>
      <c r="I88" s="62" t="str">
        <f>IF([4]Sayfa1!$K84="SSH","Notified by Bozankaya","Notified by Customer")</f>
        <v>Notified by Customer</v>
      </c>
      <c r="J88" s="59" t="e">
        <f>VLOOKUP([4]Sayfa1!$AU84,#REF!,2,FALSE)</f>
        <v>#REF!</v>
      </c>
      <c r="K88" s="59">
        <f>[4]Sayfa1!$AC84</f>
        <v>0</v>
      </c>
      <c r="L88" s="63" t="str">
        <f t="shared" si="26"/>
        <v>KAY_5+35-BOZ-KAY5+6-FF-083</v>
      </c>
      <c r="M88" s="64" t="str">
        <f>[4]Sayfa1!$L84</f>
        <v>CA-CB KABİN PERDE LİMİT AYARI YAPILMAMIŞ</v>
      </c>
      <c r="N88" s="33" t="str">
        <f>[4]Sayfa1!$J84</f>
        <v>C-Uyarı, sürüş devamlılığı</v>
      </c>
      <c r="O88" s="33" t="str">
        <f>[4]Sayfa1!$P84</f>
        <v>B(Servisten çekmeye etki eden arızalar)</v>
      </c>
      <c r="P88" s="33" t="str">
        <f>[4]Sayfa1!$Q84</f>
        <v>N.A(Yaralanma yok)</v>
      </c>
      <c r="Q88" s="65" t="str" cm="1">
        <f t="array" ref="Q88">_xlfn.IFS([4]Sayfa1!$R84="Bozankaya","Bozankaya",[4]Sayfa1!$R84="İşletme","Customer",[4]Sayfa1!$R84="Tedarikçi","Equipment Supplier")</f>
        <v>Bozankaya</v>
      </c>
      <c r="R88" s="66" t="str">
        <f>[4]Sayfa1!$M84</f>
        <v>PERDE LİMİT AYARI YAPILDI</v>
      </c>
      <c r="S88" s="36" t="str">
        <f>[4]Sayfa1!$S84</f>
        <v>Fabrika Test</v>
      </c>
      <c r="T88" s="67">
        <f>[4]Sayfa1!$Z84</f>
        <v>0</v>
      </c>
      <c r="U88" s="68">
        <f>[4]Sayfa1!$AN84</f>
        <v>1</v>
      </c>
      <c r="V88" s="60">
        <f>[4]Sayfa1!$T84</f>
        <v>45345</v>
      </c>
      <c r="W88" s="61">
        <f>[4]Sayfa1!$U84</f>
        <v>45345.697916666664</v>
      </c>
      <c r="X88" s="69">
        <f t="shared" si="27"/>
        <v>45345.697916666664</v>
      </c>
      <c r="Y88" s="70">
        <f>[4]Sayfa1!$AQ84</f>
        <v>45345</v>
      </c>
      <c r="Z88" s="61">
        <f>[4]Sayfa1!$AR84</f>
        <v>45345.729166666664</v>
      </c>
      <c r="AA88" s="69">
        <f t="shared" si="28"/>
        <v>45345.729166666664</v>
      </c>
      <c r="AB88" s="71">
        <f t="shared" si="29"/>
        <v>0</v>
      </c>
      <c r="AC88" s="60">
        <f t="shared" si="30"/>
        <v>45345</v>
      </c>
      <c r="AD88" s="61">
        <f t="shared" si="31"/>
        <v>45345.729166666664</v>
      </c>
      <c r="AE88" s="69">
        <f t="shared" si="32"/>
        <v>45345.729166666664</v>
      </c>
      <c r="AF88" s="36" t="str">
        <f>[4]Sayfa1!$AP84</f>
        <v>(I) İlk defa karşılaşılan arıza</v>
      </c>
      <c r="AG88" s="33" t="str">
        <f>IF([4]Sayfa1!$J84="C-Uyarı, sürüş devamlılığı","Bu Arıza Aracın Servise Verilmesine Engel Değil","Bu Arıza Aracın Servise Verilmesine Engel")</f>
        <v>Bu Arıza Aracın Servise Verilmesine Engel Değil</v>
      </c>
      <c r="AH88" s="41" t="str">
        <f>[4]Sayfa1!$AB84</f>
        <v>Tamir edilecek</v>
      </c>
      <c r="AI88" s="60"/>
      <c r="AJ88" s="60"/>
      <c r="AK88" s="69">
        <f t="shared" si="33"/>
        <v>0</v>
      </c>
      <c r="AL88" s="71">
        <f t="shared" si="34"/>
        <v>0</v>
      </c>
      <c r="AM88" s="71">
        <f t="shared" si="35"/>
        <v>0</v>
      </c>
      <c r="AN88" s="72">
        <f t="shared" si="36"/>
        <v>0</v>
      </c>
      <c r="AO88" s="73" t="str">
        <f>[4]Sayfa1!$X84</f>
        <v>T910-7001</v>
      </c>
      <c r="AP88" s="72">
        <f>[4]Sayfa1!$Y84</f>
        <v>1</v>
      </c>
      <c r="AQ88" s="184" t="str">
        <f>[4]Sayfa1!$V84</f>
        <v>HÜRSANPER OTOMOTİV YAN SANAYİ TİCAR</v>
      </c>
      <c r="AR88" s="74" t="str">
        <f>[4]Sayfa1!$W84</f>
        <v>MOTORLU ÖN PERDE</v>
      </c>
      <c r="AS88" s="74">
        <f>[4]Sayfa1!$AD84</f>
        <v>0</v>
      </c>
      <c r="AT88" s="60" t="str">
        <f>[4]Sayfa1!$AE84</f>
        <v/>
      </c>
      <c r="AU88" s="60" t="str">
        <f>[4]Sayfa1!$AH84</f>
        <v/>
      </c>
      <c r="AV88" s="75">
        <v>83</v>
      </c>
      <c r="AW88" s="76">
        <f t="shared" si="37"/>
        <v>0</v>
      </c>
      <c r="AX88" s="77" t="str">
        <f>[4]Sayfa1!$A84</f>
        <v>60b2d4c6</v>
      </c>
      <c r="AY88" s="78" t="s">
        <v>114</v>
      </c>
      <c r="AZ88" s="79" t="e" vm="1">
        <f t="shared" si="38"/>
        <v>#VALUE!</v>
      </c>
    </row>
    <row r="89" spans="1:52" ht="142.9">
      <c r="A89" s="59" t="s">
        <v>144</v>
      </c>
      <c r="B89" s="59" t="str">
        <f>[4]Sayfa1!$G85</f>
        <v>3875(4)</v>
      </c>
      <c r="C89" s="184" t="str">
        <f>[4]Sayfa1!$H85</f>
        <v>MA</v>
      </c>
      <c r="D89" s="24">
        <f>[4]Sayfa1!$N85</f>
        <v>44212</v>
      </c>
      <c r="E89" s="24" t="str">
        <f>[4]Sayfa1!$B85</f>
        <v>BOZ-KAY5+6-FF-084</v>
      </c>
      <c r="F89" s="60">
        <f>[4]Sayfa1!$E85</f>
        <v>45345</v>
      </c>
      <c r="G89" s="61">
        <f>[4]Sayfa1!$F85</f>
        <v>45345.694004629629</v>
      </c>
      <c r="H89" s="59" t="str">
        <f>[4]Sayfa1!$I85</f>
        <v>Hat/Line</v>
      </c>
      <c r="I89" s="62" t="str">
        <f>IF([4]Sayfa1!$K85="SSH","Notified by Bozankaya","Notified by Customer")</f>
        <v>Notified by Customer</v>
      </c>
      <c r="J89" s="59" t="e">
        <f>VLOOKUP([4]Sayfa1!$AU85,#REF!,2,FALSE)</f>
        <v>#REF!</v>
      </c>
      <c r="K89" s="59">
        <f>[4]Sayfa1!$AC85</f>
        <v>0</v>
      </c>
      <c r="L89" s="63" t="str">
        <f t="shared" si="26"/>
        <v>KAY_5+36-BOZ-KAY5+6-FF-084</v>
      </c>
      <c r="M89" s="64" t="str">
        <f>[4]Sayfa1!$L85</f>
        <v>KAPI ÜZERİ YOLCU BİLGİLENDİRME EKRANI ÇALIŞMIYOR</v>
      </c>
      <c r="N89" s="33" t="str">
        <f>[4]Sayfa1!$J85</f>
        <v>C-Uyarı, sürüş devamlılığı</v>
      </c>
      <c r="O89" s="33" t="str">
        <f>[4]Sayfa1!$P85</f>
        <v>B(Servisten çekmeye etki eden arızalar)</v>
      </c>
      <c r="P89" s="33" t="str">
        <f>[4]Sayfa1!$Q85</f>
        <v>N.A(Yaralanma yok)</v>
      </c>
      <c r="Q89" s="65" t="str" cm="1">
        <f t="array" ref="Q89">_xlfn.IFS([4]Sayfa1!$R85="Bozankaya","Bozankaya",[4]Sayfa1!$R85="İşletme","Customer",[4]Sayfa1!$R85="Tedarikçi","Equipment Supplier")</f>
        <v>Equipment Supplier</v>
      </c>
      <c r="R89" s="66" t="str">
        <f>[4]Sayfa1!$M85</f>
        <v>EKRAN DEĞİŞİMİ YAPILDI SORUN GİDERİLDİ</v>
      </c>
      <c r="S89" s="36" t="str">
        <f>[4]Sayfa1!$S85</f>
        <v>Atak</v>
      </c>
      <c r="T89" s="67">
        <f>[4]Sayfa1!$Z85</f>
        <v>0</v>
      </c>
      <c r="U89" s="68">
        <f>[4]Sayfa1!$AN85</f>
        <v>1</v>
      </c>
      <c r="V89" s="60">
        <f>[4]Sayfa1!$T85</f>
        <v>45346</v>
      </c>
      <c r="W89" s="61">
        <f>[4]Sayfa1!$U85</f>
        <v>45346.333333333336</v>
      </c>
      <c r="X89" s="69">
        <f t="shared" si="27"/>
        <v>45346.333333333336</v>
      </c>
      <c r="Y89" s="70">
        <f>[4]Sayfa1!$AQ85</f>
        <v>45346</v>
      </c>
      <c r="Z89" s="61">
        <f>[4]Sayfa1!$AR85</f>
        <v>45346.416666666664</v>
      </c>
      <c r="AA89" s="69">
        <f t="shared" si="28"/>
        <v>45346.416666666664</v>
      </c>
      <c r="AB89" s="71">
        <f t="shared" si="29"/>
        <v>1.9999999998835847</v>
      </c>
      <c r="AC89" s="60">
        <f t="shared" si="30"/>
        <v>45346</v>
      </c>
      <c r="AD89" s="61">
        <f t="shared" si="31"/>
        <v>45346.416666666664</v>
      </c>
      <c r="AE89" s="69">
        <f t="shared" si="32"/>
        <v>45346.416666666664</v>
      </c>
      <c r="AF89" s="36" t="str">
        <f>[4]Sayfa1!$AP85</f>
        <v>(II) Birden fazla karşılaşılan arıza</v>
      </c>
      <c r="AG89" s="33" t="str">
        <f>IF([4]Sayfa1!$J85="C-Uyarı, sürüş devamlılığı","Bu Arıza Aracın Servise Verilmesine Engel Değil","Bu Arıza Aracın Servise Verilmesine Engel")</f>
        <v>Bu Arıza Aracın Servise Verilmesine Engel Değil</v>
      </c>
      <c r="AH89" s="41" t="str">
        <f>[4]Sayfa1!$AB85</f>
        <v>Ekipman değiştirilecek</v>
      </c>
      <c r="AI89" s="60"/>
      <c r="AJ89" s="60"/>
      <c r="AK89" s="69">
        <f t="shared" si="33"/>
        <v>0</v>
      </c>
      <c r="AL89" s="71">
        <f t="shared" si="34"/>
        <v>119.99999999301508</v>
      </c>
      <c r="AM89" s="71">
        <f t="shared" si="35"/>
        <v>119.99999999301508</v>
      </c>
      <c r="AN89" s="72">
        <f t="shared" si="36"/>
        <v>0</v>
      </c>
      <c r="AO89" s="73" t="str">
        <f>[4]Sayfa1!$X85</f>
        <v>E410-7003</v>
      </c>
      <c r="AP89" s="72">
        <f>[4]Sayfa1!$Y85</f>
        <v>1</v>
      </c>
      <c r="AQ89" s="184" t="str">
        <f>[4]Sayfa1!$V85</f>
        <v>ATAK ULAŞIM SAN.TİC.LTD.ŞTİ.</v>
      </c>
      <c r="AR89" s="74" t="str">
        <f>[4]Sayfa1!$W85</f>
        <v>STRETCH LCD EKRAN</v>
      </c>
      <c r="AS89" s="74">
        <f>[4]Sayfa1!$AD85</f>
        <v>0</v>
      </c>
      <c r="AT89" s="60" t="str">
        <f>[4]Sayfa1!$AE85</f>
        <v/>
      </c>
      <c r="AU89" s="60" t="str">
        <f>[4]Sayfa1!$AH85</f>
        <v/>
      </c>
      <c r="AV89" s="75">
        <v>84</v>
      </c>
      <c r="AW89" s="76">
        <f t="shared" si="37"/>
        <v>21.999999998719431</v>
      </c>
      <c r="AX89" s="77" t="str">
        <f>[4]Sayfa1!$A85</f>
        <v>79c86c0d</v>
      </c>
      <c r="AY89" s="78" t="s">
        <v>114</v>
      </c>
      <c r="AZ89" s="79" t="e" vm="1">
        <f t="shared" si="38"/>
        <v>#VALUE!</v>
      </c>
    </row>
    <row r="90" spans="1:52" ht="142.9">
      <c r="A90" s="59" t="s">
        <v>145</v>
      </c>
      <c r="B90" s="59" t="str">
        <f>[4]Sayfa1!$G86</f>
        <v>3874(3)</v>
      </c>
      <c r="C90" s="184" t="str">
        <f>[4]Sayfa1!$H86</f>
        <v>RB</v>
      </c>
      <c r="D90" s="24">
        <f>[4]Sayfa1!$N86</f>
        <v>48300</v>
      </c>
      <c r="E90" s="24" t="str">
        <f>[4]Sayfa1!$B86</f>
        <v>BOZ-KAY5+6-FF-085</v>
      </c>
      <c r="F90" s="60">
        <f>[4]Sayfa1!$E86</f>
        <v>45346</v>
      </c>
      <c r="G90" s="61">
        <f>[4]Sayfa1!$F86</f>
        <v>45346.611111111109</v>
      </c>
      <c r="H90" s="59" t="str">
        <f>[4]Sayfa1!$I86</f>
        <v>Hat/Line</v>
      </c>
      <c r="I90" s="62" t="str">
        <f>IF([4]Sayfa1!$K86="SSH","Notified by Bozankaya","Notified by Customer")</f>
        <v>Notified by Customer</v>
      </c>
      <c r="J90" s="59" t="e">
        <f>VLOOKUP([4]Sayfa1!$AU86,#REF!,2,FALSE)</f>
        <v>#REF!</v>
      </c>
      <c r="K90" s="59">
        <f>[4]Sayfa1!$AC86</f>
        <v>0</v>
      </c>
      <c r="L90" s="63" t="str">
        <f t="shared" si="26"/>
        <v>KAY_5+37-BOZ-KAY5+6-FF-085</v>
      </c>
      <c r="M90" s="64" t="str">
        <f>[4]Sayfa1!$L86</f>
        <v>RB HVAC KONDANSER FAN SÜRTME YAPIYOR.</v>
      </c>
      <c r="N90" s="33" t="str">
        <f>[4]Sayfa1!$J86</f>
        <v>A-Sürüşü engeller</v>
      </c>
      <c r="O90" s="33" t="str">
        <f>[4]Sayfa1!$P86</f>
        <v>B(Servisten çekmeye etki eden arızalar)</v>
      </c>
      <c r="P90" s="33" t="str">
        <f>[4]Sayfa1!$Q86</f>
        <v>N.A(Yaralanma yok)</v>
      </c>
      <c r="Q90" s="65" t="str" cm="1">
        <f t="array" ref="Q90">_xlfn.IFS([4]Sayfa1!$R86="Bozankaya","Bozankaya",[4]Sayfa1!$R86="İşletme","Customer",[4]Sayfa1!$R86="Tedarikçi","Equipment Supplier")</f>
        <v>Equipment Supplier</v>
      </c>
      <c r="R90" s="66" t="str">
        <f>[4]Sayfa1!$M86</f>
        <v>KONDANSER FAN DEĞİŞİMİ YAPILDI.</v>
      </c>
      <c r="S90" s="36" t="str">
        <f>[4]Sayfa1!$S86</f>
        <v>Eltesan</v>
      </c>
      <c r="T90" s="67">
        <f>[4]Sayfa1!$Z86</f>
        <v>0</v>
      </c>
      <c r="U90" s="68">
        <f>[4]Sayfa1!$AN86</f>
        <v>1</v>
      </c>
      <c r="V90" s="60">
        <f>[4]Sayfa1!$T86</f>
        <v>45346</v>
      </c>
      <c r="W90" s="61">
        <f>[4]Sayfa1!$U86</f>
        <v>45346.612222222226</v>
      </c>
      <c r="X90" s="69">
        <f t="shared" si="27"/>
        <v>45346.612222222226</v>
      </c>
      <c r="Y90" s="70">
        <f>[4]Sayfa1!$AQ86</f>
        <v>45346</v>
      </c>
      <c r="Z90" s="61">
        <f>[4]Sayfa1!$AR86</f>
        <v>45346.75</v>
      </c>
      <c r="AA90" s="69">
        <f t="shared" si="28"/>
        <v>45346.75</v>
      </c>
      <c r="AB90" s="71">
        <f t="shared" si="29"/>
        <v>0</v>
      </c>
      <c r="AC90" s="60">
        <f t="shared" si="30"/>
        <v>45346</v>
      </c>
      <c r="AD90" s="61">
        <f t="shared" si="31"/>
        <v>45346.75</v>
      </c>
      <c r="AE90" s="69">
        <f t="shared" si="32"/>
        <v>45346.75</v>
      </c>
      <c r="AF90" s="36" t="str">
        <f>[4]Sayfa1!$AP86</f>
        <v>(I) İlk defa karşılaşılan arıza</v>
      </c>
      <c r="AG90" s="33" t="str">
        <f>IF([4]Sayfa1!$J86="C-Uyarı, sürüş devamlılığı","Bu Arıza Aracın Servise Verilmesine Engel Değil","Bu Arıza Aracın Servise Verilmesine Engel")</f>
        <v>Bu Arıza Aracın Servise Verilmesine Engel</v>
      </c>
      <c r="AH90" s="41" t="str">
        <f>[4]Sayfa1!$AB86</f>
        <v>Ekipman değiştirilecek</v>
      </c>
      <c r="AI90" s="60"/>
      <c r="AJ90" s="60"/>
      <c r="AK90" s="69">
        <f t="shared" si="33"/>
        <v>0</v>
      </c>
      <c r="AL90" s="71">
        <f t="shared" si="34"/>
        <v>0</v>
      </c>
      <c r="AM90" s="71">
        <f t="shared" si="35"/>
        <v>0</v>
      </c>
      <c r="AN90" s="72">
        <f t="shared" si="36"/>
        <v>0</v>
      </c>
      <c r="AO90" s="73" t="str">
        <f>[4]Sayfa1!$X86</f>
        <v>H500-7240</v>
      </c>
      <c r="AP90" s="72">
        <f>[4]Sayfa1!$Y86</f>
        <v>0</v>
      </c>
      <c r="AQ90" s="184" t="str">
        <f>[4]Sayfa1!$V86</f>
        <v>ELTESAN ELEKTRO MEKANİK SOĞUTMA SAN</v>
      </c>
      <c r="AR90" s="74" t="str">
        <f>[4]Sayfa1!$W86</f>
        <v>KLIMA UNITESİ /Eltesan/Hispacold 41,5 kW</v>
      </c>
      <c r="AS90" s="74">
        <f>[4]Sayfa1!$AD86</f>
        <v>0</v>
      </c>
      <c r="AT90" s="60" t="str">
        <f>[4]Sayfa1!$AE86</f>
        <v/>
      </c>
      <c r="AU90" s="60" t="str">
        <f>[4]Sayfa1!$AH86</f>
        <v/>
      </c>
      <c r="AV90" s="75">
        <v>85</v>
      </c>
      <c r="AW90" s="76">
        <f t="shared" si="37"/>
        <v>0</v>
      </c>
      <c r="AX90" s="77" t="str">
        <f>[4]Sayfa1!$A86</f>
        <v>5cba2a56</v>
      </c>
      <c r="AY90" s="78" t="s">
        <v>114</v>
      </c>
      <c r="AZ90" s="79" t="e" vm="1">
        <f t="shared" si="38"/>
        <v>#VALUE!</v>
      </c>
    </row>
    <row r="91" spans="1:52" ht="142.9">
      <c r="A91" s="59" t="s">
        <v>146</v>
      </c>
      <c r="B91" s="59" t="str">
        <f>[4]Sayfa1!$G87</f>
        <v>3874(3)</v>
      </c>
      <c r="C91" s="184" t="str">
        <f>[4]Sayfa1!$H87</f>
        <v>RA</v>
      </c>
      <c r="D91" s="24">
        <f>[4]Sayfa1!$N87</f>
        <v>48122</v>
      </c>
      <c r="E91" s="24" t="str">
        <f>[4]Sayfa1!$B87</f>
        <v>BOZ-KAY5+6-FF-086</v>
      </c>
      <c r="F91" s="60">
        <f>[4]Sayfa1!$E87</f>
        <v>45347</v>
      </c>
      <c r="G91" s="61">
        <f>[4]Sayfa1!$F87</f>
        <v>45347.322916666664</v>
      </c>
      <c r="H91" s="59" t="str">
        <f>[4]Sayfa1!$I87</f>
        <v>Hat/Line</v>
      </c>
      <c r="I91" s="62" t="str">
        <f>IF([4]Sayfa1!$K87="SSH","Notified by Bozankaya","Notified by Customer")</f>
        <v>Notified by Customer</v>
      </c>
      <c r="J91" s="59" t="e">
        <f>VLOOKUP([4]Sayfa1!$AU87,#REF!,2,FALSE)</f>
        <v>#REF!</v>
      </c>
      <c r="K91" s="59">
        <f>[4]Sayfa1!$AC87</f>
        <v>0</v>
      </c>
      <c r="L91" s="63" t="str">
        <f t="shared" si="26"/>
        <v>KAY_5+38-BOZ-KAY5+6-FF-086</v>
      </c>
      <c r="M91" s="64" t="str">
        <f>[4]Sayfa1!$L87</f>
        <v>CA KABİN IMU ÇALIŞMIYOR</v>
      </c>
      <c r="N91" s="33" t="str">
        <f>[4]Sayfa1!$J87</f>
        <v>A-Sürüşü engeller</v>
      </c>
      <c r="O91" s="33" t="str">
        <f>[4]Sayfa1!$P87</f>
        <v>B(Servisten çekmeye etki eden arızalar)</v>
      </c>
      <c r="P91" s="33" t="str">
        <f>[4]Sayfa1!$Q87</f>
        <v>N.A(Yaralanma yok)</v>
      </c>
      <c r="Q91" s="65" t="str" cm="1">
        <f t="array" ref="Q91">_xlfn.IFS([4]Sayfa1!$R87="Bozankaya","Bozankaya",[4]Sayfa1!$R87="İşletme","Customer",[4]Sayfa1!$R87="Tedarikçi","Equipment Supplier")</f>
        <v>Equipment Supplier</v>
      </c>
      <c r="R91" s="66" t="str">
        <f>[4]Sayfa1!$M87</f>
        <v>AU300 DEĞİŞİMİ YAPILDI</v>
      </c>
      <c r="S91" s="36" t="str">
        <f>[4]Sayfa1!$S87</f>
        <v>Atak</v>
      </c>
      <c r="T91" s="67">
        <f>[4]Sayfa1!$Z87</f>
        <v>0</v>
      </c>
      <c r="U91" s="68">
        <f>[4]Sayfa1!$AN87</f>
        <v>1</v>
      </c>
      <c r="V91" s="60">
        <f>[4]Sayfa1!$T87</f>
        <v>45347</v>
      </c>
      <c r="W91" s="61">
        <f>[4]Sayfa1!$U87</f>
        <v>45347.375</v>
      </c>
      <c r="X91" s="69">
        <f t="shared" si="27"/>
        <v>45347.375</v>
      </c>
      <c r="Y91" s="70">
        <f>[4]Sayfa1!$AQ87</f>
        <v>45347</v>
      </c>
      <c r="Z91" s="61">
        <f>[4]Sayfa1!$AR87</f>
        <v>45347.5</v>
      </c>
      <c r="AA91" s="69">
        <f t="shared" si="28"/>
        <v>45347.5</v>
      </c>
      <c r="AB91" s="71">
        <f t="shared" si="29"/>
        <v>0</v>
      </c>
      <c r="AC91" s="60">
        <f t="shared" si="30"/>
        <v>45347</v>
      </c>
      <c r="AD91" s="61">
        <f t="shared" si="31"/>
        <v>45347.5</v>
      </c>
      <c r="AE91" s="69">
        <f t="shared" si="32"/>
        <v>45347.5</v>
      </c>
      <c r="AF91" s="36" t="str">
        <f>[4]Sayfa1!$AP87</f>
        <v>(II) Birden fazla karşılaşılan arıza</v>
      </c>
      <c r="AG91" s="33" t="str">
        <f>IF([4]Sayfa1!$J87="C-Uyarı, sürüş devamlılığı","Bu Arıza Aracın Servise Verilmesine Engel Değil","Bu Arıza Aracın Servise Verilmesine Engel")</f>
        <v>Bu Arıza Aracın Servise Verilmesine Engel</v>
      </c>
      <c r="AH91" s="41" t="str">
        <f>[4]Sayfa1!$AB87</f>
        <v>Ekipman değiştirilecek</v>
      </c>
      <c r="AI91" s="60"/>
      <c r="AJ91" s="60"/>
      <c r="AK91" s="69">
        <f t="shared" si="33"/>
        <v>0</v>
      </c>
      <c r="AL91" s="71">
        <f t="shared" si="34"/>
        <v>0</v>
      </c>
      <c r="AM91" s="71">
        <f t="shared" si="35"/>
        <v>0</v>
      </c>
      <c r="AN91" s="72">
        <f t="shared" si="36"/>
        <v>0</v>
      </c>
      <c r="AO91" s="73" t="str">
        <f>[4]Sayfa1!$X87</f>
        <v>E840-7002</v>
      </c>
      <c r="AP91" s="72">
        <f>[4]Sayfa1!$Y87</f>
        <v>1</v>
      </c>
      <c r="AQ91" s="184" t="str">
        <f>[4]Sayfa1!$V87</f>
        <v>ATAK ULAŞIM SAN.TİC.LTD.ŞTİ.</v>
      </c>
      <c r="AR91" s="74" t="str">
        <f>[4]Sayfa1!$W87</f>
        <v>Merkez Ünite AU300 (train bus, vehicle b</v>
      </c>
      <c r="AS91" s="74">
        <f>[4]Sayfa1!$AD87</f>
        <v>0</v>
      </c>
      <c r="AT91" s="60" t="str">
        <f>[4]Sayfa1!$AE87</f>
        <v/>
      </c>
      <c r="AU91" s="60" t="str">
        <f>[4]Sayfa1!$AH87</f>
        <v/>
      </c>
      <c r="AV91" s="75">
        <v>86</v>
      </c>
      <c r="AW91" s="76">
        <f t="shared" si="37"/>
        <v>0</v>
      </c>
      <c r="AX91" s="77" t="str">
        <f>[4]Sayfa1!$A87</f>
        <v>210e8c24</v>
      </c>
      <c r="AY91" s="78" t="s">
        <v>114</v>
      </c>
      <c r="AZ91" s="79" t="e" vm="1">
        <f t="shared" si="38"/>
        <v>#VALUE!</v>
      </c>
    </row>
    <row r="92" spans="1:52" ht="142.9">
      <c r="A92" s="59" t="s">
        <v>147</v>
      </c>
      <c r="B92" s="59" t="str">
        <f>[4]Sayfa1!$G88</f>
        <v>3876(5)</v>
      </c>
      <c r="C92" s="184" t="str">
        <f>[4]Sayfa1!$H88</f>
        <v>RA</v>
      </c>
      <c r="D92" s="24">
        <f>[4]Sayfa1!$N88</f>
        <v>48152</v>
      </c>
      <c r="E92" s="24" t="str">
        <f>[4]Sayfa1!$B88</f>
        <v>BOZ-KAY5+6-FF-087</v>
      </c>
      <c r="F92" s="60">
        <f>[4]Sayfa1!$E88</f>
        <v>45347</v>
      </c>
      <c r="G92" s="61">
        <f>[4]Sayfa1!$F88</f>
        <v>45347.675000000003</v>
      </c>
      <c r="H92" s="59" t="str">
        <f>[4]Sayfa1!$I88</f>
        <v>Hat/Line</v>
      </c>
      <c r="I92" s="62" t="str">
        <f>IF([4]Sayfa1!$K88="SSH","Notified by Bozankaya","Notified by Customer")</f>
        <v>Notified by Customer</v>
      </c>
      <c r="J92" s="59" t="e">
        <f>VLOOKUP([4]Sayfa1!$AU88,#REF!,2,FALSE)</f>
        <v>#REF!</v>
      </c>
      <c r="K92" s="59">
        <f>[4]Sayfa1!$AC88</f>
        <v>0</v>
      </c>
      <c r="L92" s="63" t="str">
        <f t="shared" si="26"/>
        <v>KAY_5+39-BOZ-KAY5+6-FF-087</v>
      </c>
      <c r="M92" s="64" t="str">
        <f>[4]Sayfa1!$L88</f>
        <v>IMU SİSTEMİ ÇALIŞMIYOR AU300 HABERLEŞMESİ YOK</v>
      </c>
      <c r="N92" s="33" t="str">
        <f>[4]Sayfa1!$J88</f>
        <v>A-Sürüşü engeller</v>
      </c>
      <c r="O92" s="33" t="str">
        <f>[4]Sayfa1!$P88</f>
        <v>B(Servisten çekmeye etki eden arızalar)</v>
      </c>
      <c r="P92" s="33" t="str">
        <f>[4]Sayfa1!$Q88</f>
        <v>N.A(Yaralanma yok)</v>
      </c>
      <c r="Q92" s="65" t="str" cm="1">
        <f t="array" ref="Q92">_xlfn.IFS([4]Sayfa1!$R88="Bozankaya","Bozankaya",[4]Sayfa1!$R88="İşletme","Customer",[4]Sayfa1!$R88="Tedarikçi","Equipment Supplier")</f>
        <v>Equipment Supplier</v>
      </c>
      <c r="R92" s="66" t="str">
        <f>[4]Sayfa1!$M88</f>
        <v>AU300 DEĞİŞİMİ YAPILDI</v>
      </c>
      <c r="S92" s="36" t="str">
        <f>[4]Sayfa1!$S88</f>
        <v>Atak</v>
      </c>
      <c r="T92" s="67">
        <f>[4]Sayfa1!$Z88</f>
        <v>0</v>
      </c>
      <c r="U92" s="68">
        <f>[4]Sayfa1!$AN88</f>
        <v>1</v>
      </c>
      <c r="V92" s="60">
        <f>[4]Sayfa1!$T88</f>
        <v>45347</v>
      </c>
      <c r="W92" s="61">
        <f>[4]Sayfa1!$U88</f>
        <v>45347.6875</v>
      </c>
      <c r="X92" s="69">
        <f t="shared" si="27"/>
        <v>45347.6875</v>
      </c>
      <c r="Y92" s="70">
        <f>[4]Sayfa1!$AQ88</f>
        <v>45347</v>
      </c>
      <c r="Z92" s="61">
        <f>[4]Sayfa1!$AR88</f>
        <v>45347.75</v>
      </c>
      <c r="AA92" s="69">
        <f t="shared" si="28"/>
        <v>45347.75</v>
      </c>
      <c r="AB92" s="71">
        <f t="shared" si="29"/>
        <v>0</v>
      </c>
      <c r="AC92" s="60">
        <f t="shared" si="30"/>
        <v>45347</v>
      </c>
      <c r="AD92" s="61">
        <f t="shared" si="31"/>
        <v>45347.75</v>
      </c>
      <c r="AE92" s="69">
        <f t="shared" si="32"/>
        <v>45347.75</v>
      </c>
      <c r="AF92" s="36" t="str">
        <f>[4]Sayfa1!$AP88</f>
        <v>(II) Birden fazla karşılaşılan arıza</v>
      </c>
      <c r="AG92" s="33" t="str">
        <f>IF([4]Sayfa1!$J88="C-Uyarı, sürüş devamlılığı","Bu Arıza Aracın Servise Verilmesine Engel Değil","Bu Arıza Aracın Servise Verilmesine Engel")</f>
        <v>Bu Arıza Aracın Servise Verilmesine Engel</v>
      </c>
      <c r="AH92" s="41" t="str">
        <f>[4]Sayfa1!$AB88</f>
        <v>Ekipman değiştirilecek</v>
      </c>
      <c r="AI92" s="60"/>
      <c r="AJ92" s="60"/>
      <c r="AK92" s="69">
        <f t="shared" si="33"/>
        <v>0</v>
      </c>
      <c r="AL92" s="71">
        <f t="shared" si="34"/>
        <v>0</v>
      </c>
      <c r="AM92" s="71">
        <f t="shared" si="35"/>
        <v>0</v>
      </c>
      <c r="AN92" s="72">
        <f t="shared" si="36"/>
        <v>0</v>
      </c>
      <c r="AO92" s="73" t="str">
        <f>[4]Sayfa1!$X88</f>
        <v>E840-7002</v>
      </c>
      <c r="AP92" s="72">
        <f>[4]Sayfa1!$Y88</f>
        <v>0</v>
      </c>
      <c r="AQ92" s="184" t="str">
        <f>[4]Sayfa1!$V88</f>
        <v>ATAK ULAŞIM SAN.TİC.LTD.ŞTİ.</v>
      </c>
      <c r="AR92" s="74" t="str">
        <f>[4]Sayfa1!$W88</f>
        <v>Merkez Ünite AU300 (train bus, vehicle b</v>
      </c>
      <c r="AS92" s="74">
        <f>[4]Sayfa1!$AD88</f>
        <v>0</v>
      </c>
      <c r="AT92" s="60" t="str">
        <f>[4]Sayfa1!$AE88</f>
        <v/>
      </c>
      <c r="AU92" s="60" t="str">
        <f>[4]Sayfa1!$AH88</f>
        <v/>
      </c>
      <c r="AV92" s="75">
        <v>87</v>
      </c>
      <c r="AW92" s="76">
        <f t="shared" si="37"/>
        <v>0</v>
      </c>
      <c r="AX92" s="77">
        <f>[4]Sayfa1!$A88</f>
        <v>68871541</v>
      </c>
      <c r="AY92" s="78" t="s">
        <v>114</v>
      </c>
      <c r="AZ92" s="79" t="e" vm="1">
        <f t="shared" si="38"/>
        <v>#VALUE!</v>
      </c>
    </row>
    <row r="93" spans="1:52" ht="262.14999999999998">
      <c r="A93" s="59" t="s">
        <v>148</v>
      </c>
      <c r="B93" s="59" t="str">
        <f>[4]Sayfa1!$G89</f>
        <v>3878(7)</v>
      </c>
      <c r="C93" s="184" t="str">
        <f>[4]Sayfa1!$H89</f>
        <v>MB</v>
      </c>
      <c r="D93" s="24">
        <f>[4]Sayfa1!$N89</f>
        <v>17328</v>
      </c>
      <c r="E93" s="24" t="str">
        <f>[4]Sayfa1!$B89</f>
        <v>BOZ-KAY5+6-FF-088</v>
      </c>
      <c r="F93" s="60">
        <f>[4]Sayfa1!$E89</f>
        <v>45348</v>
      </c>
      <c r="G93" s="61">
        <f>[4]Sayfa1!$F89</f>
        <v>45348.583333333336</v>
      </c>
      <c r="H93" s="59" t="str">
        <f>[4]Sayfa1!$I89</f>
        <v>Hat/Line</v>
      </c>
      <c r="I93" s="62" t="str">
        <f>IF([4]Sayfa1!$K89="SSH","Notified by Bozankaya","Notified by Customer")</f>
        <v>Notified by Customer</v>
      </c>
      <c r="J93" s="59" t="e">
        <f>VLOOKUP([4]Sayfa1!$AU89,#REF!,2,FALSE)</f>
        <v>#REF!</v>
      </c>
      <c r="K93" s="59">
        <f>[4]Sayfa1!$AC89</f>
        <v>0</v>
      </c>
      <c r="L93" s="63" t="str">
        <f t="shared" si="26"/>
        <v>KAY_5+40-BOZ-KAY5+6-FF-088</v>
      </c>
      <c r="M93" s="64" t="str">
        <f>[4]Sayfa1!$L89</f>
        <v>ARAÇ KAPISI SERBESTE ALINDIĞINDA HSCB AÇIYOR.</v>
      </c>
      <c r="N93" s="33" t="str">
        <f>[4]Sayfa1!$J89</f>
        <v>A-Sürüşü engeller</v>
      </c>
      <c r="O93" s="33" t="str">
        <f>[4]Sayfa1!$P89</f>
        <v>A(Hareket etmeyi engelleyen arıza)</v>
      </c>
      <c r="P93" s="33" t="str">
        <f>[4]Sayfa1!$Q89</f>
        <v>N.A(Yaralanma yok)</v>
      </c>
      <c r="Q93" s="65" t="str" cm="1">
        <f t="array" ref="Q93">_xlfn.IFS([4]Sayfa1!$R89="Bozankaya","Bozankaya",[4]Sayfa1!$R89="İşletme","Customer",[4]Sayfa1!$R89="Tedarikçi","Equipment Supplier")</f>
        <v>Bozankaya</v>
      </c>
      <c r="R93" s="66" t="str">
        <f>[4]Sayfa1!$M89</f>
        <v>KUPLÖRÜN ALTINDAKİ KABLOLARDA YERE SÜRTMEKTEN DOLAYI DEFORMASYON YAŞANMIŞ. ARIZA BU DURUMDAN KAYNAKLIDIR.</v>
      </c>
      <c r="S93" s="36" t="str">
        <f>[4]Sayfa1!$S89</f>
        <v>Üretim</v>
      </c>
      <c r="T93" s="67">
        <f>[4]Sayfa1!$Z89</f>
        <v>0</v>
      </c>
      <c r="U93" s="68">
        <f>[4]Sayfa1!$AN89</f>
        <v>1</v>
      </c>
      <c r="V93" s="60">
        <f>[4]Sayfa1!$T89</f>
        <v>45526</v>
      </c>
      <c r="W93" s="61">
        <f>[4]Sayfa1!$U89</f>
        <v>45526.407418981478</v>
      </c>
      <c r="X93" s="69">
        <f t="shared" si="27"/>
        <v>45526.407418981478</v>
      </c>
      <c r="Y93" s="70">
        <f>[4]Sayfa1!$AQ89</f>
        <v>45526</v>
      </c>
      <c r="Z93" s="61">
        <f>[4]Sayfa1!$AR89</f>
        <v>45526.541666666664</v>
      </c>
      <c r="AA93" s="69">
        <f t="shared" si="28"/>
        <v>45526.541666666664</v>
      </c>
      <c r="AB93" s="71">
        <f t="shared" si="29"/>
        <v>3.2219444444635883</v>
      </c>
      <c r="AC93" s="60">
        <f t="shared" si="30"/>
        <v>45526</v>
      </c>
      <c r="AD93" s="61">
        <f t="shared" si="31"/>
        <v>45526.541666666664</v>
      </c>
      <c r="AE93" s="69">
        <f t="shared" si="32"/>
        <v>45526.541666666664</v>
      </c>
      <c r="AF93" s="36" t="str">
        <f>[4]Sayfa1!$AP89</f>
        <v>(I) İlk defa karşılaşılan arıza</v>
      </c>
      <c r="AG93" s="33" t="str">
        <f>IF([4]Sayfa1!$J89="C-Uyarı, sürüş devamlılığı","Bu Arıza Aracın Servise Verilmesine Engel Değil","Bu Arıza Aracın Servise Verilmesine Engel")</f>
        <v>Bu Arıza Aracın Servise Verilmesine Engel</v>
      </c>
      <c r="AH93" s="41" t="str">
        <f>[4]Sayfa1!$AB89</f>
        <v>Ekipman değiştirilecek</v>
      </c>
      <c r="AI93" s="60"/>
      <c r="AJ93" s="60"/>
      <c r="AK93" s="69">
        <f t="shared" si="33"/>
        <v>0</v>
      </c>
      <c r="AL93" s="71">
        <f t="shared" si="34"/>
        <v>193.3166666678153</v>
      </c>
      <c r="AM93" s="71">
        <f t="shared" si="35"/>
        <v>193.3166666678153</v>
      </c>
      <c r="AN93" s="72">
        <f t="shared" si="36"/>
        <v>0</v>
      </c>
      <c r="AO93" s="73" t="str">
        <f>[4]Sayfa1!$X89</f>
        <v>M350-7062</v>
      </c>
      <c r="AP93" s="72">
        <f>[4]Sayfa1!$Y89</f>
        <v>0</v>
      </c>
      <c r="AQ93" s="184" t="str">
        <f>[4]Sayfa1!$V89</f>
        <v>DELLNER COUPLERC AB</v>
      </c>
      <c r="AR93" s="74" t="str">
        <f>[4]Sayfa1!$W89</f>
        <v>OTOMATIK KUPLÖR DELLNER</v>
      </c>
      <c r="AS93" s="74">
        <f>[4]Sayfa1!$AD89</f>
        <v>0</v>
      </c>
      <c r="AT93" s="60" t="str">
        <f>[4]Sayfa1!$AE89</f>
        <v/>
      </c>
      <c r="AU93" s="60" t="str">
        <f>[4]Sayfa1!$AH89</f>
        <v/>
      </c>
      <c r="AV93" s="75">
        <v>88</v>
      </c>
      <c r="AW93" s="76">
        <f t="shared" si="37"/>
        <v>35.441388889099471</v>
      </c>
      <c r="AX93" s="77" t="str">
        <f>[4]Sayfa1!$A89</f>
        <v>664ab156</v>
      </c>
      <c r="AY93" s="78" t="s">
        <v>114</v>
      </c>
      <c r="AZ93" s="79" t="e" vm="1">
        <f t="shared" si="38"/>
        <v>#VALUE!</v>
      </c>
    </row>
    <row r="94" spans="1:52" ht="211.15">
      <c r="A94" s="59" t="s">
        <v>149</v>
      </c>
      <c r="B94" s="59" t="str">
        <f>[4]Sayfa1!$G90</f>
        <v>3872(1)</v>
      </c>
      <c r="C94" s="184" t="str">
        <f>[4]Sayfa1!$H90</f>
        <v>MB</v>
      </c>
      <c r="D94" s="24">
        <f>[4]Sayfa1!$N90</f>
        <v>40253</v>
      </c>
      <c r="E94" s="24" t="str">
        <f>[4]Sayfa1!$B90</f>
        <v>BOZ-KAY5+6-FF-089</v>
      </c>
      <c r="F94" s="60">
        <f>[4]Sayfa1!$E90</f>
        <v>45349</v>
      </c>
      <c r="G94" s="61">
        <f>[4]Sayfa1!$F90</f>
        <v>45349.875</v>
      </c>
      <c r="H94" s="59" t="str">
        <f>[4]Sayfa1!$I90</f>
        <v>Hat/Line</v>
      </c>
      <c r="I94" s="62" t="str">
        <f>IF([4]Sayfa1!$K90="SSH","Notified by Bozankaya","Notified by Customer")</f>
        <v>Notified by Customer</v>
      </c>
      <c r="J94" s="59" t="e">
        <f>VLOOKUP([4]Sayfa1!$AU90,#REF!,2,FALSE)</f>
        <v>#REF!</v>
      </c>
      <c r="K94" s="59">
        <f>[4]Sayfa1!$AC90</f>
        <v>0</v>
      </c>
      <c r="L94" s="63" t="str">
        <f t="shared" si="26"/>
        <v>KAY_5+41-BOZ-KAY5+6-FF-089</v>
      </c>
      <c r="M94" s="64" t="str">
        <f>[4]Sayfa1!$L90</f>
        <v>ARAÇ VİCOSTA 3874 OLARAK GÖRÜNÜYOR</v>
      </c>
      <c r="N94" s="33" t="str">
        <f>[4]Sayfa1!$J90</f>
        <v>C-Uyarı, sürüş devamlılığı</v>
      </c>
      <c r="O94" s="33" t="str">
        <f>[4]Sayfa1!$P90</f>
        <v>C(Sisteme etki etmeyen arıza)</v>
      </c>
      <c r="P94" s="33" t="str">
        <f>[4]Sayfa1!$Q90</f>
        <v>N.A(Yaralanma yok)</v>
      </c>
      <c r="Q94" s="65" t="str" cm="1">
        <f t="array" ref="Q94">_xlfn.IFS([4]Sayfa1!$R90="Bozankaya","Bozankaya",[4]Sayfa1!$R90="İşletme","Customer",[4]Sayfa1!$R90="Tedarikçi","Equipment Supplier")</f>
        <v>Equipment Supplier</v>
      </c>
      <c r="R94" s="66" t="str">
        <f>[4]Sayfa1!$M90</f>
        <v>ST300 ÜZERİNDEN ARAÇ NUMARASI GÜNCELLENDİ</v>
      </c>
      <c r="S94" s="36" t="str">
        <f>[4]Sayfa1!$S90</f>
        <v>Atak</v>
      </c>
      <c r="T94" s="67">
        <f>[4]Sayfa1!$Z90</f>
        <v>0</v>
      </c>
      <c r="U94" s="68">
        <f>[4]Sayfa1!$AN90</f>
        <v>1</v>
      </c>
      <c r="V94" s="60">
        <f>[4]Sayfa1!$T90</f>
        <v>45350</v>
      </c>
      <c r="W94" s="61">
        <f>[4]Sayfa1!$U90</f>
        <v>45350.333333333336</v>
      </c>
      <c r="X94" s="69">
        <f t="shared" si="27"/>
        <v>45350.333333333336</v>
      </c>
      <c r="Y94" s="70">
        <f>[4]Sayfa1!$AQ90</f>
        <v>45350</v>
      </c>
      <c r="Z94" s="61">
        <f>[4]Sayfa1!$AR90</f>
        <v>45350.375</v>
      </c>
      <c r="AA94" s="69">
        <f t="shared" si="28"/>
        <v>45350.375</v>
      </c>
      <c r="AB94" s="71">
        <f t="shared" si="29"/>
        <v>0.99999999994179234</v>
      </c>
      <c r="AC94" s="60">
        <f t="shared" si="30"/>
        <v>45350</v>
      </c>
      <c r="AD94" s="61">
        <f t="shared" si="31"/>
        <v>45350.375</v>
      </c>
      <c r="AE94" s="69">
        <f t="shared" si="32"/>
        <v>45350.375</v>
      </c>
      <c r="AF94" s="36" t="str">
        <f>[4]Sayfa1!$AP90</f>
        <v>(II) Birden fazla karşılaşılan arıza</v>
      </c>
      <c r="AG94" s="33" t="str">
        <f>IF([4]Sayfa1!$J90="C-Uyarı, sürüş devamlılığı","Bu Arıza Aracın Servise Verilmesine Engel Değil","Bu Arıza Aracın Servise Verilmesine Engel")</f>
        <v>Bu Arıza Aracın Servise Verilmesine Engel Değil</v>
      </c>
      <c r="AH94" s="41" t="str">
        <f>[4]Sayfa1!$AB90</f>
        <v>Ekipman değiştirilecek</v>
      </c>
      <c r="AI94" s="60"/>
      <c r="AJ94" s="60"/>
      <c r="AK94" s="69">
        <f t="shared" si="33"/>
        <v>0</v>
      </c>
      <c r="AL94" s="71">
        <f t="shared" si="34"/>
        <v>59.99999999650754</v>
      </c>
      <c r="AM94" s="71">
        <f t="shared" si="35"/>
        <v>59.99999999650754</v>
      </c>
      <c r="AN94" s="72">
        <f t="shared" si="36"/>
        <v>0</v>
      </c>
      <c r="AO94" s="73" t="str">
        <f>[4]Sayfa1!$X90</f>
        <v>E840-7003</v>
      </c>
      <c r="AP94" s="72">
        <f>[4]Sayfa1!$Y90</f>
        <v>1</v>
      </c>
      <c r="AQ94" s="184" t="str">
        <f>[4]Sayfa1!$V90</f>
        <v>ATAK ULAŞIM SAN.TİC.LTD.ŞTİ.</v>
      </c>
      <c r="AR94" s="74" t="str">
        <f>[4]Sayfa1!$W90</f>
        <v>SÜRÜCÜ PANELİ ST300W</v>
      </c>
      <c r="AS94" s="74">
        <f>[4]Sayfa1!$AD90</f>
        <v>0</v>
      </c>
      <c r="AT94" s="60" t="str">
        <f>[4]Sayfa1!$AE90</f>
        <v/>
      </c>
      <c r="AU94" s="60" t="str">
        <f>[4]Sayfa1!$AH90</f>
        <v/>
      </c>
      <c r="AV94" s="75">
        <v>89</v>
      </c>
      <c r="AW94" s="76">
        <f t="shared" si="37"/>
        <v>10.999999999359716</v>
      </c>
      <c r="AX94" s="77" t="str">
        <f>[4]Sayfa1!$A90</f>
        <v>66ef4fa5</v>
      </c>
      <c r="AY94" s="78" t="s">
        <v>114</v>
      </c>
      <c r="AZ94" s="79" t="e" vm="1">
        <f t="shared" si="38"/>
        <v>#VALUE!</v>
      </c>
    </row>
    <row r="95" spans="1:52" ht="142.9">
      <c r="A95" s="59" t="s">
        <v>150</v>
      </c>
      <c r="B95" s="59" t="str">
        <f>[4]Sayfa1!$G91</f>
        <v>3875(4)</v>
      </c>
      <c r="C95" s="184" t="str">
        <f>[4]Sayfa1!$H91</f>
        <v>MA</v>
      </c>
      <c r="D95" s="24">
        <f>[4]Sayfa1!$N91</f>
        <v>48853</v>
      </c>
      <c r="E95" s="24" t="str">
        <f>[4]Sayfa1!$B91</f>
        <v>BOZ-KAY5+6-FF-090</v>
      </c>
      <c r="F95" s="60">
        <f>[4]Sayfa1!$E91</f>
        <v>45349</v>
      </c>
      <c r="G95" s="61">
        <f>[4]Sayfa1!$F91</f>
        <v>45349.934027777781</v>
      </c>
      <c r="H95" s="59" t="str">
        <f>[4]Sayfa1!$I91</f>
        <v>Hat/Line</v>
      </c>
      <c r="I95" s="62" t="str">
        <f>IF([4]Sayfa1!$K91="SSH","Notified by Bozankaya","Notified by Customer")</f>
        <v>Notified by Customer</v>
      </c>
      <c r="J95" s="59" t="e">
        <f>VLOOKUP([4]Sayfa1!$AU91,#REF!,2,FALSE)</f>
        <v>#REF!</v>
      </c>
      <c r="K95" s="59">
        <f>[4]Sayfa1!$AC91</f>
        <v>0</v>
      </c>
      <c r="L95" s="63" t="str">
        <f t="shared" si="26"/>
        <v>KAY_5+42-BOZ-KAY5+6-FF-090</v>
      </c>
      <c r="M95" s="64" t="str">
        <f>[4]Sayfa1!$L91</f>
        <v>ARAÇ NUMARASI IMUDA 82 OLARAK GÖRÜNÜYOR</v>
      </c>
      <c r="N95" s="33" t="str">
        <f>[4]Sayfa1!$J91</f>
        <v>A-Sürüşü engeller</v>
      </c>
      <c r="O95" s="33" t="str">
        <f>[4]Sayfa1!$P91</f>
        <v>C(Sisteme etki etmeyen arıza)</v>
      </c>
      <c r="P95" s="33" t="str">
        <f>[4]Sayfa1!$Q91</f>
        <v>N.A(Yaralanma yok)</v>
      </c>
      <c r="Q95" s="65" t="str" cm="1">
        <f t="array" ref="Q95">_xlfn.IFS([4]Sayfa1!$R91="Bozankaya","Bozankaya",[4]Sayfa1!$R91="İşletme","Customer",[4]Sayfa1!$R91="Tedarikçi","Equipment Supplier")</f>
        <v>Equipment Supplier</v>
      </c>
      <c r="R95" s="66" t="str">
        <f>[4]Sayfa1!$M91</f>
        <v>ST300 ÜZERİNDEN ARAÇ NUMARASI GÜNCELLENDİ</v>
      </c>
      <c r="S95" s="36" t="str">
        <f>[4]Sayfa1!$S91</f>
        <v>Atak</v>
      </c>
      <c r="T95" s="67">
        <f>[4]Sayfa1!$Z91</f>
        <v>0</v>
      </c>
      <c r="U95" s="68">
        <f>[4]Sayfa1!$AN91</f>
        <v>1</v>
      </c>
      <c r="V95" s="60">
        <f>[4]Sayfa1!$T91</f>
        <v>45349</v>
      </c>
      <c r="W95" s="61">
        <f>[4]Sayfa1!$U91</f>
        <v>45349.9375</v>
      </c>
      <c r="X95" s="69">
        <f t="shared" si="27"/>
        <v>45349.9375</v>
      </c>
      <c r="Y95" s="70">
        <f>[4]Sayfa1!$AQ91</f>
        <v>45350</v>
      </c>
      <c r="Z95" s="61">
        <f>[4]Sayfa1!$AR91</f>
        <v>45350</v>
      </c>
      <c r="AA95" s="69">
        <f t="shared" si="28"/>
        <v>45350</v>
      </c>
      <c r="AB95" s="71">
        <f t="shared" si="29"/>
        <v>1.5</v>
      </c>
      <c r="AC95" s="60">
        <f t="shared" si="30"/>
        <v>45350</v>
      </c>
      <c r="AD95" s="61">
        <f t="shared" si="31"/>
        <v>45350</v>
      </c>
      <c r="AE95" s="69">
        <f t="shared" si="32"/>
        <v>45350</v>
      </c>
      <c r="AF95" s="36" t="str">
        <f>[4]Sayfa1!$AP91</f>
        <v>(I) İlk defa karşılaşılan arıza</v>
      </c>
      <c r="AG95" s="33" t="str">
        <f>IF([4]Sayfa1!$J91="C-Uyarı, sürüş devamlılığı","Bu Arıza Aracın Servise Verilmesine Engel Değil","Bu Arıza Aracın Servise Verilmesine Engel")</f>
        <v>Bu Arıza Aracın Servise Verilmesine Engel</v>
      </c>
      <c r="AH95" s="41" t="str">
        <f>[4]Sayfa1!$AB91</f>
        <v>Ekipman değiştirilecek</v>
      </c>
      <c r="AI95" s="60"/>
      <c r="AJ95" s="60"/>
      <c r="AK95" s="69">
        <f t="shared" si="33"/>
        <v>0</v>
      </c>
      <c r="AL95" s="71">
        <f t="shared" si="34"/>
        <v>90</v>
      </c>
      <c r="AM95" s="71">
        <f t="shared" si="35"/>
        <v>90</v>
      </c>
      <c r="AN95" s="72">
        <f t="shared" si="36"/>
        <v>0</v>
      </c>
      <c r="AO95" s="73" t="str">
        <f>[4]Sayfa1!$X91</f>
        <v>E840-7002</v>
      </c>
      <c r="AP95" s="72">
        <f>[4]Sayfa1!$Y91</f>
        <v>1</v>
      </c>
      <c r="AQ95" s="184" t="str">
        <f>[4]Sayfa1!$V91</f>
        <v>ATAK ULAŞIM SAN.TİC.LTD.ŞTİ.</v>
      </c>
      <c r="AR95" s="74" t="str">
        <f>[4]Sayfa1!$W91</f>
        <v>Merkez Ünite AU300 (train bus, vehicle b</v>
      </c>
      <c r="AS95" s="74">
        <f>[4]Sayfa1!$AD91</f>
        <v>0</v>
      </c>
      <c r="AT95" s="60" t="str">
        <f>[4]Sayfa1!$AE91</f>
        <v/>
      </c>
      <c r="AU95" s="60" t="str">
        <f>[4]Sayfa1!$AH91</f>
        <v/>
      </c>
      <c r="AV95" s="75">
        <v>90</v>
      </c>
      <c r="AW95" s="76">
        <f t="shared" si="37"/>
        <v>16.5</v>
      </c>
      <c r="AX95" s="77" t="str">
        <f>[4]Sayfa1!$A91</f>
        <v>4c09df22</v>
      </c>
      <c r="AY95" s="78" t="s">
        <v>114</v>
      </c>
      <c r="AZ95" s="79" t="e" vm="1">
        <f t="shared" si="38"/>
        <v>#VALUE!</v>
      </c>
    </row>
    <row r="96" spans="1:52" ht="193.15">
      <c r="A96" s="59" t="s">
        <v>151</v>
      </c>
      <c r="B96" s="59" t="str">
        <f>[4]Sayfa1!$G92</f>
        <v>3875(4)</v>
      </c>
      <c r="C96" s="184" t="str">
        <f>[4]Sayfa1!$H92</f>
        <v>MA</v>
      </c>
      <c r="D96" s="24">
        <f>[4]Sayfa1!$N92</f>
        <v>40052</v>
      </c>
      <c r="E96" s="24" t="str">
        <f>[4]Sayfa1!$B92</f>
        <v>BOZ-KAY5+6-FF-091</v>
      </c>
      <c r="F96" s="60">
        <f>[4]Sayfa1!$E92</f>
        <v>45349</v>
      </c>
      <c r="G96" s="61">
        <f>[4]Sayfa1!$F92</f>
        <v>45349.934027777781</v>
      </c>
      <c r="H96" s="59" t="str">
        <f>[4]Sayfa1!$I92</f>
        <v>Hat/Line</v>
      </c>
      <c r="I96" s="62" t="str">
        <f>IF([4]Sayfa1!$K92="SSH","Notified by Bozankaya","Notified by Customer")</f>
        <v>Notified by Customer</v>
      </c>
      <c r="J96" s="59" t="e">
        <f>VLOOKUP([4]Sayfa1!$AU92,#REF!,2,FALSE)</f>
        <v>#REF!</v>
      </c>
      <c r="K96" s="59">
        <f>[4]Sayfa1!$AC92</f>
        <v>0</v>
      </c>
      <c r="L96" s="63" t="str">
        <f t="shared" si="26"/>
        <v>KAY_5+43-BOZ-KAY5+6-FF-091</v>
      </c>
      <c r="M96" s="64" t="str">
        <f>[4]Sayfa1!$L92</f>
        <v>SİLECEK ÇALIŞMIYOR</v>
      </c>
      <c r="N96" s="33" t="str">
        <f>[4]Sayfa1!$J92</f>
        <v>A-Sürüşü engeller</v>
      </c>
      <c r="O96" s="33" t="str">
        <f>[4]Sayfa1!$P92</f>
        <v>B(Servisten çekmeye etki eden arızalar)</v>
      </c>
      <c r="P96" s="33" t="str">
        <f>[4]Sayfa1!$Q92</f>
        <v>N.A(Yaralanma yok)</v>
      </c>
      <c r="Q96" s="65" t="str" cm="1">
        <f t="array" ref="Q96">_xlfn.IFS([4]Sayfa1!$R92="Bozankaya","Bozankaya",[4]Sayfa1!$R92="İşletme","Customer",[4]Sayfa1!$R92="Tedarikçi","Equipment Supplier")</f>
        <v>Equipment Supplier</v>
      </c>
      <c r="R96" s="66" t="str">
        <f>[4]Sayfa1!$M92</f>
        <v>SİLECEK EĞİLMİŞ DÜZELTİLDİ MEKANİZMA BAĞLANTI CİVATASI GEVŞEMİŞ SIKILDI SİLECEK ÇALIŞIYOR</v>
      </c>
      <c r="S96" s="36" t="str">
        <f>[4]Sayfa1!$S92</f>
        <v>Bozankaya</v>
      </c>
      <c r="T96" s="67">
        <f>[4]Sayfa1!$Z92</f>
        <v>0</v>
      </c>
      <c r="U96" s="68">
        <f>[4]Sayfa1!$AN92</f>
        <v>1</v>
      </c>
      <c r="V96" s="60">
        <f>[4]Sayfa1!$T92</f>
        <v>45349</v>
      </c>
      <c r="W96" s="61">
        <f>[4]Sayfa1!$U92</f>
        <v>45349.947916666664</v>
      </c>
      <c r="X96" s="69">
        <f t="shared" si="27"/>
        <v>45349.947916666664</v>
      </c>
      <c r="Y96" s="70">
        <f>[4]Sayfa1!$AQ92</f>
        <v>45350</v>
      </c>
      <c r="Z96" s="61">
        <f>[4]Sayfa1!$AR92</f>
        <v>45350</v>
      </c>
      <c r="AA96" s="69">
        <f t="shared" si="28"/>
        <v>45350</v>
      </c>
      <c r="AB96" s="71">
        <f t="shared" si="29"/>
        <v>1.2500000000582077</v>
      </c>
      <c r="AC96" s="60">
        <f t="shared" si="30"/>
        <v>45350</v>
      </c>
      <c r="AD96" s="61">
        <f t="shared" si="31"/>
        <v>45350</v>
      </c>
      <c r="AE96" s="69">
        <f t="shared" si="32"/>
        <v>45350</v>
      </c>
      <c r="AF96" s="36" t="str">
        <f>[4]Sayfa1!$AP92</f>
        <v>(II) Birden fazla karşılaşılan arıza</v>
      </c>
      <c r="AG96" s="33" t="str">
        <f>IF([4]Sayfa1!$J92="C-Uyarı, sürüş devamlılığı","Bu Arıza Aracın Servise Verilmesine Engel Değil","Bu Arıza Aracın Servise Verilmesine Engel")</f>
        <v>Bu Arıza Aracın Servise Verilmesine Engel</v>
      </c>
      <c r="AH96" s="41" t="str">
        <f>[4]Sayfa1!$AB92</f>
        <v>Tamir edilecek</v>
      </c>
      <c r="AI96" s="60"/>
      <c r="AJ96" s="60"/>
      <c r="AK96" s="69">
        <f t="shared" si="33"/>
        <v>0</v>
      </c>
      <c r="AL96" s="71">
        <f t="shared" si="34"/>
        <v>75.00000000349246</v>
      </c>
      <c r="AM96" s="71">
        <f t="shared" si="35"/>
        <v>75.00000000349246</v>
      </c>
      <c r="AN96" s="72">
        <f t="shared" si="36"/>
        <v>0</v>
      </c>
      <c r="AO96" s="73" t="str">
        <f>[4]Sayfa1!$X92</f>
        <v>M100-7066</v>
      </c>
      <c r="AP96" s="72">
        <f>[4]Sayfa1!$Y92</f>
        <v>1</v>
      </c>
      <c r="AQ96" s="184" t="str">
        <f>[4]Sayfa1!$V92</f>
        <v>DENİZLER OTOMOTİV SAN. VE TİC.LTD.Ş</v>
      </c>
      <c r="AR96" s="74" t="str">
        <f>[4]Sayfa1!$W92</f>
        <v>SİLECEK MEKANİZMASI Denizler / M.11.2506</v>
      </c>
      <c r="AS96" s="74">
        <f>[4]Sayfa1!$AD92</f>
        <v>0</v>
      </c>
      <c r="AT96" s="60" t="str">
        <f>[4]Sayfa1!$AE92</f>
        <v/>
      </c>
      <c r="AU96" s="60" t="str">
        <f>[4]Sayfa1!$AH92</f>
        <v/>
      </c>
      <c r="AV96" s="75">
        <v>91</v>
      </c>
      <c r="AW96" s="76">
        <f t="shared" si="37"/>
        <v>13.750000000640284</v>
      </c>
      <c r="AX96" s="77" t="str">
        <f>[4]Sayfa1!$A92</f>
        <v>7c46f7fb</v>
      </c>
      <c r="AY96" s="78" t="s">
        <v>114</v>
      </c>
      <c r="AZ96" s="79" t="e" vm="1">
        <f t="shared" si="38"/>
        <v>#VALUE!</v>
      </c>
    </row>
    <row r="97" spans="1:52" ht="248.45">
      <c r="A97" s="59" t="s">
        <v>152</v>
      </c>
      <c r="B97" s="59" t="str">
        <f>[4]Sayfa1!$G93</f>
        <v>3875(4)</v>
      </c>
      <c r="C97" s="184" t="str">
        <f>[4]Sayfa1!$H93</f>
        <v>MA</v>
      </c>
      <c r="D97" s="24">
        <f>[4]Sayfa1!$N93</f>
        <v>40052</v>
      </c>
      <c r="E97" s="24" t="str">
        <f>[4]Sayfa1!$B93</f>
        <v>BOZ-KAY5+6-FF-092</v>
      </c>
      <c r="F97" s="60">
        <f>[4]Sayfa1!$E93</f>
        <v>45349</v>
      </c>
      <c r="G97" s="61">
        <f>[4]Sayfa1!$F93</f>
        <v>45349.980555555558</v>
      </c>
      <c r="H97" s="59" t="str">
        <f>[4]Sayfa1!$I93</f>
        <v>Hat/Line</v>
      </c>
      <c r="I97" s="62" t="str">
        <f>IF([4]Sayfa1!$K93="SSH","Notified by Bozankaya","Notified by Customer")</f>
        <v>Notified by Customer</v>
      </c>
      <c r="J97" s="59" t="e">
        <f>VLOOKUP([4]Sayfa1!$AU93,#REF!,2,FALSE)</f>
        <v>#REF!</v>
      </c>
      <c r="K97" s="59">
        <f>[4]Sayfa1!$AC93</f>
        <v>0</v>
      </c>
      <c r="L97" s="63" t="str">
        <f t="shared" si="26"/>
        <v>KAY_5+44-BOZ-KAY5+6-FF-092</v>
      </c>
      <c r="M97" s="64" t="str">
        <f>[4]Sayfa1!$L93</f>
        <v>MAKİNİST KABİNİ ISITMA YAPMIYOR</v>
      </c>
      <c r="N97" s="33" t="str">
        <f>[4]Sayfa1!$J93</f>
        <v>A-Sürüşü engeller</v>
      </c>
      <c r="O97" s="33" t="str">
        <f>[4]Sayfa1!$P93</f>
        <v>B(Servisten çekmeye etki eden arızalar)</v>
      </c>
      <c r="P97" s="33" t="str">
        <f>[4]Sayfa1!$Q93</f>
        <v>N.A(Yaralanma yok)</v>
      </c>
      <c r="Q97" s="65" t="str" cm="1">
        <f t="array" ref="Q97">_xlfn.IFS([4]Sayfa1!$R93="Bozankaya","Bozankaya",[4]Sayfa1!$R93="İşletme","Customer",[4]Sayfa1!$R93="Tedarikçi","Equipment Supplier")</f>
        <v>Equipment Supplier</v>
      </c>
      <c r="R97" s="66" t="str">
        <f>[4]Sayfa1!$M93</f>
        <v>ARACIN ISITMA SİSTEMİ NORMAL ÇALIŞIYOR SENSÖR ISIYI HEMEN ALGILADIĞI İÇİN ISITMAYI KESİYOR BU NEDENLE KABİN İÇİ SOĞUK KALIYOR</v>
      </c>
      <c r="S97" s="36" t="str">
        <f>[4]Sayfa1!$S93</f>
        <v>Eltesan</v>
      </c>
      <c r="T97" s="67">
        <f>[4]Sayfa1!$Z93</f>
        <v>0</v>
      </c>
      <c r="U97" s="68">
        <f>[4]Sayfa1!$AN93</f>
        <v>1</v>
      </c>
      <c r="V97" s="60">
        <f>[4]Sayfa1!$T93</f>
        <v>45350</v>
      </c>
      <c r="W97" s="61">
        <f>[4]Sayfa1!$U93</f>
        <v>45350.416666666664</v>
      </c>
      <c r="X97" s="69">
        <f t="shared" si="27"/>
        <v>45350.416666666664</v>
      </c>
      <c r="Y97" s="70">
        <f>[4]Sayfa1!$AQ93</f>
        <v>45350</v>
      </c>
      <c r="Z97" s="61">
        <f>[4]Sayfa1!$AR93</f>
        <v>45350.5</v>
      </c>
      <c r="AA97" s="69">
        <f t="shared" si="28"/>
        <v>45350.5</v>
      </c>
      <c r="AB97" s="71">
        <f t="shared" si="29"/>
        <v>2.0000000000582077</v>
      </c>
      <c r="AC97" s="60">
        <f t="shared" si="30"/>
        <v>45350</v>
      </c>
      <c r="AD97" s="61">
        <f t="shared" si="31"/>
        <v>45350.5</v>
      </c>
      <c r="AE97" s="69">
        <f t="shared" si="32"/>
        <v>45350.5</v>
      </c>
      <c r="AF97" s="36" t="str">
        <f>[4]Sayfa1!$AP93</f>
        <v>(II) Birden fazla karşılaşılan arıza</v>
      </c>
      <c r="AG97" s="33" t="str">
        <f>IF([4]Sayfa1!$J93="C-Uyarı, sürüş devamlılığı","Bu Arıza Aracın Servise Verilmesine Engel Değil","Bu Arıza Aracın Servise Verilmesine Engel")</f>
        <v>Bu Arıza Aracın Servise Verilmesine Engel</v>
      </c>
      <c r="AH97" s="41" t="str">
        <f>[4]Sayfa1!$AB93</f>
        <v>Arıza çözülecek</v>
      </c>
      <c r="AI97" s="60"/>
      <c r="AJ97" s="60"/>
      <c r="AK97" s="69">
        <f t="shared" si="33"/>
        <v>0</v>
      </c>
      <c r="AL97" s="71">
        <f t="shared" si="34"/>
        <v>120.00000000349246</v>
      </c>
      <c r="AM97" s="71">
        <f t="shared" si="35"/>
        <v>120.00000000349246</v>
      </c>
      <c r="AN97" s="72">
        <f t="shared" si="36"/>
        <v>0</v>
      </c>
      <c r="AO97" s="73" t="str">
        <f>[4]Sayfa1!$X93</f>
        <v>H500-7240</v>
      </c>
      <c r="AP97" s="72">
        <f>[4]Sayfa1!$Y93</f>
        <v>1</v>
      </c>
      <c r="AQ97" s="184" t="str">
        <f>[4]Sayfa1!$V93</f>
        <v>ELTESAN ELEKTRO MEKANİK SOĞUTMA SAN</v>
      </c>
      <c r="AR97" s="74" t="str">
        <f>[4]Sayfa1!$W93</f>
        <v>KLIMA UNITESİ /Eltesan/Hispacold 41,5 kW</v>
      </c>
      <c r="AS97" s="74">
        <f>[4]Sayfa1!$AD93</f>
        <v>0</v>
      </c>
      <c r="AT97" s="60" t="str">
        <f>[4]Sayfa1!$AE93</f>
        <v/>
      </c>
      <c r="AU97" s="60" t="str">
        <f>[4]Sayfa1!$AH93</f>
        <v/>
      </c>
      <c r="AV97" s="75">
        <v>92</v>
      </c>
      <c r="AW97" s="76">
        <f t="shared" si="37"/>
        <v>22.000000000640284</v>
      </c>
      <c r="AX97" s="77" t="str">
        <f>[4]Sayfa1!$A93</f>
        <v>a2af3a00</v>
      </c>
      <c r="AY97" s="78" t="s">
        <v>114</v>
      </c>
      <c r="AZ97" s="79" t="e" vm="1">
        <f t="shared" si="38"/>
        <v>#VALUE!</v>
      </c>
    </row>
    <row r="98" spans="1:52" ht="186.6">
      <c r="A98" s="59" t="s">
        <v>153</v>
      </c>
      <c r="B98" s="59" t="str">
        <f>[4]Sayfa1!$G94</f>
        <v>3874(3)</v>
      </c>
      <c r="C98" s="184" t="str">
        <f>[4]Sayfa1!$H94</f>
        <v>RA</v>
      </c>
      <c r="D98" s="24">
        <f>[4]Sayfa1!$N94</f>
        <v>0</v>
      </c>
      <c r="E98" s="24" t="str">
        <f>[4]Sayfa1!$B94</f>
        <v>BOZ-KAY5+6-FF-093</v>
      </c>
      <c r="F98" s="60">
        <f>[4]Sayfa1!$E94</f>
        <v>45350</v>
      </c>
      <c r="G98" s="61">
        <f>[4]Sayfa1!$F94</f>
        <v>45350.270833333336</v>
      </c>
      <c r="H98" s="59" t="str">
        <f>[4]Sayfa1!$I94</f>
        <v>Hat/Line</v>
      </c>
      <c r="I98" s="62" t="str">
        <f>IF([4]Sayfa1!$K94="SSH","Notified by Bozankaya","Notified by Customer")</f>
        <v>Notified by Customer</v>
      </c>
      <c r="J98" s="59" t="e">
        <f>VLOOKUP([4]Sayfa1!$AU94,#REF!,2,FALSE)</f>
        <v>#REF!</v>
      </c>
      <c r="K98" s="59">
        <f>[4]Sayfa1!$AC94</f>
        <v>0</v>
      </c>
      <c r="L98" s="63" t="str">
        <f t="shared" si="26"/>
        <v>KAY_5+45-BOZ-KAY5+6-FF-093</v>
      </c>
      <c r="M98" s="64" t="str">
        <f>[4]Sayfa1!$L94</f>
        <v>6 NOLU KAPI İZOLE EDİLDİ</v>
      </c>
      <c r="N98" s="33" t="str">
        <f>[4]Sayfa1!$J94</f>
        <v>B-Hız veya güç azalması</v>
      </c>
      <c r="O98" s="33" t="str">
        <f>[4]Sayfa1!$P94</f>
        <v>B(Servisten çekmeye etki eden arızalar)</v>
      </c>
      <c r="P98" s="33" t="str">
        <f>[4]Sayfa1!$Q94</f>
        <v>N.A(Yaralanma yok)</v>
      </c>
      <c r="Q98" s="65" t="str" cm="1">
        <f t="array" ref="Q98">_xlfn.IFS([4]Sayfa1!$R94="Bozankaya","Bozankaya",[4]Sayfa1!$R94="İşletme","Customer",[4]Sayfa1!$R94="Tedarikçi","Equipment Supplier")</f>
        <v>Bozankaya</v>
      </c>
      <c r="R98" s="66" t="str">
        <f>[4]Sayfa1!$M94</f>
        <v>S1 VE S2 SWİTCHLERİNİN SENKRON OLMADIĞI GÖZLEMLENDİ AYARI YAPILDI</v>
      </c>
      <c r="S98" s="36" t="str">
        <f>[4]Sayfa1!$S94</f>
        <v>Üretim</v>
      </c>
      <c r="T98" s="67">
        <f>[4]Sayfa1!$Z94</f>
        <v>0</v>
      </c>
      <c r="U98" s="68">
        <f>[4]Sayfa1!$AN94</f>
        <v>1</v>
      </c>
      <c r="V98" s="60">
        <f>[4]Sayfa1!$T94</f>
        <v>45350</v>
      </c>
      <c r="W98" s="61">
        <f>[4]Sayfa1!$U94</f>
        <v>45350.333333333336</v>
      </c>
      <c r="X98" s="69">
        <f t="shared" si="27"/>
        <v>45350.333333333336</v>
      </c>
      <c r="Y98" s="70">
        <f>[4]Sayfa1!$AQ94</f>
        <v>45350</v>
      </c>
      <c r="Z98" s="61">
        <f>[4]Sayfa1!$AR94</f>
        <v>45350.625</v>
      </c>
      <c r="AA98" s="69">
        <f t="shared" si="28"/>
        <v>45350.625</v>
      </c>
      <c r="AB98" s="71">
        <f t="shared" si="29"/>
        <v>0</v>
      </c>
      <c r="AC98" s="60">
        <f t="shared" si="30"/>
        <v>45350</v>
      </c>
      <c r="AD98" s="61">
        <f t="shared" si="31"/>
        <v>45350.625</v>
      </c>
      <c r="AE98" s="69">
        <f t="shared" si="32"/>
        <v>45350.625</v>
      </c>
      <c r="AF98" s="36" t="str">
        <f>[4]Sayfa1!$AP94</f>
        <v>(I) İlk defa karşılaşılan arıza</v>
      </c>
      <c r="AG98" s="33" t="str">
        <f>IF([4]Sayfa1!$J94="C-Uyarı, sürüş devamlılığı","Bu Arıza Aracın Servise Verilmesine Engel Değil","Bu Arıza Aracın Servise Verilmesine Engel")</f>
        <v>Bu Arıza Aracın Servise Verilmesine Engel</v>
      </c>
      <c r="AH98" s="41">
        <f>[4]Sayfa1!$AB94</f>
        <v>0</v>
      </c>
      <c r="AI98" s="60"/>
      <c r="AJ98" s="60"/>
      <c r="AK98" s="69">
        <f t="shared" si="33"/>
        <v>0</v>
      </c>
      <c r="AL98" s="71">
        <f t="shared" si="34"/>
        <v>0</v>
      </c>
      <c r="AM98" s="71">
        <f t="shared" si="35"/>
        <v>0</v>
      </c>
      <c r="AN98" s="72">
        <f t="shared" si="36"/>
        <v>0</v>
      </c>
      <c r="AO98" s="73" t="str">
        <f>[4]Sayfa1!$X94</f>
        <v>M110-7082</v>
      </c>
      <c r="AP98" s="72">
        <f>[4]Sayfa1!$Y94</f>
        <v>1</v>
      </c>
      <c r="AQ98" s="184" t="str">
        <f>[4]Sayfa1!$V94</f>
        <v>KNORR-BREMSE GMBH DİVİSİON IFE AUTO</v>
      </c>
      <c r="AR98" s="74" t="str">
        <f>[4]Sayfa1!$W94</f>
        <v>PRM’LI ÇİFTLİ KAPI</v>
      </c>
      <c r="AS98" s="74">
        <f>[4]Sayfa1!$AD94</f>
        <v>0</v>
      </c>
      <c r="AT98" s="60" t="str">
        <f>[4]Sayfa1!$AE94</f>
        <v/>
      </c>
      <c r="AU98" s="60" t="str">
        <f>[4]Sayfa1!$AH94</f>
        <v/>
      </c>
      <c r="AV98" s="75">
        <v>93</v>
      </c>
      <c r="AW98" s="76">
        <f t="shared" si="37"/>
        <v>0</v>
      </c>
      <c r="AX98" s="77" t="str">
        <f>[4]Sayfa1!$A94</f>
        <v>af91faf4</v>
      </c>
      <c r="AY98" s="78" t="s">
        <v>114</v>
      </c>
      <c r="AZ98" s="79" t="e" vm="1">
        <f t="shared" si="38"/>
        <v>#VALUE!</v>
      </c>
    </row>
    <row r="99" spans="1:52" ht="409.6">
      <c r="A99" s="59" t="s">
        <v>154</v>
      </c>
      <c r="B99" s="59" t="str">
        <f>[4]Sayfa1!$G95</f>
        <v>3875(4)</v>
      </c>
      <c r="C99" s="184" t="str">
        <f>[4]Sayfa1!$H95</f>
        <v>MA</v>
      </c>
      <c r="D99" s="24">
        <f>[4]Sayfa1!$N95</f>
        <v>40012</v>
      </c>
      <c r="E99" s="24" t="str">
        <f>[4]Sayfa1!$B95</f>
        <v>BOZ-KAY5+6-FF-094</v>
      </c>
      <c r="F99" s="60">
        <f>[4]Sayfa1!$E95</f>
        <v>45350</v>
      </c>
      <c r="G99" s="61">
        <f>[4]Sayfa1!$F95</f>
        <v>45350.584027777775</v>
      </c>
      <c r="H99" s="59" t="str">
        <f>[4]Sayfa1!$I95</f>
        <v>Hat/Line</v>
      </c>
      <c r="I99" s="62" t="str">
        <f>IF([4]Sayfa1!$K95="SSH","Notified by Bozankaya","Notified by Customer")</f>
        <v>Notified by Customer</v>
      </c>
      <c r="J99" s="59" t="e">
        <f>VLOOKUP([4]Sayfa1!$AU95,#REF!,2,FALSE)</f>
        <v>#REF!</v>
      </c>
      <c r="K99" s="59">
        <f>[4]Sayfa1!$AC95</f>
        <v>0</v>
      </c>
      <c r="L99" s="63" t="str">
        <f t="shared" si="26"/>
        <v>KAY_5+46-BOZ-KAY5+6-FF-094</v>
      </c>
      <c r="M99" s="64" t="str">
        <f>[4]Sayfa1!$L95</f>
        <v>FREN ARIZASI VERDİ. ARAÇ RESETLENİNCE DÜZELDİ</v>
      </c>
      <c r="N99" s="33" t="str">
        <f>[4]Sayfa1!$J95</f>
        <v>A-Sürüşü engeller</v>
      </c>
      <c r="O99" s="33" t="str">
        <f>[4]Sayfa1!$P95</f>
        <v>B(Servisten çekmeye etki eden arızalar)</v>
      </c>
      <c r="P99" s="33" t="str">
        <f>[4]Sayfa1!$Q95</f>
        <v>N.A(Yaralanma yok)</v>
      </c>
      <c r="Q99" s="65" t="str" cm="1">
        <f t="array" ref="Q99">_xlfn.IFS([4]Sayfa1!$R95="Bozankaya","Bozankaya",[4]Sayfa1!$R95="İşletme","Customer",[4]Sayfa1!$R95="Tedarikçi","Equipment Supplier")</f>
        <v>Equipment Supplier</v>
      </c>
      <c r="R99" s="66" t="str">
        <f>[4]Sayfa1!$M95</f>
        <v>ARAÇ FB00 ARIZASI VERMİŞ ALT KONTROLLERDE HERHANGİ BİR YAĞ KAÇAĞI GÖRÜLMEDİ VE YAĞ SEVİYESİ NORMAL COMMİSİONING MODDA TEST YAPARKEN LOW SPEED KOMUTUNUN ÇALIŞMADIĞI GÖRÜLDÜ HEY-C ÜNİTESİ DEĞİŞTİRİLDİ GEREKLİ TESTLER YAPILDI SORUN GİDERİLDİ</v>
      </c>
      <c r="S99" s="36" t="str">
        <f>[4]Sayfa1!$S95</f>
        <v>HANNING  KAHL</v>
      </c>
      <c r="T99" s="67">
        <f>[4]Sayfa1!$Z95</f>
        <v>0</v>
      </c>
      <c r="U99" s="68">
        <f>[4]Sayfa1!$AN95</f>
        <v>1</v>
      </c>
      <c r="V99" s="60">
        <f>[4]Sayfa1!$T95</f>
        <v>45350</v>
      </c>
      <c r="W99" s="61">
        <f>[4]Sayfa1!$U95</f>
        <v>45350.625</v>
      </c>
      <c r="X99" s="69">
        <f t="shared" si="27"/>
        <v>45350.625</v>
      </c>
      <c r="Y99" s="70">
        <f>[4]Sayfa1!$AQ95</f>
        <v>45350</v>
      </c>
      <c r="Z99" s="61">
        <f>[4]Sayfa1!$AR95</f>
        <v>45350.75</v>
      </c>
      <c r="AA99" s="69">
        <f t="shared" si="28"/>
        <v>45350.75</v>
      </c>
      <c r="AB99" s="71">
        <f t="shared" si="29"/>
        <v>0</v>
      </c>
      <c r="AC99" s="60">
        <f t="shared" si="30"/>
        <v>45350</v>
      </c>
      <c r="AD99" s="61">
        <f t="shared" si="31"/>
        <v>45350.75</v>
      </c>
      <c r="AE99" s="69">
        <f t="shared" si="32"/>
        <v>45350.75</v>
      </c>
      <c r="AF99" s="36" t="str">
        <f>[4]Sayfa1!$AP95</f>
        <v>(I) İlk defa karşılaşılan arıza</v>
      </c>
      <c r="AG99" s="33" t="str">
        <f>IF([4]Sayfa1!$J95="C-Uyarı, sürüş devamlılığı","Bu Arıza Aracın Servise Verilmesine Engel Değil","Bu Arıza Aracın Servise Verilmesine Engel")</f>
        <v>Bu Arıza Aracın Servise Verilmesine Engel</v>
      </c>
      <c r="AH99" s="41" t="str">
        <f>[4]Sayfa1!$AB95</f>
        <v>Tamir edilecek</v>
      </c>
      <c r="AI99" s="60"/>
      <c r="AJ99" s="60"/>
      <c r="AK99" s="69">
        <f t="shared" si="33"/>
        <v>0</v>
      </c>
      <c r="AL99" s="71">
        <f t="shared" si="34"/>
        <v>0</v>
      </c>
      <c r="AM99" s="71">
        <f t="shared" si="35"/>
        <v>0</v>
      </c>
      <c r="AN99" s="72">
        <f t="shared" si="36"/>
        <v>0</v>
      </c>
      <c r="AO99" s="73" t="str">
        <f>[4]Sayfa1!$X95</f>
        <v>S306-7074</v>
      </c>
      <c r="AP99" s="72">
        <f>[4]Sayfa1!$Y95</f>
        <v>1</v>
      </c>
      <c r="AQ99" s="184" t="str">
        <f>[4]Sayfa1!$V95</f>
        <v>HANNING &amp; KAHL GMBH &amp; CO.KG</v>
      </c>
      <c r="AR99" s="74" t="str">
        <f>[4]Sayfa1!$W95</f>
        <v>XFren Kontrol Ünitesi</v>
      </c>
      <c r="AS99" s="74">
        <f>[4]Sayfa1!$AD95</f>
        <v>0</v>
      </c>
      <c r="AT99" s="60" t="str">
        <f>[4]Sayfa1!$AE95</f>
        <v/>
      </c>
      <c r="AU99" s="60" t="str">
        <f>[4]Sayfa1!$AH95</f>
        <v/>
      </c>
      <c r="AV99" s="75">
        <v>94</v>
      </c>
      <c r="AW99" s="76">
        <f t="shared" si="37"/>
        <v>0</v>
      </c>
      <c r="AX99" s="77" t="str">
        <f>[4]Sayfa1!$A95</f>
        <v>d26a91c3</v>
      </c>
      <c r="AY99" s="78" t="s">
        <v>114</v>
      </c>
      <c r="AZ99" s="79" t="e" vm="1">
        <f t="shared" si="38"/>
        <v>#VALUE!</v>
      </c>
    </row>
    <row r="100" spans="1:52" ht="211.15">
      <c r="A100" s="59" t="s">
        <v>155</v>
      </c>
      <c r="B100" s="59" t="str">
        <f>[4]Sayfa1!$G96</f>
        <v>3875(4)</v>
      </c>
      <c r="C100" s="184" t="str">
        <f>[4]Sayfa1!$H96</f>
        <v>RB</v>
      </c>
      <c r="D100" s="24">
        <f>[4]Sayfa1!$N96</f>
        <v>35000</v>
      </c>
      <c r="E100" s="24" t="str">
        <f>[4]Sayfa1!$B96</f>
        <v>BOZ-KAY5+6-FF-095</v>
      </c>
      <c r="F100" s="60">
        <f>[4]Sayfa1!$E96</f>
        <v>45351</v>
      </c>
      <c r="G100" s="61">
        <f>[4]Sayfa1!$F96</f>
        <v>45351.447916666664</v>
      </c>
      <c r="H100" s="59" t="str">
        <f>[4]Sayfa1!$I96</f>
        <v>Hat/Line</v>
      </c>
      <c r="I100" s="62" t="str">
        <f>IF([4]Sayfa1!$K96="SSH","Notified by Bozankaya","Notified by Customer")</f>
        <v>Notified by Customer</v>
      </c>
      <c r="J100" s="59" t="e">
        <f>VLOOKUP([4]Sayfa1!$AU96,#REF!,2,FALSE)</f>
        <v>#REF!</v>
      </c>
      <c r="K100" s="59">
        <f>[4]Sayfa1!$AC96</f>
        <v>0</v>
      </c>
      <c r="L100" s="63" t="str">
        <f t="shared" si="26"/>
        <v>KAY_5+47-BOZ-KAY5+6-FF-095</v>
      </c>
      <c r="M100" s="64" t="str">
        <f>[4]Sayfa1!$L96</f>
        <v>8 NUMARALI KAPI BUZZER SESİ RAHATSIZ EDİYOR</v>
      </c>
      <c r="N100" s="33" t="str">
        <f>[4]Sayfa1!$J96</f>
        <v>C-Uyarı, sürüş devamlılığı</v>
      </c>
      <c r="O100" s="33" t="str">
        <f>[4]Sayfa1!$P96</f>
        <v>C(Sisteme etki etmeyen arıza)</v>
      </c>
      <c r="P100" s="33" t="str">
        <f>[4]Sayfa1!$Q96</f>
        <v>N.A(Yaralanma yok)</v>
      </c>
      <c r="Q100" s="65" t="str" cm="1">
        <f t="array" ref="Q100">_xlfn.IFS([4]Sayfa1!$R96="Bozankaya","Bozankaya",[4]Sayfa1!$R96="İşletme","Customer",[4]Sayfa1!$R96="Tedarikçi","Equipment Supplier")</f>
        <v>Equipment Supplier</v>
      </c>
      <c r="R100" s="66" t="str">
        <f>[4]Sayfa1!$M96</f>
        <v>KAPI BUZZER RESETLENDİ SORUN GİDERİLDİ</v>
      </c>
      <c r="S100" s="36" t="str">
        <f>[4]Sayfa1!$S96</f>
        <v>TSL</v>
      </c>
      <c r="T100" s="67">
        <f>[4]Sayfa1!$Z96</f>
        <v>0</v>
      </c>
      <c r="U100" s="68">
        <f>[4]Sayfa1!$AN96</f>
        <v>1</v>
      </c>
      <c r="V100" s="60">
        <f>[4]Sayfa1!$T96</f>
        <v>45351</v>
      </c>
      <c r="W100" s="61">
        <f>[4]Sayfa1!$U96</f>
        <v>45351.541666666664</v>
      </c>
      <c r="X100" s="69">
        <f t="shared" si="27"/>
        <v>45351.541666666664</v>
      </c>
      <c r="Y100" s="70">
        <f>[4]Sayfa1!$AQ96</f>
        <v>45351</v>
      </c>
      <c r="Z100" s="61">
        <f>[4]Sayfa1!$AR96</f>
        <v>45351.625</v>
      </c>
      <c r="AA100" s="69">
        <f t="shared" si="28"/>
        <v>45351.625</v>
      </c>
      <c r="AB100" s="71">
        <f t="shared" si="29"/>
        <v>0</v>
      </c>
      <c r="AC100" s="60">
        <f t="shared" si="30"/>
        <v>45351</v>
      </c>
      <c r="AD100" s="61">
        <f t="shared" si="31"/>
        <v>45351.625</v>
      </c>
      <c r="AE100" s="69">
        <f t="shared" si="32"/>
        <v>45351.625</v>
      </c>
      <c r="AF100" s="36" t="str">
        <f>[4]Sayfa1!$AP96</f>
        <v>(II) Birden fazla karşılaşılan arıza</v>
      </c>
      <c r="AG100" s="33" t="str">
        <f>IF([4]Sayfa1!$J96="C-Uyarı, sürüş devamlılığı","Bu Arıza Aracın Servise Verilmesine Engel Değil","Bu Arıza Aracın Servise Verilmesine Engel")</f>
        <v>Bu Arıza Aracın Servise Verilmesine Engel Değil</v>
      </c>
      <c r="AH100" s="41">
        <f>[4]Sayfa1!$AB96</f>
        <v>0</v>
      </c>
      <c r="AI100" s="60"/>
      <c r="AJ100" s="60"/>
      <c r="AK100" s="69">
        <f t="shared" si="33"/>
        <v>0</v>
      </c>
      <c r="AL100" s="71">
        <f t="shared" si="34"/>
        <v>0</v>
      </c>
      <c r="AM100" s="71">
        <f t="shared" si="35"/>
        <v>0</v>
      </c>
      <c r="AN100" s="72">
        <f t="shared" si="36"/>
        <v>0</v>
      </c>
      <c r="AO100" s="73" t="str">
        <f>[4]Sayfa1!$X96</f>
        <v>M110-7082</v>
      </c>
      <c r="AP100" s="72">
        <f>[4]Sayfa1!$Y96</f>
        <v>0</v>
      </c>
      <c r="AQ100" s="184" t="str">
        <f>[4]Sayfa1!$V96</f>
        <v>KNORR-BREMSE GMBH DİVİSİON IFE AUTO</v>
      </c>
      <c r="AR100" s="74" t="str">
        <f>[4]Sayfa1!$W96</f>
        <v>PRM’LI ÇİFTLİ KAPI</v>
      </c>
      <c r="AS100" s="74">
        <f>[4]Sayfa1!$AD96</f>
        <v>0</v>
      </c>
      <c r="AT100" s="60" t="str">
        <f>[4]Sayfa1!$AE96</f>
        <v/>
      </c>
      <c r="AU100" s="60" t="str">
        <f>[4]Sayfa1!$AH96</f>
        <v/>
      </c>
      <c r="AV100" s="75">
        <v>95</v>
      </c>
      <c r="AW100" s="76">
        <f t="shared" si="37"/>
        <v>0</v>
      </c>
      <c r="AX100" s="77" t="str">
        <f>[4]Sayfa1!$A96</f>
        <v>7ecdd49b</v>
      </c>
      <c r="AY100" s="78" t="s">
        <v>114</v>
      </c>
      <c r="AZ100" s="79" t="e" vm="1">
        <f t="shared" si="38"/>
        <v>#VALUE!</v>
      </c>
    </row>
    <row r="101" spans="1:52" ht="142.9">
      <c r="A101" s="59" t="s">
        <v>156</v>
      </c>
      <c r="B101" s="59" t="str">
        <f>[4]Sayfa1!$G97</f>
        <v>3877(6)</v>
      </c>
      <c r="C101" s="184" t="str">
        <f>[4]Sayfa1!$H97</f>
        <v>MA</v>
      </c>
      <c r="D101" s="24">
        <f>[4]Sayfa1!$N97</f>
        <v>26500</v>
      </c>
      <c r="E101" s="24" t="str">
        <f>[4]Sayfa1!$B97</f>
        <v>BOZ-KAY5+6-FF-096</v>
      </c>
      <c r="F101" s="60">
        <f>[4]Sayfa1!$E97</f>
        <v>45351</v>
      </c>
      <c r="G101" s="61">
        <f>[4]Sayfa1!$F97</f>
        <v>45351.536805555559</v>
      </c>
      <c r="H101" s="59" t="str">
        <f>[4]Sayfa1!$I97</f>
        <v>Hat/Line</v>
      </c>
      <c r="I101" s="62" t="str">
        <f>IF([4]Sayfa1!$K97="SSH","Notified by Bozankaya","Notified by Customer")</f>
        <v>Notified by Customer</v>
      </c>
      <c r="J101" s="59" t="e">
        <f>VLOOKUP([4]Sayfa1!$AU97,#REF!,2,FALSE)</f>
        <v>#REF!</v>
      </c>
      <c r="K101" s="59">
        <f>[4]Sayfa1!$AC97</f>
        <v>0</v>
      </c>
      <c r="L101" s="63" t="str">
        <f t="shared" si="26"/>
        <v>KAY_5+48-BOZ-KAY5+6-FF-096</v>
      </c>
      <c r="M101" s="64" t="str">
        <f>[4]Sayfa1!$L97</f>
        <v>tüm bölümler için anlık fren arızası verdi kısa sürede tekrar düzeldi</v>
      </c>
      <c r="N101" s="33" t="str">
        <f>[4]Sayfa1!$J97</f>
        <v>C-Uyarı, sürüş devamlılığı</v>
      </c>
      <c r="O101" s="33" t="str">
        <f>[4]Sayfa1!$P97</f>
        <v>A(Hareket etmeyi engelleyen arıza)</v>
      </c>
      <c r="P101" s="33" t="str">
        <f>[4]Sayfa1!$Q97</f>
        <v>N.A(Yaralanma yok)</v>
      </c>
      <c r="Q101" s="65" t="str" cm="1">
        <f t="array" ref="Q101">_xlfn.IFS([4]Sayfa1!$R97="Bozankaya","Bozankaya",[4]Sayfa1!$R97="İşletme","Customer",[4]Sayfa1!$R97="Tedarikçi","Equipment Supplier")</f>
        <v>Bozankaya</v>
      </c>
      <c r="R101" s="66" t="str">
        <f>[4]Sayfa1!$M97</f>
        <v>TCMSDEN çıkan RA1394.04 Kablosu yanlış yakılmış düzeltildi.Sorun giderildi</v>
      </c>
      <c r="S101" s="36" t="str">
        <f>[4]Sayfa1!$S97</f>
        <v>Üretim</v>
      </c>
      <c r="T101" s="67">
        <f>[4]Sayfa1!$Z97</f>
        <v>0</v>
      </c>
      <c r="U101" s="68">
        <f>[4]Sayfa1!$AN97</f>
        <v>1</v>
      </c>
      <c r="V101" s="60">
        <f>[4]Sayfa1!$T97</f>
        <v>45351</v>
      </c>
      <c r="W101" s="61">
        <f>[4]Sayfa1!$U97</f>
        <v>45351.541666666664</v>
      </c>
      <c r="X101" s="69">
        <f t="shared" si="27"/>
        <v>45351.541666666664</v>
      </c>
      <c r="Y101" s="70">
        <f>[4]Sayfa1!$AQ97</f>
        <v>45351</v>
      </c>
      <c r="Z101" s="61">
        <f>[4]Sayfa1!$AR97</f>
        <v>45351.75</v>
      </c>
      <c r="AA101" s="69">
        <f t="shared" si="28"/>
        <v>45351.75</v>
      </c>
      <c r="AB101" s="71">
        <f t="shared" si="29"/>
        <v>0</v>
      </c>
      <c r="AC101" s="60">
        <f t="shared" si="30"/>
        <v>45351</v>
      </c>
      <c r="AD101" s="61">
        <f t="shared" si="31"/>
        <v>45351.75</v>
      </c>
      <c r="AE101" s="69">
        <f t="shared" si="32"/>
        <v>45351.75</v>
      </c>
      <c r="AF101" s="36" t="str">
        <f>[4]Sayfa1!$AP97</f>
        <v>(I) İlk defa karşılaşılan arıza</v>
      </c>
      <c r="AG101" s="33" t="str">
        <f>IF([4]Sayfa1!$J97="C-Uyarı, sürüş devamlılığı","Bu Arıza Aracın Servise Verilmesine Engel Değil","Bu Arıza Aracın Servise Verilmesine Engel")</f>
        <v>Bu Arıza Aracın Servise Verilmesine Engel Değil</v>
      </c>
      <c r="AH101" s="41" t="str">
        <f>[4]Sayfa1!$AB97</f>
        <v>Arıza çözülecek</v>
      </c>
      <c r="AI101" s="60"/>
      <c r="AJ101" s="60"/>
      <c r="AK101" s="69">
        <f t="shared" si="33"/>
        <v>0</v>
      </c>
      <c r="AL101" s="71">
        <f t="shared" si="34"/>
        <v>0</v>
      </c>
      <c r="AM101" s="71">
        <f t="shared" si="35"/>
        <v>0</v>
      </c>
      <c r="AN101" s="72">
        <f t="shared" si="36"/>
        <v>0</v>
      </c>
      <c r="AO101" s="73" t="str">
        <f>[4]Sayfa1!$X97</f>
        <v>E110-7384</v>
      </c>
      <c r="AP101" s="72">
        <f>[4]Sayfa1!$Y97</f>
        <v>0</v>
      </c>
      <c r="AQ101" s="184" t="str">
        <f>[4]Sayfa1!$V97</f>
        <v>MEDCOM SP. Z O.O.</v>
      </c>
      <c r="AR101" s="74" t="str">
        <f>[4]Sayfa1!$W97</f>
        <v>TCMS ELEMANI</v>
      </c>
      <c r="AS101" s="74">
        <f>[4]Sayfa1!$AD97</f>
        <v>0</v>
      </c>
      <c r="AT101" s="60" t="str">
        <f>[4]Sayfa1!$AE97</f>
        <v/>
      </c>
      <c r="AU101" s="60" t="str">
        <f>[4]Sayfa1!$AH97</f>
        <v/>
      </c>
      <c r="AV101" s="75">
        <v>96</v>
      </c>
      <c r="AW101" s="76">
        <f t="shared" si="37"/>
        <v>0</v>
      </c>
      <c r="AX101" s="77" t="str">
        <f>[4]Sayfa1!$A97</f>
        <v>631ddb1d</v>
      </c>
      <c r="AY101" s="78" t="s">
        <v>114</v>
      </c>
      <c r="AZ101" s="79" t="e" vm="1">
        <f t="shared" si="38"/>
        <v>#VALUE!</v>
      </c>
    </row>
    <row r="102" spans="1:52" ht="303.60000000000002">
      <c r="A102" s="59" t="s">
        <v>157</v>
      </c>
      <c r="B102" s="59" t="str">
        <f>[4]Sayfa1!$G98</f>
        <v>3874(3)</v>
      </c>
      <c r="C102" s="184" t="str">
        <f>[4]Sayfa1!$H98</f>
        <v>MA</v>
      </c>
      <c r="D102" s="24">
        <f>[4]Sayfa1!$N98</f>
        <v>49500</v>
      </c>
      <c r="E102" s="24" t="str">
        <f>[4]Sayfa1!$B98</f>
        <v>BOZ-KAY5+6-FF-097</v>
      </c>
      <c r="F102" s="60">
        <f>[4]Sayfa1!$E98</f>
        <v>45351</v>
      </c>
      <c r="G102" s="61">
        <f>[4]Sayfa1!$F98</f>
        <v>45351.744444444441</v>
      </c>
      <c r="H102" s="59" t="str">
        <f>[4]Sayfa1!$I98</f>
        <v>Hat/Line</v>
      </c>
      <c r="I102" s="62" t="str">
        <f>IF([4]Sayfa1!$K98="SSH","Notified by Bozankaya","Notified by Customer")</f>
        <v>Notified by Customer</v>
      </c>
      <c r="J102" s="59" t="e">
        <f>VLOOKUP([4]Sayfa1!$AU98,#REF!,2,FALSE)</f>
        <v>#REF!</v>
      </c>
      <c r="K102" s="59">
        <f>[4]Sayfa1!$AC98</f>
        <v>0</v>
      </c>
      <c r="L102" s="63" t="str">
        <f t="shared" si="26"/>
        <v>KAY_5+49-BOZ-KAY5+6-FF-097</v>
      </c>
      <c r="M102" s="64" t="str">
        <f>[4]Sayfa1!$L98</f>
        <v>29.02.2024 tarihinde yapılan saha denetiminde 3874 nolu aracın kapı üstündeki ekranların çalışmadığı tespit edilmiştir.Gerekli müdahaleyi gerçekleştirelim</v>
      </c>
      <c r="N102" s="33" t="str">
        <f>[4]Sayfa1!$J98</f>
        <v>C-Uyarı, sürüş devamlılığı</v>
      </c>
      <c r="O102" s="33" t="str">
        <f>[4]Sayfa1!$P98</f>
        <v>C(Sisteme etki etmeyen arıza)</v>
      </c>
      <c r="P102" s="33" t="str">
        <f>[4]Sayfa1!$Q98</f>
        <v>N.A(Yaralanma yok)</v>
      </c>
      <c r="Q102" s="65" t="str" cm="1">
        <f t="array" ref="Q102">_xlfn.IFS([4]Sayfa1!$R98="Bozankaya","Bozankaya",[4]Sayfa1!$R98="İşletme","Customer",[4]Sayfa1!$R98="Tedarikçi","Equipment Supplier")</f>
        <v>Equipment Supplier</v>
      </c>
      <c r="R102" s="66" t="str">
        <f>[4]Sayfa1!$M98</f>
        <v>Yapılan kontollerde sorun görülmedi.Rota kuruluyor</v>
      </c>
      <c r="S102" s="36" t="str">
        <f>[4]Sayfa1!$S98</f>
        <v>Atak</v>
      </c>
      <c r="T102" s="67">
        <f>[4]Sayfa1!$Z98</f>
        <v>0</v>
      </c>
      <c r="U102" s="68">
        <f>[4]Sayfa1!$AN98</f>
        <v>1</v>
      </c>
      <c r="V102" s="60">
        <f>[4]Sayfa1!$T98</f>
        <v>45532</v>
      </c>
      <c r="W102" s="61">
        <f>[4]Sayfa1!$U98</f>
        <v>45532.407812500001</v>
      </c>
      <c r="X102" s="69">
        <f t="shared" si="27"/>
        <v>45532.407812500001</v>
      </c>
      <c r="Y102" s="70">
        <f>[4]Sayfa1!$AQ98</f>
        <v>45532</v>
      </c>
      <c r="Z102" s="61">
        <f>[4]Sayfa1!$AR98</f>
        <v>45532.458333333336</v>
      </c>
      <c r="AA102" s="69">
        <f t="shared" si="28"/>
        <v>45532.458333333336</v>
      </c>
      <c r="AB102" s="71">
        <f t="shared" si="29"/>
        <v>1.2125000000232831</v>
      </c>
      <c r="AC102" s="60">
        <f t="shared" si="30"/>
        <v>45532</v>
      </c>
      <c r="AD102" s="61">
        <f t="shared" si="31"/>
        <v>45532.458333333336</v>
      </c>
      <c r="AE102" s="69">
        <f t="shared" si="32"/>
        <v>45532.458333333336</v>
      </c>
      <c r="AF102" s="36" t="str">
        <f>[4]Sayfa1!$AP98</f>
        <v>(III) Birden fazla aynı araçta karşılaşılan arıza</v>
      </c>
      <c r="AG102" s="33" t="str">
        <f>IF([4]Sayfa1!$J98="C-Uyarı, sürüş devamlılığı","Bu Arıza Aracın Servise Verilmesine Engel Değil","Bu Arıza Aracın Servise Verilmesine Engel")</f>
        <v>Bu Arıza Aracın Servise Verilmesine Engel Değil</v>
      </c>
      <c r="AH102" s="41" t="str">
        <f>[4]Sayfa1!$AB98</f>
        <v>Arıza çözülecek</v>
      </c>
      <c r="AI102" s="60"/>
      <c r="AJ102" s="60"/>
      <c r="AK102" s="69">
        <f t="shared" si="33"/>
        <v>0</v>
      </c>
      <c r="AL102" s="71">
        <f t="shared" si="34"/>
        <v>72.750000001396984</v>
      </c>
      <c r="AM102" s="71">
        <f t="shared" si="35"/>
        <v>72.750000001396984</v>
      </c>
      <c r="AN102" s="72">
        <f t="shared" si="36"/>
        <v>0</v>
      </c>
      <c r="AO102" s="73" t="str">
        <f>[4]Sayfa1!$X98</f>
        <v>E410-7003</v>
      </c>
      <c r="AP102" s="72">
        <f>[4]Sayfa1!$Y98</f>
        <v>0</v>
      </c>
      <c r="AQ102" s="184" t="str">
        <f>[4]Sayfa1!$V98</f>
        <v>ATAK ULAŞIM SAN.TİC.LTD.ŞTİ.</v>
      </c>
      <c r="AR102" s="74" t="str">
        <f>[4]Sayfa1!$W98</f>
        <v>STRETCH LCD EKRAN</v>
      </c>
      <c r="AS102" s="74">
        <f>[4]Sayfa1!$AD98</f>
        <v>0</v>
      </c>
      <c r="AT102" s="60" t="str">
        <f>[4]Sayfa1!$AE98</f>
        <v/>
      </c>
      <c r="AU102" s="60" t="str">
        <f>[4]Sayfa1!$AH98</f>
        <v/>
      </c>
      <c r="AV102" s="75">
        <v>97</v>
      </c>
      <c r="AW102" s="76">
        <f t="shared" si="37"/>
        <v>13.337500000256114</v>
      </c>
      <c r="AX102" s="77" t="str">
        <f>[4]Sayfa1!$A98</f>
        <v>bd8199e0</v>
      </c>
      <c r="AY102" s="78" t="s">
        <v>114</v>
      </c>
      <c r="AZ102" s="79" t="e" vm="1">
        <f t="shared" si="38"/>
        <v>#VALUE!</v>
      </c>
    </row>
    <row r="103" spans="1:52" ht="186.6">
      <c r="A103" s="59" t="s">
        <v>158</v>
      </c>
      <c r="B103" s="59" t="str">
        <f>[4]Sayfa1!$G99</f>
        <v>3875(4)</v>
      </c>
      <c r="C103" s="184" t="str">
        <f>[4]Sayfa1!$H99</f>
        <v>MA</v>
      </c>
      <c r="D103" s="24">
        <f>[4]Sayfa1!$N99</f>
        <v>40512</v>
      </c>
      <c r="E103" s="24" t="str">
        <f>[4]Sayfa1!$B99</f>
        <v>BOZ-KAY5+6-FF-098</v>
      </c>
      <c r="F103" s="60">
        <f>[4]Sayfa1!$E99</f>
        <v>45352</v>
      </c>
      <c r="G103" s="61">
        <f>[4]Sayfa1!$F99</f>
        <v>45352.376388888886</v>
      </c>
      <c r="H103" s="59" t="str">
        <f>[4]Sayfa1!$I99</f>
        <v>Hat/Line</v>
      </c>
      <c r="I103" s="62" t="str">
        <f>IF([4]Sayfa1!$K99="SSH","Notified by Bozankaya","Notified by Customer")</f>
        <v>Notified by Customer</v>
      </c>
      <c r="J103" s="59" t="e">
        <f>VLOOKUP([4]Sayfa1!$AU99,#REF!,2,FALSE)</f>
        <v>#REF!</v>
      </c>
      <c r="K103" s="59">
        <f>[4]Sayfa1!$AC99</f>
        <v>0</v>
      </c>
      <c r="L103" s="63" t="str">
        <f t="shared" si="26"/>
        <v>KAY_5+50-BOZ-KAY5+6-FF-098</v>
      </c>
      <c r="M103" s="64" t="str">
        <f>[4]Sayfa1!$L99</f>
        <v>MA FREN ARIZASI VERDİ. HATA KODU FB02 1 SEFER İPTALİ YAŞANMIŞTIR.</v>
      </c>
      <c r="N103" s="33" t="str">
        <f>[4]Sayfa1!$J99</f>
        <v>A-Sürüşü engeller</v>
      </c>
      <c r="O103" s="33" t="str">
        <f>[4]Sayfa1!$P99</f>
        <v>A(Hareket etmeyi engelleyen arıza)</v>
      </c>
      <c r="P103" s="33" t="str">
        <f>[4]Sayfa1!$Q99</f>
        <v>N.A(Yaralanma yok)</v>
      </c>
      <c r="Q103" s="65" t="str" cm="1">
        <f t="array" ref="Q103">_xlfn.IFS([4]Sayfa1!$R99="Bozankaya","Bozankaya",[4]Sayfa1!$R99="İşletme","Customer",[4]Sayfa1!$R99="Tedarikçi","Equipment Supplier")</f>
        <v>Bozankaya</v>
      </c>
      <c r="R103" s="66" t="str">
        <f>[4]Sayfa1!$M99</f>
        <v>ARIZA İNVERTÖR KAYNAKLIDIR. HİDROLİK SİSTEM NORMAL ÇALIŞMAKTADIR.</v>
      </c>
      <c r="S103" s="36" t="str">
        <f>[4]Sayfa1!$S99</f>
        <v>Fabrika Test</v>
      </c>
      <c r="T103" s="67">
        <f>[4]Sayfa1!$Z99</f>
        <v>0</v>
      </c>
      <c r="U103" s="68">
        <f>[4]Sayfa1!$AN99</f>
        <v>1</v>
      </c>
      <c r="V103" s="60">
        <f>[4]Sayfa1!$T99</f>
        <v>45526</v>
      </c>
      <c r="W103" s="61">
        <f>[4]Sayfa1!$U99</f>
        <v>45526.73228009259</v>
      </c>
      <c r="X103" s="69">
        <f t="shared" si="27"/>
        <v>45526.73228009259</v>
      </c>
      <c r="Y103" s="70">
        <f>[4]Sayfa1!$AQ99</f>
        <v>45527</v>
      </c>
      <c r="Z103" s="61">
        <f>[4]Sayfa1!$AR99</f>
        <v>45527.583333333336</v>
      </c>
      <c r="AA103" s="69">
        <f t="shared" si="28"/>
        <v>45527.583333333336</v>
      </c>
      <c r="AB103" s="71">
        <f t="shared" si="29"/>
        <v>20.425277777889278</v>
      </c>
      <c r="AC103" s="60">
        <f t="shared" si="30"/>
        <v>45527</v>
      </c>
      <c r="AD103" s="61">
        <f t="shared" si="31"/>
        <v>45527.583333333336</v>
      </c>
      <c r="AE103" s="69">
        <f t="shared" si="32"/>
        <v>45527.583333333336</v>
      </c>
      <c r="AF103" s="36" t="str">
        <f>[4]Sayfa1!$AP99</f>
        <v>(I) İlk defa karşılaşılan arıza</v>
      </c>
      <c r="AG103" s="33" t="str">
        <f>IF([4]Sayfa1!$J99="C-Uyarı, sürüş devamlılığı","Bu Arıza Aracın Servise Verilmesine Engel Değil","Bu Arıza Aracın Servise Verilmesine Engel")</f>
        <v>Bu Arıza Aracın Servise Verilmesine Engel</v>
      </c>
      <c r="AH103" s="41" t="str">
        <f>[4]Sayfa1!$AB99</f>
        <v>Tamir edilecek</v>
      </c>
      <c r="AI103" s="60"/>
      <c r="AJ103" s="60"/>
      <c r="AK103" s="69">
        <f t="shared" si="33"/>
        <v>0</v>
      </c>
      <c r="AL103" s="71">
        <f t="shared" si="34"/>
        <v>1225.5166666733567</v>
      </c>
      <c r="AM103" s="71">
        <f t="shared" si="35"/>
        <v>1225.5166666733567</v>
      </c>
      <c r="AN103" s="72">
        <f t="shared" si="36"/>
        <v>0</v>
      </c>
      <c r="AO103" s="73" t="str">
        <f>[4]Sayfa1!$X99</f>
        <v>P620-7023</v>
      </c>
      <c r="AP103" s="72">
        <f>[4]Sayfa1!$Y99</f>
        <v>0</v>
      </c>
      <c r="AQ103" s="184" t="str">
        <f>[4]Sayfa1!$V99</f>
        <v>MEDCOM SP. Z O.O.</v>
      </c>
      <c r="AR103" s="74" t="str">
        <f>[4]Sayfa1!$W99</f>
        <v>COMBO KUTUSU (+LHD) MEDCOM</v>
      </c>
      <c r="AS103" s="74">
        <f>[4]Sayfa1!$AD99</f>
        <v>0</v>
      </c>
      <c r="AT103" s="60" t="str">
        <f>[4]Sayfa1!$AE99</f>
        <v/>
      </c>
      <c r="AU103" s="60" t="str">
        <f>[4]Sayfa1!$AH99</f>
        <v/>
      </c>
      <c r="AV103" s="75">
        <v>98</v>
      </c>
      <c r="AW103" s="76">
        <f t="shared" si="37"/>
        <v>224.67805555678206</v>
      </c>
      <c r="AX103" s="77" t="str">
        <f>[4]Sayfa1!$A99</f>
        <v>03b69786</v>
      </c>
      <c r="AY103" s="78" t="s">
        <v>114</v>
      </c>
      <c r="AZ103" s="79" t="e" vm="1">
        <f t="shared" si="38"/>
        <v>#VALUE!</v>
      </c>
    </row>
    <row r="104" spans="1:52" ht="220.9">
      <c r="A104" s="59" t="s">
        <v>159</v>
      </c>
      <c r="B104" s="59" t="str">
        <f>[4]Sayfa1!$G100</f>
        <v>3879(8)</v>
      </c>
      <c r="C104" s="184" t="str">
        <f>[4]Sayfa1!$H100</f>
        <v>RA</v>
      </c>
      <c r="D104" s="24">
        <f>[4]Sayfa1!$N100</f>
        <v>2400</v>
      </c>
      <c r="E104" s="24" t="str">
        <f>[4]Sayfa1!$B100</f>
        <v>BOZ-KAY5+6-FF-099</v>
      </c>
      <c r="F104" s="60">
        <f>[4]Sayfa1!$E100</f>
        <v>45352</v>
      </c>
      <c r="G104" s="61">
        <f>[4]Sayfa1!$F100</f>
        <v>45352.730555555558</v>
      </c>
      <c r="H104" s="59" t="str">
        <f>[4]Sayfa1!$I100</f>
        <v>Hat/Line</v>
      </c>
      <c r="I104" s="62" t="str">
        <f>IF([4]Sayfa1!$K100="SSH","Notified by Bozankaya","Notified by Customer")</f>
        <v>Notified by Customer</v>
      </c>
      <c r="J104" s="59" t="e">
        <f>VLOOKUP([4]Sayfa1!$AU100,#REF!,2,FALSE)</f>
        <v>#REF!</v>
      </c>
      <c r="K104" s="59">
        <f>[4]Sayfa1!$AC100</f>
        <v>0</v>
      </c>
      <c r="L104" s="63" t="str">
        <f t="shared" si="26"/>
        <v>KAY_5+51-BOZ-KAY5+6-FF-099</v>
      </c>
      <c r="M104" s="64" t="str">
        <f>[4]Sayfa1!$L100</f>
        <v>5 NOLU LKAĞI AÇILIP KAPANIRKEN DİĞER KAPILARIDAN FARKLI RAHATSIZ EDİCİ BİR UYARI SESİ ÇIKARIYOR</v>
      </c>
      <c r="N104" s="33" t="str">
        <f>[4]Sayfa1!$J100</f>
        <v>C-Uyarı, sürüş devamlılığı</v>
      </c>
      <c r="O104" s="33" t="str">
        <f>[4]Sayfa1!$P100</f>
        <v>C(Sisteme etki etmeyen arıza)</v>
      </c>
      <c r="P104" s="33" t="str">
        <f>[4]Sayfa1!$Q100</f>
        <v>N.A(Yaralanma yok)</v>
      </c>
      <c r="Q104" s="65" t="str" cm="1">
        <f t="array" ref="Q104">_xlfn.IFS([4]Sayfa1!$R100="Bozankaya","Bozankaya",[4]Sayfa1!$R100="İşletme","Customer",[4]Sayfa1!$R100="Tedarikçi","Equipment Supplier")</f>
        <v>Equipment Supplier</v>
      </c>
      <c r="R104" s="66" t="str">
        <f>[4]Sayfa1!$M100</f>
        <v>5 NOLU KAPI RESETLENDİ ARIZA DEVAMLILIĞI GÖRÜLMEDİ</v>
      </c>
      <c r="S104" s="36" t="str">
        <f>[4]Sayfa1!$S100</f>
        <v>TSL</v>
      </c>
      <c r="T104" s="67">
        <f>[4]Sayfa1!$Z100</f>
        <v>0</v>
      </c>
      <c r="U104" s="68">
        <f>[4]Sayfa1!$AN100</f>
        <v>1</v>
      </c>
      <c r="V104" s="60">
        <f>[4]Sayfa1!$T100</f>
        <v>45353</v>
      </c>
      <c r="W104" s="61">
        <f>[4]Sayfa1!$U100</f>
        <v>45353.333333333336</v>
      </c>
      <c r="X104" s="69">
        <f t="shared" si="27"/>
        <v>45353.333333333336</v>
      </c>
      <c r="Y104" s="70">
        <f>[4]Sayfa1!$AQ100</f>
        <v>45353</v>
      </c>
      <c r="Z104" s="61">
        <f>[4]Sayfa1!$AR100</f>
        <v>45353.458333333336</v>
      </c>
      <c r="AA104" s="69">
        <f t="shared" si="28"/>
        <v>45353.458333333336</v>
      </c>
      <c r="AB104" s="71">
        <f t="shared" si="29"/>
        <v>3</v>
      </c>
      <c r="AC104" s="60">
        <f t="shared" si="30"/>
        <v>45353</v>
      </c>
      <c r="AD104" s="61">
        <f t="shared" si="31"/>
        <v>45353.458333333336</v>
      </c>
      <c r="AE104" s="69">
        <f t="shared" si="32"/>
        <v>45353.458333333336</v>
      </c>
      <c r="AF104" s="36" t="str">
        <f>[4]Sayfa1!$AP100</f>
        <v>(II) Birden fazla karşılaşılan arıza</v>
      </c>
      <c r="AG104" s="33" t="str">
        <f>IF([4]Sayfa1!$J100="C-Uyarı, sürüş devamlılığı","Bu Arıza Aracın Servise Verilmesine Engel Değil","Bu Arıza Aracın Servise Verilmesine Engel")</f>
        <v>Bu Arıza Aracın Servise Verilmesine Engel Değil</v>
      </c>
      <c r="AH104" s="41">
        <f>[4]Sayfa1!$AB100</f>
        <v>0</v>
      </c>
      <c r="AI104" s="60"/>
      <c r="AJ104" s="60"/>
      <c r="AK104" s="69">
        <f t="shared" si="33"/>
        <v>0</v>
      </c>
      <c r="AL104" s="71">
        <f t="shared" si="34"/>
        <v>180</v>
      </c>
      <c r="AM104" s="71">
        <f t="shared" si="35"/>
        <v>180</v>
      </c>
      <c r="AN104" s="72">
        <f t="shared" si="36"/>
        <v>0</v>
      </c>
      <c r="AO104" s="73" t="str">
        <f>[4]Sayfa1!$X100</f>
        <v>M110-7057</v>
      </c>
      <c r="AP104" s="72">
        <f>[4]Sayfa1!$Y100</f>
        <v>0</v>
      </c>
      <c r="AQ104" s="184" t="str">
        <f>[4]Sayfa1!$V100</f>
        <v>TURCK OTOMASYON TİC. LTD.ŞTİ.</v>
      </c>
      <c r="AR104" s="74" t="str">
        <f>[4]Sayfa1!$W100</f>
        <v>SESLI UYARI CIHAZI</v>
      </c>
      <c r="AS104" s="74">
        <f>[4]Sayfa1!$AD100</f>
        <v>0</v>
      </c>
      <c r="AT104" s="60" t="str">
        <f>[4]Sayfa1!$AE100</f>
        <v/>
      </c>
      <c r="AU104" s="60" t="str">
        <f>[4]Sayfa1!$AH100</f>
        <v/>
      </c>
      <c r="AV104" s="75">
        <v>99</v>
      </c>
      <c r="AW104" s="76">
        <f t="shared" si="37"/>
        <v>33</v>
      </c>
      <c r="AX104" s="77" t="str">
        <f>[4]Sayfa1!$A100</f>
        <v>d0206cc1</v>
      </c>
      <c r="AY104" s="78" t="s">
        <v>114</v>
      </c>
      <c r="AZ104" s="79" t="e" vm="1">
        <f t="shared" si="38"/>
        <v>#VALUE!</v>
      </c>
    </row>
    <row r="105" spans="1:52" ht="409.6">
      <c r="A105" s="59" t="s">
        <v>160</v>
      </c>
      <c r="B105" s="59" t="str">
        <f>[4]Sayfa1!$G101</f>
        <v>3879(8)</v>
      </c>
      <c r="C105" s="184" t="str">
        <f>[4]Sayfa1!$H101</f>
        <v>MA</v>
      </c>
      <c r="D105" s="24">
        <f>[4]Sayfa1!$N101</f>
        <v>2489</v>
      </c>
      <c r="E105" s="24" t="str">
        <f>[4]Sayfa1!$B101</f>
        <v>BOZ-KAY5+6-FF-100</v>
      </c>
      <c r="F105" s="60">
        <f>[4]Sayfa1!$E101</f>
        <v>45356</v>
      </c>
      <c r="G105" s="61">
        <f>[4]Sayfa1!$F101</f>
        <v>45356.277083333334</v>
      </c>
      <c r="H105" s="59" t="str">
        <f>[4]Sayfa1!$I101</f>
        <v>Hat/Line</v>
      </c>
      <c r="I105" s="62" t="str">
        <f>IF([4]Sayfa1!$K101="SSH","Notified by Bozankaya","Notified by Customer")</f>
        <v>Notified by Customer</v>
      </c>
      <c r="J105" s="59" t="e">
        <f>VLOOKUP([4]Sayfa1!$AU101,#REF!,2,FALSE)</f>
        <v>#REF!</v>
      </c>
      <c r="K105" s="59">
        <f>[4]Sayfa1!$AC101</f>
        <v>0</v>
      </c>
      <c r="L105" s="63" t="str">
        <f t="shared" si="26"/>
        <v>KAY_5+52-BOZ-KAY5+6-FF-100</v>
      </c>
      <c r="M105" s="64" t="str">
        <f>[4]Sayfa1!$L101</f>
        <v>ARAÇ KABİN CA KLİMALARI SOĞUK ÜFLÜYOR FAN HIZI AYARLANAMIYOR.</v>
      </c>
      <c r="N105" s="33" t="str">
        <f>[4]Sayfa1!$J101</f>
        <v>A-Sürüşü engeller</v>
      </c>
      <c r="O105" s="33" t="str">
        <f>[4]Sayfa1!$P101</f>
        <v>B(Servisten çekmeye etki eden arızalar)</v>
      </c>
      <c r="P105" s="33" t="str">
        <f>[4]Sayfa1!$Q101</f>
        <v>N.A(Yaralanma yok)</v>
      </c>
      <c r="Q105" s="65" t="str" cm="1">
        <f t="array" ref="Q105">_xlfn.IFS([4]Sayfa1!$R101="Bozankaya","Bozankaya",[4]Sayfa1!$R101="İşletme","Customer",[4]Sayfa1!$R101="Tedarikçi","Equipment Supplier")</f>
        <v>Equipment Supplier</v>
      </c>
      <c r="R105" s="66" t="str">
        <f>[4]Sayfa1!$M101</f>
        <v>ARACIN CA KLİMASI ÇALIŞMIYORDU. ÖNCELİKLE KABİN KLİMA SENSÖR MODİFİKASYONU YAPILDI. ÇALIŞMADI. KLİMANIN KONTROL KARTI DEĞİŞİMİ YAPILDI VE DİP SWİTCHLER AYARLANDI, YENİ YAZILIM ATILDI IP AYARLANDI. KLİMA NORMAL ÇALIŞMAYA BAŞLADI, ISITMA YAPIYOR.</v>
      </c>
      <c r="S105" s="36" t="str">
        <f>[4]Sayfa1!$S101</f>
        <v>Eltesan</v>
      </c>
      <c r="T105" s="67">
        <f>[4]Sayfa1!$Z101</f>
        <v>0</v>
      </c>
      <c r="U105" s="68">
        <f>[4]Sayfa1!$AN101</f>
        <v>1</v>
      </c>
      <c r="V105" s="60">
        <f>[4]Sayfa1!$T101</f>
        <v>45526</v>
      </c>
      <c r="W105" s="61">
        <f>[4]Sayfa1!$U101</f>
        <v>45526.479097222225</v>
      </c>
      <c r="X105" s="69">
        <f t="shared" si="27"/>
        <v>45526.479097222225</v>
      </c>
      <c r="Y105" s="70">
        <f>[4]Sayfa1!$AQ101</f>
        <v>45526</v>
      </c>
      <c r="Z105" s="61">
        <f>[4]Sayfa1!$AR101</f>
        <v>45526.625</v>
      </c>
      <c r="AA105" s="69">
        <f t="shared" si="28"/>
        <v>45526.625</v>
      </c>
      <c r="AB105" s="71">
        <f t="shared" si="29"/>
        <v>3.5016666665906087</v>
      </c>
      <c r="AC105" s="60">
        <f t="shared" si="30"/>
        <v>45526</v>
      </c>
      <c r="AD105" s="61">
        <f t="shared" si="31"/>
        <v>45526.625</v>
      </c>
      <c r="AE105" s="69">
        <f t="shared" si="32"/>
        <v>45526.625</v>
      </c>
      <c r="AF105" s="36" t="str">
        <f>[4]Sayfa1!$AP101</f>
        <v>(II) Birden fazla karşılaşılan arıza</v>
      </c>
      <c r="AG105" s="33" t="str">
        <f>IF([4]Sayfa1!$J101="C-Uyarı, sürüş devamlılığı","Bu Arıza Aracın Servise Verilmesine Engel Değil","Bu Arıza Aracın Servise Verilmesine Engel")</f>
        <v>Bu Arıza Aracın Servise Verilmesine Engel</v>
      </c>
      <c r="AH105" s="41" t="str">
        <f>[4]Sayfa1!$AB101</f>
        <v>Yazılım güncelleme</v>
      </c>
      <c r="AI105" s="60"/>
      <c r="AJ105" s="60"/>
      <c r="AK105" s="69">
        <f t="shared" si="33"/>
        <v>0</v>
      </c>
      <c r="AL105" s="71">
        <f t="shared" si="34"/>
        <v>210.09999999543652</v>
      </c>
      <c r="AM105" s="71">
        <f t="shared" si="35"/>
        <v>210.09999999543652</v>
      </c>
      <c r="AN105" s="72">
        <f t="shared" si="36"/>
        <v>0</v>
      </c>
      <c r="AO105" s="73" t="str">
        <f>[4]Sayfa1!$X101</f>
        <v>H500-9751</v>
      </c>
      <c r="AP105" s="72">
        <f>[4]Sayfa1!$Y101</f>
        <v>0</v>
      </c>
      <c r="AQ105" s="184" t="str">
        <f>[4]Sayfa1!$V101</f>
        <v>ELTESAN ELEKTRO MEKANİK SOĞUTMA SAN</v>
      </c>
      <c r="AR105" s="74" t="str">
        <f>[4]Sayfa1!$W101</f>
        <v>MASTER KONTROL ÜNİTESİ</v>
      </c>
      <c r="AS105" s="74">
        <f>[4]Sayfa1!$AD101</f>
        <v>0</v>
      </c>
      <c r="AT105" s="60" t="str">
        <f>[4]Sayfa1!$AE101</f>
        <v/>
      </c>
      <c r="AU105" s="60" t="str">
        <f>[4]Sayfa1!$AH101</f>
        <v/>
      </c>
      <c r="AV105" s="75">
        <v>100</v>
      </c>
      <c r="AW105" s="76">
        <f t="shared" si="37"/>
        <v>38.518333332496695</v>
      </c>
      <c r="AX105" s="77" t="str">
        <f>[4]Sayfa1!$A101</f>
        <v>8a3d1d82</v>
      </c>
      <c r="AY105" s="78" t="s">
        <v>114</v>
      </c>
      <c r="AZ105" s="79" t="e" vm="1">
        <f t="shared" si="38"/>
        <v>#VALUE!</v>
      </c>
    </row>
    <row r="106" spans="1:52" ht="186.6">
      <c r="A106" s="59" t="s">
        <v>161</v>
      </c>
      <c r="B106" s="59" t="str">
        <f>[4]Sayfa1!$G102</f>
        <v>3872(1)</v>
      </c>
      <c r="C106" s="184" t="str">
        <f>[4]Sayfa1!$H102</f>
        <v>MA</v>
      </c>
      <c r="D106" s="24">
        <f>[4]Sayfa1!$N102</f>
        <v>41453</v>
      </c>
      <c r="E106" s="24" t="str">
        <f>[4]Sayfa1!$B102</f>
        <v>BOZ-KAY5+6-FF-101</v>
      </c>
      <c r="F106" s="60">
        <f>[4]Sayfa1!$E102</f>
        <v>45357</v>
      </c>
      <c r="G106" s="61">
        <f>[4]Sayfa1!$F102</f>
        <v>45357.554166666669</v>
      </c>
      <c r="H106" s="59" t="str">
        <f>[4]Sayfa1!$I102</f>
        <v>Hat/Line</v>
      </c>
      <c r="I106" s="62" t="str">
        <f>IF([4]Sayfa1!$K102="SSH","Notified by Bozankaya","Notified by Customer")</f>
        <v>Notified by Customer</v>
      </c>
      <c r="J106" s="59" t="e">
        <f>VLOOKUP([4]Sayfa1!$AU102,#REF!,2,FALSE)</f>
        <v>#REF!</v>
      </c>
      <c r="K106" s="59">
        <f>[4]Sayfa1!$AC102</f>
        <v>0</v>
      </c>
      <c r="L106" s="63" t="str">
        <f t="shared" si="26"/>
        <v>KAY_5+53-BOZ-KAY5+6-FF-101</v>
      </c>
      <c r="M106" s="64" t="str">
        <f>[4]Sayfa1!$L102</f>
        <v>SİLECEK HORTUMU YIRTILMIŞ SAĞ SOLA ÇARPIYOR.</v>
      </c>
      <c r="N106" s="33" t="str">
        <f>[4]Sayfa1!$J102</f>
        <v>A-Sürüşü engeller</v>
      </c>
      <c r="O106" s="33" t="str">
        <f>[4]Sayfa1!$P102</f>
        <v>B(Servisten çekmeye etki eden arızalar)</v>
      </c>
      <c r="P106" s="33" t="str">
        <f>[4]Sayfa1!$Q102</f>
        <v>N.A(Yaralanma yok)</v>
      </c>
      <c r="Q106" s="65" t="str" cm="1">
        <f t="array" ref="Q106">_xlfn.IFS([4]Sayfa1!$R102="Bozankaya","Bozankaya",[4]Sayfa1!$R102="İşletme","Customer",[4]Sayfa1!$R102="Tedarikçi","Equipment Supplier")</f>
        <v>Bozankaya</v>
      </c>
      <c r="R106" s="66" t="str">
        <f>[4]Sayfa1!$M102</f>
        <v>SİLECEK HORTUMU YERİNDEN ÇIKMIŞ TAKILDI.</v>
      </c>
      <c r="S106" s="36" t="str">
        <f>[4]Sayfa1!$S102</f>
        <v>Tasarım</v>
      </c>
      <c r="T106" s="67">
        <f>[4]Sayfa1!$Z102</f>
        <v>0</v>
      </c>
      <c r="U106" s="68">
        <f>[4]Sayfa1!$AN102</f>
        <v>1</v>
      </c>
      <c r="V106" s="60">
        <f>[4]Sayfa1!$T102</f>
        <v>45526</v>
      </c>
      <c r="W106" s="61">
        <f>[4]Sayfa1!$U102</f>
        <v>45526.735069444447</v>
      </c>
      <c r="X106" s="69">
        <f t="shared" si="27"/>
        <v>45526.735069444447</v>
      </c>
      <c r="Y106" s="70">
        <f>[4]Sayfa1!$AQ102</f>
        <v>45526</v>
      </c>
      <c r="Z106" s="61">
        <f>[4]Sayfa1!$AR102</f>
        <v>45526.770833333336</v>
      </c>
      <c r="AA106" s="69">
        <f t="shared" si="28"/>
        <v>45526.770833333336</v>
      </c>
      <c r="AB106" s="71">
        <f t="shared" si="29"/>
        <v>0.85833333333721384</v>
      </c>
      <c r="AC106" s="60">
        <f t="shared" si="30"/>
        <v>45526</v>
      </c>
      <c r="AD106" s="61">
        <f t="shared" si="31"/>
        <v>45526.770833333336</v>
      </c>
      <c r="AE106" s="69">
        <f t="shared" si="32"/>
        <v>45526.770833333336</v>
      </c>
      <c r="AF106" s="36" t="str">
        <f>[4]Sayfa1!$AP102</f>
        <v>(II) Birden fazla karşılaşılan arıza</v>
      </c>
      <c r="AG106" s="33" t="str">
        <f>IF([4]Sayfa1!$J102="C-Uyarı, sürüş devamlılığı","Bu Arıza Aracın Servise Verilmesine Engel Değil","Bu Arıza Aracın Servise Verilmesine Engel")</f>
        <v>Bu Arıza Aracın Servise Verilmesine Engel</v>
      </c>
      <c r="AH106" s="41" t="str">
        <f>[4]Sayfa1!$AB102</f>
        <v>Tamir edilecek</v>
      </c>
      <c r="AI106" s="60"/>
      <c r="AJ106" s="60"/>
      <c r="AK106" s="69">
        <f t="shared" si="33"/>
        <v>0</v>
      </c>
      <c r="AL106" s="71">
        <f t="shared" si="34"/>
        <v>51.500000000232831</v>
      </c>
      <c r="AM106" s="71">
        <f t="shared" si="35"/>
        <v>51.500000000232831</v>
      </c>
      <c r="AN106" s="72">
        <f t="shared" si="36"/>
        <v>0</v>
      </c>
      <c r="AO106" s="73" t="str">
        <f>[4]Sayfa1!$X102</f>
        <v>M100-7066</v>
      </c>
      <c r="AP106" s="72">
        <f>[4]Sayfa1!$Y102</f>
        <v>0</v>
      </c>
      <c r="AQ106" s="184" t="str">
        <f>[4]Sayfa1!$V102</f>
        <v>DENİZLER OTOMOTİV SAN. VE TİC.LTD.Ş</v>
      </c>
      <c r="AR106" s="74" t="str">
        <f>[4]Sayfa1!$W102</f>
        <v>SİLECEK MEKANİZMASI Denizler / M.11.2506</v>
      </c>
      <c r="AS106" s="74">
        <f>[4]Sayfa1!$AD102</f>
        <v>0</v>
      </c>
      <c r="AT106" s="60" t="str">
        <f>[4]Sayfa1!$AE102</f>
        <v/>
      </c>
      <c r="AU106" s="60" t="str">
        <f>[4]Sayfa1!$AH102</f>
        <v/>
      </c>
      <c r="AV106" s="75">
        <v>101</v>
      </c>
      <c r="AW106" s="76">
        <f t="shared" si="37"/>
        <v>9.4416666667093523</v>
      </c>
      <c r="AX106" s="77" t="str">
        <f>[4]Sayfa1!$A102</f>
        <v>e731484a</v>
      </c>
      <c r="AY106" s="78" t="s">
        <v>114</v>
      </c>
      <c r="AZ106" s="79" t="e" vm="1">
        <f t="shared" si="38"/>
        <v>#VALUE!</v>
      </c>
    </row>
    <row r="107" spans="1:52" ht="142.9">
      <c r="A107" s="59" t="s">
        <v>162</v>
      </c>
      <c r="B107" s="59" t="str">
        <f>[4]Sayfa1!$G103</f>
        <v>3881(10)</v>
      </c>
      <c r="C107" s="184" t="str">
        <f>[4]Sayfa1!$H103</f>
        <v>MA</v>
      </c>
      <c r="D107" s="24">
        <f>[4]Sayfa1!$N103</f>
        <v>180</v>
      </c>
      <c r="E107" s="24" t="str">
        <f>[4]Sayfa1!$B103</f>
        <v>BOZ-KAY5+6-FF-102</v>
      </c>
      <c r="F107" s="60">
        <f>[4]Sayfa1!$E103</f>
        <v>45357</v>
      </c>
      <c r="G107" s="61">
        <f>[4]Sayfa1!$F103</f>
        <v>45357.706944444442</v>
      </c>
      <c r="H107" s="59" t="str">
        <f>[4]Sayfa1!$I103</f>
        <v>Hat/Line</v>
      </c>
      <c r="I107" s="62" t="str">
        <f>IF([4]Sayfa1!$K103="SSH","Notified by Bozankaya","Notified by Customer")</f>
        <v>Notified by Customer</v>
      </c>
      <c r="J107" s="59" t="e">
        <f>VLOOKUP([4]Sayfa1!$AU103,#REF!,2,FALSE)</f>
        <v>#REF!</v>
      </c>
      <c r="K107" s="59">
        <f>[4]Sayfa1!$AC103</f>
        <v>0</v>
      </c>
      <c r="L107" s="63" t="str">
        <f t="shared" si="26"/>
        <v>KAY_5+54-BOZ-KAY5+6-FF-102</v>
      </c>
      <c r="M107" s="64" t="str">
        <f>[4]Sayfa1!$L103</f>
        <v>Kabin klima ff-04 sigorta değeri yanlış</v>
      </c>
      <c r="N107" s="33" t="str">
        <f>[4]Sayfa1!$J103</f>
        <v>C-Uyarı, sürüş devamlılığı</v>
      </c>
      <c r="O107" s="33" t="str">
        <f>[4]Sayfa1!$P103</f>
        <v>B(Servisten çekmeye etki eden arızalar)</v>
      </c>
      <c r="P107" s="33" t="str">
        <f>[4]Sayfa1!$Q103</f>
        <v>N.A(Yaralanma yok)</v>
      </c>
      <c r="Q107" s="65" t="str" cm="1">
        <f t="array" ref="Q107">_xlfn.IFS([4]Sayfa1!$R103="Bozankaya","Bozankaya",[4]Sayfa1!$R103="İşletme","Customer",[4]Sayfa1!$R103="Tedarikçi","Equipment Supplier")</f>
        <v>Bozankaya</v>
      </c>
      <c r="R107" s="66" t="str">
        <f>[4]Sayfa1!$M103</f>
        <v>Sigorta değişimi  yapıldı</v>
      </c>
      <c r="S107" s="36" t="str">
        <f>[4]Sayfa1!$S103</f>
        <v>Üretim</v>
      </c>
      <c r="T107" s="67">
        <f>[4]Sayfa1!$Z103</f>
        <v>0</v>
      </c>
      <c r="U107" s="68">
        <f>[4]Sayfa1!$AN103</f>
        <v>1</v>
      </c>
      <c r="V107" s="60">
        <f>[4]Sayfa1!$T103</f>
        <v>45538</v>
      </c>
      <c r="W107" s="61">
        <f>[4]Sayfa1!$U103</f>
        <v>45538.384629629632</v>
      </c>
      <c r="X107" s="69">
        <f t="shared" si="27"/>
        <v>45538.384629629632</v>
      </c>
      <c r="Y107" s="70">
        <f>[4]Sayfa1!$AQ103</f>
        <v>45538</v>
      </c>
      <c r="Z107" s="61">
        <f>[4]Sayfa1!$AR103</f>
        <v>45538.479166666664</v>
      </c>
      <c r="AA107" s="69">
        <f t="shared" si="28"/>
        <v>45538.479166666664</v>
      </c>
      <c r="AB107" s="71">
        <f t="shared" si="29"/>
        <v>2.2688888887641951</v>
      </c>
      <c r="AC107" s="60">
        <f t="shared" si="30"/>
        <v>45538</v>
      </c>
      <c r="AD107" s="61">
        <f t="shared" si="31"/>
        <v>45538.479166666664</v>
      </c>
      <c r="AE107" s="69">
        <f t="shared" si="32"/>
        <v>45538.479166666664</v>
      </c>
      <c r="AF107" s="36" t="str">
        <f>[4]Sayfa1!$AP103</f>
        <v>(I) İlk defa karşılaşılan arıza</v>
      </c>
      <c r="AG107" s="33" t="str">
        <f>IF([4]Sayfa1!$J103="C-Uyarı, sürüş devamlılığı","Bu Arıza Aracın Servise Verilmesine Engel Değil","Bu Arıza Aracın Servise Verilmesine Engel")</f>
        <v>Bu Arıza Aracın Servise Verilmesine Engel Değil</v>
      </c>
      <c r="AH107" s="41" t="str">
        <f>[4]Sayfa1!$AB103</f>
        <v>Ekipman değiştirilecek</v>
      </c>
      <c r="AI107" s="60"/>
      <c r="AJ107" s="60"/>
      <c r="AK107" s="69">
        <f t="shared" si="33"/>
        <v>0</v>
      </c>
      <c r="AL107" s="71">
        <f t="shared" si="34"/>
        <v>136.13333332585171</v>
      </c>
      <c r="AM107" s="71">
        <f t="shared" si="35"/>
        <v>136.13333332585171</v>
      </c>
      <c r="AN107" s="72">
        <f t="shared" si="36"/>
        <v>0</v>
      </c>
      <c r="AO107" s="73" t="str">
        <f>[4]Sayfa1!$X103</f>
        <v>E110-7167</v>
      </c>
      <c r="AP107" s="72">
        <f>[4]Sayfa1!$Y103</f>
        <v>0</v>
      </c>
      <c r="AQ107" s="184" t="str">
        <f>[4]Sayfa1!$V103</f>
        <v>GÖKHAN ELEKTRİK MALZ. SAN TİC. LTD.</v>
      </c>
      <c r="AR107" s="74" t="str">
        <f>[4]Sayfa1!$W103</f>
        <v>8A Sigorta</v>
      </c>
      <c r="AS107" s="74">
        <f>[4]Sayfa1!$AD103</f>
        <v>0</v>
      </c>
      <c r="AT107" s="60" t="str">
        <f>[4]Sayfa1!$AE103</f>
        <v/>
      </c>
      <c r="AU107" s="60" t="str">
        <f>[4]Sayfa1!$AH103</f>
        <v/>
      </c>
      <c r="AV107" s="75">
        <v>102</v>
      </c>
      <c r="AW107" s="76">
        <f t="shared" si="37"/>
        <v>24.957777776406147</v>
      </c>
      <c r="AX107" s="77" t="str">
        <f>[4]Sayfa1!$A103</f>
        <v>0cb56b1a</v>
      </c>
      <c r="AY107" s="78" t="s">
        <v>114</v>
      </c>
      <c r="AZ107" s="79" t="e" vm="1">
        <f t="shared" si="38"/>
        <v>#VALUE!</v>
      </c>
    </row>
    <row r="108" spans="1:52" ht="142.9">
      <c r="A108" s="59" t="s">
        <v>163</v>
      </c>
      <c r="B108" s="59" t="str">
        <f>[4]Sayfa1!$G104</f>
        <v>3881(10)</v>
      </c>
      <c r="C108" s="184" t="str">
        <f>[4]Sayfa1!$H104</f>
        <v>MA</v>
      </c>
      <c r="D108" s="24">
        <f>[4]Sayfa1!$N104</f>
        <v>170</v>
      </c>
      <c r="E108" s="24" t="str">
        <f>[4]Sayfa1!$B104</f>
        <v>BOZ-KAY5+6-FF-103</v>
      </c>
      <c r="F108" s="60">
        <f>[4]Sayfa1!$E104</f>
        <v>45357</v>
      </c>
      <c r="G108" s="61">
        <f>[4]Sayfa1!$F104</f>
        <v>45357.706944444442</v>
      </c>
      <c r="H108" s="59" t="str">
        <f>[4]Sayfa1!$I104</f>
        <v>Hat/Line</v>
      </c>
      <c r="I108" s="62" t="str">
        <f>IF([4]Sayfa1!$K104="SSH","Notified by Bozankaya","Notified by Customer")</f>
        <v>Notified by Customer</v>
      </c>
      <c r="J108" s="59" t="e">
        <f>VLOOKUP([4]Sayfa1!$AU104,#REF!,2,FALSE)</f>
        <v>#REF!</v>
      </c>
      <c r="K108" s="59">
        <f>[4]Sayfa1!$AC104</f>
        <v>0</v>
      </c>
      <c r="L108" s="63" t="str">
        <f t="shared" si="26"/>
        <v>KAY_5+55-BOZ-KAY5+6-FF-103</v>
      </c>
      <c r="M108" s="64" t="str">
        <f>[4]Sayfa1!$L104</f>
        <v>KABİN KLİMASI FF-04 SİGORTA DEĞERİ YANLIŞ</v>
      </c>
      <c r="N108" s="33" t="str">
        <f>[4]Sayfa1!$J104</f>
        <v>C-Uyarı, sürüş devamlılığı</v>
      </c>
      <c r="O108" s="33" t="str">
        <f>[4]Sayfa1!$P104</f>
        <v>B(Servisten çekmeye etki eden arızalar)</v>
      </c>
      <c r="P108" s="33" t="str">
        <f>[4]Sayfa1!$Q104</f>
        <v>N.A(Yaralanma yok)</v>
      </c>
      <c r="Q108" s="65" t="str" cm="1">
        <f t="array" ref="Q108">_xlfn.IFS([4]Sayfa1!$R104="Bozankaya","Bozankaya",[4]Sayfa1!$R104="İşletme","Customer",[4]Sayfa1!$R104="Tedarikçi","Equipment Supplier")</f>
        <v>Bozankaya</v>
      </c>
      <c r="R108" s="66" t="str">
        <f>[4]Sayfa1!$M104</f>
        <v>DOĞRU DEĞER SİGORTA DEĞİŞİMİ YAPILDI</v>
      </c>
      <c r="S108" s="36" t="str">
        <f>[4]Sayfa1!$S104</f>
        <v>Üretim</v>
      </c>
      <c r="T108" s="67">
        <f>[4]Sayfa1!$Z104</f>
        <v>0</v>
      </c>
      <c r="U108" s="68">
        <f>[4]Sayfa1!$AN104</f>
        <v>1</v>
      </c>
      <c r="V108" s="60">
        <f>[4]Sayfa1!$T104</f>
        <v>45357</v>
      </c>
      <c r="W108" s="61">
        <f>[4]Sayfa1!$U104</f>
        <v>45357.708333333336</v>
      </c>
      <c r="X108" s="69">
        <f t="shared" si="27"/>
        <v>45357.708333333336</v>
      </c>
      <c r="Y108" s="70">
        <f>[4]Sayfa1!$AQ104</f>
        <v>45357</v>
      </c>
      <c r="Z108" s="61">
        <f>[4]Sayfa1!$AR104</f>
        <v>45357.75</v>
      </c>
      <c r="AA108" s="69">
        <f t="shared" si="28"/>
        <v>45357.75</v>
      </c>
      <c r="AB108" s="71">
        <f t="shared" si="29"/>
        <v>0</v>
      </c>
      <c r="AC108" s="60">
        <f t="shared" si="30"/>
        <v>45357</v>
      </c>
      <c r="AD108" s="61">
        <f t="shared" si="31"/>
        <v>45357.75</v>
      </c>
      <c r="AE108" s="69">
        <f t="shared" si="32"/>
        <v>45357.75</v>
      </c>
      <c r="AF108" s="36" t="str">
        <f>[4]Sayfa1!$AP104</f>
        <v>(I) İlk defa karşılaşılan arıza</v>
      </c>
      <c r="AG108" s="33" t="str">
        <f>IF([4]Sayfa1!$J104="C-Uyarı, sürüş devamlılığı","Bu Arıza Aracın Servise Verilmesine Engel Değil","Bu Arıza Aracın Servise Verilmesine Engel")</f>
        <v>Bu Arıza Aracın Servise Verilmesine Engel Değil</v>
      </c>
      <c r="AH108" s="41">
        <f>[4]Sayfa1!$AB104</f>
        <v>0</v>
      </c>
      <c r="AI108" s="60"/>
      <c r="AJ108" s="60"/>
      <c r="AK108" s="69">
        <f t="shared" si="33"/>
        <v>0</v>
      </c>
      <c r="AL108" s="71">
        <f t="shared" si="34"/>
        <v>0</v>
      </c>
      <c r="AM108" s="71">
        <f t="shared" si="35"/>
        <v>0</v>
      </c>
      <c r="AN108" s="72">
        <f t="shared" si="36"/>
        <v>0</v>
      </c>
      <c r="AO108" s="73" t="str">
        <f>[4]Sayfa1!$X104</f>
        <v>H500-7240</v>
      </c>
      <c r="AP108" s="72">
        <f>[4]Sayfa1!$Y104</f>
        <v>1</v>
      </c>
      <c r="AQ108" s="184" t="str">
        <f>[4]Sayfa1!$V104</f>
        <v>ELTESAN ELEKTRO MEKANİK SOĞUTMA SAN</v>
      </c>
      <c r="AR108" s="74" t="str">
        <f>[4]Sayfa1!$W104</f>
        <v>KLIMA UNITESİ /Eltesan/Hispacold 41,5 kW</v>
      </c>
      <c r="AS108" s="74">
        <f>[4]Sayfa1!$AD104</f>
        <v>0</v>
      </c>
      <c r="AT108" s="60" t="str">
        <f>[4]Sayfa1!$AE104</f>
        <v/>
      </c>
      <c r="AU108" s="60" t="str">
        <f>[4]Sayfa1!$AH104</f>
        <v/>
      </c>
      <c r="AV108" s="75">
        <v>103</v>
      </c>
      <c r="AW108" s="76">
        <f t="shared" si="37"/>
        <v>0</v>
      </c>
      <c r="AX108" s="77" t="str">
        <f>[4]Sayfa1!$A104</f>
        <v>c66f48bf</v>
      </c>
      <c r="AY108" s="78" t="s">
        <v>114</v>
      </c>
      <c r="AZ108" s="79" t="e" vm="1">
        <f t="shared" si="38"/>
        <v>#VALUE!</v>
      </c>
    </row>
    <row r="109" spans="1:52" ht="142.9">
      <c r="A109" s="59" t="s">
        <v>164</v>
      </c>
      <c r="B109" s="59" t="str">
        <f>[4]Sayfa1!$G105</f>
        <v>3880(9)</v>
      </c>
      <c r="C109" s="184" t="str">
        <f>[4]Sayfa1!$H105</f>
        <v>MA</v>
      </c>
      <c r="D109" s="24">
        <f>[4]Sayfa1!$N105</f>
        <v>260</v>
      </c>
      <c r="E109" s="24" t="str">
        <f>[4]Sayfa1!$B105</f>
        <v>BOZ-KAY5+6-FF-104</v>
      </c>
      <c r="F109" s="60">
        <f>[4]Sayfa1!$E105</f>
        <v>45357</v>
      </c>
      <c r="G109" s="61">
        <f>[4]Sayfa1!$F105</f>
        <v>45357.707638888889</v>
      </c>
      <c r="H109" s="59" t="str">
        <f>[4]Sayfa1!$I105</f>
        <v>Hat/Line</v>
      </c>
      <c r="I109" s="62" t="str">
        <f>IF([4]Sayfa1!$K105="SSH","Notified by Bozankaya","Notified by Customer")</f>
        <v>Notified by Customer</v>
      </c>
      <c r="J109" s="59" t="e">
        <f>VLOOKUP([4]Sayfa1!$AU105,#REF!,2,FALSE)</f>
        <v>#REF!</v>
      </c>
      <c r="K109" s="59">
        <f>[4]Sayfa1!$AC105</f>
        <v>0</v>
      </c>
      <c r="L109" s="63" t="str">
        <f t="shared" si="26"/>
        <v>KAY_5+56-BOZ-KAY5+6-FF-104</v>
      </c>
      <c r="M109" s="64" t="str">
        <f>[4]Sayfa1!$L105</f>
        <v>KABİN KLİMASI ÇALIŞMIYOR</v>
      </c>
      <c r="N109" s="33" t="str">
        <f>[4]Sayfa1!$J105</f>
        <v>A-Sürüşü engeller</v>
      </c>
      <c r="O109" s="33" t="str">
        <f>[4]Sayfa1!$P105</f>
        <v>B(Servisten çekmeye etki eden arızalar)</v>
      </c>
      <c r="P109" s="33" t="str">
        <f>[4]Sayfa1!$Q105</f>
        <v>N.A(Yaralanma yok)</v>
      </c>
      <c r="Q109" s="65" t="str" cm="1">
        <f t="array" ref="Q109">_xlfn.IFS([4]Sayfa1!$R105="Bozankaya","Bozankaya",[4]Sayfa1!$R105="İşletme","Customer",[4]Sayfa1!$R105="Tedarikçi","Equipment Supplier")</f>
        <v>Equipment Supplier</v>
      </c>
      <c r="R109" s="66" t="str">
        <f>[4]Sayfa1!$M105</f>
        <v>MASTERCARD DEĞİŞİMİ YAPILDI SORUN GİDERİLDİ</v>
      </c>
      <c r="S109" s="36" t="str">
        <f>[4]Sayfa1!$S105</f>
        <v>Eltesan</v>
      </c>
      <c r="T109" s="67">
        <f>[4]Sayfa1!$Z105</f>
        <v>0</v>
      </c>
      <c r="U109" s="68">
        <f>[4]Sayfa1!$AN105</f>
        <v>1</v>
      </c>
      <c r="V109" s="60">
        <f>[4]Sayfa1!$T105</f>
        <v>45358</v>
      </c>
      <c r="W109" s="61">
        <f>[4]Sayfa1!$U105</f>
        <v>45358.333333333336</v>
      </c>
      <c r="X109" s="69">
        <f t="shared" si="27"/>
        <v>45358.333333333336</v>
      </c>
      <c r="Y109" s="70">
        <f>[4]Sayfa1!$AQ105</f>
        <v>45358</v>
      </c>
      <c r="Z109" s="61">
        <f>[4]Sayfa1!$AR105</f>
        <v>45358.5</v>
      </c>
      <c r="AA109" s="69">
        <f t="shared" si="28"/>
        <v>45358.5</v>
      </c>
      <c r="AB109" s="71">
        <f t="shared" si="29"/>
        <v>3.9999999999417923</v>
      </c>
      <c r="AC109" s="60">
        <f t="shared" si="30"/>
        <v>45358</v>
      </c>
      <c r="AD109" s="61">
        <f t="shared" si="31"/>
        <v>45358.5</v>
      </c>
      <c r="AE109" s="69">
        <f t="shared" si="32"/>
        <v>45358.5</v>
      </c>
      <c r="AF109" s="36" t="str">
        <f>[4]Sayfa1!$AP105</f>
        <v>(II) Birden fazla karşılaşılan arıza</v>
      </c>
      <c r="AG109" s="33" t="str">
        <f>IF([4]Sayfa1!$J105="C-Uyarı, sürüş devamlılığı","Bu Arıza Aracın Servise Verilmesine Engel Değil","Bu Arıza Aracın Servise Verilmesine Engel")</f>
        <v>Bu Arıza Aracın Servise Verilmesine Engel</v>
      </c>
      <c r="AH109" s="41">
        <f>[4]Sayfa1!$AB105</f>
        <v>0</v>
      </c>
      <c r="AI109" s="60"/>
      <c r="AJ109" s="60"/>
      <c r="AK109" s="69">
        <f t="shared" si="33"/>
        <v>0</v>
      </c>
      <c r="AL109" s="71">
        <f t="shared" si="34"/>
        <v>239.99999999650754</v>
      </c>
      <c r="AM109" s="71">
        <f t="shared" si="35"/>
        <v>239.99999999650754</v>
      </c>
      <c r="AN109" s="72">
        <f t="shared" si="36"/>
        <v>0</v>
      </c>
      <c r="AO109" s="73" t="str">
        <f>[4]Sayfa1!$X105</f>
        <v>H500-7240</v>
      </c>
      <c r="AP109" s="72">
        <f>[4]Sayfa1!$Y105</f>
        <v>1</v>
      </c>
      <c r="AQ109" s="184" t="str">
        <f>[4]Sayfa1!$V105</f>
        <v>ELTESAN ELEKTRO MEKANİK SOĞUTMA SAN</v>
      </c>
      <c r="AR109" s="74" t="str">
        <f>[4]Sayfa1!$W105</f>
        <v>KLIMA UNITESİ /Eltesan/Hispacold 41,5 kW</v>
      </c>
      <c r="AS109" s="74">
        <f>[4]Sayfa1!$AD105</f>
        <v>0</v>
      </c>
      <c r="AT109" s="60" t="str">
        <f>[4]Sayfa1!$AE105</f>
        <v/>
      </c>
      <c r="AU109" s="60" t="str">
        <f>[4]Sayfa1!$AH105</f>
        <v/>
      </c>
      <c r="AV109" s="75">
        <v>104</v>
      </c>
      <c r="AW109" s="76">
        <f t="shared" si="37"/>
        <v>43.999999999359716</v>
      </c>
      <c r="AX109" s="77">
        <f>[4]Sayfa1!$A105</f>
        <v>72313988</v>
      </c>
      <c r="AY109" s="78" t="s">
        <v>114</v>
      </c>
      <c r="AZ109" s="79" t="e" vm="1">
        <f t="shared" si="38"/>
        <v>#VALUE!</v>
      </c>
    </row>
    <row r="110" spans="1:52" ht="142.9">
      <c r="A110" s="59" t="s">
        <v>165</v>
      </c>
      <c r="B110" s="59" t="str">
        <f>[4]Sayfa1!$G106</f>
        <v>3880(9)</v>
      </c>
      <c r="C110" s="184" t="str">
        <f>[4]Sayfa1!$H106</f>
        <v>MA</v>
      </c>
      <c r="D110" s="24">
        <f>[4]Sayfa1!$N106</f>
        <v>270</v>
      </c>
      <c r="E110" s="24" t="str">
        <f>[4]Sayfa1!$B106</f>
        <v>BOZ-KAY5+6-FF-105</v>
      </c>
      <c r="F110" s="60">
        <f>[4]Sayfa1!$E106</f>
        <v>45357</v>
      </c>
      <c r="G110" s="61">
        <f>[4]Sayfa1!$F106</f>
        <v>45357.707638888889</v>
      </c>
      <c r="H110" s="59" t="str">
        <f>[4]Sayfa1!$I106</f>
        <v>Hat/Line</v>
      </c>
      <c r="I110" s="62" t="str">
        <f>IF([4]Sayfa1!$K106="SSH","Notified by Bozankaya","Notified by Customer")</f>
        <v>Notified by Customer</v>
      </c>
      <c r="J110" s="59" t="e">
        <f>VLOOKUP([4]Sayfa1!$AU106,#REF!,2,FALSE)</f>
        <v>#REF!</v>
      </c>
      <c r="K110" s="59">
        <f>[4]Sayfa1!$AC106</f>
        <v>0</v>
      </c>
      <c r="L110" s="63" t="str">
        <f t="shared" si="26"/>
        <v>KAY_5+57-BOZ-KAY5+6-FF-105</v>
      </c>
      <c r="M110" s="64" t="str">
        <f>[4]Sayfa1!$L106</f>
        <v>KABİN KLİMASI ÇALIŞMIYOR</v>
      </c>
      <c r="N110" s="33" t="str">
        <f>[4]Sayfa1!$J106</f>
        <v>A-Sürüşü engeller</v>
      </c>
      <c r="O110" s="33" t="str">
        <f>[4]Sayfa1!$P106</f>
        <v>B(Servisten çekmeye etki eden arızalar)</v>
      </c>
      <c r="P110" s="33" t="str">
        <f>[4]Sayfa1!$Q106</f>
        <v>N.A(Yaralanma yok)</v>
      </c>
      <c r="Q110" s="65" t="str" cm="1">
        <f t="array" ref="Q110">_xlfn.IFS([4]Sayfa1!$R106="Bozankaya","Bozankaya",[4]Sayfa1!$R106="İşletme","Customer",[4]Sayfa1!$R106="Tedarikçi","Equipment Supplier")</f>
        <v>Equipment Supplier</v>
      </c>
      <c r="R110" s="66" t="str">
        <f>[4]Sayfa1!$M106</f>
        <v>MASTERCARD DEĞİŞİMİ YAPILDI</v>
      </c>
      <c r="S110" s="36" t="str">
        <f>[4]Sayfa1!$S106</f>
        <v>Eltesan</v>
      </c>
      <c r="T110" s="67">
        <f>[4]Sayfa1!$Z106</f>
        <v>0</v>
      </c>
      <c r="U110" s="68">
        <f>[4]Sayfa1!$AN106</f>
        <v>1</v>
      </c>
      <c r="V110" s="60">
        <f>[4]Sayfa1!$T106</f>
        <v>45358</v>
      </c>
      <c r="W110" s="61">
        <f>[4]Sayfa1!$U106</f>
        <v>45358.333333333336</v>
      </c>
      <c r="X110" s="69">
        <f t="shared" si="27"/>
        <v>45358.333333333336</v>
      </c>
      <c r="Y110" s="70">
        <f>[4]Sayfa1!$AQ106</f>
        <v>45358</v>
      </c>
      <c r="Z110" s="61">
        <f>[4]Sayfa1!$AR106</f>
        <v>45358.5</v>
      </c>
      <c r="AA110" s="69">
        <f t="shared" si="28"/>
        <v>45358.5</v>
      </c>
      <c r="AB110" s="71">
        <f t="shared" si="29"/>
        <v>3.9999999999417923</v>
      </c>
      <c r="AC110" s="60">
        <f t="shared" si="30"/>
        <v>45358</v>
      </c>
      <c r="AD110" s="61">
        <f t="shared" si="31"/>
        <v>45358.5</v>
      </c>
      <c r="AE110" s="69">
        <f t="shared" si="32"/>
        <v>45358.5</v>
      </c>
      <c r="AF110" s="36" t="str">
        <f>[4]Sayfa1!$AP106</f>
        <v>(II) Birden fazla karşılaşılan arıza</v>
      </c>
      <c r="AG110" s="33" t="str">
        <f>IF([4]Sayfa1!$J106="C-Uyarı, sürüş devamlılığı","Bu Arıza Aracın Servise Verilmesine Engel Değil","Bu Arıza Aracın Servise Verilmesine Engel")</f>
        <v>Bu Arıza Aracın Servise Verilmesine Engel</v>
      </c>
      <c r="AH110" s="41">
        <f>[4]Sayfa1!$AB106</f>
        <v>0</v>
      </c>
      <c r="AI110" s="60"/>
      <c r="AJ110" s="60"/>
      <c r="AK110" s="69">
        <f t="shared" si="33"/>
        <v>0</v>
      </c>
      <c r="AL110" s="71">
        <f t="shared" si="34"/>
        <v>239.99999999650754</v>
      </c>
      <c r="AM110" s="71">
        <f t="shared" si="35"/>
        <v>239.99999999650754</v>
      </c>
      <c r="AN110" s="72">
        <f t="shared" si="36"/>
        <v>0</v>
      </c>
      <c r="AO110" s="73" t="str">
        <f>[4]Sayfa1!$X106</f>
        <v>H500-7240</v>
      </c>
      <c r="AP110" s="72">
        <f>[4]Sayfa1!$Y106</f>
        <v>1</v>
      </c>
      <c r="AQ110" s="184" t="str">
        <f>[4]Sayfa1!$V106</f>
        <v>ELTESAN ELEKTRO MEKANİK SOĞUTMA SAN</v>
      </c>
      <c r="AR110" s="74" t="str">
        <f>[4]Sayfa1!$W106</f>
        <v>KLIMA UNITESİ /Eltesan/Hispacold 41,5 kW</v>
      </c>
      <c r="AS110" s="74">
        <f>[4]Sayfa1!$AD106</f>
        <v>0</v>
      </c>
      <c r="AT110" s="60" t="str">
        <f>[4]Sayfa1!$AE106</f>
        <v/>
      </c>
      <c r="AU110" s="60" t="str">
        <f>[4]Sayfa1!$AH106</f>
        <v/>
      </c>
      <c r="AV110" s="75">
        <v>105</v>
      </c>
      <c r="AW110" s="76">
        <f t="shared" si="37"/>
        <v>43.999999999359716</v>
      </c>
      <c r="AX110" s="77" t="str">
        <f>[4]Sayfa1!$A106</f>
        <v>39dc7a96</v>
      </c>
      <c r="AY110" s="78" t="s">
        <v>114</v>
      </c>
      <c r="AZ110" s="79" t="e" vm="1">
        <f t="shared" si="38"/>
        <v>#VALUE!</v>
      </c>
    </row>
    <row r="111" spans="1:52" ht="142.9">
      <c r="A111" s="59" t="s">
        <v>166</v>
      </c>
      <c r="B111" s="59" t="str">
        <f>[4]Sayfa1!$G107</f>
        <v>3880(9)</v>
      </c>
      <c r="C111" s="184" t="str">
        <f>[4]Sayfa1!$H107</f>
        <v>MA</v>
      </c>
      <c r="D111" s="24">
        <f>[4]Sayfa1!$N107</f>
        <v>280</v>
      </c>
      <c r="E111" s="24" t="str">
        <f>[4]Sayfa1!$B107</f>
        <v>BOZ-KAY5+6-FF-106</v>
      </c>
      <c r="F111" s="60">
        <f>[4]Sayfa1!$E107</f>
        <v>45357</v>
      </c>
      <c r="G111" s="61">
        <f>[4]Sayfa1!$F107</f>
        <v>45357.707905092589</v>
      </c>
      <c r="H111" s="59" t="str">
        <f>[4]Sayfa1!$I107</f>
        <v>Hat/Line</v>
      </c>
      <c r="I111" s="62" t="str">
        <f>IF([4]Sayfa1!$K107="SSH","Notified by Bozankaya","Notified by Customer")</f>
        <v>Notified by Customer</v>
      </c>
      <c r="J111" s="59" t="e">
        <f>VLOOKUP([4]Sayfa1!$AU107,#REF!,2,FALSE)</f>
        <v>#REF!</v>
      </c>
      <c r="K111" s="59">
        <f>[4]Sayfa1!$AC107</f>
        <v>0</v>
      </c>
      <c r="L111" s="63" t="str">
        <f t="shared" si="26"/>
        <v>KAY_5+58-BOZ-KAY5+6-FF-106</v>
      </c>
      <c r="M111" s="64" t="str">
        <f>[4]Sayfa1!$L107</f>
        <v>kabin klima çalışmıyor</v>
      </c>
      <c r="N111" s="33" t="str">
        <f>[4]Sayfa1!$J107</f>
        <v>C-Uyarı, sürüş devamlılığı</v>
      </c>
      <c r="O111" s="33" t="str">
        <f>[4]Sayfa1!$P107</f>
        <v>B(Servisten çekmeye etki eden arızalar)</v>
      </c>
      <c r="P111" s="33" t="str">
        <f>[4]Sayfa1!$Q107</f>
        <v>N.A(Yaralanma yok)</v>
      </c>
      <c r="Q111" s="65" t="str" cm="1">
        <f t="array" ref="Q111">_xlfn.IFS([4]Sayfa1!$R107="Bozankaya","Bozankaya",[4]Sayfa1!$R107="İşletme","Customer",[4]Sayfa1!$R107="Tedarikçi","Equipment Supplier")</f>
        <v>Equipment Supplier</v>
      </c>
      <c r="R111" s="66" t="str">
        <f>[4]Sayfa1!$M107</f>
        <v>mastercard değişimi yapıldı</v>
      </c>
      <c r="S111" s="36" t="str">
        <f>[4]Sayfa1!$S107</f>
        <v>Eltesan</v>
      </c>
      <c r="T111" s="67">
        <f>[4]Sayfa1!$Z107</f>
        <v>0</v>
      </c>
      <c r="U111" s="68">
        <f>[4]Sayfa1!$AN107</f>
        <v>0</v>
      </c>
      <c r="V111" s="60">
        <f>[4]Sayfa1!$T107</f>
        <v>45527</v>
      </c>
      <c r="W111" s="61">
        <f>[4]Sayfa1!$U107</f>
        <v>45527.594305555554</v>
      </c>
      <c r="X111" s="69">
        <f t="shared" si="27"/>
        <v>45527.594305555554</v>
      </c>
      <c r="Y111" s="70">
        <f>[4]Sayfa1!$AQ107</f>
        <v>45527</v>
      </c>
      <c r="Z111" s="61">
        <f>[4]Sayfa1!$AR107</f>
        <v>45527.708333333336</v>
      </c>
      <c r="AA111" s="69">
        <f t="shared" si="28"/>
        <v>45527.708333333336</v>
      </c>
      <c r="AB111" s="71">
        <f t="shared" si="29"/>
        <v>2.7366666667512618</v>
      </c>
      <c r="AC111" s="60">
        <f t="shared" si="30"/>
        <v>45527</v>
      </c>
      <c r="AD111" s="61">
        <f t="shared" si="31"/>
        <v>45527.708333333336</v>
      </c>
      <c r="AE111" s="69">
        <f t="shared" si="32"/>
        <v>45527.708333333336</v>
      </c>
      <c r="AF111" s="36" t="str">
        <f>[4]Sayfa1!$AP107</f>
        <v>(II) Birden fazla karşılaşılan arıza</v>
      </c>
      <c r="AG111" s="33" t="str">
        <f>IF([4]Sayfa1!$J107="C-Uyarı, sürüş devamlılığı","Bu Arıza Aracın Servise Verilmesine Engel Değil","Bu Arıza Aracın Servise Verilmesine Engel")</f>
        <v>Bu Arıza Aracın Servise Verilmesine Engel Değil</v>
      </c>
      <c r="AH111" s="41" t="str">
        <f>[4]Sayfa1!$AB107</f>
        <v>Ekipman değiştirilecek</v>
      </c>
      <c r="AI111" s="60"/>
      <c r="AJ111" s="60"/>
      <c r="AK111" s="69">
        <f t="shared" si="33"/>
        <v>0</v>
      </c>
      <c r="AL111" s="71">
        <f t="shared" si="34"/>
        <v>164.20000000507571</v>
      </c>
      <c r="AM111" s="71">
        <f t="shared" si="35"/>
        <v>164.20000000507571</v>
      </c>
      <c r="AN111" s="72">
        <f t="shared" si="36"/>
        <v>0</v>
      </c>
      <c r="AO111" s="73" t="str">
        <f>[4]Sayfa1!$X107</f>
        <v>H500-7240</v>
      </c>
      <c r="AP111" s="72">
        <f>[4]Sayfa1!$Y107</f>
        <v>1</v>
      </c>
      <c r="AQ111" s="184" t="str">
        <f>[4]Sayfa1!$V107</f>
        <v>ELTESAN ELEKTRO MEKANİK SOĞUTMA SAN</v>
      </c>
      <c r="AR111" s="74" t="str">
        <f>[4]Sayfa1!$W107</f>
        <v>KLIMA UNITESİ /Eltesan/Hispacold 41,5 kW</v>
      </c>
      <c r="AS111" s="74">
        <f>[4]Sayfa1!$AD107</f>
        <v>0</v>
      </c>
      <c r="AT111" s="60" t="str">
        <f>[4]Sayfa1!$AE107</f>
        <v/>
      </c>
      <c r="AU111" s="60" t="str">
        <f>[4]Sayfa1!$AH107</f>
        <v/>
      </c>
      <c r="AV111" s="75">
        <v>106</v>
      </c>
      <c r="AW111" s="76">
        <f t="shared" si="37"/>
        <v>0</v>
      </c>
      <c r="AX111" s="77" t="str">
        <f>[4]Sayfa1!$A107</f>
        <v>b67f59ce</v>
      </c>
      <c r="AY111" s="78" t="s">
        <v>114</v>
      </c>
      <c r="AZ111" s="79" t="e" vm="1">
        <f t="shared" si="38"/>
        <v>#VALUE!</v>
      </c>
    </row>
    <row r="112" spans="1:52" ht="331.15">
      <c r="A112" s="59" t="s">
        <v>167</v>
      </c>
      <c r="B112" s="59" t="str">
        <f>[4]Sayfa1!$G108</f>
        <v>3872(1)</v>
      </c>
      <c r="C112" s="184" t="str">
        <f>[4]Sayfa1!$H108</f>
        <v>RB</v>
      </c>
      <c r="D112" s="24">
        <f>[4]Sayfa1!$N108</f>
        <v>41623</v>
      </c>
      <c r="E112" s="24" t="str">
        <f>[4]Sayfa1!$B108</f>
        <v>BOZ-KAY5+6-FF-107</v>
      </c>
      <c r="F112" s="60">
        <f>[4]Sayfa1!$E108</f>
        <v>45358</v>
      </c>
      <c r="G112" s="61">
        <f>[4]Sayfa1!$F108</f>
        <v>45358.711111111108</v>
      </c>
      <c r="H112" s="59" t="str">
        <f>[4]Sayfa1!$I108</f>
        <v>Hat/Line</v>
      </c>
      <c r="I112" s="62" t="str">
        <f>IF([4]Sayfa1!$K108="SSH","Notified by Bozankaya","Notified by Customer")</f>
        <v>Notified by Customer</v>
      </c>
      <c r="J112" s="59" t="e">
        <f>VLOOKUP([4]Sayfa1!$AU108,#REF!,2,FALSE)</f>
        <v>#REF!</v>
      </c>
      <c r="K112" s="59">
        <f>[4]Sayfa1!$AC108</f>
        <v>0</v>
      </c>
      <c r="L112" s="63" t="str">
        <f t="shared" si="26"/>
        <v>KAY_5+59-BOZ-KAY5+6-FF-107</v>
      </c>
      <c r="M112" s="64" t="str">
        <f>[4]Sayfa1!$L108</f>
        <v>07.03.2024 TARİHİNDE GERÇEKLEŞTİRİLEN SAHA DENETİMİNDE 3872 NOLU ARAÇTA KAPI ÜSTÜ BİLGİLENDİRMELERİNİN AKTİF OLMADIĞI TESPİT EDİLMİŞTİR.</v>
      </c>
      <c r="N112" s="33" t="str">
        <f>[4]Sayfa1!$J108</f>
        <v>B-Hız veya güç azalması</v>
      </c>
      <c r="O112" s="33" t="str">
        <f>[4]Sayfa1!$P108</f>
        <v>B(Servisten çekmeye etki eden arızalar)</v>
      </c>
      <c r="P112" s="33" t="str">
        <f>[4]Sayfa1!$Q108</f>
        <v>N.A(Yaralanma yok)</v>
      </c>
      <c r="Q112" s="65" t="str" cm="1">
        <f t="array" ref="Q112">_xlfn.IFS([4]Sayfa1!$R108="Bozankaya","Bozankaya",[4]Sayfa1!$R108="İşletme","Customer",[4]Sayfa1!$R108="Tedarikçi","Equipment Supplier")</f>
        <v>Equipment Supplier</v>
      </c>
      <c r="R112" s="66" t="str">
        <f>[4]Sayfa1!$M108</f>
        <v>KONTROL MERKEZİ TARAFINDAN KONTROL ETTİRİLDİ ARAÇTA TÜM YOLCU BİLGİLENDİRME EKRANLARI ÇALIŞMAKTADIR.</v>
      </c>
      <c r="S112" s="36" t="str">
        <f>[4]Sayfa1!$S108</f>
        <v>Atak</v>
      </c>
      <c r="T112" s="67">
        <f>[4]Sayfa1!$Z108</f>
        <v>0</v>
      </c>
      <c r="U112" s="68">
        <f>[4]Sayfa1!$AN108</f>
        <v>1</v>
      </c>
      <c r="V112" s="60">
        <f>[4]Sayfa1!$T108</f>
        <v>45526</v>
      </c>
      <c r="W112" s="61">
        <f>[4]Sayfa1!$U108</f>
        <v>45526.611377314817</v>
      </c>
      <c r="X112" s="69">
        <f t="shared" si="27"/>
        <v>45526.611377314817</v>
      </c>
      <c r="Y112" s="70">
        <f>[4]Sayfa1!$AQ108</f>
        <v>45526</v>
      </c>
      <c r="Z112" s="61">
        <f>[4]Sayfa1!$AR108</f>
        <v>45526.6875</v>
      </c>
      <c r="AA112" s="69">
        <f t="shared" si="28"/>
        <v>45526.6875</v>
      </c>
      <c r="AB112" s="71">
        <f t="shared" si="29"/>
        <v>1.8269444443867542</v>
      </c>
      <c r="AC112" s="60">
        <f t="shared" si="30"/>
        <v>45526</v>
      </c>
      <c r="AD112" s="61">
        <f t="shared" si="31"/>
        <v>45526.6875</v>
      </c>
      <c r="AE112" s="69">
        <f t="shared" si="32"/>
        <v>45526.6875</v>
      </c>
      <c r="AF112" s="36" t="str">
        <f>[4]Sayfa1!$AP108</f>
        <v>(II) Birden fazla karşılaşılan arıza</v>
      </c>
      <c r="AG112" s="33" t="str">
        <f>IF([4]Sayfa1!$J108="C-Uyarı, sürüş devamlılığı","Bu Arıza Aracın Servise Verilmesine Engel Değil","Bu Arıza Aracın Servise Verilmesine Engel")</f>
        <v>Bu Arıza Aracın Servise Verilmesine Engel</v>
      </c>
      <c r="AH112" s="41" t="str">
        <f>[4]Sayfa1!$AB108</f>
        <v>Ekipman değiştirilecek</v>
      </c>
      <c r="AI112" s="60"/>
      <c r="AJ112" s="60"/>
      <c r="AK112" s="69">
        <f t="shared" si="33"/>
        <v>0</v>
      </c>
      <c r="AL112" s="71">
        <f t="shared" si="34"/>
        <v>109.61666666320525</v>
      </c>
      <c r="AM112" s="71">
        <f t="shared" si="35"/>
        <v>109.61666666320525</v>
      </c>
      <c r="AN112" s="72">
        <f t="shared" si="36"/>
        <v>0</v>
      </c>
      <c r="AO112" s="73" t="str">
        <f>[4]Sayfa1!$X108</f>
        <v>E410-7003</v>
      </c>
      <c r="AP112" s="72">
        <f>[4]Sayfa1!$Y108</f>
        <v>1</v>
      </c>
      <c r="AQ112" s="184" t="str">
        <f>[4]Sayfa1!$V108</f>
        <v>ATAK ULAŞIM SAN.TİC.LTD.ŞTİ.</v>
      </c>
      <c r="AR112" s="74" t="str">
        <f>[4]Sayfa1!$W108</f>
        <v>STRETCH LCD EKRAN</v>
      </c>
      <c r="AS112" s="74">
        <f>[4]Sayfa1!$AD108</f>
        <v>0</v>
      </c>
      <c r="AT112" s="60" t="str">
        <f>[4]Sayfa1!$AE108</f>
        <v/>
      </c>
      <c r="AU112" s="60" t="str">
        <f>[4]Sayfa1!$AH108</f>
        <v/>
      </c>
      <c r="AV112" s="75">
        <v>107</v>
      </c>
      <c r="AW112" s="76">
        <f t="shared" si="37"/>
        <v>20.096388888254296</v>
      </c>
      <c r="AX112" s="77" t="str">
        <f>[4]Sayfa1!$A108</f>
        <v>a3c6cc27</v>
      </c>
      <c r="AY112" s="78" t="s">
        <v>114</v>
      </c>
      <c r="AZ112" s="79" t="e" vm="1">
        <f t="shared" si="38"/>
        <v>#VALUE!</v>
      </c>
    </row>
    <row r="113" spans="1:52" ht="211.15">
      <c r="A113" s="59" t="s">
        <v>168</v>
      </c>
      <c r="B113" s="59" t="str">
        <f>[4]Sayfa1!$G109</f>
        <v>3876(5)</v>
      </c>
      <c r="C113" s="184" t="str">
        <f>[4]Sayfa1!$H109</f>
        <v>MB</v>
      </c>
      <c r="D113" s="24">
        <f>[4]Sayfa1!$N109</f>
        <v>42000</v>
      </c>
      <c r="E113" s="24" t="str">
        <f>[4]Sayfa1!$B109</f>
        <v>BOZ-KAY5+6-FF-108</v>
      </c>
      <c r="F113" s="60">
        <f>[4]Sayfa1!$E109</f>
        <v>45358</v>
      </c>
      <c r="G113" s="61">
        <f>[4]Sayfa1!$F109</f>
        <v>45358.797222222223</v>
      </c>
      <c r="H113" s="59" t="str">
        <f>[4]Sayfa1!$I109</f>
        <v>Hat/Line</v>
      </c>
      <c r="I113" s="62" t="str">
        <f>IF([4]Sayfa1!$K109="SSH","Notified by Bozankaya","Notified by Customer")</f>
        <v>Notified by Customer</v>
      </c>
      <c r="J113" s="59" t="e">
        <f>VLOOKUP([4]Sayfa1!$AU109,#REF!,2,FALSE)</f>
        <v>#REF!</v>
      </c>
      <c r="K113" s="59">
        <f>[4]Sayfa1!$AC109</f>
        <v>0</v>
      </c>
      <c r="L113" s="63" t="str">
        <f t="shared" si="26"/>
        <v>KAY_5+60-BOZ-KAY5+6-FF-108</v>
      </c>
      <c r="M113" s="64" t="str">
        <f>[4]Sayfa1!$L109</f>
        <v>3876 nolu  araç kabin cb ivmekolu alt kısım plastiği kırılmıl</v>
      </c>
      <c r="N113" s="33" t="str">
        <f>[4]Sayfa1!$J109</f>
        <v>C-Uyarı, sürüş devamlılığı</v>
      </c>
      <c r="O113" s="33" t="str">
        <f>[4]Sayfa1!$P109</f>
        <v>C(Sisteme etki etmeyen arıza)</v>
      </c>
      <c r="P113" s="33" t="str">
        <f>[4]Sayfa1!$Q109</f>
        <v>N.A(Yaralanma yok)</v>
      </c>
      <c r="Q113" s="65" t="str" cm="1">
        <f t="array" ref="Q113">_xlfn.IFS([4]Sayfa1!$R109="Bozankaya","Bozankaya",[4]Sayfa1!$R109="İşletme","Customer",[4]Sayfa1!$R109="Tedarikçi","Equipment Supplier")</f>
        <v>Equipment Supplier</v>
      </c>
      <c r="R113" s="66" t="str">
        <f>[4]Sayfa1!$M109</f>
        <v>ivme kolu topuzu alt kısımdan kırılmış değişimi talep edilmektedir</v>
      </c>
      <c r="S113" s="36" t="str">
        <f>[4]Sayfa1!$S109</f>
        <v>Medcom</v>
      </c>
      <c r="T113" s="67">
        <f>[4]Sayfa1!$Z109</f>
        <v>0</v>
      </c>
      <c r="U113" s="68">
        <f>[4]Sayfa1!$AN109</f>
        <v>2</v>
      </c>
      <c r="V113" s="60">
        <f>[4]Sayfa1!$T109</f>
        <v>45528</v>
      </c>
      <c r="W113" s="61">
        <f>[4]Sayfa1!$U109</f>
        <v>45528.409467592595</v>
      </c>
      <c r="X113" s="69">
        <f t="shared" si="27"/>
        <v>45528.409467592595</v>
      </c>
      <c r="Y113" s="70">
        <f>[4]Sayfa1!$AQ109</f>
        <v>45528</v>
      </c>
      <c r="Z113" s="61">
        <f>[4]Sayfa1!$AR109</f>
        <v>45528.583333333336</v>
      </c>
      <c r="AA113" s="69">
        <f t="shared" si="28"/>
        <v>45528.583333333336</v>
      </c>
      <c r="AB113" s="71">
        <f t="shared" si="29"/>
        <v>4.1727777777705342</v>
      </c>
      <c r="AC113" s="60">
        <f t="shared" si="30"/>
        <v>45528</v>
      </c>
      <c r="AD113" s="61">
        <f t="shared" si="31"/>
        <v>45528.583333333336</v>
      </c>
      <c r="AE113" s="69">
        <f t="shared" si="32"/>
        <v>45528.583333333336</v>
      </c>
      <c r="AF113" s="36" t="str">
        <f>[4]Sayfa1!$AP109</f>
        <v>(I) İlk defa karşılaşılan arıza</v>
      </c>
      <c r="AG113" s="33" t="str">
        <f>IF([4]Sayfa1!$J109="C-Uyarı, sürüş devamlılığı","Bu Arıza Aracın Servise Verilmesine Engel Değil","Bu Arıza Aracın Servise Verilmesine Engel")</f>
        <v>Bu Arıza Aracın Servise Verilmesine Engel Değil</v>
      </c>
      <c r="AH113" s="41">
        <f>[4]Sayfa1!$AB109</f>
        <v>0</v>
      </c>
      <c r="AI113" s="60"/>
      <c r="AJ113" s="60"/>
      <c r="AK113" s="69">
        <f t="shared" si="33"/>
        <v>0</v>
      </c>
      <c r="AL113" s="71">
        <f t="shared" si="34"/>
        <v>250.36666666623205</v>
      </c>
      <c r="AM113" s="71">
        <f t="shared" si="35"/>
        <v>250.36666666623205</v>
      </c>
      <c r="AN113" s="72">
        <f t="shared" si="36"/>
        <v>0</v>
      </c>
      <c r="AO113" s="73" t="str">
        <f>[4]Sayfa1!$X109</f>
        <v>E300-7001</v>
      </c>
      <c r="AP113" s="72">
        <f>[4]Sayfa1!$Y109</f>
        <v>1</v>
      </c>
      <c r="AQ113" s="184" t="str">
        <f>[4]Sayfa1!$V109</f>
        <v>MEDCOM SP. Z O.O.</v>
      </c>
      <c r="AR113" s="74" t="str">
        <f>[4]Sayfa1!$W109</f>
        <v>MASTER CONTRROLER S334 C36B</v>
      </c>
      <c r="AS113" s="74">
        <f>[4]Sayfa1!$AD109</f>
        <v>0</v>
      </c>
      <c r="AT113" s="60" t="str">
        <f>[4]Sayfa1!$AE109</f>
        <v/>
      </c>
      <c r="AU113" s="60" t="str">
        <f>[4]Sayfa1!$AH109</f>
        <v/>
      </c>
      <c r="AV113" s="75">
        <v>108</v>
      </c>
      <c r="AW113" s="76">
        <f t="shared" si="37"/>
        <v>91.801111110951751</v>
      </c>
      <c r="AX113" s="77" t="str">
        <f>[4]Sayfa1!$A109</f>
        <v>b6a995a5</v>
      </c>
      <c r="AY113" s="78" t="s">
        <v>114</v>
      </c>
      <c r="AZ113" s="79" t="e" vm="1">
        <f t="shared" si="38"/>
        <v>#VALUE!</v>
      </c>
    </row>
    <row r="114" spans="1:52" ht="207">
      <c r="A114" s="59" t="s">
        <v>169</v>
      </c>
      <c r="B114" s="59" t="str">
        <f>[4]Sayfa1!$G110</f>
        <v>3880(9)</v>
      </c>
      <c r="C114" s="184" t="str">
        <f>[4]Sayfa1!$H110</f>
        <v>MA</v>
      </c>
      <c r="D114" s="24">
        <f>[4]Sayfa1!$N110</f>
        <v>37450</v>
      </c>
      <c r="E114" s="24" t="str">
        <f>[4]Sayfa1!$B110</f>
        <v>BOZ-KAY5+6-FF-109</v>
      </c>
      <c r="F114" s="60">
        <f>[4]Sayfa1!$E110</f>
        <v>45359</v>
      </c>
      <c r="G114" s="61">
        <f>[4]Sayfa1!$F110</f>
        <v>45359.29791666667</v>
      </c>
      <c r="H114" s="59" t="str">
        <f>[4]Sayfa1!$I110</f>
        <v>Hat/Line</v>
      </c>
      <c r="I114" s="62" t="str">
        <f>IF([4]Sayfa1!$K110="SSH","Notified by Bozankaya","Notified by Customer")</f>
        <v>Notified by Customer</v>
      </c>
      <c r="J114" s="59" t="e">
        <f>VLOOKUP([4]Sayfa1!$AU110,#REF!,2,FALSE)</f>
        <v>#REF!</v>
      </c>
      <c r="K114" s="59">
        <f>[4]Sayfa1!$AC110</f>
        <v>0</v>
      </c>
      <c r="L114" s="63" t="str">
        <f t="shared" si="26"/>
        <v>KAY_5+61-BOZ-KAY5+6-FF-109</v>
      </c>
      <c r="M114" s="64" t="str">
        <f>[4]Sayfa1!$L110</f>
        <v>MAKİNİST KABİNİ KLİMALAR ISITMA YAPMIYOR.</v>
      </c>
      <c r="N114" s="33" t="str">
        <f>[4]Sayfa1!$J110</f>
        <v>B-Hız veya güç azalması</v>
      </c>
      <c r="O114" s="33" t="str">
        <f>[4]Sayfa1!$P110</f>
        <v>B(Servisten çekmeye etki eden arızalar)</v>
      </c>
      <c r="P114" s="33" t="str">
        <f>[4]Sayfa1!$Q110</f>
        <v>N.A(Yaralanma yok)</v>
      </c>
      <c r="Q114" s="65" t="str" cm="1">
        <f t="array" ref="Q114">_xlfn.IFS([4]Sayfa1!$R110="Bozankaya","Bozankaya",[4]Sayfa1!$R110="İşletme","Customer",[4]Sayfa1!$R110="Tedarikçi","Equipment Supplier")</f>
        <v>Equipment Supplier</v>
      </c>
      <c r="R114" s="66" t="str">
        <f>[4]Sayfa1!$M110</f>
        <v>MASTERCARD KOMUT ALMIYORDU. TEKRAR YAZILIM YÜKLENDİ. FAKAT DÜZELMEDİ. MASTER CARD DEĞİŞİMİ YAPILDI.</v>
      </c>
      <c r="S114" s="36" t="str">
        <f>[4]Sayfa1!$S110</f>
        <v>Eltesan</v>
      </c>
      <c r="T114" s="67">
        <f>[4]Sayfa1!$Z110</f>
        <v>0</v>
      </c>
      <c r="U114" s="68">
        <f>[4]Sayfa1!$AN110</f>
        <v>1</v>
      </c>
      <c r="V114" s="60">
        <f>[4]Sayfa1!$T110</f>
        <v>45526</v>
      </c>
      <c r="W114" s="61">
        <f>[4]Sayfa1!$U110</f>
        <v>45526.592870370368</v>
      </c>
      <c r="X114" s="69">
        <f t="shared" si="27"/>
        <v>45526.592870370368</v>
      </c>
      <c r="Y114" s="70">
        <f>[4]Sayfa1!$AQ110</f>
        <v>45526</v>
      </c>
      <c r="Z114" s="61">
        <f>[4]Sayfa1!$AR110</f>
        <v>45526.6875</v>
      </c>
      <c r="AA114" s="69">
        <f t="shared" si="28"/>
        <v>45526.6875</v>
      </c>
      <c r="AB114" s="71">
        <f t="shared" si="29"/>
        <v>2.2711111111566424</v>
      </c>
      <c r="AC114" s="60">
        <f t="shared" si="30"/>
        <v>45526</v>
      </c>
      <c r="AD114" s="61">
        <f t="shared" si="31"/>
        <v>45526.6875</v>
      </c>
      <c r="AE114" s="69">
        <f t="shared" si="32"/>
        <v>45526.6875</v>
      </c>
      <c r="AF114" s="36" t="str">
        <f>[4]Sayfa1!$AP110</f>
        <v>(II) Birden fazla karşılaşılan arıza</v>
      </c>
      <c r="AG114" s="33" t="str">
        <f>IF([4]Sayfa1!$J110="C-Uyarı, sürüş devamlılığı","Bu Arıza Aracın Servise Verilmesine Engel Değil","Bu Arıza Aracın Servise Verilmesine Engel")</f>
        <v>Bu Arıza Aracın Servise Verilmesine Engel</v>
      </c>
      <c r="AH114" s="41" t="str">
        <f>[4]Sayfa1!$AB110</f>
        <v>Ekipman değiştirilecek</v>
      </c>
      <c r="AI114" s="60"/>
      <c r="AJ114" s="60"/>
      <c r="AK114" s="69">
        <f t="shared" si="33"/>
        <v>0</v>
      </c>
      <c r="AL114" s="71">
        <f t="shared" si="34"/>
        <v>136.26666666939855</v>
      </c>
      <c r="AM114" s="71">
        <f t="shared" si="35"/>
        <v>136.26666666939855</v>
      </c>
      <c r="AN114" s="72">
        <f t="shared" si="36"/>
        <v>0</v>
      </c>
      <c r="AO114" s="73" t="str">
        <f>[4]Sayfa1!$X110</f>
        <v>H500-7240</v>
      </c>
      <c r="AP114" s="72">
        <f>[4]Sayfa1!$Y110</f>
        <v>1</v>
      </c>
      <c r="AQ114" s="184" t="str">
        <f>[4]Sayfa1!$V110</f>
        <v>ELTESAN ELEKTRO MEKANİK SOĞUTMA SAN</v>
      </c>
      <c r="AR114" s="74" t="str">
        <f>[4]Sayfa1!$W110</f>
        <v>KLIMA UNITESİ /Eltesan/Hispacold 41,5 kW</v>
      </c>
      <c r="AS114" s="74">
        <f>[4]Sayfa1!$AD110</f>
        <v>0</v>
      </c>
      <c r="AT114" s="60" t="str">
        <f>[4]Sayfa1!$AE110</f>
        <v/>
      </c>
      <c r="AU114" s="60" t="str">
        <f>[4]Sayfa1!$AH110</f>
        <v/>
      </c>
      <c r="AV114" s="75">
        <v>109</v>
      </c>
      <c r="AW114" s="76">
        <f t="shared" si="37"/>
        <v>24.982222222723067</v>
      </c>
      <c r="AX114" s="77" t="str">
        <f>[4]Sayfa1!$A110</f>
        <v>cb5a50ef</v>
      </c>
      <c r="AY114" s="78" t="s">
        <v>114</v>
      </c>
      <c r="AZ114" s="79" t="e" vm="1">
        <f t="shared" si="38"/>
        <v>#VALUE!</v>
      </c>
    </row>
    <row r="115" spans="1:52" ht="186.6">
      <c r="A115" s="59" t="s">
        <v>170</v>
      </c>
      <c r="B115" s="59" t="str">
        <f>[4]Sayfa1!$G111</f>
        <v>3881(10)</v>
      </c>
      <c r="C115" s="184" t="str">
        <f>[4]Sayfa1!$H111</f>
        <v>MA</v>
      </c>
      <c r="D115" s="24">
        <f>[4]Sayfa1!$N111</f>
        <v>30265</v>
      </c>
      <c r="E115" s="24" t="str">
        <f>[4]Sayfa1!$B111</f>
        <v>BOZ-KAY5+6-FF-110</v>
      </c>
      <c r="F115" s="60">
        <f>[4]Sayfa1!$E111</f>
        <v>45359</v>
      </c>
      <c r="G115" s="61">
        <f>[4]Sayfa1!$F111</f>
        <v>45359.299305555556</v>
      </c>
      <c r="H115" s="59" t="str">
        <f>[4]Sayfa1!$I111</f>
        <v>Hat/Line</v>
      </c>
      <c r="I115" s="62" t="str">
        <f>IF([4]Sayfa1!$K111="SSH","Notified by Bozankaya","Notified by Customer")</f>
        <v>Notified by Customer</v>
      </c>
      <c r="J115" s="59" t="e">
        <f>VLOOKUP([4]Sayfa1!$AU111,#REF!,2,FALSE)</f>
        <v>#REF!</v>
      </c>
      <c r="K115" s="59">
        <f>[4]Sayfa1!$AC111</f>
        <v>0</v>
      </c>
      <c r="L115" s="63" t="str">
        <f t="shared" si="26"/>
        <v>KAY_5+62-BOZ-KAY5+6-FF-110</v>
      </c>
      <c r="M115" s="64" t="str">
        <f>[4]Sayfa1!$L111</f>
        <v>MAKİNİST KABİNİ KLİMALAR ISITMA YAPMIYOR.</v>
      </c>
      <c r="N115" s="33" t="str">
        <f>[4]Sayfa1!$J111</f>
        <v>B-Hız veya güç azalması</v>
      </c>
      <c r="O115" s="33" t="str">
        <f>[4]Sayfa1!$P111</f>
        <v>B(Servisten çekmeye etki eden arızalar)</v>
      </c>
      <c r="P115" s="33" t="str">
        <f>[4]Sayfa1!$Q111</f>
        <v>N.A(Yaralanma yok)</v>
      </c>
      <c r="Q115" s="65" t="str" cm="1">
        <f t="array" ref="Q115">_xlfn.IFS([4]Sayfa1!$R111="Bozankaya","Bozankaya",[4]Sayfa1!$R111="İşletme","Customer",[4]Sayfa1!$R111="Tedarikçi","Equipment Supplier")</f>
        <v>Equipment Supplier</v>
      </c>
      <c r="R115" s="66" t="str">
        <f>[4]Sayfa1!$M111</f>
        <v>MA KABİN MASTER CARD DEĞİŞİMİ YAPILDI.</v>
      </c>
      <c r="S115" s="36" t="str">
        <f>[4]Sayfa1!$S111</f>
        <v>Eltesan</v>
      </c>
      <c r="T115" s="67">
        <f>[4]Sayfa1!$Z111</f>
        <v>0</v>
      </c>
      <c r="U115" s="68">
        <f>[4]Sayfa1!$AN111</f>
        <v>1</v>
      </c>
      <c r="V115" s="60">
        <f>[4]Sayfa1!$T111</f>
        <v>45526</v>
      </c>
      <c r="W115" s="61">
        <f>[4]Sayfa1!$U111</f>
        <v>45526.717361111114</v>
      </c>
      <c r="X115" s="69">
        <f t="shared" si="27"/>
        <v>45526.717361111114</v>
      </c>
      <c r="Y115" s="70">
        <f>[4]Sayfa1!$AQ111</f>
        <v>45526</v>
      </c>
      <c r="Z115" s="61">
        <f>[4]Sayfa1!$AR111</f>
        <v>45526.770833333336</v>
      </c>
      <c r="AA115" s="69">
        <f t="shared" si="28"/>
        <v>45526.770833333336</v>
      </c>
      <c r="AB115" s="71">
        <f t="shared" si="29"/>
        <v>1.2833333333255723</v>
      </c>
      <c r="AC115" s="60">
        <f t="shared" si="30"/>
        <v>45526</v>
      </c>
      <c r="AD115" s="61">
        <f t="shared" si="31"/>
        <v>45526.770833333336</v>
      </c>
      <c r="AE115" s="69">
        <f t="shared" si="32"/>
        <v>45526.770833333336</v>
      </c>
      <c r="AF115" s="36" t="str">
        <f>[4]Sayfa1!$AP111</f>
        <v>(II) Birden fazla karşılaşılan arıza</v>
      </c>
      <c r="AG115" s="33" t="str">
        <f>IF([4]Sayfa1!$J111="C-Uyarı, sürüş devamlılığı","Bu Arıza Aracın Servise Verilmesine Engel Değil","Bu Arıza Aracın Servise Verilmesine Engel")</f>
        <v>Bu Arıza Aracın Servise Verilmesine Engel</v>
      </c>
      <c r="AH115" s="41" t="str">
        <f>[4]Sayfa1!$AB111</f>
        <v>Ekipman değiştirilecek</v>
      </c>
      <c r="AI115" s="60"/>
      <c r="AJ115" s="60"/>
      <c r="AK115" s="69">
        <f t="shared" si="33"/>
        <v>0</v>
      </c>
      <c r="AL115" s="71">
        <f t="shared" si="34"/>
        <v>76.999999999534339</v>
      </c>
      <c r="AM115" s="71">
        <f t="shared" si="35"/>
        <v>76.999999999534339</v>
      </c>
      <c r="AN115" s="72">
        <f t="shared" si="36"/>
        <v>0</v>
      </c>
      <c r="AO115" s="73" t="str">
        <f>[4]Sayfa1!$X111</f>
        <v>H500-7240</v>
      </c>
      <c r="AP115" s="72">
        <f>[4]Sayfa1!$Y111</f>
        <v>1</v>
      </c>
      <c r="AQ115" s="184" t="str">
        <f>[4]Sayfa1!$V111</f>
        <v>ELTESAN ELEKTRO MEKANİK SOĞUTMA SAN</v>
      </c>
      <c r="AR115" s="74" t="str">
        <f>[4]Sayfa1!$W111</f>
        <v>KLIMA UNITESİ /Eltesan/Hispacold 41,5 kW</v>
      </c>
      <c r="AS115" s="74">
        <f>[4]Sayfa1!$AD111</f>
        <v>0</v>
      </c>
      <c r="AT115" s="60" t="str">
        <f>[4]Sayfa1!$AE111</f>
        <v/>
      </c>
      <c r="AU115" s="60" t="str">
        <f>[4]Sayfa1!$AH111</f>
        <v/>
      </c>
      <c r="AV115" s="75">
        <v>110</v>
      </c>
      <c r="AW115" s="76">
        <f t="shared" si="37"/>
        <v>14.116666666581295</v>
      </c>
      <c r="AX115" s="77" t="str">
        <f>[4]Sayfa1!$A111</f>
        <v>b227c7c3</v>
      </c>
      <c r="AY115" s="78" t="s">
        <v>114</v>
      </c>
      <c r="AZ115" s="79" t="e" vm="1">
        <f t="shared" si="38"/>
        <v>#VALUE!</v>
      </c>
    </row>
    <row r="116" spans="1:52" ht="409.6">
      <c r="A116" s="59" t="s">
        <v>171</v>
      </c>
      <c r="B116" s="59" t="str">
        <f>[4]Sayfa1!$G112</f>
        <v>3877(6)</v>
      </c>
      <c r="C116" s="184" t="str">
        <f>[4]Sayfa1!$H112</f>
        <v>MB</v>
      </c>
      <c r="D116" s="24">
        <f>[4]Sayfa1!$N112</f>
        <v>18628</v>
      </c>
      <c r="E116" s="24" t="str">
        <f>[4]Sayfa1!$B112</f>
        <v>BOZ-KAY5+6-FF-111</v>
      </c>
      <c r="F116" s="60">
        <f>[4]Sayfa1!$E112</f>
        <v>45359</v>
      </c>
      <c r="G116" s="61">
        <f>[4]Sayfa1!$F112</f>
        <v>45359.993750000001</v>
      </c>
      <c r="H116" s="59" t="str">
        <f>[4]Sayfa1!$I112</f>
        <v>Hat/Line</v>
      </c>
      <c r="I116" s="62" t="str">
        <f>IF([4]Sayfa1!$K112="SSH","Notified by Bozankaya","Notified by Customer")</f>
        <v>Notified by Customer</v>
      </c>
      <c r="J116" s="59" t="e">
        <f>VLOOKUP([4]Sayfa1!$AU112,#REF!,2,FALSE)</f>
        <v>#REF!</v>
      </c>
      <c r="K116" s="59">
        <f>[4]Sayfa1!$AC112</f>
        <v>0</v>
      </c>
      <c r="L116" s="63" t="str">
        <f t="shared" si="26"/>
        <v>KAY_5+63-BOZ-KAY5+6-FF-111</v>
      </c>
      <c r="M116" s="64" t="str">
        <f>[4]Sayfa1!$L112</f>
        <v>KABİN ISITMA YAPMIYOR</v>
      </c>
      <c r="N116" s="33" t="str">
        <f>[4]Sayfa1!$J112</f>
        <v>B-Hız veya güç azalması</v>
      </c>
      <c r="O116" s="33" t="str">
        <f>[4]Sayfa1!$P112</f>
        <v>B(Servisten çekmeye etki eden arızalar)</v>
      </c>
      <c r="P116" s="33" t="str">
        <f>[4]Sayfa1!$Q112</f>
        <v>N.A(Yaralanma yok)</v>
      </c>
      <c r="Q116" s="65" t="str" cm="1">
        <f t="array" ref="Q116">_xlfn.IFS([4]Sayfa1!$R112="Bozankaya","Bozankaya",[4]Sayfa1!$R112="İşletme","Customer",[4]Sayfa1!$R112="Tedarikçi","Equipment Supplier")</f>
        <v>Equipment Supplier</v>
      </c>
      <c r="R116" s="66" t="str">
        <f>[4]Sayfa1!$M112</f>
        <v>KONTROLLERİ YAPILDI. KLİMA FORCED MODDA HİÇBİR ŞEKİLDE KOMUT ALMIYORDU VE KONDENSER FAN SÜREKLİ ÇALIŞIYORDU. MASTERCARD'A YAZILIM YÜKLENDİ FAKAT DÜZELMEDİ. MASTER CARD DEĞİŞİMİ YAPILDI. YAZILIM YÜKLENDİ. TEST YAPILDI. NORMAL ÇALIŞIYOR.</v>
      </c>
      <c r="S116" s="36" t="str">
        <f>[4]Sayfa1!$S112</f>
        <v>Eltesan</v>
      </c>
      <c r="T116" s="67">
        <f>[4]Sayfa1!$Z112</f>
        <v>0</v>
      </c>
      <c r="U116" s="68">
        <f>[4]Sayfa1!$AN112</f>
        <v>1</v>
      </c>
      <c r="V116" s="60">
        <f>[4]Sayfa1!$T112</f>
        <v>45526</v>
      </c>
      <c r="W116" s="61">
        <f>[4]Sayfa1!$U112</f>
        <v>45526.599988425929</v>
      </c>
      <c r="X116" s="69">
        <f t="shared" si="27"/>
        <v>45526.599988425929</v>
      </c>
      <c r="Y116" s="70">
        <f>[4]Sayfa1!$AQ112</f>
        <v>45526</v>
      </c>
      <c r="Z116" s="61">
        <f>[4]Sayfa1!$AR112</f>
        <v>45526.666666666664</v>
      </c>
      <c r="AA116" s="69">
        <f t="shared" si="28"/>
        <v>45526.666666666664</v>
      </c>
      <c r="AB116" s="71">
        <f t="shared" si="29"/>
        <v>1.6002777776448056</v>
      </c>
      <c r="AC116" s="60">
        <f t="shared" si="30"/>
        <v>45526</v>
      </c>
      <c r="AD116" s="61">
        <f t="shared" si="31"/>
        <v>45526.666666666664</v>
      </c>
      <c r="AE116" s="69">
        <f t="shared" si="32"/>
        <v>45526.666666666664</v>
      </c>
      <c r="AF116" s="36" t="str">
        <f>[4]Sayfa1!$AP112</f>
        <v>(II) Birden fazla karşılaşılan arıza</v>
      </c>
      <c r="AG116" s="33" t="str">
        <f>IF([4]Sayfa1!$J112="C-Uyarı, sürüş devamlılığı","Bu Arıza Aracın Servise Verilmesine Engel Değil","Bu Arıza Aracın Servise Verilmesine Engel")</f>
        <v>Bu Arıza Aracın Servise Verilmesine Engel</v>
      </c>
      <c r="AH116" s="41" t="str">
        <f>[4]Sayfa1!$AB112</f>
        <v>Ekipman değiştirilecek</v>
      </c>
      <c r="AI116" s="60"/>
      <c r="AJ116" s="60"/>
      <c r="AK116" s="69">
        <f t="shared" si="33"/>
        <v>0</v>
      </c>
      <c r="AL116" s="71">
        <f t="shared" si="34"/>
        <v>96.016666658688337</v>
      </c>
      <c r="AM116" s="71">
        <f t="shared" si="35"/>
        <v>96.016666658688337</v>
      </c>
      <c r="AN116" s="72">
        <f t="shared" si="36"/>
        <v>0</v>
      </c>
      <c r="AO116" s="73" t="str">
        <f>[4]Sayfa1!$X112</f>
        <v>H500-7240</v>
      </c>
      <c r="AP116" s="72">
        <f>[4]Sayfa1!$Y112</f>
        <v>1</v>
      </c>
      <c r="AQ116" s="184" t="str">
        <f>[4]Sayfa1!$V112</f>
        <v>ELTESAN ELEKTRO MEKANİK SOĞUTMA SAN</v>
      </c>
      <c r="AR116" s="74" t="str">
        <f>[4]Sayfa1!$W112</f>
        <v>KLIMA UNITESİ /Eltesan/Hispacold 41,5 kW</v>
      </c>
      <c r="AS116" s="74">
        <f>[4]Sayfa1!$AD112</f>
        <v>0</v>
      </c>
      <c r="AT116" s="60" t="str">
        <f>[4]Sayfa1!$AE112</f>
        <v/>
      </c>
      <c r="AU116" s="60" t="str">
        <f>[4]Sayfa1!$AH112</f>
        <v/>
      </c>
      <c r="AV116" s="75">
        <v>111</v>
      </c>
      <c r="AW116" s="76">
        <f t="shared" si="37"/>
        <v>17.603055554092862</v>
      </c>
      <c r="AX116" s="77" t="str">
        <f>[4]Sayfa1!$A112</f>
        <v>ac9a62a0</v>
      </c>
      <c r="AY116" s="78" t="s">
        <v>114</v>
      </c>
      <c r="AZ116" s="79" t="e" vm="1">
        <f t="shared" si="38"/>
        <v>#VALUE!</v>
      </c>
    </row>
    <row r="117" spans="1:52" ht="186.6">
      <c r="A117" s="59" t="s">
        <v>172</v>
      </c>
      <c r="B117" s="59" t="str">
        <f>[4]Sayfa1!$G113</f>
        <v>3877(6)</v>
      </c>
      <c r="C117" s="184" t="str">
        <f>[4]Sayfa1!$H113</f>
        <v>RB</v>
      </c>
      <c r="D117" s="24">
        <f>[4]Sayfa1!$N113</f>
        <v>28012</v>
      </c>
      <c r="E117" s="24" t="str">
        <f>[4]Sayfa1!$B113</f>
        <v>BOZ-KAY5+6-FF-112</v>
      </c>
      <c r="F117" s="60">
        <f>[4]Sayfa1!$E113</f>
        <v>45360</v>
      </c>
      <c r="G117" s="61">
        <f>[4]Sayfa1!$F113</f>
        <v>45360.616666666669</v>
      </c>
      <c r="H117" s="59" t="str">
        <f>[4]Sayfa1!$I113</f>
        <v>Hat/Line</v>
      </c>
      <c r="I117" s="62" t="str">
        <f>IF([4]Sayfa1!$K113="SSH","Notified by Bozankaya","Notified by Customer")</f>
        <v>Notified by Customer</v>
      </c>
      <c r="J117" s="59" t="e">
        <f>VLOOKUP([4]Sayfa1!$AU113,#REF!,2,FALSE)</f>
        <v>#REF!</v>
      </c>
      <c r="K117" s="59">
        <f>[4]Sayfa1!$AC113</f>
        <v>0</v>
      </c>
      <c r="L117" s="63" t="str">
        <f t="shared" si="26"/>
        <v>KAY_5+64-BOZ-KAY5+6-FF-112</v>
      </c>
      <c r="M117" s="64" t="str">
        <f>[4]Sayfa1!$L113</f>
        <v>RB HVAC TAVAN ISITICI REZİSTANSINDA PATLAK VAR.</v>
      </c>
      <c r="N117" s="33" t="str">
        <f>[4]Sayfa1!$J113</f>
        <v>B-Hız veya güç azalması</v>
      </c>
      <c r="O117" s="33" t="str">
        <f>[4]Sayfa1!$P113</f>
        <v>B(Servisten çekmeye etki eden arızalar)</v>
      </c>
      <c r="P117" s="33" t="str">
        <f>[4]Sayfa1!$Q113</f>
        <v>N.A(Yaralanma yok)</v>
      </c>
      <c r="Q117" s="65" t="str" cm="1">
        <f t="array" ref="Q117">_xlfn.IFS([4]Sayfa1!$R113="Bozankaya","Bozankaya",[4]Sayfa1!$R113="İşletme","Customer",[4]Sayfa1!$R113="Tedarikçi","Equipment Supplier")</f>
        <v>Equipment Supplier</v>
      </c>
      <c r="R117" s="66" t="str">
        <f>[4]Sayfa1!$M113</f>
        <v>PATLAK OLAN REZİSTANS DEĞİŞİMİ YAPILDI.</v>
      </c>
      <c r="S117" s="36" t="str">
        <f>[4]Sayfa1!$S113</f>
        <v>Eltesan</v>
      </c>
      <c r="T117" s="67">
        <f>[4]Sayfa1!$Z113</f>
        <v>0</v>
      </c>
      <c r="U117" s="68">
        <f>[4]Sayfa1!$AN113</f>
        <v>2</v>
      </c>
      <c r="V117" s="60">
        <f>[4]Sayfa1!$T113</f>
        <v>45527</v>
      </c>
      <c r="W117" s="61">
        <f>[4]Sayfa1!$U113</f>
        <v>45527.333333333336</v>
      </c>
      <c r="X117" s="69">
        <f t="shared" si="27"/>
        <v>45527.333333333336</v>
      </c>
      <c r="Y117" s="70">
        <f>[4]Sayfa1!$AQ113</f>
        <v>45527</v>
      </c>
      <c r="Z117" s="61">
        <f>[4]Sayfa1!$AR113</f>
        <v>45527.5</v>
      </c>
      <c r="AA117" s="69">
        <f t="shared" si="28"/>
        <v>45527.5</v>
      </c>
      <c r="AB117" s="71">
        <f t="shared" si="29"/>
        <v>3.9999999999417923</v>
      </c>
      <c r="AC117" s="60">
        <f t="shared" si="30"/>
        <v>45527</v>
      </c>
      <c r="AD117" s="61">
        <f t="shared" si="31"/>
        <v>45527.5</v>
      </c>
      <c r="AE117" s="69">
        <f t="shared" si="32"/>
        <v>45527.5</v>
      </c>
      <c r="AF117" s="36" t="str">
        <f>[4]Sayfa1!$AP113</f>
        <v>(I) İlk defa karşılaşılan arıza</v>
      </c>
      <c r="AG117" s="33" t="str">
        <f>IF([4]Sayfa1!$J113="C-Uyarı, sürüş devamlılığı","Bu Arıza Aracın Servise Verilmesine Engel Değil","Bu Arıza Aracın Servise Verilmesine Engel")</f>
        <v>Bu Arıza Aracın Servise Verilmesine Engel</v>
      </c>
      <c r="AH117" s="41" t="str">
        <f>[4]Sayfa1!$AB113</f>
        <v>Ekipman değiştirilecek</v>
      </c>
      <c r="AI117" s="60"/>
      <c r="AJ117" s="60"/>
      <c r="AK117" s="69">
        <f t="shared" si="33"/>
        <v>0</v>
      </c>
      <c r="AL117" s="71">
        <f t="shared" si="34"/>
        <v>239.99999999650754</v>
      </c>
      <c r="AM117" s="71">
        <f t="shared" si="35"/>
        <v>239.99999999650754</v>
      </c>
      <c r="AN117" s="72">
        <f t="shared" si="36"/>
        <v>0</v>
      </c>
      <c r="AO117" s="73" t="str">
        <f>[4]Sayfa1!$X113</f>
        <v>H500-7240</v>
      </c>
      <c r="AP117" s="72">
        <f>[4]Sayfa1!$Y113</f>
        <v>1</v>
      </c>
      <c r="AQ117" s="184" t="str">
        <f>[4]Sayfa1!$V113</f>
        <v>ELTESAN ELEKTRO MEKANİK SOĞUTMA SAN</v>
      </c>
      <c r="AR117" s="74" t="str">
        <f>[4]Sayfa1!$W113</f>
        <v>KLIMA UNITESİ /Eltesan/Hispacold 41,5 kW</v>
      </c>
      <c r="AS117" s="74">
        <f>[4]Sayfa1!$AD113</f>
        <v>0</v>
      </c>
      <c r="AT117" s="60" t="str">
        <f>[4]Sayfa1!$AE113</f>
        <v/>
      </c>
      <c r="AU117" s="60" t="str">
        <f>[4]Sayfa1!$AH113</f>
        <v/>
      </c>
      <c r="AV117" s="75">
        <v>112</v>
      </c>
      <c r="AW117" s="76">
        <f t="shared" si="37"/>
        <v>87.999999998719431</v>
      </c>
      <c r="AX117" s="77" t="str">
        <f>[4]Sayfa1!$A113</f>
        <v>ad2dfbd9</v>
      </c>
      <c r="AY117" s="78" t="s">
        <v>114</v>
      </c>
      <c r="AZ117" s="79" t="e" vm="1">
        <f t="shared" si="38"/>
        <v>#VALUE!</v>
      </c>
    </row>
    <row r="118" spans="1:52" ht="142.9">
      <c r="A118" s="59" t="s">
        <v>173</v>
      </c>
      <c r="B118" s="59" t="str">
        <f>[4]Sayfa1!$G114</f>
        <v>3878(7)</v>
      </c>
      <c r="C118" s="184" t="str">
        <f>[4]Sayfa1!$H114</f>
        <v>MA</v>
      </c>
      <c r="D118" s="24">
        <f>[4]Sayfa1!$N114</f>
        <v>58015</v>
      </c>
      <c r="E118" s="24" t="str">
        <f>[4]Sayfa1!$B114</f>
        <v>BOZ-KAY5+6-FF-113</v>
      </c>
      <c r="F118" s="60">
        <f>[4]Sayfa1!$E114</f>
        <v>45363</v>
      </c>
      <c r="G118" s="61">
        <f>[4]Sayfa1!$F114</f>
        <v>45363.229895833334</v>
      </c>
      <c r="H118" s="59" t="str">
        <f>[4]Sayfa1!$I114</f>
        <v>Hat/Line</v>
      </c>
      <c r="I118" s="62" t="str">
        <f>IF([4]Sayfa1!$K114="SSH","Notified by Bozankaya","Notified by Customer")</f>
        <v>Notified by Customer</v>
      </c>
      <c r="J118" s="59" t="e">
        <f>VLOOKUP([4]Sayfa1!$AU114,#REF!,2,FALSE)</f>
        <v>#REF!</v>
      </c>
      <c r="K118" s="59">
        <f>[4]Sayfa1!$AC114</f>
        <v>0</v>
      </c>
      <c r="L118" s="63" t="str">
        <f t="shared" si="26"/>
        <v>KAY_5+65-BOZ-KAY5+6-FF-113</v>
      </c>
      <c r="M118" s="64" t="str">
        <f>[4]Sayfa1!$L114</f>
        <v>3878 CA Kabin kapısı kitlenmiyor</v>
      </c>
      <c r="N118" s="33" t="str">
        <f>[4]Sayfa1!$J114</f>
        <v>C-Uyarı, sürüş devamlılığı</v>
      </c>
      <c r="O118" s="33" t="str">
        <f>[4]Sayfa1!$P114</f>
        <v>C(Sisteme etki etmeyen arıza)</v>
      </c>
      <c r="P118" s="33" t="str">
        <f>[4]Sayfa1!$Q114</f>
        <v>N.A(Yaralanma yok)</v>
      </c>
      <c r="Q118" s="65" t="str" cm="1">
        <f t="array" ref="Q118">_xlfn.IFS([4]Sayfa1!$R114="Bozankaya","Bozankaya",[4]Sayfa1!$R114="İşletme","Customer",[4]Sayfa1!$R114="Tedarikçi","Equipment Supplier")</f>
        <v>Bozankaya</v>
      </c>
      <c r="R118" s="66" t="str">
        <f>[4]Sayfa1!$M114</f>
        <v>Kabin kapısı kilit mekanizması içeriden sıyırmış içeriden sıyırmış.Düzeltildi</v>
      </c>
      <c r="S118" s="36" t="str">
        <f>[4]Sayfa1!$S114</f>
        <v>Tasarım</v>
      </c>
      <c r="T118" s="67">
        <f>[4]Sayfa1!$Z114</f>
        <v>0</v>
      </c>
      <c r="U118" s="68">
        <f>[4]Sayfa1!$AN114</f>
        <v>2</v>
      </c>
      <c r="V118" s="60">
        <f>[4]Sayfa1!$T114</f>
        <v>45527</v>
      </c>
      <c r="W118" s="61">
        <f>[4]Sayfa1!$U114</f>
        <v>45527.333333333336</v>
      </c>
      <c r="X118" s="69">
        <f t="shared" si="27"/>
        <v>45527.333333333336</v>
      </c>
      <c r="Y118" s="70">
        <f>[4]Sayfa1!$AQ114</f>
        <v>45527</v>
      </c>
      <c r="Z118" s="61">
        <f>[4]Sayfa1!$AR114</f>
        <v>45527.5</v>
      </c>
      <c r="AA118" s="69">
        <f t="shared" si="28"/>
        <v>45527.5</v>
      </c>
      <c r="AB118" s="71">
        <f t="shared" si="29"/>
        <v>3.9999999999417923</v>
      </c>
      <c r="AC118" s="60">
        <f t="shared" si="30"/>
        <v>45527</v>
      </c>
      <c r="AD118" s="61">
        <f t="shared" si="31"/>
        <v>45527.5</v>
      </c>
      <c r="AE118" s="69">
        <f t="shared" si="32"/>
        <v>45527.5</v>
      </c>
      <c r="AF118" s="36" t="str">
        <f>[4]Sayfa1!$AP114</f>
        <v>(II) Birden fazla karşılaşılan arıza</v>
      </c>
      <c r="AG118" s="33" t="str">
        <f>IF([4]Sayfa1!$J114="C-Uyarı, sürüş devamlılığı","Bu Arıza Aracın Servise Verilmesine Engel Değil","Bu Arıza Aracın Servise Verilmesine Engel")</f>
        <v>Bu Arıza Aracın Servise Verilmesine Engel Değil</v>
      </c>
      <c r="AH118" s="41" t="str">
        <f>[4]Sayfa1!$AB114</f>
        <v>Tamir edilecek</v>
      </c>
      <c r="AI118" s="60"/>
      <c r="AJ118" s="60"/>
      <c r="AK118" s="69">
        <f t="shared" si="33"/>
        <v>0</v>
      </c>
      <c r="AL118" s="71">
        <f t="shared" si="34"/>
        <v>239.99999999650754</v>
      </c>
      <c r="AM118" s="71">
        <f t="shared" si="35"/>
        <v>239.99999999650754</v>
      </c>
      <c r="AN118" s="72">
        <f t="shared" si="36"/>
        <v>0</v>
      </c>
      <c r="AO118" s="73" t="str">
        <f>[4]Sayfa1!$X114</f>
        <v>T110-7047</v>
      </c>
      <c r="AP118" s="72">
        <f>[4]Sayfa1!$Y114</f>
        <v>1</v>
      </c>
      <c r="AQ118" s="184" t="str">
        <f>[4]Sayfa1!$V114</f>
        <v>GREBO OTOMOTİV SANAYİ A.Ş</v>
      </c>
      <c r="AR118" s="74" t="str">
        <f>[4]Sayfa1!$W114</f>
        <v>SURUCU KAPISI KOMPLESI</v>
      </c>
      <c r="AS118" s="74">
        <f>[4]Sayfa1!$AD114</f>
        <v>0</v>
      </c>
      <c r="AT118" s="60" t="str">
        <f>[4]Sayfa1!$AE114</f>
        <v/>
      </c>
      <c r="AU118" s="60" t="str">
        <f>[4]Sayfa1!$AH114</f>
        <v/>
      </c>
      <c r="AV118" s="75">
        <v>113</v>
      </c>
      <c r="AW118" s="76">
        <f t="shared" si="37"/>
        <v>87.999999998719431</v>
      </c>
      <c r="AX118" s="77" t="str">
        <f>[4]Sayfa1!$A114</f>
        <v>1aa141bd</v>
      </c>
      <c r="AY118" s="78" t="s">
        <v>114</v>
      </c>
      <c r="AZ118" s="79" t="e" vm="1">
        <f t="shared" si="38"/>
        <v>#VALUE!</v>
      </c>
    </row>
    <row r="119" spans="1:52" ht="142.9">
      <c r="A119" s="59" t="s">
        <v>174</v>
      </c>
      <c r="B119" s="59" t="str">
        <f>[4]Sayfa1!$G115</f>
        <v>3879(8)</v>
      </c>
      <c r="C119" s="184" t="str">
        <f>[4]Sayfa1!$H115</f>
        <v>MA</v>
      </c>
      <c r="D119" s="24">
        <f>[4]Sayfa1!$N115</f>
        <v>42117</v>
      </c>
      <c r="E119" s="24" t="str">
        <f>[4]Sayfa1!$B115</f>
        <v>BOZ-KAY5+6-FF-114</v>
      </c>
      <c r="F119" s="60">
        <f>[4]Sayfa1!$E115</f>
        <v>45363</v>
      </c>
      <c r="G119" s="61">
        <f>[4]Sayfa1!$F115</f>
        <v>45363.230555555558</v>
      </c>
      <c r="H119" s="59" t="str">
        <f>[4]Sayfa1!$I115</f>
        <v>Hat/Line</v>
      </c>
      <c r="I119" s="62" t="str">
        <f>IF([4]Sayfa1!$K115="SSH","Notified by Bozankaya","Notified by Customer")</f>
        <v>Notified by Customer</v>
      </c>
      <c r="J119" s="59" t="e">
        <f>VLOOKUP([4]Sayfa1!$AU115,#REF!,2,FALSE)</f>
        <v>#REF!</v>
      </c>
      <c r="K119" s="59">
        <f>[4]Sayfa1!$AC115</f>
        <v>0</v>
      </c>
      <c r="L119" s="63" t="str">
        <f t="shared" si="26"/>
        <v>KAY_5+66-BOZ-KAY5+6-FF-114</v>
      </c>
      <c r="M119" s="64" t="str">
        <f>[4]Sayfa1!$L115</f>
        <v>SİLECEK SONA DOĞRU YAN DÖNÜYOR.</v>
      </c>
      <c r="N119" s="33" t="str">
        <f>[4]Sayfa1!$J115</f>
        <v>B-Hız veya güç azalması</v>
      </c>
      <c r="O119" s="33" t="str">
        <f>[4]Sayfa1!$P115</f>
        <v>B(Servisten çekmeye etki eden arızalar)</v>
      </c>
      <c r="P119" s="33" t="str">
        <f>[4]Sayfa1!$Q115</f>
        <v>N.A(Yaralanma yok)</v>
      </c>
      <c r="Q119" s="65" t="str" cm="1">
        <f t="array" ref="Q119">_xlfn.IFS([4]Sayfa1!$R115="Bozankaya","Bozankaya",[4]Sayfa1!$R115="İşletme","Customer",[4]Sayfa1!$R115="Tedarikçi","Equipment Supplier")</f>
        <v>Bozankaya</v>
      </c>
      <c r="R119" s="66" t="str">
        <f>[4]Sayfa1!$M115</f>
        <v>SİLECEĞİN DÖNEN MEKANİZMALARI YAĞLANDI. NORMAL ÇALIŞIYOR.</v>
      </c>
      <c r="S119" s="36" t="str">
        <f>[4]Sayfa1!$S115</f>
        <v>Tasarım</v>
      </c>
      <c r="T119" s="67">
        <f>[4]Sayfa1!$Z115</f>
        <v>0</v>
      </c>
      <c r="U119" s="68">
        <f>[4]Sayfa1!$AN115</f>
        <v>1</v>
      </c>
      <c r="V119" s="60">
        <f>[4]Sayfa1!$T115</f>
        <v>45526</v>
      </c>
      <c r="W119" s="61">
        <f>[4]Sayfa1!$U115</f>
        <v>45526.737453703703</v>
      </c>
      <c r="X119" s="69">
        <f t="shared" si="27"/>
        <v>45526.737453703703</v>
      </c>
      <c r="Y119" s="70">
        <f>[4]Sayfa1!$AQ115</f>
        <v>45526</v>
      </c>
      <c r="Z119" s="61">
        <f>[4]Sayfa1!$AR115</f>
        <v>45526.770833333336</v>
      </c>
      <c r="AA119" s="69">
        <f t="shared" si="28"/>
        <v>45526.770833333336</v>
      </c>
      <c r="AB119" s="71">
        <f t="shared" si="29"/>
        <v>0.80111111118458211</v>
      </c>
      <c r="AC119" s="60">
        <f t="shared" si="30"/>
        <v>45526</v>
      </c>
      <c r="AD119" s="61">
        <f t="shared" si="31"/>
        <v>45526.770833333336</v>
      </c>
      <c r="AE119" s="69">
        <f t="shared" si="32"/>
        <v>45526.770833333336</v>
      </c>
      <c r="AF119" s="36" t="str">
        <f>[4]Sayfa1!$AP115</f>
        <v>(II) Birden fazla karşılaşılan arıza</v>
      </c>
      <c r="AG119" s="33" t="str">
        <f>IF([4]Sayfa1!$J115="C-Uyarı, sürüş devamlılığı","Bu Arıza Aracın Servise Verilmesine Engel Değil","Bu Arıza Aracın Servise Verilmesine Engel")</f>
        <v>Bu Arıza Aracın Servise Verilmesine Engel</v>
      </c>
      <c r="AH119" s="41" t="str">
        <f>[4]Sayfa1!$AB115</f>
        <v>Tamir edilecek</v>
      </c>
      <c r="AI119" s="60"/>
      <c r="AJ119" s="60"/>
      <c r="AK119" s="69">
        <f t="shared" si="33"/>
        <v>0</v>
      </c>
      <c r="AL119" s="71">
        <f t="shared" si="34"/>
        <v>48.066666671074927</v>
      </c>
      <c r="AM119" s="71">
        <f t="shared" si="35"/>
        <v>48.066666671074927</v>
      </c>
      <c r="AN119" s="72">
        <f t="shared" si="36"/>
        <v>0</v>
      </c>
      <c r="AO119" s="73" t="str">
        <f>[4]Sayfa1!$X115</f>
        <v>M100-7069</v>
      </c>
      <c r="AP119" s="72">
        <f>[4]Sayfa1!$Y115</f>
        <v>1</v>
      </c>
      <c r="AQ119" s="184" t="str">
        <f>[4]Sayfa1!$V115</f>
        <v>DENİZLER OTOMOTİV SAN. VE TİC.LTD.Ş</v>
      </c>
      <c r="AR119" s="74" t="str">
        <f>[4]Sayfa1!$W115</f>
        <v>SILECEK KOL KOMPLESI ANA KOL+YARDIMCI KO</v>
      </c>
      <c r="AS119" s="74">
        <f>[4]Sayfa1!$AD115</f>
        <v>0</v>
      </c>
      <c r="AT119" s="60" t="str">
        <f>[4]Sayfa1!$AE115</f>
        <v/>
      </c>
      <c r="AU119" s="60" t="str">
        <f>[4]Sayfa1!$AH115</f>
        <v/>
      </c>
      <c r="AV119" s="75">
        <v>114</v>
      </c>
      <c r="AW119" s="76">
        <f t="shared" si="37"/>
        <v>8.8122222230304033</v>
      </c>
      <c r="AX119" s="77" t="str">
        <f>[4]Sayfa1!$A115</f>
        <v>aad3d5d6</v>
      </c>
      <c r="AY119" s="78" t="s">
        <v>114</v>
      </c>
      <c r="AZ119" s="79" t="e" vm="1">
        <f t="shared" si="38"/>
        <v>#VALUE!</v>
      </c>
    </row>
    <row r="120" spans="1:52" ht="142.9">
      <c r="A120" s="59" t="s">
        <v>175</v>
      </c>
      <c r="B120" s="59" t="str">
        <f>[4]Sayfa1!$G116</f>
        <v>3874(3)</v>
      </c>
      <c r="C120" s="184" t="str">
        <f>[4]Sayfa1!$H116</f>
        <v>RA</v>
      </c>
      <c r="D120" s="24">
        <f>[4]Sayfa1!$N116</f>
        <v>53100</v>
      </c>
      <c r="E120" s="24" t="str">
        <f>[4]Sayfa1!$B116</f>
        <v>BOZ-KAY5+6-FF-115</v>
      </c>
      <c r="F120" s="60">
        <f>[4]Sayfa1!$E116</f>
        <v>45363</v>
      </c>
      <c r="G120" s="61">
        <f>[4]Sayfa1!$F116</f>
        <v>45363.463194444441</v>
      </c>
      <c r="H120" s="59" t="str">
        <f>[4]Sayfa1!$I116</f>
        <v>Hat/Line</v>
      </c>
      <c r="I120" s="62" t="str">
        <f>IF([4]Sayfa1!$K116="SSH","Notified by Bozankaya","Notified by Customer")</f>
        <v>Notified by Customer</v>
      </c>
      <c r="J120" s="59" t="e">
        <f>VLOOKUP([4]Sayfa1!$AU116,#REF!,2,FALSE)</f>
        <v>#REF!</v>
      </c>
      <c r="K120" s="59">
        <f>[4]Sayfa1!$AC116</f>
        <v>0</v>
      </c>
      <c r="L120" s="63" t="str">
        <f t="shared" si="26"/>
        <v>KAY_5+67-BOZ-KAY5+6-FF-115</v>
      </c>
      <c r="M120" s="64" t="str">
        <f>[4]Sayfa1!$L116</f>
        <v>KAPI ÜZERİ EKRAN ÇALIŞMIYOR</v>
      </c>
      <c r="N120" s="33" t="str">
        <f>[4]Sayfa1!$J116</f>
        <v>C-Uyarı, sürüş devamlılığı</v>
      </c>
      <c r="O120" s="33" t="str">
        <f>[4]Sayfa1!$P116</f>
        <v>B(Servisten çekmeye etki eden arızalar)</v>
      </c>
      <c r="P120" s="33" t="str">
        <f>[4]Sayfa1!$Q116</f>
        <v>N.A(Yaralanma yok)</v>
      </c>
      <c r="Q120" s="65" t="str" cm="1">
        <f t="array" ref="Q120">_xlfn.IFS([4]Sayfa1!$R116="Bozankaya","Bozankaya",[4]Sayfa1!$R116="İşletme","Customer",[4]Sayfa1!$R116="Tedarikçi","Equipment Supplier")</f>
        <v>Equipment Supplier</v>
      </c>
      <c r="R120" s="66" t="str">
        <f>[4]Sayfa1!$M116</f>
        <v>EKRAN DEĞİŞİMİ YAPILDI</v>
      </c>
      <c r="S120" s="36" t="str">
        <f>[4]Sayfa1!$S116</f>
        <v>Atak</v>
      </c>
      <c r="T120" s="67">
        <f>[4]Sayfa1!$Z116</f>
        <v>0</v>
      </c>
      <c r="U120" s="68">
        <f>[4]Sayfa1!$AN116</f>
        <v>2</v>
      </c>
      <c r="V120" s="60">
        <f>[4]Sayfa1!$T116</f>
        <v>45441</v>
      </c>
      <c r="W120" s="61">
        <f>[4]Sayfa1!$U116</f>
        <v>45441.375</v>
      </c>
      <c r="X120" s="69">
        <f t="shared" si="27"/>
        <v>45441.375</v>
      </c>
      <c r="Y120" s="70">
        <f>[4]Sayfa1!$AQ116</f>
        <v>45441</v>
      </c>
      <c r="Z120" s="61">
        <f>[4]Sayfa1!$AR116</f>
        <v>45441.5</v>
      </c>
      <c r="AA120" s="69">
        <f t="shared" si="28"/>
        <v>45441.5</v>
      </c>
      <c r="AB120" s="71">
        <f t="shared" si="29"/>
        <v>3</v>
      </c>
      <c r="AC120" s="60">
        <f t="shared" si="30"/>
        <v>45441</v>
      </c>
      <c r="AD120" s="61">
        <f t="shared" si="31"/>
        <v>45441.5</v>
      </c>
      <c r="AE120" s="69">
        <f t="shared" si="32"/>
        <v>45441.5</v>
      </c>
      <c r="AF120" s="36" t="str">
        <f>[4]Sayfa1!$AP116</f>
        <v>(II) Birden fazla karşılaşılan arıza</v>
      </c>
      <c r="AG120" s="33" t="str">
        <f>IF([4]Sayfa1!$J116="C-Uyarı, sürüş devamlılığı","Bu Arıza Aracın Servise Verilmesine Engel Değil","Bu Arıza Aracın Servise Verilmesine Engel")</f>
        <v>Bu Arıza Aracın Servise Verilmesine Engel Değil</v>
      </c>
      <c r="AH120" s="41" t="str">
        <f>[4]Sayfa1!$AB116</f>
        <v>Ekipman değiştirilecek</v>
      </c>
      <c r="AI120" s="60"/>
      <c r="AJ120" s="60"/>
      <c r="AK120" s="69">
        <f t="shared" si="33"/>
        <v>0</v>
      </c>
      <c r="AL120" s="71">
        <f t="shared" si="34"/>
        <v>180</v>
      </c>
      <c r="AM120" s="71">
        <f t="shared" si="35"/>
        <v>180</v>
      </c>
      <c r="AN120" s="72">
        <f t="shared" si="36"/>
        <v>0</v>
      </c>
      <c r="AO120" s="73" t="str">
        <f>[4]Sayfa1!$X116</f>
        <v>E410-7003</v>
      </c>
      <c r="AP120" s="72">
        <f>[4]Sayfa1!$Y116</f>
        <v>1</v>
      </c>
      <c r="AQ120" s="184" t="str">
        <f>[4]Sayfa1!$V116</f>
        <v>ATAK ULAŞIM SAN.TİC.LTD.ŞTİ.</v>
      </c>
      <c r="AR120" s="74" t="str">
        <f>[4]Sayfa1!$W116</f>
        <v>STRETCH LCD EKRAN</v>
      </c>
      <c r="AS120" s="74">
        <f>[4]Sayfa1!$AD116</f>
        <v>0</v>
      </c>
      <c r="AT120" s="60" t="str">
        <f>[4]Sayfa1!$AE116</f>
        <v/>
      </c>
      <c r="AU120" s="60" t="str">
        <f>[4]Sayfa1!$AH116</f>
        <v/>
      </c>
      <c r="AV120" s="75">
        <v>115</v>
      </c>
      <c r="AW120" s="76">
        <f t="shared" si="37"/>
        <v>66</v>
      </c>
      <c r="AX120" s="77" t="str">
        <f>[4]Sayfa1!$A116</f>
        <v>d93bc341</v>
      </c>
      <c r="AY120" s="78" t="s">
        <v>114</v>
      </c>
      <c r="AZ120" s="79" t="e" vm="1">
        <f t="shared" si="38"/>
        <v>#VALUE!</v>
      </c>
    </row>
    <row r="121" spans="1:52" ht="142.9">
      <c r="A121" s="59" t="s">
        <v>176</v>
      </c>
      <c r="B121" s="59" t="str">
        <f>[4]Sayfa1!$G117</f>
        <v>3875(4)</v>
      </c>
      <c r="C121" s="184" t="str">
        <f>[4]Sayfa1!$H117</f>
        <v>MA</v>
      </c>
      <c r="D121" s="24">
        <f>[4]Sayfa1!$N117</f>
        <v>42010</v>
      </c>
      <c r="E121" s="24" t="str">
        <f>[4]Sayfa1!$B117</f>
        <v>BOZ-KAY5+6-FF-116</v>
      </c>
      <c r="F121" s="60">
        <f>[4]Sayfa1!$E117</f>
        <v>45363</v>
      </c>
      <c r="G121" s="61">
        <f>[4]Sayfa1!$F117</f>
        <v>45363.755555555559</v>
      </c>
      <c r="H121" s="59" t="str">
        <f>[4]Sayfa1!$I117</f>
        <v>Hat/Line</v>
      </c>
      <c r="I121" s="62" t="str">
        <f>IF([4]Sayfa1!$K117="SSH","Notified by Bozankaya","Notified by Customer")</f>
        <v>Notified by Customer</v>
      </c>
      <c r="J121" s="59" t="e">
        <f>VLOOKUP([4]Sayfa1!$AU117,#REF!,2,FALSE)</f>
        <v>#REF!</v>
      </c>
      <c r="K121" s="59">
        <f>[4]Sayfa1!$AC117</f>
        <v>0</v>
      </c>
      <c r="L121" s="63" t="str">
        <f t="shared" si="26"/>
        <v>KAY_5+68-BOZ-KAY5+6-FF-116</v>
      </c>
      <c r="M121" s="64" t="str">
        <f>[4]Sayfa1!$L117</f>
        <v>CA KABİN ARIZA GÖSTERGE PANELİ YERİNDEN ÇIKMIŞ</v>
      </c>
      <c r="N121" s="33" t="str">
        <f>[4]Sayfa1!$J117</f>
        <v>C-Uyarı, sürüş devamlılığı</v>
      </c>
      <c r="O121" s="33" t="str">
        <f>[4]Sayfa1!$P117</f>
        <v>C(Sisteme etki etmeyen arıza)</v>
      </c>
      <c r="P121" s="33" t="str">
        <f>[4]Sayfa1!$Q117</f>
        <v>N.A(Yaralanma yok)</v>
      </c>
      <c r="Q121" s="65" t="str" cm="1">
        <f t="array" ref="Q121">_xlfn.IFS([4]Sayfa1!$R117="Bozankaya","Bozankaya",[4]Sayfa1!$R117="İşletme","Customer",[4]Sayfa1!$R117="Tedarikçi","Equipment Supplier")</f>
        <v>Bozankaya</v>
      </c>
      <c r="R121" s="66" t="str">
        <f>[4]Sayfa1!$M117</f>
        <v>CA KABİN ARIZA GÖSTERGE PANELİ YERİNDEN ÇIKMIŞ YERİNE SABİTLENDİ.</v>
      </c>
      <c r="S121" s="36" t="str">
        <f>[4]Sayfa1!$S117</f>
        <v>Üretim</v>
      </c>
      <c r="T121" s="67">
        <f>[4]Sayfa1!$Z117</f>
        <v>0</v>
      </c>
      <c r="U121" s="68">
        <f>[4]Sayfa1!$AN117</f>
        <v>1</v>
      </c>
      <c r="V121" s="60">
        <f>[4]Sayfa1!$T117</f>
        <v>45526</v>
      </c>
      <c r="W121" s="61">
        <f>[4]Sayfa1!$U117</f>
        <v>45526.618321759262</v>
      </c>
      <c r="X121" s="69">
        <f t="shared" si="27"/>
        <v>45526.618321759262</v>
      </c>
      <c r="Y121" s="70">
        <f>[4]Sayfa1!$AQ117</f>
        <v>45526</v>
      </c>
      <c r="Z121" s="61">
        <f>[4]Sayfa1!$AR117</f>
        <v>45526.666666666664</v>
      </c>
      <c r="AA121" s="69">
        <f t="shared" si="28"/>
        <v>45526.666666666664</v>
      </c>
      <c r="AB121" s="71">
        <f t="shared" si="29"/>
        <v>1.1602777776424773</v>
      </c>
      <c r="AC121" s="60">
        <f t="shared" si="30"/>
        <v>45526</v>
      </c>
      <c r="AD121" s="61">
        <f t="shared" si="31"/>
        <v>45526.666666666664</v>
      </c>
      <c r="AE121" s="69">
        <f t="shared" si="32"/>
        <v>45526.666666666664</v>
      </c>
      <c r="AF121" s="36" t="str">
        <f>[4]Sayfa1!$AP117</f>
        <v>(II) Birden fazla karşılaşılan arıza</v>
      </c>
      <c r="AG121" s="33" t="str">
        <f>IF([4]Sayfa1!$J117="C-Uyarı, sürüş devamlılığı","Bu Arıza Aracın Servise Verilmesine Engel Değil","Bu Arıza Aracın Servise Verilmesine Engel")</f>
        <v>Bu Arıza Aracın Servise Verilmesine Engel Değil</v>
      </c>
      <c r="AH121" s="41" t="str">
        <f>[4]Sayfa1!$AB117</f>
        <v>Tamir edilecek</v>
      </c>
      <c r="AI121" s="60"/>
      <c r="AJ121" s="60"/>
      <c r="AK121" s="69">
        <f t="shared" si="33"/>
        <v>0</v>
      </c>
      <c r="AL121" s="71">
        <f t="shared" si="34"/>
        <v>69.616666658548638</v>
      </c>
      <c r="AM121" s="71">
        <f t="shared" si="35"/>
        <v>69.616666658548638</v>
      </c>
      <c r="AN121" s="72">
        <f t="shared" si="36"/>
        <v>0</v>
      </c>
      <c r="AO121" s="73" t="str">
        <f>[4]Sayfa1!$X117</f>
        <v>E300-7007</v>
      </c>
      <c r="AP121" s="72">
        <f>[4]Sayfa1!$Y117</f>
        <v>1</v>
      </c>
      <c r="AQ121" s="184" t="str">
        <f>[4]Sayfa1!$V117</f>
        <v>ATAK ULAŞIM SAN.TİC.LTD.ŞTİ.</v>
      </c>
      <c r="AR121" s="74" t="str">
        <f>[4]Sayfa1!$W117</f>
        <v>İNDİKATÖR PANELİ</v>
      </c>
      <c r="AS121" s="74">
        <f>[4]Sayfa1!$AD117</f>
        <v>0</v>
      </c>
      <c r="AT121" s="60" t="str">
        <f>[4]Sayfa1!$AE117</f>
        <v/>
      </c>
      <c r="AU121" s="60" t="str">
        <f>[4]Sayfa1!$AH117</f>
        <v/>
      </c>
      <c r="AV121" s="75">
        <v>116</v>
      </c>
      <c r="AW121" s="76">
        <f t="shared" si="37"/>
        <v>12.76305555406725</v>
      </c>
      <c r="AX121" s="77" t="str">
        <f>[4]Sayfa1!$A117</f>
        <v>1fa5598c</v>
      </c>
      <c r="AY121" s="78" t="s">
        <v>114</v>
      </c>
      <c r="AZ121" s="79" t="e" vm="1">
        <f t="shared" si="38"/>
        <v>#VALUE!</v>
      </c>
    </row>
    <row r="122" spans="1:52" ht="142.9">
      <c r="A122" s="59" t="s">
        <v>177</v>
      </c>
      <c r="B122" s="59" t="str">
        <f>[4]Sayfa1!$G118</f>
        <v>3875(4)</v>
      </c>
      <c r="C122" s="184" t="str">
        <f>[4]Sayfa1!$H118</f>
        <v>MA</v>
      </c>
      <c r="D122" s="24">
        <f>[4]Sayfa1!$N118</f>
        <v>40252</v>
      </c>
      <c r="E122" s="24" t="str">
        <f>[4]Sayfa1!$B118</f>
        <v>BOZ-KAY5+6-FF-117</v>
      </c>
      <c r="F122" s="60">
        <f>[4]Sayfa1!$E118</f>
        <v>45363</v>
      </c>
      <c r="G122" s="61">
        <f>[4]Sayfa1!$F118</f>
        <v>45363.755555555559</v>
      </c>
      <c r="H122" s="59" t="str">
        <f>[4]Sayfa1!$I118</f>
        <v>Hat/Line</v>
      </c>
      <c r="I122" s="62" t="str">
        <f>IF([4]Sayfa1!$K118="SSH","Notified by Bozankaya","Notified by Customer")</f>
        <v>Notified by Customer</v>
      </c>
      <c r="J122" s="59" t="e">
        <f>VLOOKUP([4]Sayfa1!$AU118,#REF!,2,FALSE)</f>
        <v>#REF!</v>
      </c>
      <c r="K122" s="59">
        <f>[4]Sayfa1!$AC118</f>
        <v>0</v>
      </c>
      <c r="L122" s="63" t="str">
        <f t="shared" si="26"/>
        <v>KAY_5+69-BOZ-KAY5+6-FF-117</v>
      </c>
      <c r="M122" s="64" t="str">
        <f>[4]Sayfa1!$L118</f>
        <v>CA KABİN ARIZA GÖSTERGE PANELİ YERİNDEN ÇIKMIŞ</v>
      </c>
      <c r="N122" s="33" t="str">
        <f>[4]Sayfa1!$J118</f>
        <v>C-Uyarı, sürüş devamlılığı</v>
      </c>
      <c r="O122" s="33" t="str">
        <f>[4]Sayfa1!$P118</f>
        <v>C(Sisteme etki etmeyen arıza)</v>
      </c>
      <c r="P122" s="33" t="str">
        <f>[4]Sayfa1!$Q118</f>
        <v>N.A(Yaralanma yok)</v>
      </c>
      <c r="Q122" s="65" t="str" cm="1">
        <f t="array" ref="Q122">_xlfn.IFS([4]Sayfa1!$R118="Bozankaya","Bozankaya",[4]Sayfa1!$R118="İşletme","Customer",[4]Sayfa1!$R118="Tedarikçi","Equipment Supplier")</f>
        <v>Bozankaya</v>
      </c>
      <c r="R122" s="66" t="str">
        <f>[4]Sayfa1!$M118</f>
        <v>YERİNE SABİTLENDİ.</v>
      </c>
      <c r="S122" s="36" t="str">
        <f>[4]Sayfa1!$S118</f>
        <v>Üretim</v>
      </c>
      <c r="T122" s="67">
        <f>[4]Sayfa1!$Z118</f>
        <v>0</v>
      </c>
      <c r="U122" s="68">
        <f>[4]Sayfa1!$AN118</f>
        <v>1</v>
      </c>
      <c r="V122" s="60">
        <f>[4]Sayfa1!$T118</f>
        <v>45526</v>
      </c>
      <c r="W122" s="61">
        <f>[4]Sayfa1!$U118</f>
        <v>45526.607939814814</v>
      </c>
      <c r="X122" s="69">
        <f t="shared" si="27"/>
        <v>45526.607939814814</v>
      </c>
      <c r="Y122" s="70">
        <f>[4]Sayfa1!$AQ118</f>
        <v>45526</v>
      </c>
      <c r="Z122" s="61">
        <f>[4]Sayfa1!$AR118</f>
        <v>45526.666666666664</v>
      </c>
      <c r="AA122" s="69">
        <f t="shared" si="28"/>
        <v>45526.666666666664</v>
      </c>
      <c r="AB122" s="71">
        <f t="shared" si="29"/>
        <v>1.4094444444053806</v>
      </c>
      <c r="AC122" s="60">
        <f t="shared" si="30"/>
        <v>45526</v>
      </c>
      <c r="AD122" s="61">
        <f t="shared" si="31"/>
        <v>45526.666666666664</v>
      </c>
      <c r="AE122" s="69">
        <f t="shared" si="32"/>
        <v>45526.666666666664</v>
      </c>
      <c r="AF122" s="36" t="str">
        <f>[4]Sayfa1!$AP118</f>
        <v>(II) Birden fazla karşılaşılan arıza</v>
      </c>
      <c r="AG122" s="33" t="str">
        <f>IF([4]Sayfa1!$J118="C-Uyarı, sürüş devamlılığı","Bu Arıza Aracın Servise Verilmesine Engel Değil","Bu Arıza Aracın Servise Verilmesine Engel")</f>
        <v>Bu Arıza Aracın Servise Verilmesine Engel Değil</v>
      </c>
      <c r="AH122" s="41" t="str">
        <f>[4]Sayfa1!$AB118</f>
        <v>Tamir edilecek</v>
      </c>
      <c r="AI122" s="60"/>
      <c r="AJ122" s="60"/>
      <c r="AK122" s="69">
        <f t="shared" si="33"/>
        <v>0</v>
      </c>
      <c r="AL122" s="71">
        <f t="shared" si="34"/>
        <v>84.566666664322838</v>
      </c>
      <c r="AM122" s="71">
        <f t="shared" si="35"/>
        <v>84.566666664322838</v>
      </c>
      <c r="AN122" s="72">
        <f t="shared" si="36"/>
        <v>0</v>
      </c>
      <c r="AO122" s="73" t="str">
        <f>[4]Sayfa1!$X118</f>
        <v>E300-7007</v>
      </c>
      <c r="AP122" s="72">
        <f>[4]Sayfa1!$Y118</f>
        <v>1</v>
      </c>
      <c r="AQ122" s="184" t="str">
        <f>[4]Sayfa1!$V118</f>
        <v>ATAK ULAŞIM SAN.TİC.LTD.ŞTİ.</v>
      </c>
      <c r="AR122" s="74" t="str">
        <f>[4]Sayfa1!$W118</f>
        <v>İNDİKATÖR PANELİ</v>
      </c>
      <c r="AS122" s="74">
        <f>[4]Sayfa1!$AD118</f>
        <v>0</v>
      </c>
      <c r="AT122" s="60" t="str">
        <f>[4]Sayfa1!$AE118</f>
        <v/>
      </c>
      <c r="AU122" s="60" t="str">
        <f>[4]Sayfa1!$AH118</f>
        <v/>
      </c>
      <c r="AV122" s="75">
        <v>117</v>
      </c>
      <c r="AW122" s="76">
        <f t="shared" si="37"/>
        <v>15.503888888459187</v>
      </c>
      <c r="AX122" s="77" t="str">
        <f>[4]Sayfa1!$A118</f>
        <v>df1ea5ef</v>
      </c>
      <c r="AY122" s="78" t="s">
        <v>114</v>
      </c>
      <c r="AZ122" s="79" t="e" vm="1">
        <f t="shared" si="38"/>
        <v>#VALUE!</v>
      </c>
    </row>
    <row r="123" spans="1:52" ht="142.9">
      <c r="A123" s="59" t="s">
        <v>178</v>
      </c>
      <c r="B123" s="59" t="str">
        <f>[4]Sayfa1!$G119</f>
        <v>3880(9)</v>
      </c>
      <c r="C123" s="184" t="str">
        <f>[4]Sayfa1!$H119</f>
        <v>MA</v>
      </c>
      <c r="D123" s="24">
        <f>[4]Sayfa1!$N119</f>
        <v>39228</v>
      </c>
      <c r="E123" s="24" t="str">
        <f>[4]Sayfa1!$B119</f>
        <v>BOZ-KAY5+6-FF-118</v>
      </c>
      <c r="F123" s="60">
        <f>[4]Sayfa1!$E119</f>
        <v>45364</v>
      </c>
      <c r="G123" s="61">
        <f>[4]Sayfa1!$F119</f>
        <v>45364.27847222222</v>
      </c>
      <c r="H123" s="59" t="str">
        <f>[4]Sayfa1!$I119</f>
        <v>Hat/Line</v>
      </c>
      <c r="I123" s="62" t="str">
        <f>IF([4]Sayfa1!$K119="SSH","Notified by Bozankaya","Notified by Customer")</f>
        <v>Notified by Customer</v>
      </c>
      <c r="J123" s="59" t="e">
        <f>VLOOKUP([4]Sayfa1!$AU119,#REF!,2,FALSE)</f>
        <v>#REF!</v>
      </c>
      <c r="K123" s="59">
        <f>[4]Sayfa1!$AC119</f>
        <v>0</v>
      </c>
      <c r="L123" s="63" t="str">
        <f t="shared" si="26"/>
        <v>KAY_5+70-BOZ-KAY5+6-FF-118</v>
      </c>
      <c r="M123" s="64" t="str">
        <f>[4]Sayfa1!$L119</f>
        <v>Kabin kliması ısıtma yapmıyor</v>
      </c>
      <c r="N123" s="33" t="str">
        <f>[4]Sayfa1!$J119</f>
        <v>C-Uyarı, sürüş devamlılığı</v>
      </c>
      <c r="O123" s="33" t="str">
        <f>[4]Sayfa1!$P119</f>
        <v>B(Servisten çekmeye etki eden arızalar)</v>
      </c>
      <c r="P123" s="33" t="str">
        <f>[4]Sayfa1!$Q119</f>
        <v>N.A(Yaralanma yok)</v>
      </c>
      <c r="Q123" s="65" t="str" cm="1">
        <f t="array" ref="Q123">_xlfn.IFS([4]Sayfa1!$R119="Bozankaya","Bozankaya",[4]Sayfa1!$R119="İşletme","Customer",[4]Sayfa1!$R119="Tedarikçi","Equipment Supplier")</f>
        <v>Equipment Supplier</v>
      </c>
      <c r="R123" s="66" t="str">
        <f>[4]Sayfa1!$M119</f>
        <v>Kabin sensör ısıtma yapmıyor</v>
      </c>
      <c r="S123" s="36" t="str">
        <f>[4]Sayfa1!$S119</f>
        <v>Eltesan</v>
      </c>
      <c r="T123" s="67">
        <f>[4]Sayfa1!$Z119</f>
        <v>0</v>
      </c>
      <c r="U123" s="68">
        <f>[4]Sayfa1!$AN119</f>
        <v>1</v>
      </c>
      <c r="V123" s="60">
        <f>[4]Sayfa1!$T119</f>
        <v>45538</v>
      </c>
      <c r="W123" s="61">
        <f>[4]Sayfa1!$U119</f>
        <v>45538.382592592592</v>
      </c>
      <c r="X123" s="69">
        <f t="shared" si="27"/>
        <v>45538.382592592592</v>
      </c>
      <c r="Y123" s="70">
        <f>[4]Sayfa1!$AQ119</f>
        <v>45538</v>
      </c>
      <c r="Z123" s="61">
        <f>[4]Sayfa1!$AR119</f>
        <v>45538.5</v>
      </c>
      <c r="AA123" s="69">
        <f t="shared" si="28"/>
        <v>45538.5</v>
      </c>
      <c r="AB123" s="71">
        <f t="shared" si="29"/>
        <v>2.8177777777891606</v>
      </c>
      <c r="AC123" s="60">
        <f t="shared" si="30"/>
        <v>45538</v>
      </c>
      <c r="AD123" s="61">
        <f t="shared" si="31"/>
        <v>45538.5</v>
      </c>
      <c r="AE123" s="69">
        <f t="shared" si="32"/>
        <v>45538.5</v>
      </c>
      <c r="AF123" s="36" t="str">
        <f>[4]Sayfa1!$AP119</f>
        <v>(III) Birden fazla aynı araçta karşılaşılan arıza</v>
      </c>
      <c r="AG123" s="33" t="str">
        <f>IF([4]Sayfa1!$J119="C-Uyarı, sürüş devamlılığı","Bu Arıza Aracın Servise Verilmesine Engel Değil","Bu Arıza Aracın Servise Verilmesine Engel")</f>
        <v>Bu Arıza Aracın Servise Verilmesine Engel Değil</v>
      </c>
      <c r="AH123" s="41" t="str">
        <f>[4]Sayfa1!$AB119</f>
        <v>Tamir edilecek</v>
      </c>
      <c r="AI123" s="60"/>
      <c r="AJ123" s="60"/>
      <c r="AK123" s="69">
        <f t="shared" si="33"/>
        <v>0</v>
      </c>
      <c r="AL123" s="71">
        <f t="shared" si="34"/>
        <v>169.06666666734964</v>
      </c>
      <c r="AM123" s="71">
        <f t="shared" si="35"/>
        <v>169.06666666734964</v>
      </c>
      <c r="AN123" s="72">
        <f t="shared" si="36"/>
        <v>0</v>
      </c>
      <c r="AO123" s="73" t="str">
        <f>[4]Sayfa1!$X119</f>
        <v>H500-7240</v>
      </c>
      <c r="AP123" s="72">
        <f>[4]Sayfa1!$Y119</f>
        <v>1</v>
      </c>
      <c r="AQ123" s="184" t="str">
        <f>[4]Sayfa1!$V119</f>
        <v>ELTESAN ELEKTRO MEKANİK SOĞUTMA SAN</v>
      </c>
      <c r="AR123" s="74" t="str">
        <f>[4]Sayfa1!$W119</f>
        <v>KLIMA UNITESİ /Eltesan/Hispacold 41,5 kW</v>
      </c>
      <c r="AS123" s="74">
        <f>[4]Sayfa1!$AD119</f>
        <v>0</v>
      </c>
      <c r="AT123" s="60" t="str">
        <f>[4]Sayfa1!$AE119</f>
        <v/>
      </c>
      <c r="AU123" s="60" t="str">
        <f>[4]Sayfa1!$AH119</f>
        <v/>
      </c>
      <c r="AV123" s="75">
        <v>118</v>
      </c>
      <c r="AW123" s="76">
        <f t="shared" si="37"/>
        <v>30.995555555680767</v>
      </c>
      <c r="AX123" s="77" t="str">
        <f>[4]Sayfa1!$A119</f>
        <v>ac820c30</v>
      </c>
      <c r="AY123" s="78" t="s">
        <v>114</v>
      </c>
      <c r="AZ123" s="79" t="e" vm="1">
        <f t="shared" si="38"/>
        <v>#VALUE!</v>
      </c>
    </row>
    <row r="124" spans="1:52" ht="289.89999999999998">
      <c r="A124" s="59" t="s">
        <v>179</v>
      </c>
      <c r="B124" s="59" t="str">
        <f>[4]Sayfa1!$G120</f>
        <v>3879(8)</v>
      </c>
      <c r="C124" s="184" t="str">
        <f>[4]Sayfa1!$H120</f>
        <v>P</v>
      </c>
      <c r="D124" s="24">
        <f>[4]Sayfa1!$N120</f>
        <v>42117</v>
      </c>
      <c r="E124" s="24" t="str">
        <f>[4]Sayfa1!$B120</f>
        <v>BOZ-KAY5+6-FF-119</v>
      </c>
      <c r="F124" s="60">
        <f>[4]Sayfa1!$E120</f>
        <v>45364</v>
      </c>
      <c r="G124" s="61">
        <f>[4]Sayfa1!$F120</f>
        <v>45364.441666666666</v>
      </c>
      <c r="H124" s="59" t="str">
        <f>[4]Sayfa1!$I120</f>
        <v>Hat/Line</v>
      </c>
      <c r="I124" s="62" t="str">
        <f>IF([4]Sayfa1!$K120="SSH","Notified by Bozankaya","Notified by Customer")</f>
        <v>Notified by Customer</v>
      </c>
      <c r="J124" s="59" t="e">
        <f>VLOOKUP([4]Sayfa1!$AU120,#REF!,2,FALSE)</f>
        <v>#REF!</v>
      </c>
      <c r="K124" s="59">
        <f>[4]Sayfa1!$AC120</f>
        <v>0</v>
      </c>
      <c r="L124" s="63" t="str">
        <f t="shared" ref="L124:L187" si="39">A124&amp;"-"&amp;E124</f>
        <v>KAY_5+71-BOZ-KAY5+6-FF-119</v>
      </c>
      <c r="M124" s="64" t="str">
        <f>[4]Sayfa1!$L120</f>
        <v>12.03.2024 TARİHİNDE YAPILAN SAHA DENETİMİNDE SAAT 09:39 DA 3879 NUMARALI KAPI ÜSTÜ EKRANLARIN ÇALIŞMADIĞI TESPİT EDİLMİŞTİR.</v>
      </c>
      <c r="N124" s="33" t="str">
        <f>[4]Sayfa1!$J120</f>
        <v>B-Hız veya güç azalması</v>
      </c>
      <c r="O124" s="33" t="str">
        <f>[4]Sayfa1!$P120</f>
        <v>B(Servisten çekmeye etki eden arızalar)</v>
      </c>
      <c r="P124" s="33" t="str">
        <f>[4]Sayfa1!$Q120</f>
        <v>N.A(Yaralanma yok)</v>
      </c>
      <c r="Q124" s="65" t="str" cm="1">
        <f t="array" ref="Q124">_xlfn.IFS([4]Sayfa1!$R120="Bozankaya","Bozankaya",[4]Sayfa1!$R120="İşletme","Customer",[4]Sayfa1!$R120="Tedarikçi","Equipment Supplier")</f>
        <v>Equipment Supplier</v>
      </c>
      <c r="R124" s="66" t="str">
        <f>[4]Sayfa1!$M120</f>
        <v>SİSTEM RESETLENDİ. ARIZA DEVAMLILIĞI GÖRÜLMEDİ.</v>
      </c>
      <c r="S124" s="36" t="str">
        <f>[4]Sayfa1!$S120</f>
        <v>Atak</v>
      </c>
      <c r="T124" s="67">
        <f>[4]Sayfa1!$Z120</f>
        <v>0</v>
      </c>
      <c r="U124" s="68">
        <f>[4]Sayfa1!$AN120</f>
        <v>1</v>
      </c>
      <c r="V124" s="60">
        <f>[4]Sayfa1!$T120</f>
        <v>45526</v>
      </c>
      <c r="W124" s="61">
        <f>[4]Sayfa1!$U120</f>
        <v>45526.636782407404</v>
      </c>
      <c r="X124" s="69">
        <f t="shared" ref="X124:X187" si="40">W124</f>
        <v>45526.636782407404</v>
      </c>
      <c r="Y124" s="70">
        <f>[4]Sayfa1!$AQ120</f>
        <v>45526</v>
      </c>
      <c r="Z124" s="61">
        <f>[4]Sayfa1!$AR120</f>
        <v>45526.75</v>
      </c>
      <c r="AA124" s="69">
        <f t="shared" ref="AA124:AA187" si="41">Z124</f>
        <v>45526.75</v>
      </c>
      <c r="AB124" s="71">
        <f t="shared" ref="AB124:AB187" si="42">IF(Y124-F124&gt;0,(AA124-X124)*24,IF(OR(AND(G124&gt;AR$1,G124&lt;AS$1),AND(G124&gt;AT$1,G124&lt;AU$1)),(AA124-X124)*24,0))</f>
        <v>2.7172222223016433</v>
      </c>
      <c r="AC124" s="60">
        <f t="shared" ref="AC124:AC187" si="43">Y124</f>
        <v>45526</v>
      </c>
      <c r="AD124" s="61">
        <f t="shared" ref="AD124:AD187" si="44">Z124</f>
        <v>45526.75</v>
      </c>
      <c r="AE124" s="69">
        <f t="shared" ref="AE124:AE187" si="45">AD124</f>
        <v>45526.75</v>
      </c>
      <c r="AF124" s="36" t="str">
        <f>[4]Sayfa1!$AP120</f>
        <v>(II) Birden fazla karşılaşılan arıza</v>
      </c>
      <c r="AG124" s="33" t="str">
        <f>IF([4]Sayfa1!$J120="C-Uyarı, sürüş devamlılığı","Bu Arıza Aracın Servise Verilmesine Engel Değil","Bu Arıza Aracın Servise Verilmesine Engel")</f>
        <v>Bu Arıza Aracın Servise Verilmesine Engel</v>
      </c>
      <c r="AH124" s="41">
        <f>[4]Sayfa1!$AB120</f>
        <v>0</v>
      </c>
      <c r="AI124" s="60"/>
      <c r="AJ124" s="60"/>
      <c r="AK124" s="69">
        <f t="shared" ref="AK124:AK187" si="46">AI124+AJ124</f>
        <v>0</v>
      </c>
      <c r="AL124" s="71">
        <f t="shared" ref="AL124:AL187" si="47">IF(AND(N124&lt;&gt;"D:Arıza Değil",AG124="Bu Arıza Aracın Servise Verilmesine Engel Değil"),IF(Y124-F124&gt;0,(AA124-X124)*24,IF(OR(AND(G124&gt;AR$1,G124&lt;AS$1),AND(G124&gt;AT$1,G124&lt;AU$1)),(AK124-X124)*24,0))*60,AM124)</f>
        <v>163.0333333380986</v>
      </c>
      <c r="AM124" s="71">
        <f t="shared" ref="AM124:AM187" si="48">IF(N124&lt;&gt;"D:Arıza Değil",AB124*60,0)</f>
        <v>163.0333333380986</v>
      </c>
      <c r="AN124" s="72">
        <f t="shared" ref="AN124:AN187" si="49">K124</f>
        <v>0</v>
      </c>
      <c r="AO124" s="73" t="str">
        <f>[4]Sayfa1!$X120</f>
        <v>E410-7003</v>
      </c>
      <c r="AP124" s="72">
        <f>[4]Sayfa1!$Y120</f>
        <v>1</v>
      </c>
      <c r="AQ124" s="184" t="str">
        <f>[4]Sayfa1!$V120</f>
        <v>ATAK ULAŞIM SAN.TİC.LTD.ŞTİ.</v>
      </c>
      <c r="AR124" s="74" t="str">
        <f>[4]Sayfa1!$W120</f>
        <v>STRETCH LCD EKRAN</v>
      </c>
      <c r="AS124" s="74">
        <f>[4]Sayfa1!$AD120</f>
        <v>0</v>
      </c>
      <c r="AT124" s="60" t="str">
        <f>[4]Sayfa1!$AE120</f>
        <v/>
      </c>
      <c r="AU124" s="60" t="str">
        <f>[4]Sayfa1!$AH120</f>
        <v/>
      </c>
      <c r="AV124" s="75">
        <v>119</v>
      </c>
      <c r="AW124" s="76">
        <f t="shared" ref="AW124:AW187" si="50">U124*AB124*AZ$1</f>
        <v>29.889444445318077</v>
      </c>
      <c r="AX124" s="77" t="str">
        <f>[4]Sayfa1!$A120</f>
        <v>a65a726d</v>
      </c>
      <c r="AY124" s="78" t="s">
        <v>114</v>
      </c>
      <c r="AZ124" s="79" t="e" vm="1">
        <f t="shared" ref="AZ124:AZ187" si="51">_xlfn.IMAGE(AY124)</f>
        <v>#VALUE!</v>
      </c>
    </row>
    <row r="125" spans="1:52" ht="317.45">
      <c r="A125" s="59" t="s">
        <v>180</v>
      </c>
      <c r="B125" s="59" t="str">
        <f>[4]Sayfa1!$G121</f>
        <v>3874(3)</v>
      </c>
      <c r="C125" s="184" t="str">
        <f>[4]Sayfa1!$H121</f>
        <v>MA</v>
      </c>
      <c r="D125" s="24">
        <f>[4]Sayfa1!$N121</f>
        <v>52252</v>
      </c>
      <c r="E125" s="24" t="str">
        <f>[4]Sayfa1!$B121</f>
        <v>BOZ-KAY5+6-FF-120</v>
      </c>
      <c r="F125" s="60">
        <f>[4]Sayfa1!$E121</f>
        <v>45364</v>
      </c>
      <c r="G125" s="61">
        <f>[4]Sayfa1!$F121</f>
        <v>45364.443055555559</v>
      </c>
      <c r="H125" s="59" t="str">
        <f>[4]Sayfa1!$I121</f>
        <v>Hat/Line</v>
      </c>
      <c r="I125" s="62" t="str">
        <f>IF([4]Sayfa1!$K121="SSH","Notified by Bozankaya","Notified by Customer")</f>
        <v>Notified by Customer</v>
      </c>
      <c r="J125" s="59" t="e">
        <f>VLOOKUP([4]Sayfa1!$AU121,#REF!,2,FALSE)</f>
        <v>#REF!</v>
      </c>
      <c r="K125" s="59">
        <f>[4]Sayfa1!$AC121</f>
        <v>0</v>
      </c>
      <c r="L125" s="63" t="str">
        <f t="shared" si="39"/>
        <v>KAY_5+72-BOZ-KAY5+6-FF-120</v>
      </c>
      <c r="M125" s="64" t="str">
        <f>[4]Sayfa1!$L121</f>
        <v>12.03.2024 TARİHİNDE YAPILAN SAHA DENETİMİNDE SAAT:11:04 DE 3874 NUMARALI ARACIN KAPI ÜSTÜ EKRANLARIN ÇALIŞMADIĞI TESPİT EDİLMİŞTİR.</v>
      </c>
      <c r="N125" s="33" t="str">
        <f>[4]Sayfa1!$J121</f>
        <v>B-Hız veya güç azalması</v>
      </c>
      <c r="O125" s="33" t="str">
        <f>[4]Sayfa1!$P121</f>
        <v>B(Servisten çekmeye etki eden arızalar)</v>
      </c>
      <c r="P125" s="33" t="str">
        <f>[4]Sayfa1!$Q121</f>
        <v>N.A(Yaralanma yok)</v>
      </c>
      <c r="Q125" s="65" t="str" cm="1">
        <f t="array" ref="Q125">_xlfn.IFS([4]Sayfa1!$R121="Bozankaya","Bozankaya",[4]Sayfa1!$R121="İşletme","Customer",[4]Sayfa1!$R121="Tedarikçi","Equipment Supplier")</f>
        <v>Equipment Supplier</v>
      </c>
      <c r="R125" s="66" t="str">
        <f>[4]Sayfa1!$M121</f>
        <v>ARIZA 3876'DA. AU300 YENİDEN YAZILIM ATILDI. KAPI ÜSTÜ GÖRSELLER YENİDEN YÜKLENDİ. ARIZA DEVAMLILIĞI GÖRÜLMEDİ.</v>
      </c>
      <c r="S125" s="36" t="str">
        <f>[4]Sayfa1!$S121</f>
        <v>Atak</v>
      </c>
      <c r="T125" s="67">
        <f>[4]Sayfa1!$Z121</f>
        <v>0</v>
      </c>
      <c r="U125" s="68">
        <f>[4]Sayfa1!$AN121</f>
        <v>1</v>
      </c>
      <c r="V125" s="60">
        <f>[4]Sayfa1!$T121</f>
        <v>45526</v>
      </c>
      <c r="W125" s="61">
        <f>[4]Sayfa1!$U121</f>
        <v>45526.615740740737</v>
      </c>
      <c r="X125" s="69">
        <f t="shared" si="40"/>
        <v>45526.615740740737</v>
      </c>
      <c r="Y125" s="70">
        <f>[4]Sayfa1!$AQ121</f>
        <v>45526</v>
      </c>
      <c r="Z125" s="61">
        <f>[4]Sayfa1!$AR121</f>
        <v>45526.708333333336</v>
      </c>
      <c r="AA125" s="69">
        <f t="shared" si="41"/>
        <v>45526.708333333336</v>
      </c>
      <c r="AB125" s="71">
        <f t="shared" si="42"/>
        <v>2.2222222223645076</v>
      </c>
      <c r="AC125" s="60">
        <f t="shared" si="43"/>
        <v>45526</v>
      </c>
      <c r="AD125" s="61">
        <f t="shared" si="44"/>
        <v>45526.708333333336</v>
      </c>
      <c r="AE125" s="69">
        <f t="shared" si="45"/>
        <v>45526.708333333336</v>
      </c>
      <c r="AF125" s="36" t="str">
        <f>[4]Sayfa1!$AP121</f>
        <v>(II) Birden fazla karşılaşılan arıza</v>
      </c>
      <c r="AG125" s="33" t="str">
        <f>IF([4]Sayfa1!$J121="C-Uyarı, sürüş devamlılığı","Bu Arıza Aracın Servise Verilmesine Engel Değil","Bu Arıza Aracın Servise Verilmesine Engel")</f>
        <v>Bu Arıza Aracın Servise Verilmesine Engel</v>
      </c>
      <c r="AH125" s="41" t="str">
        <f>[4]Sayfa1!$AB121</f>
        <v>Yazılım güncelleme</v>
      </c>
      <c r="AI125" s="60"/>
      <c r="AJ125" s="60"/>
      <c r="AK125" s="69">
        <f t="shared" si="46"/>
        <v>0</v>
      </c>
      <c r="AL125" s="71">
        <f t="shared" si="47"/>
        <v>133.33333334187046</v>
      </c>
      <c r="AM125" s="71">
        <f t="shared" si="48"/>
        <v>133.33333334187046</v>
      </c>
      <c r="AN125" s="72">
        <f t="shared" si="49"/>
        <v>0</v>
      </c>
      <c r="AO125" s="73" t="str">
        <f>[4]Sayfa1!$X121</f>
        <v>E410-7003</v>
      </c>
      <c r="AP125" s="72">
        <f>[4]Sayfa1!$Y121</f>
        <v>1</v>
      </c>
      <c r="AQ125" s="184" t="str">
        <f>[4]Sayfa1!$V121</f>
        <v>ATAK ULAŞIM SAN.TİC.LTD.ŞTİ.</v>
      </c>
      <c r="AR125" s="74" t="str">
        <f>[4]Sayfa1!$W121</f>
        <v>STRETCH LCD EKRAN</v>
      </c>
      <c r="AS125" s="74">
        <f>[4]Sayfa1!$AD121</f>
        <v>0</v>
      </c>
      <c r="AT125" s="60" t="str">
        <f>[4]Sayfa1!$AE121</f>
        <v/>
      </c>
      <c r="AU125" s="60" t="str">
        <f>[4]Sayfa1!$AH121</f>
        <v/>
      </c>
      <c r="AV125" s="75">
        <v>120</v>
      </c>
      <c r="AW125" s="76">
        <f t="shared" si="50"/>
        <v>24.444444446009584</v>
      </c>
      <c r="AX125" s="77" t="str">
        <f>[4]Sayfa1!$A121</f>
        <v>79765f2f</v>
      </c>
      <c r="AY125" s="78" t="s">
        <v>114</v>
      </c>
      <c r="AZ125" s="79" t="e" vm="1">
        <f t="shared" si="51"/>
        <v>#VALUE!</v>
      </c>
    </row>
    <row r="126" spans="1:52" ht="234.6">
      <c r="A126" s="59" t="s">
        <v>181</v>
      </c>
      <c r="B126" s="59" t="str">
        <f>[4]Sayfa1!$G122</f>
        <v>3872(1)</v>
      </c>
      <c r="C126" s="184" t="str">
        <f>[4]Sayfa1!$H122</f>
        <v>MA</v>
      </c>
      <c r="D126" s="24">
        <f>[4]Sayfa1!$N122</f>
        <v>44000</v>
      </c>
      <c r="E126" s="24" t="str">
        <f>[4]Sayfa1!$B122</f>
        <v>BOZ-KAY5+6-FF-121</v>
      </c>
      <c r="F126" s="60">
        <f>[4]Sayfa1!$E122</f>
        <v>45364</v>
      </c>
      <c r="G126" s="61">
        <f>[4]Sayfa1!$F122</f>
        <v>45364.444120370368</v>
      </c>
      <c r="H126" s="59" t="str">
        <f>[4]Sayfa1!$I122</f>
        <v>Hat/Line</v>
      </c>
      <c r="I126" s="62" t="str">
        <f>IF([4]Sayfa1!$K122="SSH","Notified by Bozankaya","Notified by Customer")</f>
        <v>Notified by Customer</v>
      </c>
      <c r="J126" s="59" t="e">
        <f>VLOOKUP([4]Sayfa1!$AU122,#REF!,2,FALSE)</f>
        <v>#REF!</v>
      </c>
      <c r="K126" s="59">
        <f>[4]Sayfa1!$AC122</f>
        <v>0</v>
      </c>
      <c r="L126" s="63" t="str">
        <f t="shared" si="39"/>
        <v>KAY_5+73-BOZ-KAY5+6-FF-121</v>
      </c>
      <c r="M126" s="64" t="str">
        <f>[4]Sayfa1!$L122</f>
        <v>12.03.2024 Tarihinde yapılan saha denetiminde  saat 11:49 da 3872 nolu aracın kapı üstü ekranların çalışmadığı tespit edilmiştir</v>
      </c>
      <c r="N126" s="33" t="str">
        <f>[4]Sayfa1!$J122</f>
        <v>C-Uyarı, sürüş devamlılığı</v>
      </c>
      <c r="O126" s="33" t="str">
        <f>[4]Sayfa1!$P122</f>
        <v>C(Sisteme etki etmeyen arıza)</v>
      </c>
      <c r="P126" s="33" t="str">
        <f>[4]Sayfa1!$Q122</f>
        <v>N.A(Yaralanma yok)</v>
      </c>
      <c r="Q126" s="65" t="str" cm="1">
        <f t="array" ref="Q126">_xlfn.IFS([4]Sayfa1!$R122="Bozankaya","Bozankaya",[4]Sayfa1!$R122="İşletme","Customer",[4]Sayfa1!$R122="Tedarikçi","Equipment Supplier")</f>
        <v>Equipment Supplier</v>
      </c>
      <c r="R126" s="66" t="str">
        <f>[4]Sayfa1!$M122</f>
        <v>Görsel PC resetlendi.Arıza giderildi.</v>
      </c>
      <c r="S126" s="36" t="str">
        <f>[4]Sayfa1!$S122</f>
        <v>Atak</v>
      </c>
      <c r="T126" s="67">
        <f>[4]Sayfa1!$Z122</f>
        <v>0</v>
      </c>
      <c r="U126" s="68">
        <f>[4]Sayfa1!$AN122</f>
        <v>0</v>
      </c>
      <c r="V126" s="60">
        <f>[4]Sayfa1!$T122</f>
        <v>45526</v>
      </c>
      <c r="W126" s="61">
        <f>[4]Sayfa1!$U122</f>
        <v>45526.641481481478</v>
      </c>
      <c r="X126" s="69">
        <f t="shared" si="40"/>
        <v>45526.641481481478</v>
      </c>
      <c r="Y126" s="70" t="str">
        <f>[4]Sayfa1!$AQ122</f>
        <v/>
      </c>
      <c r="Z126" s="61">
        <f>[4]Sayfa1!$AR122</f>
        <v>0</v>
      </c>
      <c r="AA126" s="69">
        <f t="shared" si="41"/>
        <v>0</v>
      </c>
      <c r="AB126" s="71" t="e">
        <f t="shared" si="42"/>
        <v>#VALUE!</v>
      </c>
      <c r="AC126" s="60" t="str">
        <f t="shared" si="43"/>
        <v/>
      </c>
      <c r="AD126" s="61">
        <f t="shared" si="44"/>
        <v>0</v>
      </c>
      <c r="AE126" s="69">
        <f t="shared" si="45"/>
        <v>0</v>
      </c>
      <c r="AF126" s="36" t="str">
        <f>[4]Sayfa1!$AP122</f>
        <v>(III) Birden fazla aynı araçta karşılaşılan arıza</v>
      </c>
      <c r="AG126" s="33" t="str">
        <f>IF([4]Sayfa1!$J122="C-Uyarı, sürüş devamlılığı","Bu Arıza Aracın Servise Verilmesine Engel Değil","Bu Arıza Aracın Servise Verilmesine Engel")</f>
        <v>Bu Arıza Aracın Servise Verilmesine Engel Değil</v>
      </c>
      <c r="AH126" s="41">
        <f>[4]Sayfa1!$AB122</f>
        <v>0</v>
      </c>
      <c r="AI126" s="60"/>
      <c r="AJ126" s="60"/>
      <c r="AK126" s="69">
        <f t="shared" si="46"/>
        <v>0</v>
      </c>
      <c r="AL126" s="71" t="e">
        <f t="shared" si="47"/>
        <v>#VALUE!</v>
      </c>
      <c r="AM126" s="71" t="e">
        <f t="shared" si="48"/>
        <v>#VALUE!</v>
      </c>
      <c r="AN126" s="72">
        <f t="shared" si="49"/>
        <v>0</v>
      </c>
      <c r="AO126" s="73" t="str">
        <f>[4]Sayfa1!$X122</f>
        <v>E410-7003</v>
      </c>
      <c r="AP126" s="72">
        <f>[4]Sayfa1!$Y122</f>
        <v>0</v>
      </c>
      <c r="AQ126" s="184" t="str">
        <f>[4]Sayfa1!$V122</f>
        <v>ATAK ULAŞIM SAN.TİC.LTD.ŞTİ.</v>
      </c>
      <c r="AR126" s="74" t="str">
        <f>[4]Sayfa1!$W122</f>
        <v>STRETCH LCD EKRAN</v>
      </c>
      <c r="AS126" s="74">
        <f>[4]Sayfa1!$AD122</f>
        <v>0</v>
      </c>
      <c r="AT126" s="60" t="str">
        <f>[4]Sayfa1!$AE122</f>
        <v/>
      </c>
      <c r="AU126" s="60" t="str">
        <f>[4]Sayfa1!$AH122</f>
        <v/>
      </c>
      <c r="AV126" s="75">
        <v>121</v>
      </c>
      <c r="AW126" s="76" t="e">
        <f t="shared" si="50"/>
        <v>#VALUE!</v>
      </c>
      <c r="AX126" s="77" t="str">
        <f>[4]Sayfa1!$A122</f>
        <v>135cbbdb</v>
      </c>
      <c r="AY126" s="78" t="s">
        <v>114</v>
      </c>
      <c r="AZ126" s="79" t="e" vm="1">
        <f t="shared" si="51"/>
        <v>#VALUE!</v>
      </c>
    </row>
    <row r="127" spans="1:52" ht="248.45">
      <c r="A127" s="59" t="s">
        <v>182</v>
      </c>
      <c r="B127" s="59" t="str">
        <f>[4]Sayfa1!$G123</f>
        <v>3880(9)</v>
      </c>
      <c r="C127" s="184" t="str">
        <f>[4]Sayfa1!$H123</f>
        <v>MA</v>
      </c>
      <c r="D127" s="24">
        <f>[4]Sayfa1!$N123</f>
        <v>36952</v>
      </c>
      <c r="E127" s="24" t="str">
        <f>[4]Sayfa1!$B123</f>
        <v>BOZ-KAY5+6-FF-122</v>
      </c>
      <c r="F127" s="60">
        <f>[4]Sayfa1!$E123</f>
        <v>45365</v>
      </c>
      <c r="G127" s="61">
        <f>[4]Sayfa1!$F123</f>
        <v>45365.34375</v>
      </c>
      <c r="H127" s="59" t="str">
        <f>[4]Sayfa1!$I123</f>
        <v>Hat/Line</v>
      </c>
      <c r="I127" s="62" t="str">
        <f>IF([4]Sayfa1!$K123="SSH","Notified by Bozankaya","Notified by Customer")</f>
        <v>Notified by Customer</v>
      </c>
      <c r="J127" s="59" t="e">
        <f>VLOOKUP([4]Sayfa1!$AU123,#REF!,2,FALSE)</f>
        <v>#REF!</v>
      </c>
      <c r="K127" s="59">
        <f>[4]Sayfa1!$AC123</f>
        <v>0</v>
      </c>
      <c r="L127" s="63" t="str">
        <f t="shared" si="39"/>
        <v>KAY_5+74-BOZ-KAY5+6-FF-122</v>
      </c>
      <c r="M127" s="64" t="str">
        <f>[4]Sayfa1!$L123</f>
        <v>3880-3881 NOLU KUPLAJLI ARACIN IMULARI ARIZALI OLMASI NEDENİYLE 6 SEFERDE 47 DK TEHİR MEYDANA GELMİŞTİR.</v>
      </c>
      <c r="N127" s="33" t="str">
        <f>[4]Sayfa1!$J123</f>
        <v>A-Sürüşü engeller</v>
      </c>
      <c r="O127" s="33" t="str">
        <f>[4]Sayfa1!$P123</f>
        <v>A(Hareket etmeyi engelleyen arıza)</v>
      </c>
      <c r="P127" s="33" t="str">
        <f>[4]Sayfa1!$Q123</f>
        <v>N.A(Yaralanma yok)</v>
      </c>
      <c r="Q127" s="65" t="str" cm="1">
        <f t="array" ref="Q127">_xlfn.IFS([4]Sayfa1!$R123="Bozankaya","Bozankaya",[4]Sayfa1!$R123="İşletme","Customer",[4]Sayfa1!$R123="Tedarikçi","Equipment Supplier")</f>
        <v>Bozankaya</v>
      </c>
      <c r="R127" s="66" t="str">
        <f>[4]Sayfa1!$M123</f>
        <v>81 NUMARALI ARAÇTAKİ İDU LİNE KABLOLARI DÜZELTİLDİ.</v>
      </c>
      <c r="S127" s="36" t="str">
        <f>[4]Sayfa1!$S123</f>
        <v>Fabrika Test</v>
      </c>
      <c r="T127" s="67">
        <f>[4]Sayfa1!$Z123</f>
        <v>0</v>
      </c>
      <c r="U127" s="68">
        <f>[4]Sayfa1!$AN123</f>
        <v>1</v>
      </c>
      <c r="V127" s="60">
        <f>[4]Sayfa1!$T123</f>
        <v>45526</v>
      </c>
      <c r="W127" s="61">
        <f>[4]Sayfa1!$U123</f>
        <v>45526.709270833337</v>
      </c>
      <c r="X127" s="69">
        <f t="shared" si="40"/>
        <v>45526.709270833337</v>
      </c>
      <c r="Y127" s="70">
        <f>[4]Sayfa1!$AQ123</f>
        <v>45526</v>
      </c>
      <c r="Z127" s="61">
        <f>[4]Sayfa1!$AR123</f>
        <v>45526.770833333336</v>
      </c>
      <c r="AA127" s="69">
        <f t="shared" si="41"/>
        <v>45526.770833333336</v>
      </c>
      <c r="AB127" s="71">
        <f t="shared" si="42"/>
        <v>1.4774999999790452</v>
      </c>
      <c r="AC127" s="60">
        <f t="shared" si="43"/>
        <v>45526</v>
      </c>
      <c r="AD127" s="61">
        <f t="shared" si="44"/>
        <v>45526.770833333336</v>
      </c>
      <c r="AE127" s="69">
        <f t="shared" si="45"/>
        <v>45526.770833333336</v>
      </c>
      <c r="AF127" s="36" t="str">
        <f>[4]Sayfa1!$AP123</f>
        <v>(I) İlk defa karşılaşılan arıza</v>
      </c>
      <c r="AG127" s="33" t="str">
        <f>IF([4]Sayfa1!$J123="C-Uyarı, sürüş devamlılığı","Bu Arıza Aracın Servise Verilmesine Engel Değil","Bu Arıza Aracın Servise Verilmesine Engel")</f>
        <v>Bu Arıza Aracın Servise Verilmesine Engel</v>
      </c>
      <c r="AH127" s="41" t="str">
        <f>[4]Sayfa1!$AB123</f>
        <v>Tamir edilecek</v>
      </c>
      <c r="AI127" s="60"/>
      <c r="AJ127" s="60"/>
      <c r="AK127" s="69">
        <f t="shared" si="46"/>
        <v>0</v>
      </c>
      <c r="AL127" s="71">
        <f t="shared" si="47"/>
        <v>88.649999998742715</v>
      </c>
      <c r="AM127" s="71">
        <f t="shared" si="48"/>
        <v>88.649999998742715</v>
      </c>
      <c r="AN127" s="72">
        <f t="shared" si="49"/>
        <v>0</v>
      </c>
      <c r="AO127" s="73" t="str">
        <f>[4]Sayfa1!$X123</f>
        <v>E865-7011</v>
      </c>
      <c r="AP127" s="72">
        <f>[4]Sayfa1!$Y123</f>
        <v>1</v>
      </c>
      <c r="AQ127" s="184" t="str">
        <f>[4]Sayfa1!$V123</f>
        <v>Stadler Signalling Deutschland GmbH</v>
      </c>
      <c r="AR127" s="74" t="str">
        <f>[4]Sayfa1!$W123</f>
        <v>IMU 100 FZA KOMPLESI</v>
      </c>
      <c r="AS127" s="74">
        <f>[4]Sayfa1!$AD123</f>
        <v>0</v>
      </c>
      <c r="AT127" s="60" t="str">
        <f>[4]Sayfa1!$AE123</f>
        <v/>
      </c>
      <c r="AU127" s="60" t="str">
        <f>[4]Sayfa1!$AH123</f>
        <v/>
      </c>
      <c r="AV127" s="75">
        <v>122</v>
      </c>
      <c r="AW127" s="76">
        <f t="shared" si="50"/>
        <v>16.252499999769498</v>
      </c>
      <c r="AX127" s="77" t="str">
        <f>[4]Sayfa1!$A123</f>
        <v>362fcf4f</v>
      </c>
      <c r="AY127" s="78" t="s">
        <v>114</v>
      </c>
      <c r="AZ127" s="79" t="e" vm="1">
        <f t="shared" si="51"/>
        <v>#VALUE!</v>
      </c>
    </row>
    <row r="128" spans="1:52" ht="186.6">
      <c r="A128" s="59" t="s">
        <v>183</v>
      </c>
      <c r="B128" s="59" t="str">
        <f>[4]Sayfa1!$G124</f>
        <v>3873(2)</v>
      </c>
      <c r="C128" s="184" t="str">
        <f>[4]Sayfa1!$H124</f>
        <v>MB</v>
      </c>
      <c r="D128" s="24">
        <f>[4]Sayfa1!$N124</f>
        <v>49521</v>
      </c>
      <c r="E128" s="24" t="str">
        <f>[4]Sayfa1!$B124</f>
        <v>BOZ-KAY5+6-FF-123</v>
      </c>
      <c r="F128" s="60">
        <f>[4]Sayfa1!$E124</f>
        <v>45365</v>
      </c>
      <c r="G128" s="61">
        <f>[4]Sayfa1!$F124</f>
        <v>45365.34652777778</v>
      </c>
      <c r="H128" s="59" t="str">
        <f>[4]Sayfa1!$I124</f>
        <v>Hat/Line</v>
      </c>
      <c r="I128" s="62" t="str">
        <f>IF([4]Sayfa1!$K124="SSH","Notified by Bozankaya","Notified by Customer")</f>
        <v>Notified by Customer</v>
      </c>
      <c r="J128" s="59" t="e">
        <f>VLOOKUP([4]Sayfa1!$AU124,#REF!,2,FALSE)</f>
        <v>#REF!</v>
      </c>
      <c r="K128" s="59">
        <f>[4]Sayfa1!$AC124</f>
        <v>0</v>
      </c>
      <c r="L128" s="63" t="str">
        <f t="shared" si="39"/>
        <v>KAY_5+75-BOZ-KAY5+6-FF-123</v>
      </c>
      <c r="M128" s="64" t="str">
        <f>[4]Sayfa1!$L124</f>
        <v>CB KABİNDEN ARAÇ KAPILARI SERBEST OLMUYOR</v>
      </c>
      <c r="N128" s="33" t="str">
        <f>[4]Sayfa1!$J124</f>
        <v>A-Sürüşü engeller</v>
      </c>
      <c r="O128" s="33" t="str">
        <f>[4]Sayfa1!$P124</f>
        <v>B(Servisten çekmeye etki eden arızalar)</v>
      </c>
      <c r="P128" s="33" t="str">
        <f>[4]Sayfa1!$Q124</f>
        <v>N.A(Yaralanma yok)</v>
      </c>
      <c r="Q128" s="65" t="str" cm="1">
        <f t="array" ref="Q128">_xlfn.IFS([4]Sayfa1!$R124="Bozankaya","Bozankaya",[4]Sayfa1!$R124="İşletme","Customer",[4]Sayfa1!$R124="Tedarikçi","Equipment Supplier")</f>
        <v>Equipment Supplier</v>
      </c>
      <c r="R128" s="66" t="str">
        <f>[4]Sayfa1!$M124</f>
        <v>NB-F01 SİGORTASI ATMIŞ KALDIRILDI</v>
      </c>
      <c r="S128" s="36" t="str">
        <f>[4]Sayfa1!$S124</f>
        <v>Eltesan</v>
      </c>
      <c r="T128" s="67">
        <f>[4]Sayfa1!$Z124</f>
        <v>0</v>
      </c>
      <c r="U128" s="68">
        <f>[4]Sayfa1!$AN124</f>
        <v>0</v>
      </c>
      <c r="V128" s="60">
        <f>[4]Sayfa1!$T124</f>
        <v>45526</v>
      </c>
      <c r="W128" s="61">
        <f>[4]Sayfa1!$U124</f>
        <v>45526.705682870372</v>
      </c>
      <c r="X128" s="69">
        <f t="shared" si="40"/>
        <v>45526.705682870372</v>
      </c>
      <c r="Y128" s="70" t="str">
        <f>[4]Sayfa1!$AQ124</f>
        <v/>
      </c>
      <c r="Z128" s="61">
        <f>[4]Sayfa1!$AR124</f>
        <v>0</v>
      </c>
      <c r="AA128" s="69">
        <f t="shared" si="41"/>
        <v>0</v>
      </c>
      <c r="AB128" s="71" t="e">
        <f t="shared" si="42"/>
        <v>#VALUE!</v>
      </c>
      <c r="AC128" s="60" t="str">
        <f t="shared" si="43"/>
        <v/>
      </c>
      <c r="AD128" s="61">
        <f t="shared" si="44"/>
        <v>0</v>
      </c>
      <c r="AE128" s="69">
        <f t="shared" si="45"/>
        <v>0</v>
      </c>
      <c r="AF128" s="36" t="str">
        <f>[4]Sayfa1!$AP124</f>
        <v>(I) İlk defa karşılaşılan arıza</v>
      </c>
      <c r="AG128" s="33" t="str">
        <f>IF([4]Sayfa1!$J124="C-Uyarı, sürüş devamlılığı","Bu Arıza Aracın Servise Verilmesine Engel Değil","Bu Arıza Aracın Servise Verilmesine Engel")</f>
        <v>Bu Arıza Aracın Servise Verilmesine Engel</v>
      </c>
      <c r="AH128" s="41" t="str">
        <f>[4]Sayfa1!$AB124</f>
        <v>Arıza çözülecek</v>
      </c>
      <c r="AI128" s="60"/>
      <c r="AJ128" s="60"/>
      <c r="AK128" s="69">
        <f t="shared" si="46"/>
        <v>0</v>
      </c>
      <c r="AL128" s="71" t="e">
        <f t="shared" si="47"/>
        <v>#VALUE!</v>
      </c>
      <c r="AM128" s="71" t="e">
        <f t="shared" si="48"/>
        <v>#VALUE!</v>
      </c>
      <c r="AN128" s="72">
        <f t="shared" si="49"/>
        <v>0</v>
      </c>
      <c r="AO128" s="73">
        <f>[4]Sayfa1!$X124</f>
        <v>0</v>
      </c>
      <c r="AP128" s="72">
        <f>[4]Sayfa1!$Y124</f>
        <v>1</v>
      </c>
      <c r="AQ128" s="184" t="str">
        <f>[4]Sayfa1!$V124</f>
        <v>Bozankaya</v>
      </c>
      <c r="AR128" s="74" t="str">
        <f>[4]Sayfa1!$W124</f>
        <v>KAPILAR</v>
      </c>
      <c r="AS128" s="74">
        <f>[4]Sayfa1!$AD124</f>
        <v>0</v>
      </c>
      <c r="AT128" s="60" t="str">
        <f>[4]Sayfa1!$AE124</f>
        <v/>
      </c>
      <c r="AU128" s="60" t="str">
        <f>[4]Sayfa1!$AH124</f>
        <v/>
      </c>
      <c r="AV128" s="75">
        <v>123</v>
      </c>
      <c r="AW128" s="76" t="e">
        <f t="shared" si="50"/>
        <v>#VALUE!</v>
      </c>
      <c r="AX128" s="77" t="str">
        <f>[4]Sayfa1!$A124</f>
        <v>c9ec7c5a</v>
      </c>
      <c r="AY128" s="78" t="s">
        <v>114</v>
      </c>
      <c r="AZ128" s="79" t="e" vm="1">
        <f t="shared" si="51"/>
        <v>#VALUE!</v>
      </c>
    </row>
    <row r="129" spans="1:52" ht="179.45">
      <c r="A129" s="59" t="s">
        <v>184</v>
      </c>
      <c r="B129" s="59" t="str">
        <f>[4]Sayfa1!$G125</f>
        <v>3879(8)</v>
      </c>
      <c r="C129" s="184" t="str">
        <f>[4]Sayfa1!$H125</f>
        <v>MA</v>
      </c>
      <c r="D129" s="24">
        <f>[4]Sayfa1!$N125</f>
        <v>4854</v>
      </c>
      <c r="E129" s="24" t="str">
        <f>[4]Sayfa1!$B125</f>
        <v>BOZ-KAY5+6-FF-124</v>
      </c>
      <c r="F129" s="60">
        <f>[4]Sayfa1!$E125</f>
        <v>45365</v>
      </c>
      <c r="G129" s="61">
        <f>[4]Sayfa1!$F125</f>
        <v>45365.43472222222</v>
      </c>
      <c r="H129" s="59" t="str">
        <f>[4]Sayfa1!$I125</f>
        <v>Hat/Line</v>
      </c>
      <c r="I129" s="62" t="str">
        <f>IF([4]Sayfa1!$K125="SSH","Notified by Bozankaya","Notified by Customer")</f>
        <v>Notified by Customer</v>
      </c>
      <c r="J129" s="59" t="e">
        <f>VLOOKUP([4]Sayfa1!$AU125,#REF!,2,FALSE)</f>
        <v>#REF!</v>
      </c>
      <c r="K129" s="59">
        <f>[4]Sayfa1!$AC125</f>
        <v>0</v>
      </c>
      <c r="L129" s="63" t="str">
        <f t="shared" si="39"/>
        <v>KAY_5+76-BOZ-KAY5+6-FF-124</v>
      </c>
      <c r="M129" s="64" t="str">
        <f>[4]Sayfa1!$L125</f>
        <v>3879-3878 NOLU ARAÇLAR İMU ARIZASI VERİYOR VARIŞ YÖNÜ TABELASI KURULAMIYOR.</v>
      </c>
      <c r="N129" s="33" t="str">
        <f>[4]Sayfa1!$J125</f>
        <v>C-Uyarı, sürüş devamlılığı</v>
      </c>
      <c r="O129" s="33" t="str">
        <f>[4]Sayfa1!$P125</f>
        <v>B(Servisten çekmeye etki eden arızalar)</v>
      </c>
      <c r="P129" s="33" t="str">
        <f>[4]Sayfa1!$Q125</f>
        <v>N.A(Yaralanma yok)</v>
      </c>
      <c r="Q129" s="65" t="str" cm="1">
        <f t="array" ref="Q129">_xlfn.IFS([4]Sayfa1!$R125="Bozankaya","Bozankaya",[4]Sayfa1!$R125="İşletme","Customer",[4]Sayfa1!$R125="Tedarikçi","Equipment Supplier")</f>
        <v>Equipment Supplier</v>
      </c>
      <c r="R129" s="66" t="str">
        <f>[4]Sayfa1!$M125</f>
        <v>ST300 DONMUŞ AU300 RESETLENDİ DÜZELDİ.</v>
      </c>
      <c r="S129" s="36" t="str">
        <f>[4]Sayfa1!$S125</f>
        <v>Atak</v>
      </c>
      <c r="T129" s="67">
        <f>[4]Sayfa1!$Z125</f>
        <v>0</v>
      </c>
      <c r="U129" s="68">
        <f>[4]Sayfa1!$AN125</f>
        <v>1</v>
      </c>
      <c r="V129" s="60">
        <f>[4]Sayfa1!$T125</f>
        <v>45526</v>
      </c>
      <c r="W129" s="61">
        <f>[4]Sayfa1!$U125</f>
        <v>45526.605324074073</v>
      </c>
      <c r="X129" s="69">
        <f t="shared" si="40"/>
        <v>45526.605324074073</v>
      </c>
      <c r="Y129" s="70">
        <f>[4]Sayfa1!$AQ125</f>
        <v>45526</v>
      </c>
      <c r="Z129" s="61">
        <f>[4]Sayfa1!$AR125</f>
        <v>45526.666666666664</v>
      </c>
      <c r="AA129" s="69">
        <f t="shared" si="41"/>
        <v>45526.666666666664</v>
      </c>
      <c r="AB129" s="71">
        <f t="shared" si="42"/>
        <v>1.4722222221898846</v>
      </c>
      <c r="AC129" s="60">
        <f t="shared" si="43"/>
        <v>45526</v>
      </c>
      <c r="AD129" s="61">
        <f t="shared" si="44"/>
        <v>45526.666666666664</v>
      </c>
      <c r="AE129" s="69">
        <f t="shared" si="45"/>
        <v>45526.666666666664</v>
      </c>
      <c r="AF129" s="36" t="str">
        <f>[4]Sayfa1!$AP125</f>
        <v>(II) Birden fazla karşılaşılan arıza</v>
      </c>
      <c r="AG129" s="33" t="str">
        <f>IF([4]Sayfa1!$J125="C-Uyarı, sürüş devamlılığı","Bu Arıza Aracın Servise Verilmesine Engel Değil","Bu Arıza Aracın Servise Verilmesine Engel")</f>
        <v>Bu Arıza Aracın Servise Verilmesine Engel Değil</v>
      </c>
      <c r="AH129" s="41" t="str">
        <f>[4]Sayfa1!$AB125</f>
        <v>Arıza çözülecek</v>
      </c>
      <c r="AI129" s="60"/>
      <c r="AJ129" s="60"/>
      <c r="AK129" s="69">
        <f t="shared" si="46"/>
        <v>0</v>
      </c>
      <c r="AL129" s="71">
        <f t="shared" si="47"/>
        <v>88.333333331393078</v>
      </c>
      <c r="AM129" s="71">
        <f t="shared" si="48"/>
        <v>88.333333331393078</v>
      </c>
      <c r="AN129" s="72">
        <f t="shared" si="49"/>
        <v>0</v>
      </c>
      <c r="AO129" s="73" t="str">
        <f>[4]Sayfa1!$X125</f>
        <v>E840-7002</v>
      </c>
      <c r="AP129" s="72">
        <f>[4]Sayfa1!$Y125</f>
        <v>1</v>
      </c>
      <c r="AQ129" s="184" t="str">
        <f>[4]Sayfa1!$V125</f>
        <v>ATAK ULAŞIM SAN.TİC.LTD.ŞTİ.</v>
      </c>
      <c r="AR129" s="74" t="str">
        <f>[4]Sayfa1!$W125</f>
        <v>Merkez Ünite AU300 (train bus, vehicle b</v>
      </c>
      <c r="AS129" s="74">
        <f>[4]Sayfa1!$AD125</f>
        <v>0</v>
      </c>
      <c r="AT129" s="60" t="str">
        <f>[4]Sayfa1!$AE125</f>
        <v/>
      </c>
      <c r="AU129" s="60" t="str">
        <f>[4]Sayfa1!$AH125</f>
        <v/>
      </c>
      <c r="AV129" s="75">
        <v>124</v>
      </c>
      <c r="AW129" s="76">
        <f t="shared" si="50"/>
        <v>16.194444444088731</v>
      </c>
      <c r="AX129" s="77" t="str">
        <f>[4]Sayfa1!$A125</f>
        <v>0af83c6a</v>
      </c>
      <c r="AY129" s="78" t="s">
        <v>114</v>
      </c>
      <c r="AZ129" s="79" t="e" vm="1">
        <f t="shared" si="51"/>
        <v>#VALUE!</v>
      </c>
    </row>
    <row r="130" spans="1:52" ht="409.6">
      <c r="A130" s="59" t="s">
        <v>185</v>
      </c>
      <c r="B130" s="59" t="str">
        <f>[4]Sayfa1!$G126</f>
        <v>3881(10)</v>
      </c>
      <c r="C130" s="184" t="str">
        <f>[4]Sayfa1!$H126</f>
        <v>MA</v>
      </c>
      <c r="D130" s="24">
        <f>[4]Sayfa1!$N126</f>
        <v>29765</v>
      </c>
      <c r="E130" s="24" t="str">
        <f>[4]Sayfa1!$B126</f>
        <v>BOZ-KAY5+6-FF-125</v>
      </c>
      <c r="F130" s="60">
        <f>[4]Sayfa1!$E126</f>
        <v>45366</v>
      </c>
      <c r="G130" s="61">
        <f>[4]Sayfa1!$F126</f>
        <v>45366.038888888892</v>
      </c>
      <c r="H130" s="59" t="str">
        <f>[4]Sayfa1!$I126</f>
        <v>Hat/Line</v>
      </c>
      <c r="I130" s="62" t="str">
        <f>IF([4]Sayfa1!$K126="SSH","Notified by Bozankaya","Notified by Customer")</f>
        <v>Notified by Customer</v>
      </c>
      <c r="J130" s="59" t="e">
        <f>VLOOKUP([4]Sayfa1!$AU126,#REF!,2,FALSE)</f>
        <v>#REF!</v>
      </c>
      <c r="K130" s="59">
        <f>[4]Sayfa1!$AC126</f>
        <v>0</v>
      </c>
      <c r="L130" s="63" t="str">
        <f t="shared" si="39"/>
        <v>KAY_5+77-BOZ-KAY5+6-FF-125</v>
      </c>
      <c r="M130" s="64" t="str">
        <f>[4]Sayfa1!$L126</f>
        <v>ARAÇ SIFIR HIZ ARIZASI VERDİ. 2 KERE RESETLENDİ DÜZELMEDİ. BAZI KAPILAR İSTASYONLARDA AÇILMADI. AYRICA İVME VE FRENDE İDU ÜZERİNDEN KAPILAR SARI VE KIRMIZI OLARAK GÖZÜKTÜ. A KABİN KLİMALAR TAKILI KALDI.</v>
      </c>
      <c r="N130" s="33" t="str">
        <f>[4]Sayfa1!$J126</f>
        <v>A-Sürüşü engeller</v>
      </c>
      <c r="O130" s="33" t="str">
        <f>[4]Sayfa1!$P126</f>
        <v>B(Servisten çekmeye etki eden arızalar)</v>
      </c>
      <c r="P130" s="33" t="str">
        <f>[4]Sayfa1!$Q126</f>
        <v>N.A(Yaralanma yok)</v>
      </c>
      <c r="Q130" s="65" t="str" cm="1">
        <f t="array" ref="Q130">_xlfn.IFS([4]Sayfa1!$R126="Bozankaya","Bozankaya",[4]Sayfa1!$R126="İşletme","Customer",[4]Sayfa1!$R126="Tedarikçi","Equipment Supplier")</f>
        <v>Equipment Supplier</v>
      </c>
      <c r="R130" s="66" t="str">
        <f>[4]Sayfa1!$M126</f>
        <v>CAN2 HATTININ TÜM KABLOLARINDA YEŞİL VE KIRMIZI OLUYORDU. YAPILAN KONTROLLERDE MA SÜRÜCÜ KLİMASININ  CAN2 HATTINI BOZDUĞUNU TESPİT ETTİK. SÜRÜCÜ KLİMASI MASTER CARD DEĞİŞİMİ YAPILDI. YAZILIM YÜKLENDİ TEST YAPILDI. SORUN GİDERİLDİ.</v>
      </c>
      <c r="S130" s="36" t="str">
        <f>[4]Sayfa1!$S126</f>
        <v>Eltesan</v>
      </c>
      <c r="T130" s="67">
        <f>[4]Sayfa1!$Z126</f>
        <v>0</v>
      </c>
      <c r="U130" s="68">
        <f>[4]Sayfa1!$AN126</f>
        <v>1</v>
      </c>
      <c r="V130" s="60">
        <f>[4]Sayfa1!$T126</f>
        <v>45526</v>
      </c>
      <c r="W130" s="61">
        <f>[4]Sayfa1!$U126</f>
        <v>45526.715636574074</v>
      </c>
      <c r="X130" s="69">
        <f t="shared" si="40"/>
        <v>45526.715636574074</v>
      </c>
      <c r="Y130" s="70">
        <f>[4]Sayfa1!$AQ126</f>
        <v>45526</v>
      </c>
      <c r="Z130" s="61">
        <f>[4]Sayfa1!$AR126</f>
        <v>45526.770833333336</v>
      </c>
      <c r="AA130" s="69">
        <f t="shared" si="41"/>
        <v>45526.770833333336</v>
      </c>
      <c r="AB130" s="71">
        <f t="shared" si="42"/>
        <v>1.3247222222853452</v>
      </c>
      <c r="AC130" s="60">
        <f t="shared" si="43"/>
        <v>45526</v>
      </c>
      <c r="AD130" s="61">
        <f t="shared" si="44"/>
        <v>45526.770833333336</v>
      </c>
      <c r="AE130" s="69">
        <f t="shared" si="45"/>
        <v>45526.770833333336</v>
      </c>
      <c r="AF130" s="36" t="str">
        <f>[4]Sayfa1!$AP126</f>
        <v>(II) Birden fazla karşılaşılan arıza</v>
      </c>
      <c r="AG130" s="33" t="str">
        <f>IF([4]Sayfa1!$J126="C-Uyarı, sürüş devamlılığı","Bu Arıza Aracın Servise Verilmesine Engel Değil","Bu Arıza Aracın Servise Verilmesine Engel")</f>
        <v>Bu Arıza Aracın Servise Verilmesine Engel</v>
      </c>
      <c r="AH130" s="41" t="str">
        <f>[4]Sayfa1!$AB126</f>
        <v>Tamir edilecek</v>
      </c>
      <c r="AI130" s="60"/>
      <c r="AJ130" s="60"/>
      <c r="AK130" s="69">
        <f t="shared" si="46"/>
        <v>0</v>
      </c>
      <c r="AL130" s="71">
        <f t="shared" si="47"/>
        <v>79.483333337120712</v>
      </c>
      <c r="AM130" s="71">
        <f t="shared" si="48"/>
        <v>79.483333337120712</v>
      </c>
      <c r="AN130" s="72">
        <f t="shared" si="49"/>
        <v>0</v>
      </c>
      <c r="AO130" s="73" t="str">
        <f>[4]Sayfa1!$X126</f>
        <v>H500-7240</v>
      </c>
      <c r="AP130" s="72">
        <f>[4]Sayfa1!$Y126</f>
        <v>1</v>
      </c>
      <c r="AQ130" s="184" t="str">
        <f>[4]Sayfa1!$V126</f>
        <v>ELTESAN ELEKTRO MEKANİK SOĞUTMA SAN</v>
      </c>
      <c r="AR130" s="74" t="str">
        <f>[4]Sayfa1!$W126</f>
        <v>KLIMA UNITESİ /Eltesan/Hispacold 41,5 kW</v>
      </c>
      <c r="AS130" s="74">
        <f>[4]Sayfa1!$AD126</f>
        <v>0</v>
      </c>
      <c r="AT130" s="60" t="str">
        <f>[4]Sayfa1!$AE126</f>
        <v/>
      </c>
      <c r="AU130" s="60" t="str">
        <f>[4]Sayfa1!$AH126</f>
        <v/>
      </c>
      <c r="AV130" s="75">
        <v>125</v>
      </c>
      <c r="AW130" s="76">
        <f t="shared" si="50"/>
        <v>14.571944445138797</v>
      </c>
      <c r="AX130" s="77" t="str">
        <f>[4]Sayfa1!$A126</f>
        <v>0d6e1827</v>
      </c>
      <c r="AY130" s="78" t="s">
        <v>114</v>
      </c>
      <c r="AZ130" s="79" t="e" vm="1">
        <f t="shared" si="51"/>
        <v>#VALUE!</v>
      </c>
    </row>
    <row r="131" spans="1:52" ht="303.60000000000002">
      <c r="A131" s="59" t="s">
        <v>186</v>
      </c>
      <c r="B131" s="59" t="str">
        <f>[4]Sayfa1!$G127</f>
        <v>3875(4)</v>
      </c>
      <c r="C131" s="184" t="str">
        <f>[4]Sayfa1!$H127</f>
        <v>MA</v>
      </c>
      <c r="D131" s="24">
        <f>[4]Sayfa1!$N127</f>
        <v>40822</v>
      </c>
      <c r="E131" s="24" t="str">
        <f>[4]Sayfa1!$B127</f>
        <v>BOZ-KAY5+6-FF-126</v>
      </c>
      <c r="F131" s="60">
        <f>[4]Sayfa1!$E127</f>
        <v>45367</v>
      </c>
      <c r="G131" s="61">
        <f>[4]Sayfa1!$F127</f>
        <v>45367.006249999999</v>
      </c>
      <c r="H131" s="59" t="str">
        <f>[4]Sayfa1!$I127</f>
        <v>Hat/Line</v>
      </c>
      <c r="I131" s="62" t="str">
        <f>IF([4]Sayfa1!$K127="SSH","Notified by Bozankaya","Notified by Customer")</f>
        <v>Notified by Customer</v>
      </c>
      <c r="J131" s="59" t="e">
        <f>VLOOKUP([4]Sayfa1!$AU127,#REF!,2,FALSE)</f>
        <v>#REF!</v>
      </c>
      <c r="K131" s="59">
        <f>[4]Sayfa1!$AC127</f>
        <v>0</v>
      </c>
      <c r="L131" s="63" t="str">
        <f t="shared" si="39"/>
        <v>KAY_5+78-BOZ-KAY5+6-FF-126</v>
      </c>
      <c r="M131" s="64" t="str">
        <f>[4]Sayfa1!$L127</f>
        <v>HER İKİ BAŞ KABİN KLİMALARI ISITMA YAPMIYOR.</v>
      </c>
      <c r="N131" s="33" t="str">
        <f>[4]Sayfa1!$J127</f>
        <v>B-Hız veya güç azalması</v>
      </c>
      <c r="O131" s="33" t="str">
        <f>[4]Sayfa1!$P127</f>
        <v>B(Servisten çekmeye etki eden arızalar)</v>
      </c>
      <c r="P131" s="33" t="str">
        <f>[4]Sayfa1!$Q127</f>
        <v>N.A(Yaralanma yok)</v>
      </c>
      <c r="Q131" s="65" t="str" cm="1">
        <f t="array" ref="Q131">_xlfn.IFS([4]Sayfa1!$R127="Bozankaya","Bozankaya",[4]Sayfa1!$R127="İşletme","Customer",[4]Sayfa1!$R127="Tedarikçi","Equipment Supplier")</f>
        <v>Equipment Supplier</v>
      </c>
      <c r="R131" s="66" t="str">
        <f>[4]Sayfa1!$M127</f>
        <v>HER İKİ KABİN SENSÖR REVİZYONU YAPILDI. MA SÜRÜCÜ KABİNİ MASTERCARD REZİSTANS KONTAKTÖRÜNE KOMUT VERMİYORDU. MASTER CARD DEĞİŞİMİ YAPILDI.</v>
      </c>
      <c r="S131" s="36" t="str">
        <f>[4]Sayfa1!$S127</f>
        <v>Eltesan</v>
      </c>
      <c r="T131" s="67">
        <f>[4]Sayfa1!$Z127</f>
        <v>0</v>
      </c>
      <c r="U131" s="68">
        <f>[4]Sayfa1!$AN127</f>
        <v>2</v>
      </c>
      <c r="V131" s="60">
        <f>[4]Sayfa1!$T127</f>
        <v>45527</v>
      </c>
      <c r="W131" s="61">
        <f>[4]Sayfa1!$U127</f>
        <v>45527.333333333336</v>
      </c>
      <c r="X131" s="69">
        <f t="shared" si="40"/>
        <v>45527.333333333336</v>
      </c>
      <c r="Y131" s="70">
        <f>[4]Sayfa1!$AQ127</f>
        <v>45527</v>
      </c>
      <c r="Z131" s="61">
        <f>[4]Sayfa1!$AR127</f>
        <v>45527.5</v>
      </c>
      <c r="AA131" s="69">
        <f t="shared" si="41"/>
        <v>45527.5</v>
      </c>
      <c r="AB131" s="71">
        <f t="shared" si="42"/>
        <v>3.9999999999417923</v>
      </c>
      <c r="AC131" s="60">
        <f t="shared" si="43"/>
        <v>45527</v>
      </c>
      <c r="AD131" s="61">
        <f t="shared" si="44"/>
        <v>45527.5</v>
      </c>
      <c r="AE131" s="69">
        <f t="shared" si="45"/>
        <v>45527.5</v>
      </c>
      <c r="AF131" s="36" t="str">
        <f>[4]Sayfa1!$AP127</f>
        <v>(II) Birden fazla karşılaşılan arıza</v>
      </c>
      <c r="AG131" s="33" t="str">
        <f>IF([4]Sayfa1!$J127="C-Uyarı, sürüş devamlılığı","Bu Arıza Aracın Servise Verilmesine Engel Değil","Bu Arıza Aracın Servise Verilmesine Engel")</f>
        <v>Bu Arıza Aracın Servise Verilmesine Engel</v>
      </c>
      <c r="AH131" s="41">
        <f>[4]Sayfa1!$AB127</f>
        <v>0</v>
      </c>
      <c r="AI131" s="60"/>
      <c r="AJ131" s="60"/>
      <c r="AK131" s="69">
        <f t="shared" si="46"/>
        <v>0</v>
      </c>
      <c r="AL131" s="71">
        <f t="shared" si="47"/>
        <v>239.99999999650754</v>
      </c>
      <c r="AM131" s="71">
        <f t="shared" si="48"/>
        <v>239.99999999650754</v>
      </c>
      <c r="AN131" s="72">
        <f t="shared" si="49"/>
        <v>0</v>
      </c>
      <c r="AO131" s="73" t="str">
        <f>[4]Sayfa1!$X127</f>
        <v>H500-7240</v>
      </c>
      <c r="AP131" s="72">
        <f>[4]Sayfa1!$Y127</f>
        <v>2</v>
      </c>
      <c r="AQ131" s="184" t="str">
        <f>[4]Sayfa1!$V127</f>
        <v>ELTESAN ELEKTRO MEKANİK SOĞUTMA SAN</v>
      </c>
      <c r="AR131" s="74" t="str">
        <f>[4]Sayfa1!$W127</f>
        <v>KLIMA UNITESİ /Eltesan/Hispacold 41,5 kW</v>
      </c>
      <c r="AS131" s="74">
        <f>[4]Sayfa1!$AD127</f>
        <v>0</v>
      </c>
      <c r="AT131" s="60" t="str">
        <f>[4]Sayfa1!$AE127</f>
        <v/>
      </c>
      <c r="AU131" s="60" t="str">
        <f>[4]Sayfa1!$AH127</f>
        <v/>
      </c>
      <c r="AV131" s="75">
        <v>126</v>
      </c>
      <c r="AW131" s="76">
        <f t="shared" si="50"/>
        <v>87.999999998719431</v>
      </c>
      <c r="AX131" s="77" t="str">
        <f>[4]Sayfa1!$A127</f>
        <v>54900cbc</v>
      </c>
      <c r="AY131" s="78" t="s">
        <v>114</v>
      </c>
      <c r="AZ131" s="79" t="e" vm="1">
        <f t="shared" si="51"/>
        <v>#VALUE!</v>
      </c>
    </row>
    <row r="132" spans="1:52" ht="211.15">
      <c r="A132" s="59" t="s">
        <v>187</v>
      </c>
      <c r="B132" s="59" t="str">
        <f>[4]Sayfa1!$G128</f>
        <v>3880(9)</v>
      </c>
      <c r="C132" s="184" t="str">
        <f>[4]Sayfa1!$H128</f>
        <v>MB</v>
      </c>
      <c r="D132" s="24">
        <f>[4]Sayfa1!$N128</f>
        <v>37352</v>
      </c>
      <c r="E132" s="24" t="str">
        <f>[4]Sayfa1!$B128</f>
        <v>BOZ-KAY5+6-FF-127</v>
      </c>
      <c r="F132" s="60">
        <f>[4]Sayfa1!$E128</f>
        <v>45367</v>
      </c>
      <c r="G132" s="61">
        <f>[4]Sayfa1!$F128</f>
        <v>45367.279131944444</v>
      </c>
      <c r="H132" s="59" t="str">
        <f>[4]Sayfa1!$I128</f>
        <v>Hat/Line</v>
      </c>
      <c r="I132" s="62" t="str">
        <f>IF([4]Sayfa1!$K128="SSH","Notified by Bozankaya","Notified by Customer")</f>
        <v>Notified by Customer</v>
      </c>
      <c r="J132" s="59" t="e">
        <f>VLOOKUP([4]Sayfa1!$AU128,#REF!,2,FALSE)</f>
        <v>#REF!</v>
      </c>
      <c r="K132" s="59">
        <f>[4]Sayfa1!$AC128</f>
        <v>0</v>
      </c>
      <c r="L132" s="63" t="str">
        <f t="shared" si="39"/>
        <v>KAY_5+79-BOZ-KAY5+6-FF-127</v>
      </c>
      <c r="M132" s="64" t="str">
        <f>[4]Sayfa1!$L128</f>
        <v>KABİN KLİMASI ISITMA YAPMIYOR</v>
      </c>
      <c r="N132" s="33" t="str">
        <f>[4]Sayfa1!$J128</f>
        <v>C-Uyarı, sürüş devamlılığı</v>
      </c>
      <c r="O132" s="33" t="str">
        <f>[4]Sayfa1!$P128</f>
        <v>B(Servisten çekmeye etki eden arızalar)</v>
      </c>
      <c r="P132" s="33" t="str">
        <f>[4]Sayfa1!$Q128</f>
        <v>N.A(Yaralanma yok)</v>
      </c>
      <c r="Q132" s="65" t="str" cm="1">
        <f t="array" ref="Q132">_xlfn.IFS([4]Sayfa1!$R128="Bozankaya","Bozankaya",[4]Sayfa1!$R128="İşletme","Customer",[4]Sayfa1!$R128="Tedarikçi","Equipment Supplier")</f>
        <v>Equipment Supplier</v>
      </c>
      <c r="R132" s="66" t="str">
        <f>[4]Sayfa1!$M128</f>
        <v>KABİN SENSÖR REVİZYONU YAPILDI.SORUN GİDERİLDİ</v>
      </c>
      <c r="S132" s="36" t="str">
        <f>[4]Sayfa1!$S128</f>
        <v>Eltesan</v>
      </c>
      <c r="T132" s="67">
        <f>[4]Sayfa1!$Z128</f>
        <v>0</v>
      </c>
      <c r="U132" s="68">
        <f>[4]Sayfa1!$AN128</f>
        <v>2</v>
      </c>
      <c r="V132" s="60">
        <f>[4]Sayfa1!$T128</f>
        <v>45527</v>
      </c>
      <c r="W132" s="61">
        <f>[4]Sayfa1!$U128</f>
        <v>45527.605150462965</v>
      </c>
      <c r="X132" s="69">
        <f t="shared" si="40"/>
        <v>45527.605150462965</v>
      </c>
      <c r="Y132" s="70">
        <f>[4]Sayfa1!$AQ128</f>
        <v>45527</v>
      </c>
      <c r="Z132" s="61">
        <f>[4]Sayfa1!$AR128</f>
        <v>45527.75</v>
      </c>
      <c r="AA132" s="69">
        <f t="shared" si="41"/>
        <v>45527.75</v>
      </c>
      <c r="AB132" s="71">
        <f t="shared" si="42"/>
        <v>3.4763888888410293</v>
      </c>
      <c r="AC132" s="60">
        <f t="shared" si="43"/>
        <v>45527</v>
      </c>
      <c r="AD132" s="61">
        <f t="shared" si="44"/>
        <v>45527.75</v>
      </c>
      <c r="AE132" s="69">
        <f t="shared" si="45"/>
        <v>45527.75</v>
      </c>
      <c r="AF132" s="36" t="str">
        <f>[4]Sayfa1!$AP128</f>
        <v>(II) Birden fazla karşılaşılan arıza</v>
      </c>
      <c r="AG132" s="33" t="str">
        <f>IF([4]Sayfa1!$J128="C-Uyarı, sürüş devamlılığı","Bu Arıza Aracın Servise Verilmesine Engel Değil","Bu Arıza Aracın Servise Verilmesine Engel")</f>
        <v>Bu Arıza Aracın Servise Verilmesine Engel Değil</v>
      </c>
      <c r="AH132" s="41" t="str">
        <f>[4]Sayfa1!$AB128</f>
        <v>Arıza çözülecek</v>
      </c>
      <c r="AI132" s="60"/>
      <c r="AJ132" s="60"/>
      <c r="AK132" s="69">
        <f t="shared" si="46"/>
        <v>0</v>
      </c>
      <c r="AL132" s="71">
        <f t="shared" si="47"/>
        <v>208.58333333046176</v>
      </c>
      <c r="AM132" s="71">
        <f t="shared" si="48"/>
        <v>208.58333333046176</v>
      </c>
      <c r="AN132" s="72">
        <f t="shared" si="49"/>
        <v>0</v>
      </c>
      <c r="AO132" s="73" t="str">
        <f>[4]Sayfa1!$X128</f>
        <v>H500-7240</v>
      </c>
      <c r="AP132" s="72">
        <f>[4]Sayfa1!$Y128</f>
        <v>1</v>
      </c>
      <c r="AQ132" s="184" t="str">
        <f>[4]Sayfa1!$V128</f>
        <v>ELTESAN ELEKTRO MEKANİK SOĞUTMA SAN</v>
      </c>
      <c r="AR132" s="74" t="str">
        <f>[4]Sayfa1!$W128</f>
        <v>KLIMA UNITESİ /Eltesan/Hispacold 41,5 kW</v>
      </c>
      <c r="AS132" s="74">
        <f>[4]Sayfa1!$AD128</f>
        <v>0</v>
      </c>
      <c r="AT132" s="60" t="str">
        <f>[4]Sayfa1!$AE128</f>
        <v/>
      </c>
      <c r="AU132" s="60" t="str">
        <f>[4]Sayfa1!$AH128</f>
        <v/>
      </c>
      <c r="AV132" s="75">
        <v>127</v>
      </c>
      <c r="AW132" s="76">
        <f t="shared" si="50"/>
        <v>76.480555554502644</v>
      </c>
      <c r="AX132" s="77" t="str">
        <f>[4]Sayfa1!$A128</f>
        <v>857af0ab</v>
      </c>
      <c r="AY132" s="78" t="s">
        <v>114</v>
      </c>
      <c r="AZ132" s="79" t="e" vm="1">
        <f t="shared" si="51"/>
        <v>#VALUE!</v>
      </c>
    </row>
    <row r="133" spans="1:52" ht="142.9">
      <c r="A133" s="59" t="s">
        <v>188</v>
      </c>
      <c r="B133" s="59" t="str">
        <f>[4]Sayfa1!$G129</f>
        <v>3875(4)</v>
      </c>
      <c r="C133" s="184" t="str">
        <f>[4]Sayfa1!$H129</f>
        <v>MB</v>
      </c>
      <c r="D133" s="24">
        <f>[4]Sayfa1!$N129</f>
        <v>40400</v>
      </c>
      <c r="E133" s="24" t="str">
        <f>[4]Sayfa1!$B129</f>
        <v>BOZ-KAY5+6-FF-128</v>
      </c>
      <c r="F133" s="60">
        <f>[4]Sayfa1!$E129</f>
        <v>45367</v>
      </c>
      <c r="G133" s="61">
        <f>[4]Sayfa1!$F129</f>
        <v>45367.334027777775</v>
      </c>
      <c r="H133" s="59" t="str">
        <f>[4]Sayfa1!$I129</f>
        <v>Hat/Line</v>
      </c>
      <c r="I133" s="62" t="str">
        <f>IF([4]Sayfa1!$K129="SSH","Notified by Bozankaya","Notified by Customer")</f>
        <v>Notified by Customer</v>
      </c>
      <c r="J133" s="59" t="e">
        <f>VLOOKUP([4]Sayfa1!$AU129,#REF!,2,FALSE)</f>
        <v>#REF!</v>
      </c>
      <c r="K133" s="59">
        <f>[4]Sayfa1!$AC129</f>
        <v>0</v>
      </c>
      <c r="L133" s="63" t="str">
        <f t="shared" si="39"/>
        <v>KAY_5+80-BOZ-KAY5+6-FF-128</v>
      </c>
      <c r="M133" s="64" t="str">
        <f>[4]Sayfa1!$L129</f>
        <v>KUPLÖR KATLANMIYOR. ASANSÖR ARIZALI</v>
      </c>
      <c r="N133" s="33" t="str">
        <f>[4]Sayfa1!$J129</f>
        <v>C-Uyarı, sürüş devamlılığı</v>
      </c>
      <c r="O133" s="33" t="str">
        <f>[4]Sayfa1!$P129</f>
        <v>C(Sisteme etki etmeyen arıza)</v>
      </c>
      <c r="P133" s="33" t="str">
        <f>[4]Sayfa1!$Q129</f>
        <v>N.A(Yaralanma yok)</v>
      </c>
      <c r="Q133" s="65" t="str" cm="1">
        <f t="array" ref="Q133">_xlfn.IFS([4]Sayfa1!$R129="Bozankaya","Bozankaya",[4]Sayfa1!$R129="İşletme","Customer",[4]Sayfa1!$R129="Tedarikçi","Equipment Supplier")</f>
        <v>Bozankaya</v>
      </c>
      <c r="R133" s="66" t="str">
        <f>[4]Sayfa1!$M129</f>
        <v>KUPLÖR ASANSÖR MODİFİKASYONU YAPILDI.</v>
      </c>
      <c r="S133" s="36" t="str">
        <f>[4]Sayfa1!$S129</f>
        <v>Üretim</v>
      </c>
      <c r="T133" s="67">
        <f>[4]Sayfa1!$Z129</f>
        <v>0</v>
      </c>
      <c r="U133" s="68">
        <f>[4]Sayfa1!$AN129</f>
        <v>1</v>
      </c>
      <c r="V133" s="60">
        <f>[4]Sayfa1!$T129</f>
        <v>45600</v>
      </c>
      <c r="W133" s="61">
        <f>[4]Sayfa1!$U129</f>
        <v>45600.333333333336</v>
      </c>
      <c r="X133" s="69">
        <f t="shared" si="40"/>
        <v>45600.333333333336</v>
      </c>
      <c r="Y133" s="70">
        <f>[4]Sayfa1!$AQ129</f>
        <v>45600</v>
      </c>
      <c r="Z133" s="61">
        <f>[4]Sayfa1!$AR129</f>
        <v>45600.625</v>
      </c>
      <c r="AA133" s="69">
        <f t="shared" si="41"/>
        <v>45600.625</v>
      </c>
      <c r="AB133" s="71">
        <f t="shared" si="42"/>
        <v>6.9999999999417923</v>
      </c>
      <c r="AC133" s="60">
        <f t="shared" si="43"/>
        <v>45600</v>
      </c>
      <c r="AD133" s="61">
        <f t="shared" si="44"/>
        <v>45600.625</v>
      </c>
      <c r="AE133" s="69">
        <f t="shared" si="45"/>
        <v>45600.625</v>
      </c>
      <c r="AF133" s="36" t="str">
        <f>[4]Sayfa1!$AP129</f>
        <v>(II) Birden fazla karşılaşılan arıza</v>
      </c>
      <c r="AG133" s="33" t="str">
        <f>IF([4]Sayfa1!$J129="C-Uyarı, sürüş devamlılığı","Bu Arıza Aracın Servise Verilmesine Engel Değil","Bu Arıza Aracın Servise Verilmesine Engel")</f>
        <v>Bu Arıza Aracın Servise Verilmesine Engel Değil</v>
      </c>
      <c r="AH133" s="41" t="str">
        <f>[4]Sayfa1!$AB129</f>
        <v>Ekipman değiştirilecek</v>
      </c>
      <c r="AI133" s="60"/>
      <c r="AJ133" s="60"/>
      <c r="AK133" s="69">
        <f t="shared" si="46"/>
        <v>0</v>
      </c>
      <c r="AL133" s="71">
        <f t="shared" si="47"/>
        <v>419.99999999650754</v>
      </c>
      <c r="AM133" s="71">
        <f t="shared" si="48"/>
        <v>419.99999999650754</v>
      </c>
      <c r="AN133" s="72">
        <f t="shared" si="49"/>
        <v>0</v>
      </c>
      <c r="AO133" s="73" t="str">
        <f>[4]Sayfa1!$X129</f>
        <v>M350-7062</v>
      </c>
      <c r="AP133" s="72">
        <f>[4]Sayfa1!$Y129</f>
        <v>1</v>
      </c>
      <c r="AQ133" s="184" t="str">
        <f>[4]Sayfa1!$V129</f>
        <v>DELLNER COUPLERC AB</v>
      </c>
      <c r="AR133" s="74" t="str">
        <f>[4]Sayfa1!$W129</f>
        <v>OTOMATIK KUPLÖR DELLNER</v>
      </c>
      <c r="AS133" s="74">
        <f>[4]Sayfa1!$AD129</f>
        <v>0</v>
      </c>
      <c r="AT133" s="60" t="str">
        <f>[4]Sayfa1!$AE129</f>
        <v/>
      </c>
      <c r="AU133" s="60">
        <f>[4]Sayfa1!$AH129</f>
        <v>0</v>
      </c>
      <c r="AV133" s="75">
        <v>128</v>
      </c>
      <c r="AW133" s="76">
        <f t="shared" si="50"/>
        <v>76.999999999359716</v>
      </c>
      <c r="AX133" s="77" t="str">
        <f>[4]Sayfa1!$A129</f>
        <v>cb1b0934</v>
      </c>
      <c r="AY133" s="78" t="s">
        <v>114</v>
      </c>
      <c r="AZ133" s="79" t="e" vm="1">
        <f t="shared" si="51"/>
        <v>#VALUE!</v>
      </c>
    </row>
    <row r="134" spans="1:52" ht="142.9">
      <c r="A134" s="59" t="s">
        <v>189</v>
      </c>
      <c r="B134" s="59" t="str">
        <f>[4]Sayfa1!$G130</f>
        <v>3879(8)</v>
      </c>
      <c r="C134" s="184" t="str">
        <f>[4]Sayfa1!$H130</f>
        <v>RA</v>
      </c>
      <c r="D134" s="24">
        <f>[4]Sayfa1!$N130</f>
        <v>47752</v>
      </c>
      <c r="E134" s="24" t="str">
        <f>[4]Sayfa1!$B130</f>
        <v>BOZ-KAY5+6-FF-129</v>
      </c>
      <c r="F134" s="60">
        <f>[4]Sayfa1!$E130</f>
        <v>45370</v>
      </c>
      <c r="G134" s="61">
        <f>[4]Sayfa1!$F130</f>
        <v>45370.456944444442</v>
      </c>
      <c r="H134" s="59" t="str">
        <f>[4]Sayfa1!$I130</f>
        <v>Hat/Line</v>
      </c>
      <c r="I134" s="62" t="str">
        <f>IF([4]Sayfa1!$K130="SSH","Notified by Bozankaya","Notified by Customer")</f>
        <v>Notified by Customer</v>
      </c>
      <c r="J134" s="59" t="e">
        <f>VLOOKUP([4]Sayfa1!$AU130,#REF!,2,FALSE)</f>
        <v>#REF!</v>
      </c>
      <c r="K134" s="59">
        <f>[4]Sayfa1!$AC130</f>
        <v>0</v>
      </c>
      <c r="L134" s="63" t="str">
        <f t="shared" si="39"/>
        <v>KAY_5+81-BOZ-KAY5+6-FF-129</v>
      </c>
      <c r="M134" s="64" t="str">
        <f>[4]Sayfa1!$L130</f>
        <v>KAPI ÜZERİ EKRAN ÇALIŞMIYOR</v>
      </c>
      <c r="N134" s="33" t="str">
        <f>[4]Sayfa1!$J130</f>
        <v>C-Uyarı, sürüş devamlılığı</v>
      </c>
      <c r="O134" s="33" t="str">
        <f>[4]Sayfa1!$P130</f>
        <v>C(Sisteme etki etmeyen arıza)</v>
      </c>
      <c r="P134" s="33" t="str">
        <f>[4]Sayfa1!$Q130</f>
        <v>N.A(Yaralanma yok)</v>
      </c>
      <c r="Q134" s="65" t="str" cm="1">
        <f t="array" ref="Q134">_xlfn.IFS([4]Sayfa1!$R130="Bozankaya","Bozankaya",[4]Sayfa1!$R130="İşletme","Customer",[4]Sayfa1!$R130="Tedarikçi","Equipment Supplier")</f>
        <v>Equipment Supplier</v>
      </c>
      <c r="R134" s="66" t="str">
        <f>[4]Sayfa1!$M130</f>
        <v>Ekranlar uyku moduna geçtiği için çalışmıyor.Araç resetlendi düzeldi</v>
      </c>
      <c r="S134" s="36" t="str">
        <f>[4]Sayfa1!$S130</f>
        <v>Atak</v>
      </c>
      <c r="T134" s="67">
        <f>[4]Sayfa1!$Z130</f>
        <v>0</v>
      </c>
      <c r="U134" s="68">
        <f>[4]Sayfa1!$AN130</f>
        <v>1</v>
      </c>
      <c r="V134" s="60">
        <f>[4]Sayfa1!$T130</f>
        <v>45527</v>
      </c>
      <c r="W134" s="61">
        <f>[4]Sayfa1!$U130</f>
        <v>45527.598217592589</v>
      </c>
      <c r="X134" s="69">
        <f t="shared" si="40"/>
        <v>45527.598217592589</v>
      </c>
      <c r="Y134" s="70">
        <f>[4]Sayfa1!$AQ130</f>
        <v>45527</v>
      </c>
      <c r="Z134" s="61">
        <f>[4]Sayfa1!$AR130</f>
        <v>45527.708333333336</v>
      </c>
      <c r="AA134" s="69">
        <f t="shared" si="41"/>
        <v>45527.708333333336</v>
      </c>
      <c r="AB134" s="71">
        <f t="shared" si="42"/>
        <v>2.6427777779172175</v>
      </c>
      <c r="AC134" s="60">
        <f t="shared" si="43"/>
        <v>45527</v>
      </c>
      <c r="AD134" s="61">
        <f t="shared" si="44"/>
        <v>45527.708333333336</v>
      </c>
      <c r="AE134" s="69">
        <f t="shared" si="45"/>
        <v>45527.708333333336</v>
      </c>
      <c r="AF134" s="36" t="str">
        <f>[4]Sayfa1!$AP130</f>
        <v>(III) Birden fazla aynı araçta karşılaşılan arıza</v>
      </c>
      <c r="AG134" s="33" t="str">
        <f>IF([4]Sayfa1!$J130="C-Uyarı, sürüş devamlılığı","Bu Arıza Aracın Servise Verilmesine Engel Değil","Bu Arıza Aracın Servise Verilmesine Engel")</f>
        <v>Bu Arıza Aracın Servise Verilmesine Engel Değil</v>
      </c>
      <c r="AH134" s="41" t="str">
        <f>[4]Sayfa1!$AB130</f>
        <v>Arıza çözülecek</v>
      </c>
      <c r="AI134" s="60"/>
      <c r="AJ134" s="60"/>
      <c r="AK134" s="69">
        <f t="shared" si="46"/>
        <v>0</v>
      </c>
      <c r="AL134" s="71">
        <f t="shared" si="47"/>
        <v>158.56666667503305</v>
      </c>
      <c r="AM134" s="71">
        <f t="shared" si="48"/>
        <v>158.56666667503305</v>
      </c>
      <c r="AN134" s="72">
        <f t="shared" si="49"/>
        <v>0</v>
      </c>
      <c r="AO134" s="73" t="str">
        <f>[4]Sayfa1!$X130</f>
        <v>E410-7003</v>
      </c>
      <c r="AP134" s="72">
        <f>[4]Sayfa1!$Y130</f>
        <v>1</v>
      </c>
      <c r="AQ134" s="184" t="str">
        <f>[4]Sayfa1!$V130</f>
        <v>ATAK ULAŞIM SAN.TİC.LTD.ŞTİ.</v>
      </c>
      <c r="AR134" s="74" t="str">
        <f>[4]Sayfa1!$W130</f>
        <v>STRETCH LCD EKRAN</v>
      </c>
      <c r="AS134" s="74">
        <f>[4]Sayfa1!$AD130</f>
        <v>0</v>
      </c>
      <c r="AT134" s="60" t="str">
        <f>[4]Sayfa1!$AE130</f>
        <v/>
      </c>
      <c r="AU134" s="60" t="str">
        <f>[4]Sayfa1!$AH130</f>
        <v/>
      </c>
      <c r="AV134" s="75">
        <v>129</v>
      </c>
      <c r="AW134" s="76">
        <f t="shared" si="50"/>
        <v>29.070555557089392</v>
      </c>
      <c r="AX134" s="77" t="str">
        <f>[4]Sayfa1!$A130</f>
        <v>ba7f74ee</v>
      </c>
      <c r="AY134" s="78" t="s">
        <v>114</v>
      </c>
      <c r="AZ134" s="79" t="e" vm="1">
        <f t="shared" si="51"/>
        <v>#VALUE!</v>
      </c>
    </row>
    <row r="135" spans="1:52" ht="151.9">
      <c r="A135" s="59" t="s">
        <v>190</v>
      </c>
      <c r="B135" s="59" t="str">
        <f>[4]Sayfa1!$G131</f>
        <v>3876(5)</v>
      </c>
      <c r="C135" s="184" t="str">
        <f>[4]Sayfa1!$H131</f>
        <v>MB</v>
      </c>
      <c r="D135" s="24">
        <f>[4]Sayfa1!$N131</f>
        <v>45451</v>
      </c>
      <c r="E135" s="24" t="str">
        <f>[4]Sayfa1!$B131</f>
        <v>BOZ-KAY5+6-FF-130</v>
      </c>
      <c r="F135" s="60">
        <f>[4]Sayfa1!$E131</f>
        <v>45371</v>
      </c>
      <c r="G135" s="61">
        <f>[4]Sayfa1!$F131</f>
        <v>45371.251388888886</v>
      </c>
      <c r="H135" s="59" t="str">
        <f>[4]Sayfa1!$I131</f>
        <v>Hat/Line</v>
      </c>
      <c r="I135" s="62" t="str">
        <f>IF([4]Sayfa1!$K131="SSH","Notified by Bozankaya","Notified by Customer")</f>
        <v>Notified by Customer</v>
      </c>
      <c r="J135" s="59" t="e">
        <f>VLOOKUP([4]Sayfa1!$AU131,#REF!,2,FALSE)</f>
        <v>#REF!</v>
      </c>
      <c r="K135" s="59">
        <f>[4]Sayfa1!$AC131</f>
        <v>0</v>
      </c>
      <c r="L135" s="63" t="str">
        <f t="shared" si="39"/>
        <v>KAY_5+82-BOZ-KAY5+6-FF-130</v>
      </c>
      <c r="M135" s="64" t="str">
        <f>[4]Sayfa1!$L131</f>
        <v>CB KABİN VE MB BÖLÜMÜ KLİMALAR AÇILIYOR GERİ KAPANIYOR.</v>
      </c>
      <c r="N135" s="33" t="str">
        <f>[4]Sayfa1!$J131</f>
        <v>B-Hız veya güç azalması</v>
      </c>
      <c r="O135" s="33" t="str">
        <f>[4]Sayfa1!$P131</f>
        <v>B(Servisten çekmeye etki eden arızalar)</v>
      </c>
      <c r="P135" s="33" t="str">
        <f>[4]Sayfa1!$Q131</f>
        <v>N.A(Yaralanma yok)</v>
      </c>
      <c r="Q135" s="65" t="str" cm="1">
        <f t="array" ref="Q135">_xlfn.IFS([4]Sayfa1!$R131="Bozankaya","Bozankaya",[4]Sayfa1!$R131="İşletme","Customer",[4]Sayfa1!$R131="Tedarikçi","Equipment Supplier")</f>
        <v>Equipment Supplier</v>
      </c>
      <c r="R135" s="66" t="str">
        <f>[4]Sayfa1!$M131</f>
        <v>ELTESAN FİRMASI BAĞLANTI YAPTI. YAZILIM GÜNCELLEMESİ YAPTI. ARIZA GİDERİLDİ.</v>
      </c>
      <c r="S135" s="36" t="str">
        <f>[4]Sayfa1!$S131</f>
        <v>Eltesan</v>
      </c>
      <c r="T135" s="67">
        <f>[4]Sayfa1!$Z131</f>
        <v>0</v>
      </c>
      <c r="U135" s="68">
        <f>[4]Sayfa1!$AN131</f>
        <v>2</v>
      </c>
      <c r="V135" s="60">
        <f>[4]Sayfa1!$T131</f>
        <v>45526</v>
      </c>
      <c r="W135" s="61">
        <f>[4]Sayfa1!$U131</f>
        <v>45526.702662037038</v>
      </c>
      <c r="X135" s="69">
        <f t="shared" si="40"/>
        <v>45526.702662037038</v>
      </c>
      <c r="Y135" s="70">
        <f>[4]Sayfa1!$AQ131</f>
        <v>45526</v>
      </c>
      <c r="Z135" s="61">
        <f>[4]Sayfa1!$AR131</f>
        <v>45526.770833333336</v>
      </c>
      <c r="AA135" s="69">
        <f t="shared" si="41"/>
        <v>45526.770833333336</v>
      </c>
      <c r="AB135" s="71">
        <f t="shared" si="42"/>
        <v>1.6361111111473292</v>
      </c>
      <c r="AC135" s="60">
        <f t="shared" si="43"/>
        <v>45526</v>
      </c>
      <c r="AD135" s="61">
        <f t="shared" si="44"/>
        <v>45526.770833333336</v>
      </c>
      <c r="AE135" s="69">
        <f t="shared" si="45"/>
        <v>45526.770833333336</v>
      </c>
      <c r="AF135" s="36" t="str">
        <f>[4]Sayfa1!$AP131</f>
        <v>(II) Birden fazla karşılaşılan arıza</v>
      </c>
      <c r="AG135" s="33" t="str">
        <f>IF([4]Sayfa1!$J131="C-Uyarı, sürüş devamlılığı","Bu Arıza Aracın Servise Verilmesine Engel Değil","Bu Arıza Aracın Servise Verilmesine Engel")</f>
        <v>Bu Arıza Aracın Servise Verilmesine Engel</v>
      </c>
      <c r="AH135" s="41" t="str">
        <f>[4]Sayfa1!$AB131</f>
        <v>Yazılım güncelleme</v>
      </c>
      <c r="AI135" s="60"/>
      <c r="AJ135" s="60"/>
      <c r="AK135" s="69">
        <f t="shared" si="46"/>
        <v>0</v>
      </c>
      <c r="AL135" s="71">
        <f t="shared" si="47"/>
        <v>98.166666668839753</v>
      </c>
      <c r="AM135" s="71">
        <f t="shared" si="48"/>
        <v>98.166666668839753</v>
      </c>
      <c r="AN135" s="72">
        <f t="shared" si="49"/>
        <v>0</v>
      </c>
      <c r="AO135" s="73" t="str">
        <f>[4]Sayfa1!$X131</f>
        <v>H500-7240</v>
      </c>
      <c r="AP135" s="72">
        <f>[4]Sayfa1!$Y131</f>
        <v>1</v>
      </c>
      <c r="AQ135" s="184" t="str">
        <f>[4]Sayfa1!$V131</f>
        <v>ELTESAN ELEKTRO MEKANİK SOĞUTMA SAN</v>
      </c>
      <c r="AR135" s="74" t="str">
        <f>[4]Sayfa1!$W131</f>
        <v>KLIMA UNITESİ /Eltesan/Hispacold 41,5 kW</v>
      </c>
      <c r="AS135" s="74">
        <f>[4]Sayfa1!$AD131</f>
        <v>0</v>
      </c>
      <c r="AT135" s="60" t="str">
        <f>[4]Sayfa1!$AE131</f>
        <v/>
      </c>
      <c r="AU135" s="60" t="str">
        <f>[4]Sayfa1!$AH131</f>
        <v/>
      </c>
      <c r="AV135" s="75">
        <v>130</v>
      </c>
      <c r="AW135" s="76">
        <f t="shared" si="50"/>
        <v>35.994444445241243</v>
      </c>
      <c r="AX135" s="77" t="str">
        <f>[4]Sayfa1!$A131</f>
        <v>bcf954a9</v>
      </c>
      <c r="AY135" s="78" t="s">
        <v>114</v>
      </c>
      <c r="AZ135" s="79" t="e" vm="1">
        <f t="shared" si="51"/>
        <v>#VALUE!</v>
      </c>
    </row>
    <row r="136" spans="1:52" ht="262.14999999999998">
      <c r="A136" s="59" t="s">
        <v>191</v>
      </c>
      <c r="B136" s="59" t="str">
        <f>[4]Sayfa1!$G132</f>
        <v>3877(6)</v>
      </c>
      <c r="C136" s="184" t="str">
        <f>[4]Sayfa1!$H132</f>
        <v>MA</v>
      </c>
      <c r="D136" s="24">
        <f>[4]Sayfa1!$N132</f>
        <v>28258</v>
      </c>
      <c r="E136" s="24" t="str">
        <f>[4]Sayfa1!$B132</f>
        <v>BOZ-KAY5+6-FF-131</v>
      </c>
      <c r="F136" s="60">
        <f>[4]Sayfa1!$E132</f>
        <v>45372</v>
      </c>
      <c r="G136" s="61">
        <f>[4]Sayfa1!$F132</f>
        <v>45372.888888888891</v>
      </c>
      <c r="H136" s="59" t="str">
        <f>[4]Sayfa1!$I132</f>
        <v>Hat/Line</v>
      </c>
      <c r="I136" s="62" t="str">
        <f>IF([4]Sayfa1!$K132="SSH","Notified by Bozankaya","Notified by Customer")</f>
        <v>Notified by Customer</v>
      </c>
      <c r="J136" s="59" t="e">
        <f>VLOOKUP([4]Sayfa1!$AU132,#REF!,2,FALSE)</f>
        <v>#REF!</v>
      </c>
      <c r="K136" s="59">
        <f>[4]Sayfa1!$AC132</f>
        <v>0</v>
      </c>
      <c r="L136" s="63" t="str">
        <f t="shared" si="39"/>
        <v>KAY_5+83-BOZ-KAY5+6-FF-131</v>
      </c>
      <c r="M136" s="64" t="str">
        <f>[4]Sayfa1!$L132</f>
        <v>ARAÇ FREN ARIZASI VERDİ RESETLENDİ DÜZELME OLMADI KABİNDEN BAYPASS EDİLDİ 20 KM İLE MÜSAİT BİR YERE ÇEKİLDİ.</v>
      </c>
      <c r="N136" s="33" t="str">
        <f>[4]Sayfa1!$J132</f>
        <v>A-Sürüşü engeller</v>
      </c>
      <c r="O136" s="33" t="str">
        <f>[4]Sayfa1!$P132</f>
        <v>A(Hareket etmeyi engelleyen arıza)</v>
      </c>
      <c r="P136" s="33" t="str">
        <f>[4]Sayfa1!$Q132</f>
        <v>N.A(Yaralanma yok)</v>
      </c>
      <c r="Q136" s="65" t="str" cm="1">
        <f t="array" ref="Q136">_xlfn.IFS([4]Sayfa1!$R132="Bozankaya","Bozankaya",[4]Sayfa1!$R132="İşletme","Customer",[4]Sayfa1!$R132="Tedarikçi","Equipment Supplier")</f>
        <v>Equipment Supplier</v>
      </c>
      <c r="R136" s="66" t="str">
        <f>[4]Sayfa1!$M132</f>
        <v>ARACIN MA MODÜLÜ FB09 ARIZASI VERMİŞ. HPU DEĞİŞİMİ YAPILDI.</v>
      </c>
      <c r="S136" s="36" t="str">
        <f>[4]Sayfa1!$S132</f>
        <v>HANNING  KAHL</v>
      </c>
      <c r="T136" s="67">
        <f>[4]Sayfa1!$Z132</f>
        <v>0</v>
      </c>
      <c r="U136" s="68">
        <f>[4]Sayfa1!$AN132</f>
        <v>2</v>
      </c>
      <c r="V136" s="60">
        <f>[4]Sayfa1!$T132</f>
        <v>45527</v>
      </c>
      <c r="W136" s="61">
        <f>[4]Sayfa1!$U132</f>
        <v>45527.333333333336</v>
      </c>
      <c r="X136" s="69">
        <f t="shared" si="40"/>
        <v>45527.333333333336</v>
      </c>
      <c r="Y136" s="70">
        <f>[4]Sayfa1!$AQ132</f>
        <v>45527</v>
      </c>
      <c r="Z136" s="61">
        <f>[4]Sayfa1!$AR132</f>
        <v>45527.625</v>
      </c>
      <c r="AA136" s="69">
        <f t="shared" si="41"/>
        <v>45527.625</v>
      </c>
      <c r="AB136" s="71">
        <f t="shared" si="42"/>
        <v>6.9999999999417923</v>
      </c>
      <c r="AC136" s="60">
        <f t="shared" si="43"/>
        <v>45527</v>
      </c>
      <c r="AD136" s="61">
        <f t="shared" si="44"/>
        <v>45527.625</v>
      </c>
      <c r="AE136" s="69">
        <f t="shared" si="45"/>
        <v>45527.625</v>
      </c>
      <c r="AF136" s="36" t="str">
        <f>[4]Sayfa1!$AP132</f>
        <v>(II) Birden fazla karşılaşılan arıza</v>
      </c>
      <c r="AG136" s="33" t="str">
        <f>IF([4]Sayfa1!$J132="C-Uyarı, sürüş devamlılığı","Bu Arıza Aracın Servise Verilmesine Engel Değil","Bu Arıza Aracın Servise Verilmesine Engel")</f>
        <v>Bu Arıza Aracın Servise Verilmesine Engel</v>
      </c>
      <c r="AH136" s="41" t="str">
        <f>[4]Sayfa1!$AB132</f>
        <v>Ekipman değiştirilecek</v>
      </c>
      <c r="AI136" s="60"/>
      <c r="AJ136" s="60"/>
      <c r="AK136" s="69">
        <f t="shared" si="46"/>
        <v>0</v>
      </c>
      <c r="AL136" s="71">
        <f t="shared" si="47"/>
        <v>419.99999999650754</v>
      </c>
      <c r="AM136" s="71">
        <f t="shared" si="48"/>
        <v>419.99999999650754</v>
      </c>
      <c r="AN136" s="72">
        <f t="shared" si="49"/>
        <v>0</v>
      </c>
      <c r="AO136" s="73" t="str">
        <f>[4]Sayfa1!$X132</f>
        <v>S306-7001</v>
      </c>
      <c r="AP136" s="72">
        <f>[4]Sayfa1!$Y132</f>
        <v>1</v>
      </c>
      <c r="AQ136" s="184" t="str">
        <f>[4]Sayfa1!$V132</f>
        <v>HANNING &amp; KAHL GMBH &amp; CO.KG</v>
      </c>
      <c r="AR136" s="74" t="str">
        <f>[4]Sayfa1!$W132</f>
        <v>XHidrolik Ünite HZY-K100-DPR</v>
      </c>
      <c r="AS136" s="74">
        <f>[4]Sayfa1!$AD132</f>
        <v>0</v>
      </c>
      <c r="AT136" s="60" t="str">
        <f>[4]Sayfa1!$AE132</f>
        <v/>
      </c>
      <c r="AU136" s="60" t="str">
        <f>[4]Sayfa1!$AH132</f>
        <v/>
      </c>
      <c r="AV136" s="75">
        <v>131</v>
      </c>
      <c r="AW136" s="76">
        <f t="shared" si="50"/>
        <v>153.99999999871943</v>
      </c>
      <c r="AX136" s="77" t="str">
        <f>[4]Sayfa1!$A132</f>
        <v>ffc452d4</v>
      </c>
      <c r="AY136" s="78" t="s">
        <v>114</v>
      </c>
      <c r="AZ136" s="79" t="e" vm="1">
        <f t="shared" si="51"/>
        <v>#VALUE!</v>
      </c>
    </row>
    <row r="137" spans="1:52" ht="409.6">
      <c r="A137" s="59" t="s">
        <v>192</v>
      </c>
      <c r="B137" s="59" t="str">
        <f>[4]Sayfa1!$G133</f>
        <v>3881(10)</v>
      </c>
      <c r="C137" s="184" t="str">
        <f>[4]Sayfa1!$H133</f>
        <v>RB</v>
      </c>
      <c r="D137" s="24">
        <f>[4]Sayfa1!$N133</f>
        <v>34745</v>
      </c>
      <c r="E137" s="24" t="str">
        <f>[4]Sayfa1!$B133</f>
        <v>BOZ-KAY5+6-FF-132</v>
      </c>
      <c r="F137" s="60">
        <f>[4]Sayfa1!$E133</f>
        <v>45373</v>
      </c>
      <c r="G137" s="61">
        <f>[4]Sayfa1!$F133</f>
        <v>45373.579861111109</v>
      </c>
      <c r="H137" s="59" t="str">
        <f>[4]Sayfa1!$I133</f>
        <v>Hat/Line</v>
      </c>
      <c r="I137" s="62" t="str">
        <f>IF([4]Sayfa1!$K133="SSH","Notified by Bozankaya","Notified by Customer")</f>
        <v>Notified by Customer</v>
      </c>
      <c r="J137" s="59" t="e">
        <f>VLOOKUP([4]Sayfa1!$AU133,#REF!,2,FALSE)</f>
        <v>#REF!</v>
      </c>
      <c r="K137" s="59">
        <f>[4]Sayfa1!$AC133</f>
        <v>0</v>
      </c>
      <c r="L137" s="63" t="str">
        <f t="shared" si="39"/>
        <v>KAY_5+84-BOZ-KAY5+6-FF-132</v>
      </c>
      <c r="M137" s="64" t="str">
        <f>[4]Sayfa1!$L133</f>
        <v>3881 NOLU ARAÇ YOLCU BÖLÜMÜ ISITMA YAPMIYOR.</v>
      </c>
      <c r="N137" s="33" t="str">
        <f>[4]Sayfa1!$J133</f>
        <v>B-Hız veya güç azalması</v>
      </c>
      <c r="O137" s="33" t="str">
        <f>[4]Sayfa1!$P133</f>
        <v>B(Servisten çekmeye etki eden arızalar)</v>
      </c>
      <c r="P137" s="33" t="str">
        <f>[4]Sayfa1!$Q133</f>
        <v>N.A(Yaralanma yok)</v>
      </c>
      <c r="Q137" s="65" t="str" cm="1">
        <f t="array" ref="Q137">_xlfn.IFS([4]Sayfa1!$R133="Bozankaya","Bozankaya",[4]Sayfa1!$R133="İşletme","Customer",[4]Sayfa1!$R133="Tedarikçi","Equipment Supplier")</f>
        <v>Equipment Supplier</v>
      </c>
      <c r="R137" s="66" t="str">
        <f>[4]Sayfa1!$M133</f>
        <v>RB BÖLÜMÜ HVAC ÜNİTESİ FANI MAX ÇALIŞIYORDU. RB BÖLÜMÜNE BİLGİSAYAR BAĞLANTISI YAPILAMADI. DAHA SONRA MASTER CARD ÜZERİNDEN RESETLENDİ. KLİMA NORMAL ÇALIŞMAYA BAŞLADI. 1 ADET KOLTUK ALTI ISITICI TERMOSTAT ATMIŞ DEĞİŞİMİ YAPILDI.</v>
      </c>
      <c r="S137" s="36" t="str">
        <f>[4]Sayfa1!$S133</f>
        <v>Eltesan</v>
      </c>
      <c r="T137" s="67">
        <f>[4]Sayfa1!$Z133</f>
        <v>0</v>
      </c>
      <c r="U137" s="68">
        <f>[4]Sayfa1!$AN133</f>
        <v>1</v>
      </c>
      <c r="V137" s="60">
        <f>[4]Sayfa1!$T133</f>
        <v>45544</v>
      </c>
      <c r="W137" s="61">
        <f>[4]Sayfa1!$U133</f>
        <v>45544.3125</v>
      </c>
      <c r="X137" s="69">
        <f t="shared" si="40"/>
        <v>45544.3125</v>
      </c>
      <c r="Y137" s="70">
        <f>[4]Sayfa1!$AQ133</f>
        <v>45544</v>
      </c>
      <c r="Z137" s="61">
        <f>[4]Sayfa1!$AR133</f>
        <v>45544.5</v>
      </c>
      <c r="AA137" s="69">
        <f t="shared" si="41"/>
        <v>45544.5</v>
      </c>
      <c r="AB137" s="71">
        <f t="shared" si="42"/>
        <v>4.5</v>
      </c>
      <c r="AC137" s="60">
        <f t="shared" si="43"/>
        <v>45544</v>
      </c>
      <c r="AD137" s="61">
        <f t="shared" si="44"/>
        <v>45544.5</v>
      </c>
      <c r="AE137" s="69">
        <f t="shared" si="45"/>
        <v>45544.5</v>
      </c>
      <c r="AF137" s="36" t="str">
        <f>[4]Sayfa1!$AP133</f>
        <v>(I) İlk defa karşılaşılan arıza</v>
      </c>
      <c r="AG137" s="33" t="str">
        <f>IF([4]Sayfa1!$J133="C-Uyarı, sürüş devamlılığı","Bu Arıza Aracın Servise Verilmesine Engel Değil","Bu Arıza Aracın Servise Verilmesine Engel")</f>
        <v>Bu Arıza Aracın Servise Verilmesine Engel</v>
      </c>
      <c r="AH137" s="41" t="str">
        <f>[4]Sayfa1!$AB133</f>
        <v>Arıza çözülecek</v>
      </c>
      <c r="AI137" s="60"/>
      <c r="AJ137" s="60"/>
      <c r="AK137" s="69">
        <f t="shared" si="46"/>
        <v>0</v>
      </c>
      <c r="AL137" s="71">
        <f t="shared" si="47"/>
        <v>270</v>
      </c>
      <c r="AM137" s="71">
        <f t="shared" si="48"/>
        <v>270</v>
      </c>
      <c r="AN137" s="72">
        <f t="shared" si="49"/>
        <v>0</v>
      </c>
      <c r="AO137" s="73" t="str">
        <f>[4]Sayfa1!$X133</f>
        <v>H250-7034</v>
      </c>
      <c r="AP137" s="72">
        <f>[4]Sayfa1!$Y133</f>
        <v>1</v>
      </c>
      <c r="AQ137" s="184" t="str">
        <f>[4]Sayfa1!$V133</f>
        <v>ELTESAN ELEKTRO MEKANİK SOĞUTMA SAN</v>
      </c>
      <c r="AR137" s="74" t="str">
        <f>[4]Sayfa1!$W133</f>
        <v>KOLTUK ALTI ISITICI-ELTESAN 2KW HEATER</v>
      </c>
      <c r="AS137" s="74">
        <f>[4]Sayfa1!$AD133</f>
        <v>0</v>
      </c>
      <c r="AT137" s="60" t="str">
        <f>[4]Sayfa1!$AE133</f>
        <v/>
      </c>
      <c r="AU137" s="60" t="str">
        <f>[4]Sayfa1!$AH133</f>
        <v/>
      </c>
      <c r="AV137" s="75">
        <v>132</v>
      </c>
      <c r="AW137" s="76">
        <f t="shared" si="50"/>
        <v>49.5</v>
      </c>
      <c r="AX137" s="77" t="str">
        <f>[4]Sayfa1!$A133</f>
        <v>9f24c844</v>
      </c>
      <c r="AY137" s="78" t="s">
        <v>114</v>
      </c>
      <c r="AZ137" s="79" t="e" vm="1">
        <f t="shared" si="51"/>
        <v>#VALUE!</v>
      </c>
    </row>
    <row r="138" spans="1:52" ht="234.6">
      <c r="A138" s="59" t="s">
        <v>193</v>
      </c>
      <c r="B138" s="59" t="str">
        <f>[4]Sayfa1!$G134</f>
        <v>3875(4)</v>
      </c>
      <c r="C138" s="184" t="str">
        <f>[4]Sayfa1!$H134</f>
        <v>MB</v>
      </c>
      <c r="D138" s="24">
        <f>[4]Sayfa1!$N134</f>
        <v>41837</v>
      </c>
      <c r="E138" s="24" t="str">
        <f>[4]Sayfa1!$B134</f>
        <v>BOZ-KAY5+6-FF-133</v>
      </c>
      <c r="F138" s="60">
        <f>[4]Sayfa1!$E134</f>
        <v>45373</v>
      </c>
      <c r="G138" s="61">
        <f>[4]Sayfa1!$F134</f>
        <v>45373.679305555554</v>
      </c>
      <c r="H138" s="59" t="str">
        <f>[4]Sayfa1!$I134</f>
        <v>Hat/Line</v>
      </c>
      <c r="I138" s="62" t="str">
        <f>IF([4]Sayfa1!$K134="SSH","Notified by Bozankaya","Notified by Customer")</f>
        <v>Notified by Customer</v>
      </c>
      <c r="J138" s="59" t="e">
        <f>VLOOKUP([4]Sayfa1!$AU134,#REF!,2,FALSE)</f>
        <v>#REF!</v>
      </c>
      <c r="K138" s="59">
        <f>[4]Sayfa1!$AC134</f>
        <v>0</v>
      </c>
      <c r="L138" s="63" t="str">
        <f t="shared" si="39"/>
        <v>KAY_5+85-BOZ-KAY5+6-FF-133</v>
      </c>
      <c r="M138" s="64" t="str">
        <f>[4]Sayfa1!$L134</f>
        <v>CB FREN BYPASS BUTONU(FREN RESET) DOĞRU ŞEKİLDE ÇALIŞMIYOR.</v>
      </c>
      <c r="N138" s="33" t="str">
        <f>[4]Sayfa1!$J134</f>
        <v>C-Uyarı, sürüş devamlılığı</v>
      </c>
      <c r="O138" s="33" t="str">
        <f>[4]Sayfa1!$P134</f>
        <v>B(Servisten çekmeye etki eden arızalar)</v>
      </c>
      <c r="P138" s="33" t="str">
        <f>[4]Sayfa1!$Q134</f>
        <v>N.A(Yaralanma yok)</v>
      </c>
      <c r="Q138" s="65" t="str" cm="1">
        <f t="array" ref="Q138">_xlfn.IFS([4]Sayfa1!$R134="Bozankaya","Bozankaya",[4]Sayfa1!$R134="İşletme","Customer",[4]Sayfa1!$R134="Tedarikçi","Equipment Supplier")</f>
        <v>Bozankaya</v>
      </c>
      <c r="R138" s="66" t="str">
        <f>[4]Sayfa1!$M134</f>
        <v>ARAÇTA FREN RESET DENENDİ. DİĞER ARALARDA ÇALIŞMA MANTIĞI AYNI FARKLI BİR DURUM YOK. SORUN GÖRÜLMEDİ.</v>
      </c>
      <c r="S138" s="36" t="str">
        <f>[4]Sayfa1!$S134</f>
        <v>Fabrika Test</v>
      </c>
      <c r="T138" s="67">
        <f>[4]Sayfa1!$Z134</f>
        <v>0</v>
      </c>
      <c r="U138" s="68">
        <f>[4]Sayfa1!$AN134</f>
        <v>1</v>
      </c>
      <c r="V138" s="60">
        <f>[4]Sayfa1!$T134</f>
        <v>45537</v>
      </c>
      <c r="W138" s="61">
        <f>[4]Sayfa1!$U134</f>
        <v>45537.316562499997</v>
      </c>
      <c r="X138" s="69">
        <f t="shared" si="40"/>
        <v>45537.316562499997</v>
      </c>
      <c r="Y138" s="70">
        <f>[4]Sayfa1!$AQ134</f>
        <v>45537</v>
      </c>
      <c r="Z138" s="61">
        <f>[4]Sayfa1!$AR134</f>
        <v>45537.5</v>
      </c>
      <c r="AA138" s="69">
        <f t="shared" si="41"/>
        <v>45537.5</v>
      </c>
      <c r="AB138" s="71">
        <f t="shared" si="42"/>
        <v>4.402500000083819</v>
      </c>
      <c r="AC138" s="60">
        <f t="shared" si="43"/>
        <v>45537</v>
      </c>
      <c r="AD138" s="61">
        <f t="shared" si="44"/>
        <v>45537.5</v>
      </c>
      <c r="AE138" s="69">
        <f t="shared" si="45"/>
        <v>45537.5</v>
      </c>
      <c r="AF138" s="36" t="str">
        <f>[4]Sayfa1!$AP134</f>
        <v>(I) İlk defa karşılaşılan arıza</v>
      </c>
      <c r="AG138" s="33" t="str">
        <f>IF([4]Sayfa1!$J134="C-Uyarı, sürüş devamlılığı","Bu Arıza Aracın Servise Verilmesine Engel Değil","Bu Arıza Aracın Servise Verilmesine Engel")</f>
        <v>Bu Arıza Aracın Servise Verilmesine Engel Değil</v>
      </c>
      <c r="AH138" s="41" t="str">
        <f>[4]Sayfa1!$AB134</f>
        <v>Arıza çözülecek</v>
      </c>
      <c r="AI138" s="60"/>
      <c r="AJ138" s="60"/>
      <c r="AK138" s="69">
        <f t="shared" si="46"/>
        <v>0</v>
      </c>
      <c r="AL138" s="71">
        <f t="shared" si="47"/>
        <v>264.15000000502914</v>
      </c>
      <c r="AM138" s="71">
        <f t="shared" si="48"/>
        <v>264.15000000502914</v>
      </c>
      <c r="AN138" s="72">
        <f t="shared" si="49"/>
        <v>0</v>
      </c>
      <c r="AO138" s="73" t="str">
        <f>[4]Sayfa1!$X134</f>
        <v>E300-7362</v>
      </c>
      <c r="AP138" s="72">
        <f>[4]Sayfa1!$Y134</f>
        <v>1</v>
      </c>
      <c r="AQ138" s="184" t="str">
        <f>[4]Sayfa1!$V134</f>
        <v>GENERAL TEKNİK ELEKTRONİK TESİSAT</v>
      </c>
      <c r="AR138" s="74" t="str">
        <f>[4]Sayfa1!$W134</f>
        <v>BYPAS BUTON PANELİ KOMPLESİ</v>
      </c>
      <c r="AS138" s="74">
        <f>[4]Sayfa1!$AD134</f>
        <v>0</v>
      </c>
      <c r="AT138" s="60" t="str">
        <f>[4]Sayfa1!$AE134</f>
        <v/>
      </c>
      <c r="AU138" s="60" t="str">
        <f>[4]Sayfa1!$AH134</f>
        <v/>
      </c>
      <c r="AV138" s="75">
        <v>133</v>
      </c>
      <c r="AW138" s="76">
        <f t="shared" si="50"/>
        <v>48.427500000922009</v>
      </c>
      <c r="AX138" s="77" t="str">
        <f>[4]Sayfa1!$A134</f>
        <v>c10a7a39</v>
      </c>
      <c r="AY138" s="78" t="s">
        <v>114</v>
      </c>
      <c r="AZ138" s="79" t="e" vm="1">
        <f t="shared" si="51"/>
        <v>#VALUE!</v>
      </c>
    </row>
    <row r="139" spans="1:52" ht="234.6">
      <c r="A139" s="59" t="s">
        <v>194</v>
      </c>
      <c r="B139" s="59" t="str">
        <f>[4]Sayfa1!$G135</f>
        <v>3881(10)</v>
      </c>
      <c r="C139" s="184" t="str">
        <f>[4]Sayfa1!$H135</f>
        <v>MB</v>
      </c>
      <c r="D139" s="24">
        <f>[4]Sayfa1!$N135</f>
        <v>32679</v>
      </c>
      <c r="E139" s="24" t="str">
        <f>[4]Sayfa1!$B135</f>
        <v>BOZ-KAY5+6-FF-134</v>
      </c>
      <c r="F139" s="60">
        <f>[4]Sayfa1!$E135</f>
        <v>45373</v>
      </c>
      <c r="G139" s="61">
        <f>[4]Sayfa1!$F135</f>
        <v>45373.681944444441</v>
      </c>
      <c r="H139" s="59" t="str">
        <f>[4]Sayfa1!$I135</f>
        <v>Hat/Line</v>
      </c>
      <c r="I139" s="62" t="str">
        <f>IF([4]Sayfa1!$K135="SSH","Notified by Bozankaya","Notified by Customer")</f>
        <v>Notified by Customer</v>
      </c>
      <c r="J139" s="59" t="e">
        <f>VLOOKUP([4]Sayfa1!$AU135,#REF!,2,FALSE)</f>
        <v>#REF!</v>
      </c>
      <c r="K139" s="59">
        <f>[4]Sayfa1!$AC135</f>
        <v>0</v>
      </c>
      <c r="L139" s="63" t="str">
        <f t="shared" si="39"/>
        <v>KAY_5+86-BOZ-KAY5+6-FF-134</v>
      </c>
      <c r="M139" s="64" t="str">
        <f>[4]Sayfa1!$L135</f>
        <v>3881 CB FREN BYPASS(FREN RESET) PANEL PC DE YAPTI GÖRÜNÜYOR ANCAK ARAÇ TEKERLEKLERİ SÜRÜKLÜYOR.</v>
      </c>
      <c r="N139" s="33" t="str">
        <f>[4]Sayfa1!$J135</f>
        <v>A-Sürüşü engeller</v>
      </c>
      <c r="O139" s="33" t="str">
        <f>[4]Sayfa1!$P135</f>
        <v>A(Hareket etmeyi engelleyen arıza)</v>
      </c>
      <c r="P139" s="33" t="str">
        <f>[4]Sayfa1!$Q135</f>
        <v>N.A(Yaralanma yok)</v>
      </c>
      <c r="Q139" s="65" t="str" cm="1">
        <f t="array" ref="Q139">_xlfn.IFS([4]Sayfa1!$R135="Bozankaya","Bozankaya",[4]Sayfa1!$R135="İşletme","Customer",[4]Sayfa1!$R135="Tedarikçi","Equipment Supplier")</f>
        <v>Bozankaya</v>
      </c>
      <c r="R139" s="66" t="str">
        <f>[4]Sayfa1!$M135</f>
        <v>RA-K01 RÖLESİNDE BULUNAN RA 1371.01 KABLOSU RÖLENİN 1 NOLU AYAĞINA BAĞLANMIŞ BAĞLANTI DÜZELTİLDİ. TEST EDİLDİ.</v>
      </c>
      <c r="S139" s="36" t="str">
        <f>[4]Sayfa1!$S135</f>
        <v>Fabrika Test</v>
      </c>
      <c r="T139" s="67">
        <f>[4]Sayfa1!$Z135</f>
        <v>0</v>
      </c>
      <c r="U139" s="68">
        <f>[4]Sayfa1!$AN135</f>
        <v>2</v>
      </c>
      <c r="V139" s="60">
        <f>[4]Sayfa1!$T135</f>
        <v>45537</v>
      </c>
      <c r="W139" s="61">
        <f>[4]Sayfa1!$U135</f>
        <v>45537.333333333336</v>
      </c>
      <c r="X139" s="69">
        <f t="shared" si="40"/>
        <v>45537.333333333336</v>
      </c>
      <c r="Y139" s="70">
        <f>[4]Sayfa1!$AQ135</f>
        <v>45537</v>
      </c>
      <c r="Z139" s="61">
        <f>[4]Sayfa1!$AR135</f>
        <v>45537.5</v>
      </c>
      <c r="AA139" s="69">
        <f t="shared" si="41"/>
        <v>45537.5</v>
      </c>
      <c r="AB139" s="71">
        <f t="shared" si="42"/>
        <v>3.9999999999417923</v>
      </c>
      <c r="AC139" s="60">
        <f t="shared" si="43"/>
        <v>45537</v>
      </c>
      <c r="AD139" s="61">
        <f t="shared" si="44"/>
        <v>45537.5</v>
      </c>
      <c r="AE139" s="69">
        <f t="shared" si="45"/>
        <v>45537.5</v>
      </c>
      <c r="AF139" s="36" t="str">
        <f>[4]Sayfa1!$AP135</f>
        <v>(II) Birden fazla karşılaşılan arıza</v>
      </c>
      <c r="AG139" s="33" t="str">
        <f>IF([4]Sayfa1!$J135="C-Uyarı, sürüş devamlılığı","Bu Arıza Aracın Servise Verilmesine Engel Değil","Bu Arıza Aracın Servise Verilmesine Engel")</f>
        <v>Bu Arıza Aracın Servise Verilmesine Engel</v>
      </c>
      <c r="AH139" s="41" t="str">
        <f>[4]Sayfa1!$AB135</f>
        <v>Tamir edilecek</v>
      </c>
      <c r="AI139" s="60"/>
      <c r="AJ139" s="60"/>
      <c r="AK139" s="69">
        <f t="shared" si="46"/>
        <v>0</v>
      </c>
      <c r="AL139" s="71">
        <f t="shared" si="47"/>
        <v>239.99999999650754</v>
      </c>
      <c r="AM139" s="71">
        <f t="shared" si="48"/>
        <v>239.99999999650754</v>
      </c>
      <c r="AN139" s="72">
        <f t="shared" si="49"/>
        <v>0</v>
      </c>
      <c r="AO139" s="73" t="str">
        <f>[4]Sayfa1!$X135</f>
        <v>E300-7362</v>
      </c>
      <c r="AP139" s="72">
        <f>[4]Sayfa1!$Y135</f>
        <v>1</v>
      </c>
      <c r="AQ139" s="184" t="str">
        <f>[4]Sayfa1!$V135</f>
        <v>GENERAL TEKNİK ELEKTRONİK TESİSAT</v>
      </c>
      <c r="AR139" s="74" t="str">
        <f>[4]Sayfa1!$W135</f>
        <v>BYPAS BUTON PANELİ KOMPLESİ</v>
      </c>
      <c r="AS139" s="74">
        <f>[4]Sayfa1!$AD135</f>
        <v>0</v>
      </c>
      <c r="AT139" s="60" t="str">
        <f>[4]Sayfa1!$AE135</f>
        <v/>
      </c>
      <c r="AU139" s="60" t="str">
        <f>[4]Sayfa1!$AH135</f>
        <v/>
      </c>
      <c r="AV139" s="75">
        <v>134</v>
      </c>
      <c r="AW139" s="76">
        <f t="shared" si="50"/>
        <v>87.999999998719431</v>
      </c>
      <c r="AX139" s="77" t="str">
        <f>[4]Sayfa1!$A135</f>
        <v>36ae20f4</v>
      </c>
      <c r="AY139" s="78" t="s">
        <v>114</v>
      </c>
      <c r="AZ139" s="79" t="e" vm="1">
        <f t="shared" si="51"/>
        <v>#VALUE!</v>
      </c>
    </row>
    <row r="140" spans="1:52" ht="142.9">
      <c r="A140" s="59" t="s">
        <v>195</v>
      </c>
      <c r="B140" s="59" t="str">
        <f>[4]Sayfa1!$G136</f>
        <v>3877(6)</v>
      </c>
      <c r="C140" s="184" t="str">
        <f>[4]Sayfa1!$H136</f>
        <v>MA</v>
      </c>
      <c r="D140" s="24">
        <f>[4]Sayfa1!$N136</f>
        <v>29050</v>
      </c>
      <c r="E140" s="24" t="str">
        <f>[4]Sayfa1!$B136</f>
        <v>BOZ-KAY5+6-FF-135</v>
      </c>
      <c r="F140" s="60">
        <f>[4]Sayfa1!$E136</f>
        <v>45373</v>
      </c>
      <c r="G140" s="61">
        <f>[4]Sayfa1!$F136</f>
        <v>45373.915972222225</v>
      </c>
      <c r="H140" s="59" t="str">
        <f>[4]Sayfa1!$I136</f>
        <v>Hat/Line</v>
      </c>
      <c r="I140" s="62" t="str">
        <f>IF([4]Sayfa1!$K136="SSH","Notified by Bozankaya","Notified by Customer")</f>
        <v>Notified by Customer</v>
      </c>
      <c r="J140" s="59" t="e">
        <f>VLOOKUP([4]Sayfa1!$AU136,#REF!,2,FALSE)</f>
        <v>#REF!</v>
      </c>
      <c r="K140" s="59">
        <f>[4]Sayfa1!$AC136</f>
        <v>0</v>
      </c>
      <c r="L140" s="63" t="str">
        <f t="shared" si="39"/>
        <v>KAY_5+87-BOZ-KAY5+6-FF-135</v>
      </c>
      <c r="M140" s="64" t="str">
        <f>[4]Sayfa1!$L136</f>
        <v>KLİMA 30 SANİYE ÇALIŞIYOR ISINMA YAPMIYOR</v>
      </c>
      <c r="N140" s="33" t="str">
        <f>[4]Sayfa1!$J136</f>
        <v>A-Sürüşü engeller</v>
      </c>
      <c r="O140" s="33" t="str">
        <f>[4]Sayfa1!$P136</f>
        <v>B(Servisten çekmeye etki eden arızalar)</v>
      </c>
      <c r="P140" s="33" t="str">
        <f>[4]Sayfa1!$Q136</f>
        <v>N.A(Yaralanma yok)</v>
      </c>
      <c r="Q140" s="65" t="str" cm="1">
        <f t="array" ref="Q140">_xlfn.IFS([4]Sayfa1!$R136="Bozankaya","Bozankaya",[4]Sayfa1!$R136="İşletme","Customer",[4]Sayfa1!$R136="Tedarikçi","Equipment Supplier")</f>
        <v>Equipment Supplier</v>
      </c>
      <c r="R140" s="66" t="str">
        <f>[4]Sayfa1!$M136</f>
        <v>KABİN SICAKLIK SENSÖRÜ MODİFİKASYONU YAPILDI</v>
      </c>
      <c r="S140" s="36" t="str">
        <f>[4]Sayfa1!$S136</f>
        <v>Eltesan</v>
      </c>
      <c r="T140" s="67">
        <f>[4]Sayfa1!$Z136</f>
        <v>0</v>
      </c>
      <c r="U140" s="68">
        <f>[4]Sayfa1!$AN136</f>
        <v>1</v>
      </c>
      <c r="V140" s="60">
        <f>[4]Sayfa1!$T136</f>
        <v>45374</v>
      </c>
      <c r="W140" s="61">
        <f>[4]Sayfa1!$U136</f>
        <v>45374.333333333336</v>
      </c>
      <c r="X140" s="69">
        <f t="shared" si="40"/>
        <v>45374.333333333336</v>
      </c>
      <c r="Y140" s="70">
        <f>[4]Sayfa1!$AQ136</f>
        <v>45374</v>
      </c>
      <c r="Z140" s="61">
        <f>[4]Sayfa1!$AR136</f>
        <v>45374.416666666664</v>
      </c>
      <c r="AA140" s="69">
        <f t="shared" si="41"/>
        <v>45374.416666666664</v>
      </c>
      <c r="AB140" s="71">
        <f t="shared" si="42"/>
        <v>1.9999999998835847</v>
      </c>
      <c r="AC140" s="60">
        <f t="shared" si="43"/>
        <v>45374</v>
      </c>
      <c r="AD140" s="61">
        <f t="shared" si="44"/>
        <v>45374.416666666664</v>
      </c>
      <c r="AE140" s="69">
        <f t="shared" si="45"/>
        <v>45374.416666666664</v>
      </c>
      <c r="AF140" s="36" t="str">
        <f>[4]Sayfa1!$AP136</f>
        <v>(II) Birden fazla karşılaşılan arıza</v>
      </c>
      <c r="AG140" s="33" t="str">
        <f>IF([4]Sayfa1!$J136="C-Uyarı, sürüş devamlılığı","Bu Arıza Aracın Servise Verilmesine Engel Değil","Bu Arıza Aracın Servise Verilmesine Engel")</f>
        <v>Bu Arıza Aracın Servise Verilmesine Engel</v>
      </c>
      <c r="AH140" s="41" t="str">
        <f>[4]Sayfa1!$AB136</f>
        <v>Arıza çözülecek</v>
      </c>
      <c r="AI140" s="60"/>
      <c r="AJ140" s="60"/>
      <c r="AK140" s="69">
        <f t="shared" si="46"/>
        <v>0</v>
      </c>
      <c r="AL140" s="71">
        <f t="shared" si="47"/>
        <v>119.99999999301508</v>
      </c>
      <c r="AM140" s="71">
        <f t="shared" si="48"/>
        <v>119.99999999301508</v>
      </c>
      <c r="AN140" s="72">
        <f t="shared" si="49"/>
        <v>0</v>
      </c>
      <c r="AO140" s="73" t="str">
        <f>[4]Sayfa1!$X136</f>
        <v>H500-7240</v>
      </c>
      <c r="AP140" s="72">
        <f>[4]Sayfa1!$Y136</f>
        <v>1</v>
      </c>
      <c r="AQ140" s="184" t="str">
        <f>[4]Sayfa1!$V136</f>
        <v>ELTESAN ELEKTRO MEKANİK SOĞUTMA SAN</v>
      </c>
      <c r="AR140" s="74" t="str">
        <f>[4]Sayfa1!$W136</f>
        <v>KLIMA UNITESİ /Eltesan/Hispacold 41,5 kW</v>
      </c>
      <c r="AS140" s="74">
        <f>[4]Sayfa1!$AD136</f>
        <v>0</v>
      </c>
      <c r="AT140" s="60" t="str">
        <f>[4]Sayfa1!$AE136</f>
        <v/>
      </c>
      <c r="AU140" s="60" t="str">
        <f>[4]Sayfa1!$AH136</f>
        <v/>
      </c>
      <c r="AV140" s="75">
        <v>135</v>
      </c>
      <c r="AW140" s="76">
        <f t="shared" si="50"/>
        <v>21.999999998719431</v>
      </c>
      <c r="AX140" s="77" t="str">
        <f>[4]Sayfa1!$A136</f>
        <v>deff6e7c</v>
      </c>
      <c r="AY140" s="78" t="s">
        <v>114</v>
      </c>
      <c r="AZ140" s="79" t="e" vm="1">
        <f t="shared" si="51"/>
        <v>#VALUE!</v>
      </c>
    </row>
    <row r="141" spans="1:52" ht="165.6">
      <c r="A141" s="59" t="s">
        <v>196</v>
      </c>
      <c r="B141" s="59" t="str">
        <f>[4]Sayfa1!$G137</f>
        <v>3878(7)</v>
      </c>
      <c r="C141" s="184" t="str">
        <f>[4]Sayfa1!$H137</f>
        <v>MB</v>
      </c>
      <c r="D141" s="24">
        <f>[4]Sayfa1!$N137</f>
        <v>22368</v>
      </c>
      <c r="E141" s="24" t="str">
        <f>[4]Sayfa1!$B137</f>
        <v>BOZ-KAY5+6-FF-136</v>
      </c>
      <c r="F141" s="60">
        <f>[4]Sayfa1!$E137</f>
        <v>45374</v>
      </c>
      <c r="G141" s="61">
        <f>[4]Sayfa1!$F137</f>
        <v>45374.520138888889</v>
      </c>
      <c r="H141" s="59" t="str">
        <f>[4]Sayfa1!$I137</f>
        <v>Hat/Line</v>
      </c>
      <c r="I141" s="62" t="str">
        <f>IF([4]Sayfa1!$K137="SSH","Notified by Bozankaya","Notified by Customer")</f>
        <v>Notified by Customer</v>
      </c>
      <c r="J141" s="59" t="e">
        <f>VLOOKUP([4]Sayfa1!$AU137,#REF!,2,FALSE)</f>
        <v>#REF!</v>
      </c>
      <c r="K141" s="59">
        <f>[4]Sayfa1!$AC137</f>
        <v>0</v>
      </c>
      <c r="L141" s="63" t="str">
        <f t="shared" si="39"/>
        <v>KAY_5+88-BOZ-KAY5+6-FF-136</v>
      </c>
      <c r="M141" s="64" t="str">
        <f>[4]Sayfa1!$L137</f>
        <v>ARAÇ KABİN CB AYNA KAMERA İÇİ DÖNMÜŞ GÖRÜNTÜ YAN GÖRÜNÜYOR.</v>
      </c>
      <c r="N141" s="33" t="str">
        <f>[4]Sayfa1!$J137</f>
        <v>C-Uyarı, sürüş devamlılığı</v>
      </c>
      <c r="O141" s="33" t="str">
        <f>[4]Sayfa1!$P137</f>
        <v>C(Sisteme etki etmeyen arıza)</v>
      </c>
      <c r="P141" s="33" t="str">
        <f>[4]Sayfa1!$Q137</f>
        <v>N.A(Yaralanma yok)</v>
      </c>
      <c r="Q141" s="65" t="str" cm="1">
        <f t="array" ref="Q141">_xlfn.IFS([4]Sayfa1!$R137="Bozankaya","Bozankaya",[4]Sayfa1!$R137="İşletme","Customer",[4]Sayfa1!$R137="Tedarikçi","Equipment Supplier")</f>
        <v>Equipment Supplier</v>
      </c>
      <c r="R141" s="66" t="str">
        <f>[4]Sayfa1!$M137</f>
        <v>KAMERA YÖN AYARI YAPILDI.</v>
      </c>
      <c r="S141" s="36" t="str">
        <f>[4]Sayfa1!$S137</f>
        <v>NSC</v>
      </c>
      <c r="T141" s="67">
        <f>[4]Sayfa1!$Z137</f>
        <v>0</v>
      </c>
      <c r="U141" s="68">
        <f>[4]Sayfa1!$AN137</f>
        <v>2</v>
      </c>
      <c r="V141" s="60">
        <f>[4]Sayfa1!$T137</f>
        <v>45526</v>
      </c>
      <c r="W141" s="61">
        <f>[4]Sayfa1!$U137</f>
        <v>45526.424328703702</v>
      </c>
      <c r="X141" s="69">
        <f t="shared" si="40"/>
        <v>45526.424328703702</v>
      </c>
      <c r="Y141" s="70">
        <f>[4]Sayfa1!$AQ137</f>
        <v>45526</v>
      </c>
      <c r="Z141" s="61">
        <f>[4]Sayfa1!$AR137</f>
        <v>45526.5</v>
      </c>
      <c r="AA141" s="69">
        <f t="shared" si="41"/>
        <v>45526.5</v>
      </c>
      <c r="AB141" s="71">
        <f t="shared" si="42"/>
        <v>1.8161111111403443</v>
      </c>
      <c r="AC141" s="60">
        <f t="shared" si="43"/>
        <v>45526</v>
      </c>
      <c r="AD141" s="61">
        <f t="shared" si="44"/>
        <v>45526.5</v>
      </c>
      <c r="AE141" s="69">
        <f t="shared" si="45"/>
        <v>45526.5</v>
      </c>
      <c r="AF141" s="36" t="str">
        <f>[4]Sayfa1!$AP137</f>
        <v>(II) Birden fazla karşılaşılan arıza</v>
      </c>
      <c r="AG141" s="33" t="str">
        <f>IF([4]Sayfa1!$J137="C-Uyarı, sürüş devamlılığı","Bu Arıza Aracın Servise Verilmesine Engel Değil","Bu Arıza Aracın Servise Verilmesine Engel")</f>
        <v>Bu Arıza Aracın Servise Verilmesine Engel Değil</v>
      </c>
      <c r="AH141" s="41" t="str">
        <f>[4]Sayfa1!$AB137</f>
        <v>Arıza çözülecek</v>
      </c>
      <c r="AI141" s="60"/>
      <c r="AJ141" s="60"/>
      <c r="AK141" s="69">
        <f t="shared" si="46"/>
        <v>0</v>
      </c>
      <c r="AL141" s="71">
        <f t="shared" si="47"/>
        <v>108.96666666842066</v>
      </c>
      <c r="AM141" s="71">
        <f t="shared" si="48"/>
        <v>108.96666666842066</v>
      </c>
      <c r="AN141" s="72">
        <f t="shared" si="49"/>
        <v>0</v>
      </c>
      <c r="AO141" s="73" t="str">
        <f>[4]Sayfa1!$X137</f>
        <v>E810-7136</v>
      </c>
      <c r="AP141" s="72">
        <f>[4]Sayfa1!$Y137</f>
        <v>1</v>
      </c>
      <c r="AQ141" s="184" t="str">
        <f>[4]Sayfa1!$V137</f>
        <v>NSC TEKNOLOJİ ve İNŞAAT LTD.ŞTİ.</v>
      </c>
      <c r="AR141" s="74" t="str">
        <f>[4]Sayfa1!$W137</f>
        <v>KAMERA</v>
      </c>
      <c r="AS141" s="74">
        <f>[4]Sayfa1!$AD137</f>
        <v>0</v>
      </c>
      <c r="AT141" s="60" t="str">
        <f>[4]Sayfa1!$AE137</f>
        <v/>
      </c>
      <c r="AU141" s="60" t="str">
        <f>[4]Sayfa1!$AH137</f>
        <v/>
      </c>
      <c r="AV141" s="75">
        <v>136</v>
      </c>
      <c r="AW141" s="76">
        <f t="shared" si="50"/>
        <v>39.954444445087574</v>
      </c>
      <c r="AX141" s="77" t="str">
        <f>[4]Sayfa1!$A137</f>
        <v>52d1d157</v>
      </c>
      <c r="AY141" s="78" t="s">
        <v>114</v>
      </c>
      <c r="AZ141" s="79" t="e" vm="1">
        <f t="shared" si="51"/>
        <v>#VALUE!</v>
      </c>
    </row>
    <row r="142" spans="1:52" ht="226.9">
      <c r="A142" s="59" t="s">
        <v>197</v>
      </c>
      <c r="B142" s="59" t="str">
        <f>[4]Sayfa1!$G138</f>
        <v>3878(7)</v>
      </c>
      <c r="C142" s="184" t="str">
        <f>[4]Sayfa1!$H138</f>
        <v>MA</v>
      </c>
      <c r="D142" s="24">
        <f>[4]Sayfa1!$N138</f>
        <v>23068</v>
      </c>
      <c r="E142" s="24" t="str">
        <f>[4]Sayfa1!$B138</f>
        <v>BOZ-KAY5+6-FF-137</v>
      </c>
      <c r="F142" s="60">
        <f>[4]Sayfa1!$E138</f>
        <v>45374</v>
      </c>
      <c r="G142" s="61">
        <f>[4]Sayfa1!$F138</f>
        <v>45374.556944444441</v>
      </c>
      <c r="H142" s="59" t="str">
        <f>[4]Sayfa1!$I138</f>
        <v>Hat/Line</v>
      </c>
      <c r="I142" s="62" t="str">
        <f>IF([4]Sayfa1!$K138="SSH","Notified by Bozankaya","Notified by Customer")</f>
        <v>Notified by Customer</v>
      </c>
      <c r="J142" s="59" t="e">
        <f>VLOOKUP([4]Sayfa1!$AU138,#REF!,2,FALSE)</f>
        <v>#REF!</v>
      </c>
      <c r="K142" s="59">
        <f>[4]Sayfa1!$AC138</f>
        <v>0</v>
      </c>
      <c r="L142" s="63" t="str">
        <f t="shared" si="39"/>
        <v>KAY_5+89-BOZ-KAY5+6-FF-137</v>
      </c>
      <c r="M142" s="64" t="str">
        <f>[4]Sayfa1!$L138</f>
        <v>ARAÇ KABİN CA KLİMASI 1 DAKİKA DEVREYE GİRİP TEKRAR ÇIKIYOR. KLİMA ÇALIŞMIYOR KABİN SOĞUK.</v>
      </c>
      <c r="N142" s="33" t="str">
        <f>[4]Sayfa1!$J138</f>
        <v>B-Hız veya güç azalması</v>
      </c>
      <c r="O142" s="33" t="str">
        <f>[4]Sayfa1!$P138</f>
        <v>B(Servisten çekmeye etki eden arızalar)</v>
      </c>
      <c r="P142" s="33" t="str">
        <f>[4]Sayfa1!$Q138</f>
        <v>N.A(Yaralanma yok)</v>
      </c>
      <c r="Q142" s="65" t="str" cm="1">
        <f t="array" ref="Q142">_xlfn.IFS([4]Sayfa1!$R138="Bozankaya","Bozankaya",[4]Sayfa1!$R138="İşletme","Customer",[4]Sayfa1!$R138="Tedarikçi","Equipment Supplier")</f>
        <v>Equipment Supplier</v>
      </c>
      <c r="R142" s="66" t="str">
        <f>[4]Sayfa1!$M138</f>
        <v>ARAÇ KONTROL EDİLDİ. ISITMA YAPIYORDU.</v>
      </c>
      <c r="S142" s="36" t="str">
        <f>[4]Sayfa1!$S138</f>
        <v>Eltesan</v>
      </c>
      <c r="T142" s="67">
        <f>[4]Sayfa1!$Z138</f>
        <v>0</v>
      </c>
      <c r="U142" s="68">
        <f>[4]Sayfa1!$AN138</f>
        <v>1</v>
      </c>
      <c r="V142" s="60">
        <f>[4]Sayfa1!$T138</f>
        <v>45374</v>
      </c>
      <c r="W142" s="61">
        <f>[4]Sayfa1!$U138</f>
        <v>45374.583333333336</v>
      </c>
      <c r="X142" s="69">
        <f t="shared" si="40"/>
        <v>45374.583333333336</v>
      </c>
      <c r="Y142" s="70">
        <f>[4]Sayfa1!$AQ138</f>
        <v>45374</v>
      </c>
      <c r="Z142" s="61">
        <f>[4]Sayfa1!$AR138</f>
        <v>45374.666666666664</v>
      </c>
      <c r="AA142" s="69">
        <f t="shared" si="41"/>
        <v>45374.666666666664</v>
      </c>
      <c r="AB142" s="71">
        <f t="shared" si="42"/>
        <v>0</v>
      </c>
      <c r="AC142" s="60">
        <f t="shared" si="43"/>
        <v>45374</v>
      </c>
      <c r="AD142" s="61">
        <f t="shared" si="44"/>
        <v>45374.666666666664</v>
      </c>
      <c r="AE142" s="69">
        <f t="shared" si="45"/>
        <v>45374.666666666664</v>
      </c>
      <c r="AF142" s="36" t="str">
        <f>[4]Sayfa1!$AP138</f>
        <v>(III) Birden fazla aynı araçta karşılaşılan arıza</v>
      </c>
      <c r="AG142" s="33" t="str">
        <f>IF([4]Sayfa1!$J138="C-Uyarı, sürüş devamlılığı","Bu Arıza Aracın Servise Verilmesine Engel Değil","Bu Arıza Aracın Servise Verilmesine Engel")</f>
        <v>Bu Arıza Aracın Servise Verilmesine Engel</v>
      </c>
      <c r="AH142" s="41" t="str">
        <f>[4]Sayfa1!$AB138</f>
        <v>Arıza çözülecek</v>
      </c>
      <c r="AI142" s="60"/>
      <c r="AJ142" s="60"/>
      <c r="AK142" s="69">
        <f t="shared" si="46"/>
        <v>0</v>
      </c>
      <c r="AL142" s="71">
        <f t="shared" si="47"/>
        <v>0</v>
      </c>
      <c r="AM142" s="71">
        <f t="shared" si="48"/>
        <v>0</v>
      </c>
      <c r="AN142" s="72">
        <f t="shared" si="49"/>
        <v>0</v>
      </c>
      <c r="AO142" s="73" t="str">
        <f>[4]Sayfa1!$X138</f>
        <v>H500-7240</v>
      </c>
      <c r="AP142" s="72">
        <f>[4]Sayfa1!$Y138</f>
        <v>1</v>
      </c>
      <c r="AQ142" s="184" t="str">
        <f>[4]Sayfa1!$V138</f>
        <v>ELTESAN ELEKTRO MEKANİK SOĞUTMA SAN</v>
      </c>
      <c r="AR142" s="74" t="str">
        <f>[4]Sayfa1!$W138</f>
        <v>KLIMA UNITESİ /Eltesan/Hispacold 41,5 kW</v>
      </c>
      <c r="AS142" s="74">
        <f>[4]Sayfa1!$AD138</f>
        <v>0</v>
      </c>
      <c r="AT142" s="60" t="str">
        <f>[4]Sayfa1!$AE138</f>
        <v/>
      </c>
      <c r="AU142" s="60">
        <f>[4]Sayfa1!$AH138</f>
        <v>0</v>
      </c>
      <c r="AV142" s="75">
        <v>137</v>
      </c>
      <c r="AW142" s="76">
        <f t="shared" si="50"/>
        <v>0</v>
      </c>
      <c r="AX142" s="77" t="str">
        <f>[4]Sayfa1!$A138</f>
        <v>b7d7e2c8</v>
      </c>
      <c r="AY142" s="78" t="s">
        <v>114</v>
      </c>
      <c r="AZ142" s="79" t="e" vm="1">
        <f t="shared" si="51"/>
        <v>#VALUE!</v>
      </c>
    </row>
    <row r="143" spans="1:52" ht="211.15">
      <c r="A143" s="59" t="s">
        <v>198</v>
      </c>
      <c r="B143" s="59" t="str">
        <f>[4]Sayfa1!$G139</f>
        <v>3873(2)</v>
      </c>
      <c r="C143" s="184" t="str">
        <f>[4]Sayfa1!$H139</f>
        <v>RA</v>
      </c>
      <c r="D143" s="24">
        <f>[4]Sayfa1!$N139</f>
        <v>52500</v>
      </c>
      <c r="E143" s="24" t="str">
        <f>[4]Sayfa1!$B139</f>
        <v>BOZ-KAY5+6-FF-138</v>
      </c>
      <c r="F143" s="60">
        <f>[4]Sayfa1!$E139</f>
        <v>45376</v>
      </c>
      <c r="G143" s="61">
        <f>[4]Sayfa1!$F139</f>
        <v>45376.298611111109</v>
      </c>
      <c r="H143" s="59" t="str">
        <f>[4]Sayfa1!$I139</f>
        <v>Hat/Line</v>
      </c>
      <c r="I143" s="62" t="str">
        <f>IF([4]Sayfa1!$K139="SSH","Notified by Bozankaya","Notified by Customer")</f>
        <v>Notified by Customer</v>
      </c>
      <c r="J143" s="59" t="e">
        <f>VLOOKUP([4]Sayfa1!$AU139,#REF!,2,FALSE)</f>
        <v>#REF!</v>
      </c>
      <c r="K143" s="59">
        <f>[4]Sayfa1!$AC139</f>
        <v>0</v>
      </c>
      <c r="L143" s="63" t="str">
        <f t="shared" si="39"/>
        <v>KAY_5+90-BOZ-KAY5+6-FF-138</v>
      </c>
      <c r="M143" s="64" t="str">
        <f>[4]Sayfa1!$L139</f>
        <v>Yolcu klimaları çalışmıyor soğuk</v>
      </c>
      <c r="N143" s="33" t="str">
        <f>[4]Sayfa1!$J139</f>
        <v>C-Uyarı, sürüş devamlılığı</v>
      </c>
      <c r="O143" s="33" t="str">
        <f>[4]Sayfa1!$P139</f>
        <v>C(Sisteme etki etmeyen arıza)</v>
      </c>
      <c r="P143" s="33" t="str">
        <f>[4]Sayfa1!$Q139</f>
        <v>N.A(Yaralanma yok)</v>
      </c>
      <c r="Q143" s="65" t="str" cm="1">
        <f t="array" ref="Q143">_xlfn.IFS([4]Sayfa1!$R139="Bozankaya","Bozankaya",[4]Sayfa1!$R139="İşletme","Customer",[4]Sayfa1!$R139="Tedarikçi","Equipment Supplier")</f>
        <v>Equipment Supplier</v>
      </c>
      <c r="R143" s="66" t="str">
        <f>[4]Sayfa1!$M139</f>
        <v>Aracın ra ca klimalar çalışmıyordu.APC devreden çıkmış araç resetlendi normale döndü</v>
      </c>
      <c r="S143" s="36" t="str">
        <f>[4]Sayfa1!$S139</f>
        <v>Medcom</v>
      </c>
      <c r="T143" s="67">
        <f>[4]Sayfa1!$Z139</f>
        <v>0</v>
      </c>
      <c r="U143" s="68">
        <f>[4]Sayfa1!$AN139</f>
        <v>2</v>
      </c>
      <c r="V143" s="60">
        <f>[4]Sayfa1!$T139</f>
        <v>45528</v>
      </c>
      <c r="W143" s="61">
        <f>[4]Sayfa1!$U139</f>
        <v>45528.428877314815</v>
      </c>
      <c r="X143" s="69">
        <f t="shared" si="40"/>
        <v>45528.428877314815</v>
      </c>
      <c r="Y143" s="70">
        <f>[4]Sayfa1!$AQ139</f>
        <v>45528</v>
      </c>
      <c r="Z143" s="61">
        <f>[4]Sayfa1!$AR139</f>
        <v>45528.5</v>
      </c>
      <c r="AA143" s="69">
        <f t="shared" si="41"/>
        <v>45528.5</v>
      </c>
      <c r="AB143" s="71">
        <f t="shared" si="42"/>
        <v>1.7069444444496185</v>
      </c>
      <c r="AC143" s="60">
        <f t="shared" si="43"/>
        <v>45528</v>
      </c>
      <c r="AD143" s="61">
        <f t="shared" si="44"/>
        <v>45528.5</v>
      </c>
      <c r="AE143" s="69">
        <f t="shared" si="45"/>
        <v>45528.5</v>
      </c>
      <c r="AF143" s="36" t="str">
        <f>[4]Sayfa1!$AP139</f>
        <v>(I) İlk defa karşılaşılan arıza</v>
      </c>
      <c r="AG143" s="33" t="str">
        <f>IF([4]Sayfa1!$J139="C-Uyarı, sürüş devamlılığı","Bu Arıza Aracın Servise Verilmesine Engel Değil","Bu Arıza Aracın Servise Verilmesine Engel")</f>
        <v>Bu Arıza Aracın Servise Verilmesine Engel Değil</v>
      </c>
      <c r="AH143" s="41" t="str">
        <f>[4]Sayfa1!$AB139</f>
        <v>Ekipman değiştirilecek</v>
      </c>
      <c r="AI143" s="60"/>
      <c r="AJ143" s="60"/>
      <c r="AK143" s="69">
        <f t="shared" si="46"/>
        <v>0</v>
      </c>
      <c r="AL143" s="71">
        <f t="shared" si="47"/>
        <v>102.41666666697711</v>
      </c>
      <c r="AM143" s="71">
        <f t="shared" si="48"/>
        <v>102.41666666697711</v>
      </c>
      <c r="AN143" s="72">
        <f t="shared" si="49"/>
        <v>0</v>
      </c>
      <c r="AO143" s="73" t="str">
        <f>[4]Sayfa1!$X139</f>
        <v>P620-7023</v>
      </c>
      <c r="AP143" s="72">
        <f>[4]Sayfa1!$Y139</f>
        <v>1</v>
      </c>
      <c r="AQ143" s="184" t="str">
        <f>[4]Sayfa1!$V139</f>
        <v>MEDCOM SP. Z O.O.</v>
      </c>
      <c r="AR143" s="74" t="str">
        <f>[4]Sayfa1!$W139</f>
        <v>COMBO KUTUSU (+LHD) MEDCOM</v>
      </c>
      <c r="AS143" s="74">
        <f>[4]Sayfa1!$AD139</f>
        <v>0</v>
      </c>
      <c r="AT143" s="60" t="str">
        <f>[4]Sayfa1!$AE139</f>
        <v/>
      </c>
      <c r="AU143" s="60" t="str">
        <f>[4]Sayfa1!$AH139</f>
        <v/>
      </c>
      <c r="AV143" s="75">
        <v>138</v>
      </c>
      <c r="AW143" s="76">
        <f t="shared" si="50"/>
        <v>37.552777777891606</v>
      </c>
      <c r="AX143" s="77" t="str">
        <f>[4]Sayfa1!$A139</f>
        <v>9df64a38</v>
      </c>
      <c r="AY143" s="78" t="s">
        <v>114</v>
      </c>
      <c r="AZ143" s="79" t="e" vm="1">
        <f t="shared" si="51"/>
        <v>#VALUE!</v>
      </c>
    </row>
    <row r="144" spans="1:52" ht="220.9">
      <c r="A144" s="59" t="s">
        <v>199</v>
      </c>
      <c r="B144" s="59" t="str">
        <f>[4]Sayfa1!$G140</f>
        <v>3874(3)</v>
      </c>
      <c r="C144" s="184" t="str">
        <f>[4]Sayfa1!$H140</f>
        <v>MB</v>
      </c>
      <c r="D144" s="24">
        <f>[4]Sayfa1!$N140</f>
        <v>55300</v>
      </c>
      <c r="E144" s="24" t="str">
        <f>[4]Sayfa1!$B140</f>
        <v>BOZ-KAY5+6-FF-139</v>
      </c>
      <c r="F144" s="60">
        <f>[4]Sayfa1!$E140</f>
        <v>45376</v>
      </c>
      <c r="G144" s="61">
        <f>[4]Sayfa1!$F140</f>
        <v>45376.901388888888</v>
      </c>
      <c r="H144" s="59" t="str">
        <f>[4]Sayfa1!$I140</f>
        <v>Depo/Depot</v>
      </c>
      <c r="I144" s="62" t="str">
        <f>IF([4]Sayfa1!$K140="SSH","Notified by Bozankaya","Notified by Customer")</f>
        <v>Notified by Customer</v>
      </c>
      <c r="J144" s="59" t="e">
        <f>VLOOKUP([4]Sayfa1!$AU140,#REF!,2,FALSE)</f>
        <v>#REF!</v>
      </c>
      <c r="K144" s="59">
        <f>[4]Sayfa1!$AC140</f>
        <v>0</v>
      </c>
      <c r="L144" s="63" t="str">
        <f t="shared" si="39"/>
        <v>KAY_5+91-BOZ-KAY5+6-FF-139</v>
      </c>
      <c r="M144" s="64" t="str">
        <f>[4]Sayfa1!$L140</f>
        <v>CB KABİN KAPI AÇMAK İÇİN SERBEST VE KAPI AÇMA BUTONUNA AYNI ANDA BASMAK GEREKİYOR</v>
      </c>
      <c r="N144" s="33" t="str">
        <f>[4]Sayfa1!$J140</f>
        <v>A-Sürüşü engeller</v>
      </c>
      <c r="O144" s="33" t="str">
        <f>[4]Sayfa1!$P140</f>
        <v>B(Servisten çekmeye etki eden arızalar)</v>
      </c>
      <c r="P144" s="33" t="str">
        <f>[4]Sayfa1!$Q140</f>
        <v>N.A(Yaralanma yok)</v>
      </c>
      <c r="Q144" s="65" t="str" cm="1">
        <f t="array" ref="Q144">_xlfn.IFS([4]Sayfa1!$R140="Bozankaya","Bozankaya",[4]Sayfa1!$R140="İşletme","Customer",[4]Sayfa1!$R140="Tedarikçi","Equipment Supplier")</f>
        <v>Bozankaya</v>
      </c>
      <c r="R144" s="66" t="str">
        <f>[4]Sayfa1!$M140</f>
        <v>P BÖLÜMDEKİ KAPI SERBEST SİGORTASI ATMIŞ KALDIRILDI</v>
      </c>
      <c r="S144" s="36" t="str">
        <f>[4]Sayfa1!$S140</f>
        <v>Tasarım</v>
      </c>
      <c r="T144" s="67">
        <f>[4]Sayfa1!$Z140</f>
        <v>0</v>
      </c>
      <c r="U144" s="68">
        <f>[4]Sayfa1!$AN140</f>
        <v>2</v>
      </c>
      <c r="V144" s="60">
        <f>[4]Sayfa1!$T140</f>
        <v>45376</v>
      </c>
      <c r="W144" s="61">
        <f>[4]Sayfa1!$U140</f>
        <v>45376.916666666664</v>
      </c>
      <c r="X144" s="69">
        <f t="shared" si="40"/>
        <v>45376.916666666664</v>
      </c>
      <c r="Y144" s="70">
        <f>[4]Sayfa1!$AQ140</f>
        <v>45377</v>
      </c>
      <c r="Z144" s="61">
        <f>[4]Sayfa1!$AR140</f>
        <v>45377.458333333336</v>
      </c>
      <c r="AA144" s="69">
        <f t="shared" si="41"/>
        <v>45377.458333333336</v>
      </c>
      <c r="AB144" s="71">
        <f t="shared" si="42"/>
        <v>13.000000000116415</v>
      </c>
      <c r="AC144" s="60">
        <f t="shared" si="43"/>
        <v>45377</v>
      </c>
      <c r="AD144" s="61">
        <f t="shared" si="44"/>
        <v>45377.458333333336</v>
      </c>
      <c r="AE144" s="69">
        <f t="shared" si="45"/>
        <v>45377.458333333336</v>
      </c>
      <c r="AF144" s="36" t="str">
        <f>[4]Sayfa1!$AP140</f>
        <v>(II) Birden fazla karşılaşılan arıza</v>
      </c>
      <c r="AG144" s="33" t="str">
        <f>IF([4]Sayfa1!$J140="C-Uyarı, sürüş devamlılığı","Bu Arıza Aracın Servise Verilmesine Engel Değil","Bu Arıza Aracın Servise Verilmesine Engel")</f>
        <v>Bu Arıza Aracın Servise Verilmesine Engel</v>
      </c>
      <c r="AH144" s="41" t="str">
        <f>[4]Sayfa1!$AB140</f>
        <v>Tamir edilecek</v>
      </c>
      <c r="AI144" s="60"/>
      <c r="AJ144" s="60"/>
      <c r="AK144" s="69">
        <f t="shared" si="46"/>
        <v>0</v>
      </c>
      <c r="AL144" s="71">
        <f t="shared" si="47"/>
        <v>780.00000000698492</v>
      </c>
      <c r="AM144" s="71">
        <f t="shared" si="48"/>
        <v>780.00000000698492</v>
      </c>
      <c r="AN144" s="72">
        <f t="shared" si="49"/>
        <v>0</v>
      </c>
      <c r="AO144" s="73" t="str">
        <f>[4]Sayfa1!$X140</f>
        <v>E110-7168</v>
      </c>
      <c r="AP144" s="72">
        <f>[4]Sayfa1!$Y140</f>
        <v>1</v>
      </c>
      <c r="AQ144" s="184" t="str">
        <f>[4]Sayfa1!$V140</f>
        <v>GÖKHAN ELEKTRİK MALZ. SAN TİC. LTD.</v>
      </c>
      <c r="AR144" s="74" t="str">
        <f>[4]Sayfa1!$W140</f>
        <v>6A Sigorta</v>
      </c>
      <c r="AS144" s="74">
        <f>[4]Sayfa1!$AD140</f>
        <v>0</v>
      </c>
      <c r="AT144" s="60" t="str">
        <f>[4]Sayfa1!$AE140</f>
        <v/>
      </c>
      <c r="AU144" s="60" t="str">
        <f>[4]Sayfa1!$AH140</f>
        <v/>
      </c>
      <c r="AV144" s="75">
        <v>139</v>
      </c>
      <c r="AW144" s="76">
        <f t="shared" si="50"/>
        <v>286.00000000256114</v>
      </c>
      <c r="AX144" s="77" t="str">
        <f>[4]Sayfa1!$A140</f>
        <v>d0683c07</v>
      </c>
      <c r="AY144" s="78" t="s">
        <v>114</v>
      </c>
      <c r="AZ144" s="79" t="e" vm="1">
        <f t="shared" si="51"/>
        <v>#VALUE!</v>
      </c>
    </row>
    <row r="145" spans="1:52" ht="248.45">
      <c r="A145" s="59" t="s">
        <v>200</v>
      </c>
      <c r="B145" s="59" t="str">
        <f>[4]Sayfa1!$G141</f>
        <v>3873(2)</v>
      </c>
      <c r="C145" s="184" t="str">
        <f>[4]Sayfa1!$H141</f>
        <v>MA</v>
      </c>
      <c r="D145" s="24">
        <f>[4]Sayfa1!$N141</f>
        <v>55435</v>
      </c>
      <c r="E145" s="24" t="str">
        <f>[4]Sayfa1!$B141</f>
        <v>BOZ-KAY5+6-FF-140</v>
      </c>
      <c r="F145" s="60">
        <f>[4]Sayfa1!$E141</f>
        <v>45377</v>
      </c>
      <c r="G145" s="61">
        <f>[4]Sayfa1!$F141</f>
        <v>45377.829953703702</v>
      </c>
      <c r="H145" s="59" t="str">
        <f>[4]Sayfa1!$I141</f>
        <v>Hat/Line</v>
      </c>
      <c r="I145" s="62" t="str">
        <f>IF([4]Sayfa1!$K141="SSH","Notified by Bozankaya","Notified by Customer")</f>
        <v>Notified by Customer</v>
      </c>
      <c r="J145" s="59" t="e">
        <f>VLOOKUP([4]Sayfa1!$AU141,#REF!,2,FALSE)</f>
        <v>#REF!</v>
      </c>
      <c r="K145" s="59">
        <f>[4]Sayfa1!$AC141</f>
        <v>0</v>
      </c>
      <c r="L145" s="63" t="str">
        <f t="shared" si="39"/>
        <v>KAY_5+92-BOZ-KAY5+6-FF-140</v>
      </c>
      <c r="M145" s="64" t="str">
        <f>[4]Sayfa1!$L141</f>
        <v>MA BOJİ İÇİN FB009 ARIZASI VERDİ. ARAÇ HAREKET ETMEDİ. ARIZA SEBEBİ İLE 2 SEFERDE 12 DAKİKA TEHİR OLUŞTU.</v>
      </c>
      <c r="N145" s="33" t="str">
        <f>[4]Sayfa1!$J141</f>
        <v>A-Sürüşü engeller</v>
      </c>
      <c r="O145" s="33" t="str">
        <f>[4]Sayfa1!$P141</f>
        <v>A(Hareket etmeyi engelleyen arıza)</v>
      </c>
      <c r="P145" s="33" t="str">
        <f>[4]Sayfa1!$Q141</f>
        <v>N.A(Yaralanma yok)</v>
      </c>
      <c r="Q145" s="65" t="str" cm="1">
        <f t="array" ref="Q145">_xlfn.IFS([4]Sayfa1!$R141="Bozankaya","Bozankaya",[4]Sayfa1!$R141="İşletme","Customer",[4]Sayfa1!$R141="Tedarikçi","Equipment Supplier")</f>
        <v>Equipment Supplier</v>
      </c>
      <c r="R145" s="66" t="str">
        <f>[4]Sayfa1!$M141</f>
        <v>ARIZA 3879 NOLU ARAÇTA, ARACIN HPU DEĞİŞİMİ YAPILDI.</v>
      </c>
      <c r="S145" s="36" t="str">
        <f>[4]Sayfa1!$S141</f>
        <v>HANNING  KAHL</v>
      </c>
      <c r="T145" s="67">
        <f>[4]Sayfa1!$Z141</f>
        <v>0</v>
      </c>
      <c r="U145" s="68">
        <f>[4]Sayfa1!$AN141</f>
        <v>2</v>
      </c>
      <c r="V145" s="60">
        <f>[4]Sayfa1!$T141</f>
        <v>45553</v>
      </c>
      <c r="W145" s="61">
        <f>[4]Sayfa1!$U141</f>
        <v>45553.419930555552</v>
      </c>
      <c r="X145" s="69">
        <f t="shared" si="40"/>
        <v>45553.419930555552</v>
      </c>
      <c r="Y145" s="70">
        <f>[4]Sayfa1!$AQ141</f>
        <v>45553</v>
      </c>
      <c r="Z145" s="61">
        <f>[4]Sayfa1!$AR141</f>
        <v>45553.708333333336</v>
      </c>
      <c r="AA145" s="69">
        <f t="shared" si="41"/>
        <v>45553.708333333336</v>
      </c>
      <c r="AB145" s="71">
        <f t="shared" si="42"/>
        <v>6.9216666668071412</v>
      </c>
      <c r="AC145" s="60">
        <f t="shared" si="43"/>
        <v>45553</v>
      </c>
      <c r="AD145" s="61">
        <f t="shared" si="44"/>
        <v>45553.708333333336</v>
      </c>
      <c r="AE145" s="69">
        <f t="shared" si="45"/>
        <v>45553.708333333336</v>
      </c>
      <c r="AF145" s="36" t="str">
        <f>[4]Sayfa1!$AP141</f>
        <v>(II) Birden fazla karşılaşılan arıza</v>
      </c>
      <c r="AG145" s="33" t="str">
        <f>IF([4]Sayfa1!$J141="C-Uyarı, sürüş devamlılığı","Bu Arıza Aracın Servise Verilmesine Engel Değil","Bu Arıza Aracın Servise Verilmesine Engel")</f>
        <v>Bu Arıza Aracın Servise Verilmesine Engel</v>
      </c>
      <c r="AH145" s="41" t="str">
        <f>[4]Sayfa1!$AB141</f>
        <v>Ekipman değiştirilecek</v>
      </c>
      <c r="AI145" s="60"/>
      <c r="AJ145" s="60"/>
      <c r="AK145" s="69">
        <f t="shared" si="46"/>
        <v>0</v>
      </c>
      <c r="AL145" s="71">
        <f t="shared" si="47"/>
        <v>415.30000000842847</v>
      </c>
      <c r="AM145" s="71">
        <f t="shared" si="48"/>
        <v>415.30000000842847</v>
      </c>
      <c r="AN145" s="72">
        <f t="shared" si="49"/>
        <v>0</v>
      </c>
      <c r="AO145" s="73" t="str">
        <f>[4]Sayfa1!$X141</f>
        <v>S306-7001</v>
      </c>
      <c r="AP145" s="72">
        <f>[4]Sayfa1!$Y141</f>
        <v>1</v>
      </c>
      <c r="AQ145" s="184" t="str">
        <f>[4]Sayfa1!$V141</f>
        <v>HANNING &amp; KAHL GMBH &amp; CO.KG</v>
      </c>
      <c r="AR145" s="74" t="str">
        <f>[4]Sayfa1!$W141</f>
        <v>XHidrolik Ünite HZY-K100-DPR</v>
      </c>
      <c r="AS145" s="74">
        <f>[4]Sayfa1!$AD141</f>
        <v>0</v>
      </c>
      <c r="AT145" s="60" t="str">
        <f>[4]Sayfa1!$AE141</f>
        <v/>
      </c>
      <c r="AU145" s="60" t="str">
        <f>[4]Sayfa1!$AH141</f>
        <v/>
      </c>
      <c r="AV145" s="75">
        <v>140</v>
      </c>
      <c r="AW145" s="76">
        <f t="shared" si="50"/>
        <v>152.27666666975711</v>
      </c>
      <c r="AX145" s="77" t="str">
        <f>[4]Sayfa1!$A141</f>
        <v>bae0acff</v>
      </c>
      <c r="AY145" s="78" t="s">
        <v>114</v>
      </c>
      <c r="AZ145" s="79" t="e" vm="1">
        <f t="shared" si="51"/>
        <v>#VALUE!</v>
      </c>
    </row>
    <row r="146" spans="1:52" ht="142.9">
      <c r="A146" s="59" t="s">
        <v>201</v>
      </c>
      <c r="B146" s="59" t="str">
        <f>[4]Sayfa1!$G142</f>
        <v>3872(1)</v>
      </c>
      <c r="C146" s="184" t="str">
        <f>[4]Sayfa1!$H142</f>
        <v>RB</v>
      </c>
      <c r="D146" s="24">
        <f>[4]Sayfa1!$N142</f>
        <v>46099</v>
      </c>
      <c r="E146" s="24" t="str">
        <f>[4]Sayfa1!$B142</f>
        <v>BOZ-KAY5+6-FF-141</v>
      </c>
      <c r="F146" s="60">
        <f>[4]Sayfa1!$E142</f>
        <v>45378</v>
      </c>
      <c r="G146" s="61">
        <f>[4]Sayfa1!$F142</f>
        <v>45378.536111111112</v>
      </c>
      <c r="H146" s="59" t="str">
        <f>[4]Sayfa1!$I142</f>
        <v>Hat/Line</v>
      </c>
      <c r="I146" s="62" t="str">
        <f>IF([4]Sayfa1!$K142="SSH","Notified by Bozankaya","Notified by Customer")</f>
        <v>Notified by Customer</v>
      </c>
      <c r="J146" s="59" t="e">
        <f>VLOOKUP([4]Sayfa1!$AU142,#REF!,2,FALSE)</f>
        <v>#REF!</v>
      </c>
      <c r="K146" s="59">
        <f>[4]Sayfa1!$AC142</f>
        <v>0</v>
      </c>
      <c r="L146" s="63" t="str">
        <f t="shared" si="39"/>
        <v>KAY_5+93-BOZ-KAY5+6-FF-141</v>
      </c>
      <c r="M146" s="64" t="str">
        <f>[4]Sayfa1!$L142</f>
        <v>DEMİR TUTAMAK YERİNDEN ÇIKMIŞ</v>
      </c>
      <c r="N146" s="33" t="str">
        <f>[4]Sayfa1!$J142</f>
        <v>C-Uyarı, sürüş devamlılığı</v>
      </c>
      <c r="O146" s="33" t="str">
        <f>[4]Sayfa1!$P142</f>
        <v>B(Servisten çekmeye etki eden arızalar)</v>
      </c>
      <c r="P146" s="33" t="str">
        <f>[4]Sayfa1!$Q142</f>
        <v>N.A(Yaralanma yok)</v>
      </c>
      <c r="Q146" s="65" t="str" cm="1">
        <f t="array" ref="Q146">_xlfn.IFS([4]Sayfa1!$R142="Bozankaya","Bozankaya",[4]Sayfa1!$R142="İşletme","Customer",[4]Sayfa1!$R142="Tedarikçi","Equipment Supplier")</f>
        <v>Equipment Supplier</v>
      </c>
      <c r="R146" s="66" t="str">
        <f>[4]Sayfa1!$M142</f>
        <v>DEMİR TUTAMAK YERİNE TAKILDI(RB ENGELLİ KOLTUK TUTMAĞI)</v>
      </c>
      <c r="S146" s="36" t="str">
        <f>[4]Sayfa1!$S142</f>
        <v>Bozankaya</v>
      </c>
      <c r="T146" s="67">
        <f>[4]Sayfa1!$Z142</f>
        <v>0</v>
      </c>
      <c r="U146" s="68">
        <f>[4]Sayfa1!$AN142</f>
        <v>1</v>
      </c>
      <c r="V146" s="60">
        <f>[4]Sayfa1!$T142</f>
        <v>45378</v>
      </c>
      <c r="W146" s="61">
        <f>[4]Sayfa1!$U142</f>
        <v>45378.541666666664</v>
      </c>
      <c r="X146" s="69">
        <f t="shared" si="40"/>
        <v>45378.541666666664</v>
      </c>
      <c r="Y146" s="70">
        <f>[4]Sayfa1!$AQ142</f>
        <v>45378</v>
      </c>
      <c r="Z146" s="61">
        <f>[4]Sayfa1!$AR142</f>
        <v>45378.666666666664</v>
      </c>
      <c r="AA146" s="69">
        <f t="shared" si="41"/>
        <v>45378.666666666664</v>
      </c>
      <c r="AB146" s="71">
        <f t="shared" si="42"/>
        <v>0</v>
      </c>
      <c r="AC146" s="60">
        <f t="shared" si="43"/>
        <v>45378</v>
      </c>
      <c r="AD146" s="61">
        <f t="shared" si="44"/>
        <v>45378.666666666664</v>
      </c>
      <c r="AE146" s="69">
        <f t="shared" si="45"/>
        <v>45378.666666666664</v>
      </c>
      <c r="AF146" s="36" t="str">
        <f>[4]Sayfa1!$AP142</f>
        <v>(I) İlk defa karşılaşılan arıza</v>
      </c>
      <c r="AG146" s="33" t="str">
        <f>IF([4]Sayfa1!$J142="C-Uyarı, sürüş devamlılığı","Bu Arıza Aracın Servise Verilmesine Engel Değil","Bu Arıza Aracın Servise Verilmesine Engel")</f>
        <v>Bu Arıza Aracın Servise Verilmesine Engel Değil</v>
      </c>
      <c r="AH146" s="41" t="str">
        <f>[4]Sayfa1!$AB142</f>
        <v>Ekipman değiştirilecek</v>
      </c>
      <c r="AI146" s="60"/>
      <c r="AJ146" s="60"/>
      <c r="AK146" s="69">
        <f t="shared" si="46"/>
        <v>0</v>
      </c>
      <c r="AL146" s="71">
        <f t="shared" si="47"/>
        <v>0</v>
      </c>
      <c r="AM146" s="71">
        <f t="shared" si="48"/>
        <v>0</v>
      </c>
      <c r="AN146" s="72">
        <f t="shared" si="49"/>
        <v>0</v>
      </c>
      <c r="AO146" s="73" t="str">
        <f>[4]Sayfa1!$X142</f>
        <v>T505-7309</v>
      </c>
      <c r="AP146" s="72">
        <f>[4]Sayfa1!$Y142</f>
        <v>1</v>
      </c>
      <c r="AQ146" s="184" t="str">
        <f>[4]Sayfa1!$V142</f>
        <v>FKT KOLTUK SİS. ÜRETİM VE DAĞITIM</v>
      </c>
      <c r="AR146" s="74" t="str">
        <f>[4]Sayfa1!$W142</f>
        <v>BORU TUTUCU</v>
      </c>
      <c r="AS146" s="74">
        <f>[4]Sayfa1!$AD142</f>
        <v>0</v>
      </c>
      <c r="AT146" s="60" t="str">
        <f>[4]Sayfa1!$AE142</f>
        <v/>
      </c>
      <c r="AU146" s="60" t="str">
        <f>[4]Sayfa1!$AH142</f>
        <v/>
      </c>
      <c r="AV146" s="75">
        <v>141</v>
      </c>
      <c r="AW146" s="76">
        <f t="shared" si="50"/>
        <v>0</v>
      </c>
      <c r="AX146" s="77">
        <f>[4]Sayfa1!$A142</f>
        <v>28658554</v>
      </c>
      <c r="AY146" s="78" t="s">
        <v>114</v>
      </c>
      <c r="AZ146" s="79" t="e" vm="1">
        <f t="shared" si="51"/>
        <v>#VALUE!</v>
      </c>
    </row>
    <row r="147" spans="1:52" ht="142.9">
      <c r="A147" s="59" t="s">
        <v>202</v>
      </c>
      <c r="B147" s="59" t="str">
        <f>[4]Sayfa1!$G143</f>
        <v>3877(6)</v>
      </c>
      <c r="C147" s="184" t="str">
        <f>[4]Sayfa1!$H143</f>
        <v>MB</v>
      </c>
      <c r="D147" s="24">
        <f>[4]Sayfa1!$N143</f>
        <v>30000</v>
      </c>
      <c r="E147" s="24" t="str">
        <f>[4]Sayfa1!$B143</f>
        <v>BOZ-KAY5+6-FF-142</v>
      </c>
      <c r="F147" s="60">
        <f>[4]Sayfa1!$E143</f>
        <v>45379</v>
      </c>
      <c r="G147" s="61">
        <f>[4]Sayfa1!$F143</f>
        <v>45379.905555555553</v>
      </c>
      <c r="H147" s="59" t="str">
        <f>[4]Sayfa1!$I143</f>
        <v>Hat/Line</v>
      </c>
      <c r="I147" s="62" t="str">
        <f>IF([4]Sayfa1!$K143="SSH","Notified by Bozankaya","Notified by Customer")</f>
        <v>Notified by Customer</v>
      </c>
      <c r="J147" s="59" t="e">
        <f>VLOOKUP([4]Sayfa1!$AU143,#REF!,2,FALSE)</f>
        <v>#REF!</v>
      </c>
      <c r="K147" s="59">
        <f>[4]Sayfa1!$AC143</f>
        <v>0</v>
      </c>
      <c r="L147" s="63" t="str">
        <f t="shared" si="39"/>
        <v>KAY_5+94-BOZ-KAY5+6-FF-142</v>
      </c>
      <c r="M147" s="64" t="str">
        <f>[4]Sayfa1!$L143</f>
        <v>KABİN KLİMASI ÇALIŞMIYOR</v>
      </c>
      <c r="N147" s="33" t="str">
        <f>[4]Sayfa1!$J143</f>
        <v>A-Sürüşü engeller</v>
      </c>
      <c r="O147" s="33" t="str">
        <f>[4]Sayfa1!$P143</f>
        <v>B(Servisten çekmeye etki eden arızalar)</v>
      </c>
      <c r="P147" s="33" t="str">
        <f>[4]Sayfa1!$Q143</f>
        <v>N.A(Yaralanma yok)</v>
      </c>
      <c r="Q147" s="65" t="str" cm="1">
        <f t="array" ref="Q147">_xlfn.IFS([4]Sayfa1!$R143="Bozankaya","Bozankaya",[4]Sayfa1!$R143="İşletme","Customer",[4]Sayfa1!$R143="Tedarikçi","Equipment Supplier")</f>
        <v>Equipment Supplier</v>
      </c>
      <c r="R147" s="66" t="str">
        <f>[4]Sayfa1!$M143</f>
        <v>KABİN SENSÖR MODİFİKASYONU YAPILDI</v>
      </c>
      <c r="S147" s="36" t="str">
        <f>[4]Sayfa1!$S143</f>
        <v>Eltesan</v>
      </c>
      <c r="T147" s="67">
        <f>[4]Sayfa1!$Z143</f>
        <v>0</v>
      </c>
      <c r="U147" s="68">
        <f>[4]Sayfa1!$AN143</f>
        <v>2</v>
      </c>
      <c r="V147" s="60">
        <f>[4]Sayfa1!$T143</f>
        <v>45381</v>
      </c>
      <c r="W147" s="61">
        <f>[4]Sayfa1!$U143</f>
        <v>45381.333333333336</v>
      </c>
      <c r="X147" s="69">
        <f t="shared" si="40"/>
        <v>45381.333333333336</v>
      </c>
      <c r="Y147" s="70">
        <f>[4]Sayfa1!$AQ143</f>
        <v>45381</v>
      </c>
      <c r="Z147" s="61">
        <f>[4]Sayfa1!$AR143</f>
        <v>45381.541666666664</v>
      </c>
      <c r="AA147" s="69">
        <f t="shared" si="41"/>
        <v>45381.541666666664</v>
      </c>
      <c r="AB147" s="71">
        <f t="shared" si="42"/>
        <v>4.9999999998835847</v>
      </c>
      <c r="AC147" s="60">
        <f t="shared" si="43"/>
        <v>45381</v>
      </c>
      <c r="AD147" s="61">
        <f t="shared" si="44"/>
        <v>45381.541666666664</v>
      </c>
      <c r="AE147" s="69">
        <f t="shared" si="45"/>
        <v>45381.541666666664</v>
      </c>
      <c r="AF147" s="36" t="str">
        <f>[4]Sayfa1!$AP143</f>
        <v>(II) Birden fazla karşılaşılan arıza</v>
      </c>
      <c r="AG147" s="33" t="str">
        <f>IF([4]Sayfa1!$J143="C-Uyarı, sürüş devamlılığı","Bu Arıza Aracın Servise Verilmesine Engel Değil","Bu Arıza Aracın Servise Verilmesine Engel")</f>
        <v>Bu Arıza Aracın Servise Verilmesine Engel</v>
      </c>
      <c r="AH147" s="41" t="str">
        <f>[4]Sayfa1!$AB143</f>
        <v>Arıza çözülecek</v>
      </c>
      <c r="AI147" s="60"/>
      <c r="AJ147" s="60"/>
      <c r="AK147" s="69">
        <f t="shared" si="46"/>
        <v>0</v>
      </c>
      <c r="AL147" s="71">
        <f t="shared" si="47"/>
        <v>299.99999999301508</v>
      </c>
      <c r="AM147" s="71">
        <f t="shared" si="48"/>
        <v>299.99999999301508</v>
      </c>
      <c r="AN147" s="72">
        <f t="shared" si="49"/>
        <v>0</v>
      </c>
      <c r="AO147" s="73" t="str">
        <f>[4]Sayfa1!$X143</f>
        <v>H500-7240</v>
      </c>
      <c r="AP147" s="72">
        <f>[4]Sayfa1!$Y143</f>
        <v>1</v>
      </c>
      <c r="AQ147" s="184" t="str">
        <f>[4]Sayfa1!$V143</f>
        <v>ELTESAN ELEKTRO MEKANİK SOĞUTMA SAN</v>
      </c>
      <c r="AR147" s="74" t="str">
        <f>[4]Sayfa1!$W143</f>
        <v>KLIMA UNITESİ /Eltesan/Hispacold 41,5 kW</v>
      </c>
      <c r="AS147" s="74">
        <f>[4]Sayfa1!$AD143</f>
        <v>0</v>
      </c>
      <c r="AT147" s="60" t="str">
        <f>[4]Sayfa1!$AE143</f>
        <v/>
      </c>
      <c r="AU147" s="60" t="str">
        <f>[4]Sayfa1!$AH143</f>
        <v/>
      </c>
      <c r="AV147" s="75">
        <v>142</v>
      </c>
      <c r="AW147" s="76">
        <f t="shared" si="50"/>
        <v>109.99999999743886</v>
      </c>
      <c r="AX147" s="77" t="str">
        <f>[4]Sayfa1!$A143</f>
        <v>f2071eb4</v>
      </c>
      <c r="AY147" s="78" t="s">
        <v>114</v>
      </c>
      <c r="AZ147" s="79" t="e" vm="1">
        <f t="shared" si="51"/>
        <v>#VALUE!</v>
      </c>
    </row>
    <row r="148" spans="1:52" ht="186.6">
      <c r="A148" s="59" t="s">
        <v>203</v>
      </c>
      <c r="B148" s="59" t="str">
        <f>[4]Sayfa1!$G144</f>
        <v>3881(10)</v>
      </c>
      <c r="C148" s="184" t="str">
        <f>[4]Sayfa1!$H144</f>
        <v>MB</v>
      </c>
      <c r="D148" s="24">
        <f>[4]Sayfa1!$N144</f>
        <v>30265</v>
      </c>
      <c r="E148" s="24" t="str">
        <f>[4]Sayfa1!$B144</f>
        <v>BOZ-KAY5+6-FF-143</v>
      </c>
      <c r="F148" s="60">
        <f>[4]Sayfa1!$E144</f>
        <v>45381</v>
      </c>
      <c r="G148" s="61">
        <f>[4]Sayfa1!$F144</f>
        <v>45381.981944444444</v>
      </c>
      <c r="H148" s="59" t="str">
        <f>[4]Sayfa1!$I144</f>
        <v>Hat/Line</v>
      </c>
      <c r="I148" s="62" t="str">
        <f>IF([4]Sayfa1!$K144="SSH","Notified by Bozankaya","Notified by Customer")</f>
        <v>Notified by Customer</v>
      </c>
      <c r="J148" s="59" t="e">
        <f>VLOOKUP([4]Sayfa1!$AU144,#REF!,2,FALSE)</f>
        <v>#REF!</v>
      </c>
      <c r="K148" s="59">
        <f>[4]Sayfa1!$AC144</f>
        <v>0</v>
      </c>
      <c r="L148" s="63" t="str">
        <f t="shared" si="39"/>
        <v>KAY_5+95-BOZ-KAY5+6-FF-143</v>
      </c>
      <c r="M148" s="64" t="str">
        <f>[4]Sayfa1!$L144</f>
        <v>MB Bojiden sürtünme sesi geliyor</v>
      </c>
      <c r="N148" s="33" t="str">
        <f>[4]Sayfa1!$J144</f>
        <v>C-Uyarı, sürüş devamlılığı</v>
      </c>
      <c r="O148" s="33" t="str">
        <f>[4]Sayfa1!$P144</f>
        <v>C(Sisteme etki etmeyen arıza)</v>
      </c>
      <c r="P148" s="33" t="str">
        <f>[4]Sayfa1!$Q144</f>
        <v>N.A(Yaralanma yok)</v>
      </c>
      <c r="Q148" s="65" t="str" cm="1">
        <f t="array" ref="Q148">_xlfn.IFS([4]Sayfa1!$R144="Bozankaya","Bozankaya",[4]Sayfa1!$R144="İşletme","Customer",[4]Sayfa1!$R144="Tedarikçi","Equipment Supplier")</f>
        <v>Bozankaya</v>
      </c>
      <c r="R148" s="66" t="str">
        <f>[4]Sayfa1!$M144</f>
        <v>MB sol teker önündeki taş kırıcı gevşeyerek aşağı düşmüş yeniden ayarlanarak sıkılandı</v>
      </c>
      <c r="S148" s="36" t="str">
        <f>[4]Sayfa1!$S144</f>
        <v>Tasarım</v>
      </c>
      <c r="T148" s="67">
        <f>[4]Sayfa1!$Z144</f>
        <v>0</v>
      </c>
      <c r="U148" s="68">
        <f>[4]Sayfa1!$AN144</f>
        <v>2</v>
      </c>
      <c r="V148" s="60">
        <f>[4]Sayfa1!$T144</f>
        <v>45528</v>
      </c>
      <c r="W148" s="61">
        <f>[4]Sayfa1!$U144</f>
        <v>45528.432395833333</v>
      </c>
      <c r="X148" s="69">
        <f t="shared" si="40"/>
        <v>45528.432395833333</v>
      </c>
      <c r="Y148" s="70">
        <f>[4]Sayfa1!$AQ144</f>
        <v>45528</v>
      </c>
      <c r="Z148" s="61">
        <f>[4]Sayfa1!$AR144</f>
        <v>45528.583333333336</v>
      </c>
      <c r="AA148" s="69">
        <f t="shared" si="41"/>
        <v>45528.583333333336</v>
      </c>
      <c r="AB148" s="71">
        <f t="shared" si="42"/>
        <v>3.6225000000558794</v>
      </c>
      <c r="AC148" s="60">
        <f t="shared" si="43"/>
        <v>45528</v>
      </c>
      <c r="AD148" s="61">
        <f t="shared" si="44"/>
        <v>45528.583333333336</v>
      </c>
      <c r="AE148" s="69">
        <f t="shared" si="45"/>
        <v>45528.583333333336</v>
      </c>
      <c r="AF148" s="36" t="str">
        <f>[4]Sayfa1!$AP144</f>
        <v>(I) İlk defa karşılaşılan arıza</v>
      </c>
      <c r="AG148" s="33" t="str">
        <f>IF([4]Sayfa1!$J144="C-Uyarı, sürüş devamlılığı","Bu Arıza Aracın Servise Verilmesine Engel Değil","Bu Arıza Aracın Servise Verilmesine Engel")</f>
        <v>Bu Arıza Aracın Servise Verilmesine Engel Değil</v>
      </c>
      <c r="AH148" s="41" t="str">
        <f>[4]Sayfa1!$AB144</f>
        <v>Arıza çözülecek</v>
      </c>
      <c r="AI148" s="60"/>
      <c r="AJ148" s="60"/>
      <c r="AK148" s="69">
        <f t="shared" si="46"/>
        <v>0</v>
      </c>
      <c r="AL148" s="71">
        <f t="shared" si="47"/>
        <v>217.35000000335276</v>
      </c>
      <c r="AM148" s="71">
        <f t="shared" si="48"/>
        <v>217.35000000335276</v>
      </c>
      <c r="AN148" s="72">
        <f t="shared" si="49"/>
        <v>0</v>
      </c>
      <c r="AO148" s="73" t="str">
        <f>[4]Sayfa1!$X144</f>
        <v>B110-7027</v>
      </c>
      <c r="AP148" s="72">
        <f>[4]Sayfa1!$Y144</f>
        <v>1</v>
      </c>
      <c r="AQ148" s="184" t="str">
        <f>[4]Sayfa1!$V144</f>
        <v>GUTEHOFFNUNGSHÜTTERADSATZ GMBH</v>
      </c>
      <c r="AR148" s="74" t="str">
        <f>[4]Sayfa1!$W144</f>
        <v>MOTORLU TEKER SETI</v>
      </c>
      <c r="AS148" s="74">
        <f>[4]Sayfa1!$AD144</f>
        <v>0</v>
      </c>
      <c r="AT148" s="60" t="str">
        <f>[4]Sayfa1!$AE144</f>
        <v/>
      </c>
      <c r="AU148" s="60" t="str">
        <f>[4]Sayfa1!$AH144</f>
        <v/>
      </c>
      <c r="AV148" s="75">
        <v>143</v>
      </c>
      <c r="AW148" s="76">
        <f t="shared" si="50"/>
        <v>79.695000001229346</v>
      </c>
      <c r="AX148" s="77" t="str">
        <f>[4]Sayfa1!$A144</f>
        <v>8577b343</v>
      </c>
      <c r="AY148" s="78" t="s">
        <v>114</v>
      </c>
      <c r="AZ148" s="79" t="e" vm="1">
        <f t="shared" si="51"/>
        <v>#VALUE!</v>
      </c>
    </row>
    <row r="149" spans="1:52" ht="207">
      <c r="A149" s="59" t="s">
        <v>204</v>
      </c>
      <c r="B149" s="59" t="str">
        <f>[4]Sayfa1!$G145</f>
        <v>3877(6)</v>
      </c>
      <c r="C149" s="184" t="str">
        <f>[4]Sayfa1!$H145</f>
        <v>RA</v>
      </c>
      <c r="D149" s="24">
        <f>[4]Sayfa1!$N145</f>
        <v>30000</v>
      </c>
      <c r="E149" s="24" t="str">
        <f>[4]Sayfa1!$B145</f>
        <v>BOZ-KAY5+6-FF-144</v>
      </c>
      <c r="F149" s="60">
        <f>[4]Sayfa1!$E145</f>
        <v>45384</v>
      </c>
      <c r="G149" s="61">
        <f>[4]Sayfa1!$F145</f>
        <v>45384.831250000003</v>
      </c>
      <c r="H149" s="59" t="str">
        <f>[4]Sayfa1!$I145</f>
        <v>Hat/Line</v>
      </c>
      <c r="I149" s="62" t="str">
        <f>IF([4]Sayfa1!$K145="SSH","Notified by Bozankaya","Notified by Customer")</f>
        <v>Notified by Customer</v>
      </c>
      <c r="J149" s="59" t="e">
        <f>VLOOKUP([4]Sayfa1!$AU145,#REF!,2,FALSE)</f>
        <v>#REF!</v>
      </c>
      <c r="K149" s="59">
        <f>[4]Sayfa1!$AC145</f>
        <v>0</v>
      </c>
      <c r="L149" s="63" t="str">
        <f t="shared" si="39"/>
        <v>KAY_5+96-BOZ-KAY5+6-FF-144</v>
      </c>
      <c r="M149" s="64" t="str">
        <f>[4]Sayfa1!$L145</f>
        <v>ARAÇ KAVŞAK VE MAKAS SİNYALLERİNE TALEP VERMEDİ 2 SEFERDE 20 DAKİKA TEHİR YAŞANDI</v>
      </c>
      <c r="N149" s="33" t="str">
        <f>[4]Sayfa1!$J145</f>
        <v>A-Sürüşü engeller</v>
      </c>
      <c r="O149" s="33" t="str">
        <f>[4]Sayfa1!$P145</f>
        <v>B(Servisten çekmeye etki eden arızalar)</v>
      </c>
      <c r="P149" s="33" t="str">
        <f>[4]Sayfa1!$Q145</f>
        <v>N.A(Yaralanma yok)</v>
      </c>
      <c r="Q149" s="65" t="str" cm="1">
        <f t="array" ref="Q149">_xlfn.IFS([4]Sayfa1!$R145="Bozankaya","Bozankaya",[4]Sayfa1!$R145="İşletme","Customer",[4]Sayfa1!$R145="Tedarikçi","Equipment Supplier")</f>
        <v>Equipment Supplier</v>
      </c>
      <c r="R149" s="66" t="str">
        <f>[4]Sayfa1!$M145</f>
        <v>AU300 DEĞİŞİMİ YAPILDI</v>
      </c>
      <c r="S149" s="36" t="str">
        <f>[4]Sayfa1!$S145</f>
        <v>Atak</v>
      </c>
      <c r="T149" s="67">
        <f>[4]Sayfa1!$Z145</f>
        <v>0</v>
      </c>
      <c r="U149" s="68">
        <f>[4]Sayfa1!$AN145</f>
        <v>1</v>
      </c>
      <c r="V149" s="60">
        <f>[4]Sayfa1!$T145</f>
        <v>45385</v>
      </c>
      <c r="W149" s="61">
        <f>[4]Sayfa1!$U145</f>
        <v>45385.333333333336</v>
      </c>
      <c r="X149" s="69">
        <f t="shared" si="40"/>
        <v>45385.333333333336</v>
      </c>
      <c r="Y149" s="70">
        <f>[4]Sayfa1!$AQ145</f>
        <v>45385</v>
      </c>
      <c r="Z149" s="61">
        <f>[4]Sayfa1!$AR145</f>
        <v>45385.5</v>
      </c>
      <c r="AA149" s="69">
        <f t="shared" si="41"/>
        <v>45385.5</v>
      </c>
      <c r="AB149" s="71">
        <f t="shared" si="42"/>
        <v>3.9999999999417923</v>
      </c>
      <c r="AC149" s="60">
        <f t="shared" si="43"/>
        <v>45385</v>
      </c>
      <c r="AD149" s="61">
        <f t="shared" si="44"/>
        <v>45385.5</v>
      </c>
      <c r="AE149" s="69">
        <f t="shared" si="45"/>
        <v>45385.5</v>
      </c>
      <c r="AF149" s="36" t="str">
        <f>[4]Sayfa1!$AP145</f>
        <v>(II) Birden fazla karşılaşılan arıza</v>
      </c>
      <c r="AG149" s="33" t="str">
        <f>IF([4]Sayfa1!$J145="C-Uyarı, sürüş devamlılığı","Bu Arıza Aracın Servise Verilmesine Engel Değil","Bu Arıza Aracın Servise Verilmesine Engel")</f>
        <v>Bu Arıza Aracın Servise Verilmesine Engel</v>
      </c>
      <c r="AH149" s="41" t="str">
        <f>[4]Sayfa1!$AB145</f>
        <v>Ekipman değiştirilecek</v>
      </c>
      <c r="AI149" s="60"/>
      <c r="AJ149" s="60"/>
      <c r="AK149" s="69">
        <f t="shared" si="46"/>
        <v>0</v>
      </c>
      <c r="AL149" s="71">
        <f t="shared" si="47"/>
        <v>239.99999999650754</v>
      </c>
      <c r="AM149" s="71">
        <f t="shared" si="48"/>
        <v>239.99999999650754</v>
      </c>
      <c r="AN149" s="72">
        <f t="shared" si="49"/>
        <v>0</v>
      </c>
      <c r="AO149" s="73" t="str">
        <f>[4]Sayfa1!$X145</f>
        <v>E840-7002</v>
      </c>
      <c r="AP149" s="72">
        <f>[4]Sayfa1!$Y145</f>
        <v>1</v>
      </c>
      <c r="AQ149" s="184" t="str">
        <f>[4]Sayfa1!$V145</f>
        <v>ATAK ULAŞIM SAN.TİC.LTD.ŞTİ.</v>
      </c>
      <c r="AR149" s="74" t="str">
        <f>[4]Sayfa1!$W145</f>
        <v>Merkez Ünite AU300 (train bus, vehicle b</v>
      </c>
      <c r="AS149" s="74">
        <f>[4]Sayfa1!$AD145</f>
        <v>0</v>
      </c>
      <c r="AT149" s="60" t="str">
        <f>[4]Sayfa1!$AE145</f>
        <v/>
      </c>
      <c r="AU149" s="60" t="str">
        <f>[4]Sayfa1!$AH145</f>
        <v/>
      </c>
      <c r="AV149" s="75">
        <v>144</v>
      </c>
      <c r="AW149" s="76">
        <f t="shared" si="50"/>
        <v>43.999999999359716</v>
      </c>
      <c r="AX149" s="77" t="str">
        <f>[4]Sayfa1!$A145</f>
        <v>16b9898a</v>
      </c>
      <c r="AY149" s="78" t="s">
        <v>114</v>
      </c>
      <c r="AZ149" s="79" t="e" vm="1">
        <f t="shared" si="51"/>
        <v>#VALUE!</v>
      </c>
    </row>
    <row r="150" spans="1:52" ht="151.9">
      <c r="A150" s="59" t="s">
        <v>205</v>
      </c>
      <c r="B150" s="59" t="str">
        <f>[4]Sayfa1!$G146</f>
        <v>3872(1)</v>
      </c>
      <c r="C150" s="184" t="str">
        <f>[4]Sayfa1!$H146</f>
        <v>MA</v>
      </c>
      <c r="D150" s="24">
        <f>[4]Sayfa1!$N146</f>
        <v>46500</v>
      </c>
      <c r="E150" s="24" t="str">
        <f>[4]Sayfa1!$B146</f>
        <v>BOZ-KAY5+6-FF-145</v>
      </c>
      <c r="F150" s="60">
        <f>[4]Sayfa1!$E146</f>
        <v>45384</v>
      </c>
      <c r="G150" s="61">
        <f>[4]Sayfa1!$F146</f>
        <v>45384.834976851853</v>
      </c>
      <c r="H150" s="59" t="str">
        <f>[4]Sayfa1!$I146</f>
        <v>Hat/Line</v>
      </c>
      <c r="I150" s="62" t="str">
        <f>IF([4]Sayfa1!$K146="SSH","Notified by Bozankaya","Notified by Customer")</f>
        <v>Notified by Customer</v>
      </c>
      <c r="J150" s="59" t="e">
        <f>VLOOKUP([4]Sayfa1!$AU146,#REF!,2,FALSE)</f>
        <v>#REF!</v>
      </c>
      <c r="K150" s="59">
        <f>[4]Sayfa1!$AC146</f>
        <v>0</v>
      </c>
      <c r="L150" s="63" t="str">
        <f t="shared" si="39"/>
        <v>KAY_5+97-BOZ-KAY5+6-FF-145</v>
      </c>
      <c r="M150" s="64" t="str">
        <f>[4]Sayfa1!$L146</f>
        <v>ARAÇ KAVŞAK SİNYALLERİNE TALEP VERMEDİ RESETLENDİ DÜZELMEDİ</v>
      </c>
      <c r="N150" s="33" t="str">
        <f>[4]Sayfa1!$J146</f>
        <v>A-Sürüşü engeller</v>
      </c>
      <c r="O150" s="33" t="str">
        <f>[4]Sayfa1!$P146</f>
        <v>B(Servisten çekmeye etki eden arızalar)</v>
      </c>
      <c r="P150" s="33" t="str">
        <f>[4]Sayfa1!$Q146</f>
        <v>N.A(Yaralanma yok)</v>
      </c>
      <c r="Q150" s="65" t="str" cm="1">
        <f t="array" ref="Q150">_xlfn.IFS([4]Sayfa1!$R146="Bozankaya","Bozankaya",[4]Sayfa1!$R146="İşletme","Customer",[4]Sayfa1!$R146="Tedarikçi","Equipment Supplier")</f>
        <v>Equipment Supplier</v>
      </c>
      <c r="R150" s="66" t="str">
        <f>[4]Sayfa1!$M146</f>
        <v>değişim yapıldı.</v>
      </c>
      <c r="S150" s="36" t="str">
        <f>[4]Sayfa1!$S146</f>
        <v>Atak</v>
      </c>
      <c r="T150" s="67">
        <f>[4]Sayfa1!$Z146</f>
        <v>0</v>
      </c>
      <c r="U150" s="68">
        <f>[4]Sayfa1!$AN146</f>
        <v>1</v>
      </c>
      <c r="V150" s="60">
        <f>[4]Sayfa1!$T146</f>
        <v>45385</v>
      </c>
      <c r="W150" s="61">
        <f>[4]Sayfa1!$U146</f>
        <v>45385.333333333336</v>
      </c>
      <c r="X150" s="69">
        <f t="shared" si="40"/>
        <v>45385.333333333336</v>
      </c>
      <c r="Y150" s="70">
        <f>[4]Sayfa1!$AQ146</f>
        <v>45385</v>
      </c>
      <c r="Z150" s="61">
        <f>[4]Sayfa1!$AR146</f>
        <v>45385.5</v>
      </c>
      <c r="AA150" s="69">
        <f t="shared" si="41"/>
        <v>45385.5</v>
      </c>
      <c r="AB150" s="71">
        <f t="shared" si="42"/>
        <v>3.9999999999417923</v>
      </c>
      <c r="AC150" s="60">
        <f t="shared" si="43"/>
        <v>45385</v>
      </c>
      <c r="AD150" s="61">
        <f t="shared" si="44"/>
        <v>45385.5</v>
      </c>
      <c r="AE150" s="69">
        <f t="shared" si="45"/>
        <v>45385.5</v>
      </c>
      <c r="AF150" s="36" t="str">
        <f>[4]Sayfa1!$AP146</f>
        <v>(I) İlk defa karşılaşılan arıza</v>
      </c>
      <c r="AG150" s="33" t="str">
        <f>IF([4]Sayfa1!$J146="C-Uyarı, sürüş devamlılığı","Bu Arıza Aracın Servise Verilmesine Engel Değil","Bu Arıza Aracın Servise Verilmesine Engel")</f>
        <v>Bu Arıza Aracın Servise Verilmesine Engel</v>
      </c>
      <c r="AH150" s="41" t="str">
        <f>[4]Sayfa1!$AB146</f>
        <v>Ekipman değiştirilecek</v>
      </c>
      <c r="AI150" s="60"/>
      <c r="AJ150" s="60"/>
      <c r="AK150" s="69">
        <f t="shared" si="46"/>
        <v>0</v>
      </c>
      <c r="AL150" s="71">
        <f t="shared" si="47"/>
        <v>239.99999999650754</v>
      </c>
      <c r="AM150" s="71">
        <f t="shared" si="48"/>
        <v>239.99999999650754</v>
      </c>
      <c r="AN150" s="72">
        <f t="shared" si="49"/>
        <v>0</v>
      </c>
      <c r="AO150" s="73" t="str">
        <f>[4]Sayfa1!$X146</f>
        <v>E840-7002</v>
      </c>
      <c r="AP150" s="72">
        <f>[4]Sayfa1!$Y146</f>
        <v>1</v>
      </c>
      <c r="AQ150" s="184" t="str">
        <f>[4]Sayfa1!$V146</f>
        <v>ATAK ULAŞIM SAN.TİC.LTD.ŞTİ.</v>
      </c>
      <c r="AR150" s="74" t="str">
        <f>[4]Sayfa1!$W146</f>
        <v>Merkez Ünite AU300 (train bus, vehicle b</v>
      </c>
      <c r="AS150" s="74">
        <f>[4]Sayfa1!$AD146</f>
        <v>0</v>
      </c>
      <c r="AT150" s="60" t="str">
        <f>[4]Sayfa1!$AE146</f>
        <v/>
      </c>
      <c r="AU150" s="60" t="str">
        <f>[4]Sayfa1!$AH146</f>
        <v/>
      </c>
      <c r="AV150" s="75">
        <v>145</v>
      </c>
      <c r="AW150" s="76">
        <f t="shared" si="50"/>
        <v>43.999999999359716</v>
      </c>
      <c r="AX150" s="77" t="str">
        <f>[4]Sayfa1!$A146</f>
        <v>b741c268</v>
      </c>
      <c r="AY150" s="78" t="s">
        <v>114</v>
      </c>
      <c r="AZ150" s="79" t="e" vm="1">
        <f t="shared" si="51"/>
        <v>#VALUE!</v>
      </c>
    </row>
    <row r="151" spans="1:52" ht="142.9">
      <c r="A151" s="59" t="s">
        <v>206</v>
      </c>
      <c r="B151" s="59" t="str">
        <f>[4]Sayfa1!$G147</f>
        <v>3881(10)</v>
      </c>
      <c r="C151" s="184" t="str">
        <f>[4]Sayfa1!$H147</f>
        <v>MA</v>
      </c>
      <c r="D151" s="24">
        <f>[4]Sayfa1!$N147</f>
        <v>3000</v>
      </c>
      <c r="E151" s="24" t="str">
        <f>[4]Sayfa1!$B147</f>
        <v>BOZ-KAY5+6-FF-146</v>
      </c>
      <c r="F151" s="60">
        <f>[4]Sayfa1!$E147</f>
        <v>45384</v>
      </c>
      <c r="G151" s="61">
        <f>[4]Sayfa1!$F147</f>
        <v>45384.841666666667</v>
      </c>
      <c r="H151" s="59" t="str">
        <f>[4]Sayfa1!$I147</f>
        <v>Hat/Line</v>
      </c>
      <c r="I151" s="62" t="str">
        <f>IF([4]Sayfa1!$K147="SSH","Notified by Bozankaya","Notified by Customer")</f>
        <v>Notified by Customer</v>
      </c>
      <c r="J151" s="59" t="e">
        <f>VLOOKUP([4]Sayfa1!$AU147,#REF!,2,FALSE)</f>
        <v>#REF!</v>
      </c>
      <c r="K151" s="59">
        <f>[4]Sayfa1!$AC147</f>
        <v>0</v>
      </c>
      <c r="L151" s="63" t="str">
        <f t="shared" si="39"/>
        <v>KAY_5+98-BOZ-KAY5+6-FF-146</v>
      </c>
      <c r="M151" s="64" t="str">
        <f>[4]Sayfa1!$L147</f>
        <v>CA TELSİZDE ANONSLAR GİTMİYOR ÇAĞRI BAŞLATILAMIYOR</v>
      </c>
      <c r="N151" s="33" t="str">
        <f>[4]Sayfa1!$J147</f>
        <v>C-Uyarı, sürüş devamlılığı</v>
      </c>
      <c r="O151" s="33" t="str">
        <f>[4]Sayfa1!$P147</f>
        <v>B(Servisten çekmeye etki eden arızalar)</v>
      </c>
      <c r="P151" s="33" t="str">
        <f>[4]Sayfa1!$Q147</f>
        <v>N.A(Yaralanma yok)</v>
      </c>
      <c r="Q151" s="65" t="str" cm="1">
        <f t="array" ref="Q151">_xlfn.IFS([4]Sayfa1!$R147="Bozankaya","Bozankaya",[4]Sayfa1!$R147="İşletme","Customer",[4]Sayfa1!$R147="Tedarikçi","Equipment Supplier")</f>
        <v>Customer</v>
      </c>
      <c r="R151" s="66" t="str">
        <f>[4]Sayfa1!$M147</f>
        <v>CA TELSİZ ANTENİNDE KISA DEVRE VE KOPUKLUK VARDI ONARILDI</v>
      </c>
      <c r="S151" s="36" t="str">
        <f>[4]Sayfa1!$S147</f>
        <v>Kayseri Ulaşım</v>
      </c>
      <c r="T151" s="67">
        <f>[4]Sayfa1!$Z147</f>
        <v>0</v>
      </c>
      <c r="U151" s="68">
        <f>[4]Sayfa1!$AN147</f>
        <v>0</v>
      </c>
      <c r="V151" s="60">
        <f>[4]Sayfa1!$T147</f>
        <v>45385</v>
      </c>
      <c r="W151" s="61">
        <f>[4]Sayfa1!$U147</f>
        <v>45385.333333333336</v>
      </c>
      <c r="X151" s="69">
        <f t="shared" si="40"/>
        <v>45385.333333333336</v>
      </c>
      <c r="Y151" s="70">
        <f>[4]Sayfa1!$AQ147</f>
        <v>45385</v>
      </c>
      <c r="Z151" s="61">
        <f>[4]Sayfa1!$AR147</f>
        <v>45385.5</v>
      </c>
      <c r="AA151" s="69">
        <f t="shared" si="41"/>
        <v>45385.5</v>
      </c>
      <c r="AB151" s="71">
        <f t="shared" si="42"/>
        <v>3.9999999999417923</v>
      </c>
      <c r="AC151" s="60">
        <f t="shared" si="43"/>
        <v>45385</v>
      </c>
      <c r="AD151" s="61">
        <f t="shared" si="44"/>
        <v>45385.5</v>
      </c>
      <c r="AE151" s="69">
        <f t="shared" si="45"/>
        <v>45385.5</v>
      </c>
      <c r="AF151" s="36" t="str">
        <f>[4]Sayfa1!$AP147</f>
        <v>(II) Birden fazla karşılaşılan arıza</v>
      </c>
      <c r="AG151" s="33" t="str">
        <f>IF([4]Sayfa1!$J147="C-Uyarı, sürüş devamlılığı","Bu Arıza Aracın Servise Verilmesine Engel Değil","Bu Arıza Aracın Servise Verilmesine Engel")</f>
        <v>Bu Arıza Aracın Servise Verilmesine Engel Değil</v>
      </c>
      <c r="AH151" s="41">
        <f>[4]Sayfa1!$AB147</f>
        <v>0</v>
      </c>
      <c r="AI151" s="60"/>
      <c r="AJ151" s="60"/>
      <c r="AK151" s="69">
        <f t="shared" si="46"/>
        <v>0</v>
      </c>
      <c r="AL151" s="71">
        <f t="shared" si="47"/>
        <v>239.99999999650754</v>
      </c>
      <c r="AM151" s="71">
        <f t="shared" si="48"/>
        <v>239.99999999650754</v>
      </c>
      <c r="AN151" s="72">
        <f t="shared" si="49"/>
        <v>0</v>
      </c>
      <c r="AO151" s="73" t="str">
        <f>[4]Sayfa1!$X147</f>
        <v>E860-7012</v>
      </c>
      <c r="AP151" s="72">
        <f>[4]Sayfa1!$Y147</f>
        <v>1</v>
      </c>
      <c r="AQ151" s="184" t="str">
        <f>[4]Sayfa1!$V147</f>
        <v>KUTUP TEKNOLOJİ SAN.TİC.LTD.ŞTİ.</v>
      </c>
      <c r="AR151" s="74" t="str">
        <f>[4]Sayfa1!$W147</f>
        <v>Araç telsiz Konektör Kiti, MOT</v>
      </c>
      <c r="AS151" s="74">
        <f>[4]Sayfa1!$AD147</f>
        <v>0</v>
      </c>
      <c r="AT151" s="60" t="str">
        <f>[4]Sayfa1!$AE147</f>
        <v/>
      </c>
      <c r="AU151" s="60" t="str">
        <f>[4]Sayfa1!$AH147</f>
        <v/>
      </c>
      <c r="AV151" s="75">
        <v>146</v>
      </c>
      <c r="AW151" s="76">
        <f t="shared" si="50"/>
        <v>0</v>
      </c>
      <c r="AX151" s="77" t="str">
        <f>[4]Sayfa1!$A147</f>
        <v>0d31bd4b</v>
      </c>
      <c r="AY151" s="78" t="s">
        <v>114</v>
      </c>
      <c r="AZ151" s="79" t="e" vm="1">
        <f t="shared" si="51"/>
        <v>#VALUE!</v>
      </c>
    </row>
    <row r="152" spans="1:52" ht="142.9">
      <c r="A152" s="59" t="s">
        <v>207</v>
      </c>
      <c r="B152" s="59" t="str">
        <f>[4]Sayfa1!$G148</f>
        <v>3881(10)</v>
      </c>
      <c r="C152" s="184" t="str">
        <f>[4]Sayfa1!$H148</f>
        <v>MA</v>
      </c>
      <c r="D152" s="24">
        <f>[4]Sayfa1!$N148</f>
        <v>3019</v>
      </c>
      <c r="E152" s="24" t="str">
        <f>[4]Sayfa1!$B148</f>
        <v>BOZ-KAY5+6-FF-147</v>
      </c>
      <c r="F152" s="60">
        <f>[4]Sayfa1!$E148</f>
        <v>45384</v>
      </c>
      <c r="G152" s="61">
        <f>[4]Sayfa1!$F148</f>
        <v>45384.841666666667</v>
      </c>
      <c r="H152" s="59" t="str">
        <f>[4]Sayfa1!$I148</f>
        <v>Hat/Line</v>
      </c>
      <c r="I152" s="62" t="str">
        <f>IF([4]Sayfa1!$K148="SSH","Notified by Bozankaya","Notified by Customer")</f>
        <v>Notified by Customer</v>
      </c>
      <c r="J152" s="59" t="e">
        <f>VLOOKUP([4]Sayfa1!$AU148,#REF!,2,FALSE)</f>
        <v>#REF!</v>
      </c>
      <c r="K152" s="59">
        <f>[4]Sayfa1!$AC148</f>
        <v>0</v>
      </c>
      <c r="L152" s="63" t="str">
        <f t="shared" si="39"/>
        <v>KAY_5+99-BOZ-KAY5+6-FF-147</v>
      </c>
      <c r="M152" s="64" t="str">
        <f>[4]Sayfa1!$L148</f>
        <v>CA TELSİZE ANONSLAR GİTMİYOR ÇAĞRI BAŞLATAMIYOR.</v>
      </c>
      <c r="N152" s="33" t="str">
        <f>[4]Sayfa1!$J148</f>
        <v>C-Uyarı, sürüş devamlılığı</v>
      </c>
      <c r="O152" s="33" t="str">
        <f>[4]Sayfa1!$P148</f>
        <v>B(Servisten çekmeye etki eden arızalar)</v>
      </c>
      <c r="P152" s="33" t="str">
        <f>[4]Sayfa1!$Q148</f>
        <v>N.A(Yaralanma yok)</v>
      </c>
      <c r="Q152" s="65" t="str" cm="1">
        <f t="array" ref="Q152">_xlfn.IFS([4]Sayfa1!$R148="Bozankaya","Bozankaya",[4]Sayfa1!$R148="İşletme","Customer",[4]Sayfa1!$R148="Tedarikçi","Equipment Supplier")</f>
        <v>Equipment Supplier</v>
      </c>
      <c r="R152" s="66" t="str">
        <f>[4]Sayfa1!$M148</f>
        <v>3881 CA ANTENDE KISA DEVRE VE KOPUKLUK VARDI. TAMİRİ YAPILDI.</v>
      </c>
      <c r="S152" s="36" t="str">
        <f>[4]Sayfa1!$S148</f>
        <v>Bozankaya</v>
      </c>
      <c r="T152" s="67">
        <f>[4]Sayfa1!$Z148</f>
        <v>0</v>
      </c>
      <c r="U152" s="68">
        <f>[4]Sayfa1!$AN148</f>
        <v>1</v>
      </c>
      <c r="V152" s="60">
        <f>[4]Sayfa1!$T148</f>
        <v>45526</v>
      </c>
      <c r="W152" s="61">
        <f>[4]Sayfa1!$U148</f>
        <v>45526.620983796296</v>
      </c>
      <c r="X152" s="69">
        <f t="shared" si="40"/>
        <v>45526.620983796296</v>
      </c>
      <c r="Y152" s="70">
        <f>[4]Sayfa1!$AQ148</f>
        <v>45526</v>
      </c>
      <c r="Z152" s="61">
        <f>[4]Sayfa1!$AR148</f>
        <v>45526.708333333336</v>
      </c>
      <c r="AA152" s="69">
        <f t="shared" si="41"/>
        <v>45526.708333333336</v>
      </c>
      <c r="AB152" s="71">
        <f t="shared" si="42"/>
        <v>2.096388888952788</v>
      </c>
      <c r="AC152" s="60">
        <f t="shared" si="43"/>
        <v>45526</v>
      </c>
      <c r="AD152" s="61">
        <f t="shared" si="44"/>
        <v>45526.708333333336</v>
      </c>
      <c r="AE152" s="69">
        <f t="shared" si="45"/>
        <v>45526.708333333336</v>
      </c>
      <c r="AF152" s="36" t="str">
        <f>[4]Sayfa1!$AP148</f>
        <v>(I) İlk defa karşılaşılan arıza</v>
      </c>
      <c r="AG152" s="33" t="str">
        <f>IF([4]Sayfa1!$J148="C-Uyarı, sürüş devamlılığı","Bu Arıza Aracın Servise Verilmesine Engel Değil","Bu Arıza Aracın Servise Verilmesine Engel")</f>
        <v>Bu Arıza Aracın Servise Verilmesine Engel Değil</v>
      </c>
      <c r="AH152" s="41" t="str">
        <f>[4]Sayfa1!$AB148</f>
        <v>Tamir edilecek</v>
      </c>
      <c r="AI152" s="60"/>
      <c r="AJ152" s="60"/>
      <c r="AK152" s="69">
        <f t="shared" si="46"/>
        <v>0</v>
      </c>
      <c r="AL152" s="71">
        <f t="shared" si="47"/>
        <v>125.78333333716728</v>
      </c>
      <c r="AM152" s="71">
        <f t="shared" si="48"/>
        <v>125.78333333716728</v>
      </c>
      <c r="AN152" s="72">
        <f t="shared" si="49"/>
        <v>0</v>
      </c>
      <c r="AO152" s="73" t="str">
        <f>[4]Sayfa1!$X148</f>
        <v>E300-7372</v>
      </c>
      <c r="AP152" s="72">
        <f>[4]Sayfa1!$Y148</f>
        <v>1</v>
      </c>
      <c r="AQ152" s="184" t="str">
        <f>[4]Sayfa1!$V148</f>
        <v>KAYSERİ ULAŞIM TURİZM İNŞAAT TAAHHÜ</v>
      </c>
      <c r="AR152" s="74" t="str">
        <f>[4]Sayfa1!$W148</f>
        <v>SINYAL TALEP KARTI</v>
      </c>
      <c r="AS152" s="74">
        <f>[4]Sayfa1!$AD148</f>
        <v>0</v>
      </c>
      <c r="AT152" s="60" t="str">
        <f>[4]Sayfa1!$AE148</f>
        <v/>
      </c>
      <c r="AU152" s="60" t="str">
        <f>[4]Sayfa1!$AH148</f>
        <v/>
      </c>
      <c r="AV152" s="75">
        <v>147</v>
      </c>
      <c r="AW152" s="76">
        <f t="shared" si="50"/>
        <v>23.060277778480668</v>
      </c>
      <c r="AX152" s="77" t="str">
        <f>[4]Sayfa1!$A148</f>
        <v>4eacc912</v>
      </c>
      <c r="AY152" s="78" t="s">
        <v>114</v>
      </c>
      <c r="AZ152" s="79" t="e" vm="1">
        <f t="shared" si="51"/>
        <v>#VALUE!</v>
      </c>
    </row>
    <row r="153" spans="1:52" ht="148.15">
      <c r="A153" s="59" t="s">
        <v>208</v>
      </c>
      <c r="B153" s="59" t="str">
        <f>[4]Sayfa1!$G149</f>
        <v>3879(8)</v>
      </c>
      <c r="C153" s="184" t="str">
        <f>[4]Sayfa1!$H149</f>
        <v>RA</v>
      </c>
      <c r="D153" s="24">
        <f>[4]Sayfa1!$N149</f>
        <v>8520</v>
      </c>
      <c r="E153" s="24" t="str">
        <f>[4]Sayfa1!$B149</f>
        <v>BOZ-KAY5+6-FF-148</v>
      </c>
      <c r="F153" s="60">
        <f>[4]Sayfa1!$E149</f>
        <v>45386</v>
      </c>
      <c r="G153" s="61">
        <f>[4]Sayfa1!$F149</f>
        <v>45386.489583333336</v>
      </c>
      <c r="H153" s="59" t="str">
        <f>[4]Sayfa1!$I149</f>
        <v>Hat/Line</v>
      </c>
      <c r="I153" s="62" t="str">
        <f>IF([4]Sayfa1!$K149="SSH","Notified by Bozankaya","Notified by Customer")</f>
        <v>Notified by Customer</v>
      </c>
      <c r="J153" s="59" t="e">
        <f>VLOOKUP([4]Sayfa1!$AU149,#REF!,2,FALSE)</f>
        <v>#REF!</v>
      </c>
      <c r="K153" s="59">
        <f>[4]Sayfa1!$AC149</f>
        <v>0</v>
      </c>
      <c r="L153" s="63" t="str">
        <f t="shared" si="39"/>
        <v>KAY_5+100-BOZ-KAY5+6-FF-148</v>
      </c>
      <c r="M153" s="64" t="str">
        <f>[4]Sayfa1!$L149</f>
        <v>ANONS SİSTEMİ ÇALIŞMIYOR</v>
      </c>
      <c r="N153" s="33" t="str">
        <f>[4]Sayfa1!$J149</f>
        <v>C-Uyarı, sürüş devamlılığı</v>
      </c>
      <c r="O153" s="33" t="str">
        <f>[4]Sayfa1!$P149</f>
        <v>B(Servisten çekmeye etki eden arızalar)</v>
      </c>
      <c r="P153" s="33" t="str">
        <f>[4]Sayfa1!$Q149</f>
        <v>N.A(Yaralanma yok)</v>
      </c>
      <c r="Q153" s="65" t="str" cm="1">
        <f t="array" ref="Q153">_xlfn.IFS([4]Sayfa1!$R149="Bozankaya","Bozankaya",[4]Sayfa1!$R149="İşletme","Customer",[4]Sayfa1!$R149="Tedarikçi","Equipment Supplier")</f>
        <v>Equipment Supplier</v>
      </c>
      <c r="R153" s="66" t="str">
        <f>[4]Sayfa1!$M149</f>
        <v>ANONS SİSTEMİ ÇALIŞIYOR SES SEVİYESİ YÜKSELTİLDİ</v>
      </c>
      <c r="S153" s="36" t="str">
        <f>[4]Sayfa1!$S149</f>
        <v>LUTZE</v>
      </c>
      <c r="T153" s="67">
        <f>[4]Sayfa1!$Z149</f>
        <v>0</v>
      </c>
      <c r="U153" s="68">
        <f>[4]Sayfa1!$AN149</f>
        <v>1</v>
      </c>
      <c r="V153" s="60">
        <f>[4]Sayfa1!$T149</f>
        <v>45387</v>
      </c>
      <c r="W153" s="61">
        <f>[4]Sayfa1!$U149</f>
        <v>45387.347222222219</v>
      </c>
      <c r="X153" s="69">
        <f t="shared" si="40"/>
        <v>45387.347222222219</v>
      </c>
      <c r="Y153" s="70">
        <f>[4]Sayfa1!$AQ149</f>
        <v>45387</v>
      </c>
      <c r="Z153" s="61">
        <f>[4]Sayfa1!$AR149</f>
        <v>45387.625</v>
      </c>
      <c r="AA153" s="69">
        <f t="shared" si="41"/>
        <v>45387.625</v>
      </c>
      <c r="AB153" s="71">
        <f t="shared" si="42"/>
        <v>6.6666666667442769</v>
      </c>
      <c r="AC153" s="60">
        <f t="shared" si="43"/>
        <v>45387</v>
      </c>
      <c r="AD153" s="61">
        <f t="shared" si="44"/>
        <v>45387.625</v>
      </c>
      <c r="AE153" s="69">
        <f t="shared" si="45"/>
        <v>45387.625</v>
      </c>
      <c r="AF153" s="36" t="str">
        <f>[4]Sayfa1!$AP149</f>
        <v>(I) İlk defa karşılaşılan arıza</v>
      </c>
      <c r="AG153" s="33" t="str">
        <f>IF([4]Sayfa1!$J149="C-Uyarı, sürüş devamlılığı","Bu Arıza Aracın Servise Verilmesine Engel Değil","Bu Arıza Aracın Servise Verilmesine Engel")</f>
        <v>Bu Arıza Aracın Servise Verilmesine Engel Değil</v>
      </c>
      <c r="AH153" s="41" t="str">
        <f>[4]Sayfa1!$AB149</f>
        <v>Ekipman değiştirilecek</v>
      </c>
      <c r="AI153" s="60"/>
      <c r="AJ153" s="60"/>
      <c r="AK153" s="69">
        <f t="shared" si="46"/>
        <v>0</v>
      </c>
      <c r="AL153" s="71">
        <f t="shared" si="47"/>
        <v>400.00000000465661</v>
      </c>
      <c r="AM153" s="71">
        <f t="shared" si="48"/>
        <v>400.00000000465661</v>
      </c>
      <c r="AN153" s="72">
        <f t="shared" si="49"/>
        <v>0</v>
      </c>
      <c r="AO153" s="73" t="str">
        <f>[4]Sayfa1!$X149</f>
        <v>E820-7020</v>
      </c>
      <c r="AP153" s="72">
        <f>[4]Sayfa1!$Y149</f>
        <v>1</v>
      </c>
      <c r="AQ153" s="184" t="str">
        <f>[4]Sayfa1!$V149</f>
        <v>Lütze Transportation GmbH</v>
      </c>
      <c r="AR153" s="74" t="str">
        <f>[4]Sayfa1!$W149</f>
        <v>ACSys-19'' RACK</v>
      </c>
      <c r="AS153" s="74">
        <f>[4]Sayfa1!$AD149</f>
        <v>0</v>
      </c>
      <c r="AT153" s="60" t="str">
        <f>[4]Sayfa1!$AE149</f>
        <v/>
      </c>
      <c r="AU153" s="60" t="str">
        <f>[4]Sayfa1!$AH149</f>
        <v/>
      </c>
      <c r="AV153" s="75">
        <v>148</v>
      </c>
      <c r="AW153" s="76">
        <f t="shared" si="50"/>
        <v>73.333333334187046</v>
      </c>
      <c r="AX153" s="77" t="str">
        <f>[4]Sayfa1!$A149</f>
        <v>81a4603f</v>
      </c>
      <c r="AY153" s="78" t="s">
        <v>114</v>
      </c>
      <c r="AZ153" s="79" t="e" vm="1">
        <f t="shared" si="51"/>
        <v>#VALUE!</v>
      </c>
    </row>
    <row r="154" spans="1:52" ht="151.9">
      <c r="A154" s="59" t="s">
        <v>209</v>
      </c>
      <c r="B154" s="59" t="str">
        <f>[4]Sayfa1!$G150</f>
        <v>3874(3)</v>
      </c>
      <c r="C154" s="184" t="str">
        <f>[4]Sayfa1!$H150</f>
        <v>RB</v>
      </c>
      <c r="D154" s="24">
        <f>[4]Sayfa1!$N150</f>
        <v>57547</v>
      </c>
      <c r="E154" s="24" t="str">
        <f>[4]Sayfa1!$B150</f>
        <v>BOZ-KAY5+6-FF-149</v>
      </c>
      <c r="F154" s="60">
        <f>[4]Sayfa1!$E150</f>
        <v>45387</v>
      </c>
      <c r="G154" s="61">
        <f>[4]Sayfa1!$F150</f>
        <v>45387.494444444441</v>
      </c>
      <c r="H154" s="59" t="str">
        <f>[4]Sayfa1!$I150</f>
        <v>Hat/Line</v>
      </c>
      <c r="I154" s="62" t="str">
        <f>IF([4]Sayfa1!$K150="SSH","Notified by Bozankaya","Notified by Customer")</f>
        <v>Notified by Customer</v>
      </c>
      <c r="J154" s="59" t="e">
        <f>VLOOKUP([4]Sayfa1!$AU150,#REF!,2,FALSE)</f>
        <v>#REF!</v>
      </c>
      <c r="K154" s="59">
        <f>[4]Sayfa1!$AC150</f>
        <v>0</v>
      </c>
      <c r="L154" s="63" t="str">
        <f t="shared" si="39"/>
        <v>KAY_5+101-BOZ-KAY5+6-FF-149</v>
      </c>
      <c r="M154" s="64" t="str">
        <f>[4]Sayfa1!$L150</f>
        <v>YOLCU ŞİKAYETİ : 3874 NUMARALI ARACIN KLİMA BÖLÜMÜ ÇALIŞMIYOR</v>
      </c>
      <c r="N154" s="33" t="str">
        <f>[4]Sayfa1!$J150</f>
        <v>C-Uyarı, sürüş devamlılığı</v>
      </c>
      <c r="O154" s="33" t="str">
        <f>[4]Sayfa1!$P150</f>
        <v>B(Servisten çekmeye etki eden arızalar)</v>
      </c>
      <c r="P154" s="33" t="str">
        <f>[4]Sayfa1!$Q150</f>
        <v>N.A(Yaralanma yok)</v>
      </c>
      <c r="Q154" s="65" t="str" cm="1">
        <f t="array" ref="Q154">_xlfn.IFS([4]Sayfa1!$R150="Bozankaya","Bozankaya",[4]Sayfa1!$R150="İşletme","Customer",[4]Sayfa1!$R150="Tedarikçi","Equipment Supplier")</f>
        <v>Equipment Supplier</v>
      </c>
      <c r="R154" s="66" t="str">
        <f>[4]Sayfa1!$M150</f>
        <v>KONDANSER FAN IZGARASI KIRILMA YAPMIŞ KENARA SÜRTME YAPIYORDU DEĞİŞİMİ YAPILDI</v>
      </c>
      <c r="S154" s="36" t="str">
        <f>[4]Sayfa1!$S150</f>
        <v>Eltesan</v>
      </c>
      <c r="T154" s="67">
        <f>[4]Sayfa1!$Z150</f>
        <v>0</v>
      </c>
      <c r="U154" s="68">
        <f>[4]Sayfa1!$AN150</f>
        <v>2</v>
      </c>
      <c r="V154" s="60">
        <f>[4]Sayfa1!$T150</f>
        <v>45387</v>
      </c>
      <c r="W154" s="61">
        <f>[4]Sayfa1!$U150</f>
        <v>45387.5</v>
      </c>
      <c r="X154" s="69">
        <f t="shared" si="40"/>
        <v>45387.5</v>
      </c>
      <c r="Y154" s="70">
        <f>[4]Sayfa1!$AQ150</f>
        <v>45387</v>
      </c>
      <c r="Z154" s="61">
        <f>[4]Sayfa1!$AR150</f>
        <v>45387.666666666664</v>
      </c>
      <c r="AA154" s="69">
        <f t="shared" si="41"/>
        <v>45387.666666666664</v>
      </c>
      <c r="AB154" s="71">
        <f t="shared" si="42"/>
        <v>0</v>
      </c>
      <c r="AC154" s="60">
        <f t="shared" si="43"/>
        <v>45387</v>
      </c>
      <c r="AD154" s="61">
        <f t="shared" si="44"/>
        <v>45387.666666666664</v>
      </c>
      <c r="AE154" s="69">
        <f t="shared" si="45"/>
        <v>45387.666666666664</v>
      </c>
      <c r="AF154" s="36" t="str">
        <f>[4]Sayfa1!$AP150</f>
        <v>(I) İlk defa karşılaşılan arıza</v>
      </c>
      <c r="AG154" s="33" t="str">
        <f>IF([4]Sayfa1!$J150="C-Uyarı, sürüş devamlılığı","Bu Arıza Aracın Servise Verilmesine Engel Değil","Bu Arıza Aracın Servise Verilmesine Engel")</f>
        <v>Bu Arıza Aracın Servise Verilmesine Engel Değil</v>
      </c>
      <c r="AH154" s="41" t="str">
        <f>[4]Sayfa1!$AB150</f>
        <v>Ekipman değiştirilecek</v>
      </c>
      <c r="AI154" s="60"/>
      <c r="AJ154" s="60"/>
      <c r="AK154" s="69">
        <f t="shared" si="46"/>
        <v>0</v>
      </c>
      <c r="AL154" s="71">
        <f t="shared" si="47"/>
        <v>0</v>
      </c>
      <c r="AM154" s="71">
        <f t="shared" si="48"/>
        <v>0</v>
      </c>
      <c r="AN154" s="72">
        <f t="shared" si="49"/>
        <v>0</v>
      </c>
      <c r="AO154" s="73" t="str">
        <f>[4]Sayfa1!$X150</f>
        <v>H500-7240</v>
      </c>
      <c r="AP154" s="72">
        <f>[4]Sayfa1!$Y150</f>
        <v>0</v>
      </c>
      <c r="AQ154" s="184" t="str">
        <f>[4]Sayfa1!$V150</f>
        <v>ELTESAN ELEKTRO MEKANİK SOĞUTMA SAN</v>
      </c>
      <c r="AR154" s="74" t="str">
        <f>[4]Sayfa1!$W150</f>
        <v>KLIMA UNITESİ /Eltesan/Hispacold 41,5 kW</v>
      </c>
      <c r="AS154" s="74">
        <f>[4]Sayfa1!$AD150</f>
        <v>0</v>
      </c>
      <c r="AT154" s="60" t="str">
        <f>[4]Sayfa1!$AE150</f>
        <v/>
      </c>
      <c r="AU154" s="60" t="str">
        <f>[4]Sayfa1!$AH150</f>
        <v/>
      </c>
      <c r="AV154" s="75">
        <v>149</v>
      </c>
      <c r="AW154" s="76">
        <f t="shared" si="50"/>
        <v>0</v>
      </c>
      <c r="AX154" s="77" t="str">
        <f>[4]Sayfa1!$A150</f>
        <v>012ddccd</v>
      </c>
      <c r="AY154" s="78" t="s">
        <v>114</v>
      </c>
      <c r="AZ154" s="79" t="e" vm="1">
        <f t="shared" si="51"/>
        <v>#VALUE!</v>
      </c>
    </row>
    <row r="155" spans="1:52" ht="186.6">
      <c r="A155" s="59" t="s">
        <v>210</v>
      </c>
      <c r="B155" s="59" t="str">
        <f>[4]Sayfa1!$G151</f>
        <v>3877(6)</v>
      </c>
      <c r="C155" s="184" t="str">
        <f>[4]Sayfa1!$H151</f>
        <v>MA</v>
      </c>
      <c r="D155" s="24">
        <f>[4]Sayfa1!$N151</f>
        <v>31100</v>
      </c>
      <c r="E155" s="24" t="str">
        <f>[4]Sayfa1!$B151</f>
        <v>BOZ-KAY5+6-FF-150</v>
      </c>
      <c r="F155" s="60">
        <f>[4]Sayfa1!$E151</f>
        <v>45389</v>
      </c>
      <c r="G155" s="61">
        <f>[4]Sayfa1!$F151</f>
        <v>45389.640972222223</v>
      </c>
      <c r="H155" s="59" t="str">
        <f>[4]Sayfa1!$I151</f>
        <v>Hat/Line</v>
      </c>
      <c r="I155" s="62" t="str">
        <f>IF([4]Sayfa1!$K151="SSH","Notified by Bozankaya","Notified by Customer")</f>
        <v>Notified by Customer</v>
      </c>
      <c r="J155" s="59" t="e">
        <f>VLOOKUP([4]Sayfa1!$AU151,#REF!,2,FALSE)</f>
        <v>#REF!</v>
      </c>
      <c r="K155" s="59">
        <f>[4]Sayfa1!$AC151</f>
        <v>0</v>
      </c>
      <c r="L155" s="63" t="str">
        <f t="shared" si="39"/>
        <v>KAY_5+102-BOZ-KAY5+6-FF-150</v>
      </c>
      <c r="M155" s="64" t="str">
        <f>[4]Sayfa1!$L151</f>
        <v>SİLECEK ARIZALI</v>
      </c>
      <c r="N155" s="33" t="str">
        <f>[4]Sayfa1!$J151</f>
        <v>A-Sürüşü engeller</v>
      </c>
      <c r="O155" s="33" t="str">
        <f>[4]Sayfa1!$P151</f>
        <v>B(Servisten çekmeye etki eden arızalar)</v>
      </c>
      <c r="P155" s="33" t="str">
        <f>[4]Sayfa1!$Q151</f>
        <v>N.A(Yaralanma yok)</v>
      </c>
      <c r="Q155" s="65" t="str" cm="1">
        <f t="array" ref="Q155">_xlfn.IFS([4]Sayfa1!$R151="Bozankaya","Bozankaya",[4]Sayfa1!$R151="İşletme","Customer",[4]Sayfa1!$R151="Tedarikçi","Equipment Supplier")</f>
        <v>Equipment Supplier</v>
      </c>
      <c r="R155" s="66" t="str">
        <f>[4]Sayfa1!$M151</f>
        <v>CA SİLECEK SOMUNU GEVŞEMİŞ SIKILDI</v>
      </c>
      <c r="S155" s="36" t="str">
        <f>[4]Sayfa1!$S151</f>
        <v>Bozankaya</v>
      </c>
      <c r="T155" s="67">
        <f>[4]Sayfa1!$Z151</f>
        <v>0</v>
      </c>
      <c r="U155" s="68">
        <f>[4]Sayfa1!$AN151</f>
        <v>1</v>
      </c>
      <c r="V155" s="60">
        <f>[4]Sayfa1!$T151</f>
        <v>45389</v>
      </c>
      <c r="W155" s="61">
        <f>[4]Sayfa1!$U151</f>
        <v>45389.666666666664</v>
      </c>
      <c r="X155" s="69">
        <f t="shared" si="40"/>
        <v>45389.666666666664</v>
      </c>
      <c r="Y155" s="70">
        <f>[4]Sayfa1!$AQ151</f>
        <v>45389</v>
      </c>
      <c r="Z155" s="61">
        <f>[4]Sayfa1!$AR151</f>
        <v>45389.75</v>
      </c>
      <c r="AA155" s="69">
        <f t="shared" si="41"/>
        <v>45389.75</v>
      </c>
      <c r="AB155" s="71">
        <f t="shared" si="42"/>
        <v>0</v>
      </c>
      <c r="AC155" s="60">
        <f t="shared" si="43"/>
        <v>45389</v>
      </c>
      <c r="AD155" s="61">
        <f t="shared" si="44"/>
        <v>45389.75</v>
      </c>
      <c r="AE155" s="69">
        <f t="shared" si="45"/>
        <v>45389.75</v>
      </c>
      <c r="AF155" s="36" t="str">
        <f>[4]Sayfa1!$AP151</f>
        <v>(II) Birden fazla karşılaşılan arıza</v>
      </c>
      <c r="AG155" s="33" t="str">
        <f>IF([4]Sayfa1!$J151="C-Uyarı, sürüş devamlılığı","Bu Arıza Aracın Servise Verilmesine Engel Değil","Bu Arıza Aracın Servise Verilmesine Engel")</f>
        <v>Bu Arıza Aracın Servise Verilmesine Engel</v>
      </c>
      <c r="AH155" s="41" t="str">
        <f>[4]Sayfa1!$AB151</f>
        <v>Tamir edilecek</v>
      </c>
      <c r="AI155" s="60"/>
      <c r="AJ155" s="60"/>
      <c r="AK155" s="69">
        <f t="shared" si="46"/>
        <v>0</v>
      </c>
      <c r="AL155" s="71">
        <f t="shared" si="47"/>
        <v>0</v>
      </c>
      <c r="AM155" s="71">
        <f t="shared" si="48"/>
        <v>0</v>
      </c>
      <c r="AN155" s="72">
        <f t="shared" si="49"/>
        <v>0</v>
      </c>
      <c r="AO155" s="73" t="str">
        <f>[4]Sayfa1!$X151</f>
        <v>M100-7066</v>
      </c>
      <c r="AP155" s="72">
        <f>[4]Sayfa1!$Y151</f>
        <v>1</v>
      </c>
      <c r="AQ155" s="184" t="str">
        <f>[4]Sayfa1!$V151</f>
        <v>DENİZLER OTOMOTİV SAN. VE TİC.LTD.Ş</v>
      </c>
      <c r="AR155" s="74" t="str">
        <f>[4]Sayfa1!$W151</f>
        <v>SİLECEK MEKANİZMASI Denizler / M.11.2506</v>
      </c>
      <c r="AS155" s="74">
        <f>[4]Sayfa1!$AD151</f>
        <v>0</v>
      </c>
      <c r="AT155" s="60" t="str">
        <f>[4]Sayfa1!$AE151</f>
        <v/>
      </c>
      <c r="AU155" s="60" t="str">
        <f>[4]Sayfa1!$AH151</f>
        <v/>
      </c>
      <c r="AV155" s="75">
        <v>150</v>
      </c>
      <c r="AW155" s="76">
        <f t="shared" si="50"/>
        <v>0</v>
      </c>
      <c r="AX155" s="77" t="str">
        <f>[4]Sayfa1!$A151</f>
        <v>a38218c9</v>
      </c>
      <c r="AY155" s="78" t="s">
        <v>114</v>
      </c>
      <c r="AZ155" s="79" t="e" vm="1">
        <f t="shared" si="51"/>
        <v>#VALUE!</v>
      </c>
    </row>
    <row r="156" spans="1:52" ht="303.60000000000002">
      <c r="A156" s="59" t="s">
        <v>211</v>
      </c>
      <c r="B156" s="59" t="str">
        <f>[4]Sayfa1!$G152</f>
        <v>3877(6)</v>
      </c>
      <c r="C156" s="184" t="str">
        <f>[4]Sayfa1!$H152</f>
        <v>MB</v>
      </c>
      <c r="D156" s="24">
        <f>[4]Sayfa1!$N152</f>
        <v>49000</v>
      </c>
      <c r="E156" s="24" t="str">
        <f>[4]Sayfa1!$B152</f>
        <v>BOZ-KAY5+6-FF-151</v>
      </c>
      <c r="F156" s="60">
        <f>[4]Sayfa1!$E152</f>
        <v>45390</v>
      </c>
      <c r="G156" s="61">
        <f>[4]Sayfa1!$F152</f>
        <v>45390.897916666669</v>
      </c>
      <c r="H156" s="59" t="str">
        <f>[4]Sayfa1!$I152</f>
        <v>Hat/Line</v>
      </c>
      <c r="I156" s="62" t="str">
        <f>IF([4]Sayfa1!$K152="SSH","Notified by Bozankaya","Notified by Customer")</f>
        <v>Notified by Customer</v>
      </c>
      <c r="J156" s="59" t="e">
        <f>VLOOKUP([4]Sayfa1!$AU152,#REF!,2,FALSE)</f>
        <v>#REF!</v>
      </c>
      <c r="K156" s="59">
        <f>[4]Sayfa1!$AC152</f>
        <v>0</v>
      </c>
      <c r="L156" s="63" t="str">
        <f t="shared" si="39"/>
        <v>KAY_5+103-BOZ-KAY5+6-FF-151</v>
      </c>
      <c r="M156" s="64" t="str">
        <f>[4]Sayfa1!$L152</f>
        <v>CB KABİNDEN İVME KOLU ARIZASI  VERİYOR. ARAÇ İVME KESTİKTEN SONRA HAREKET ETMİYOR</v>
      </c>
      <c r="N156" s="33" t="str">
        <f>[4]Sayfa1!$J152</f>
        <v>A-Sürüşü engeller</v>
      </c>
      <c r="O156" s="33" t="str">
        <f>[4]Sayfa1!$P152</f>
        <v>B(Servisten çekmeye etki eden arızalar)</v>
      </c>
      <c r="P156" s="33" t="str">
        <f>[4]Sayfa1!$Q152</f>
        <v>N.A(Yaralanma yok)</v>
      </c>
      <c r="Q156" s="65" t="str" cm="1">
        <f t="array" ref="Q156">_xlfn.IFS([4]Sayfa1!$R152="Bozankaya","Bozankaya",[4]Sayfa1!$R152="İşletme","Customer",[4]Sayfa1!$R152="Tedarikçi","Equipment Supplier")</f>
        <v>Bozankaya</v>
      </c>
      <c r="R156" s="66" t="str">
        <f>[4]Sayfa1!$M152</f>
        <v>YAPILAN KONTROLLERDE GC1132.02 KABLOSUNUN AIT MODÜLÜ 01 TERMİNALİNE TAKILMIŞ DÜZELTİLDİ. AIT MODÜL DEĞİŞİMİ YAPILDI TEST YAPILDI SORUN GÖRÜLMEDİ</v>
      </c>
      <c r="S156" s="36" t="str">
        <f>[4]Sayfa1!$S152</f>
        <v>Üretim</v>
      </c>
      <c r="T156" s="67">
        <f>[4]Sayfa1!$Z152</f>
        <v>0</v>
      </c>
      <c r="U156" s="68">
        <f>[4]Sayfa1!$AN152</f>
        <v>1</v>
      </c>
      <c r="V156" s="60">
        <f>[4]Sayfa1!$T152</f>
        <v>45391</v>
      </c>
      <c r="W156" s="61">
        <f>[4]Sayfa1!$U152</f>
        <v>45391.333333333336</v>
      </c>
      <c r="X156" s="69">
        <f t="shared" si="40"/>
        <v>45391.333333333336</v>
      </c>
      <c r="Y156" s="70">
        <f>[4]Sayfa1!$AQ152</f>
        <v>45391</v>
      </c>
      <c r="Z156" s="61">
        <f>[4]Sayfa1!$AR152</f>
        <v>45391.5</v>
      </c>
      <c r="AA156" s="69">
        <f t="shared" si="41"/>
        <v>45391.5</v>
      </c>
      <c r="AB156" s="71">
        <f t="shared" si="42"/>
        <v>3.9999999999417923</v>
      </c>
      <c r="AC156" s="60">
        <f t="shared" si="43"/>
        <v>45391</v>
      </c>
      <c r="AD156" s="61">
        <f t="shared" si="44"/>
        <v>45391.5</v>
      </c>
      <c r="AE156" s="69">
        <f t="shared" si="45"/>
        <v>45391.5</v>
      </c>
      <c r="AF156" s="36" t="str">
        <f>[4]Sayfa1!$AP152</f>
        <v>(I) İlk defa karşılaşılan arıza</v>
      </c>
      <c r="AG156" s="33" t="str">
        <f>IF([4]Sayfa1!$J152="C-Uyarı, sürüş devamlılığı","Bu Arıza Aracın Servise Verilmesine Engel Değil","Bu Arıza Aracın Servise Verilmesine Engel")</f>
        <v>Bu Arıza Aracın Servise Verilmesine Engel</v>
      </c>
      <c r="AH156" s="41" t="str">
        <f>[4]Sayfa1!$AB152</f>
        <v>Ekipman değiştirilecek</v>
      </c>
      <c r="AI156" s="60"/>
      <c r="AJ156" s="60"/>
      <c r="AK156" s="69">
        <f t="shared" si="46"/>
        <v>0</v>
      </c>
      <c r="AL156" s="71">
        <f t="shared" si="47"/>
        <v>239.99999999650754</v>
      </c>
      <c r="AM156" s="71">
        <f t="shared" si="48"/>
        <v>239.99999999650754</v>
      </c>
      <c r="AN156" s="72">
        <f t="shared" si="49"/>
        <v>0</v>
      </c>
      <c r="AO156" s="73" t="str">
        <f>[4]Sayfa1!$X152</f>
        <v>E110-7384</v>
      </c>
      <c r="AP156" s="72">
        <f>[4]Sayfa1!$Y152</f>
        <v>1</v>
      </c>
      <c r="AQ156" s="184" t="str">
        <f>[4]Sayfa1!$V152</f>
        <v>MEDCOM SP. Z O.O.</v>
      </c>
      <c r="AR156" s="74" t="str">
        <f>[4]Sayfa1!$W152</f>
        <v>TCMS ELEMANI</v>
      </c>
      <c r="AS156" s="74">
        <f>[4]Sayfa1!$AD152</f>
        <v>0</v>
      </c>
      <c r="AT156" s="60" t="str">
        <f>[4]Sayfa1!$AE152</f>
        <v/>
      </c>
      <c r="AU156" s="60" t="str">
        <f>[4]Sayfa1!$AH152</f>
        <v/>
      </c>
      <c r="AV156" s="75">
        <v>151</v>
      </c>
      <c r="AW156" s="76">
        <f t="shared" si="50"/>
        <v>43.999999999359716</v>
      </c>
      <c r="AX156" s="77" t="str">
        <f>[4]Sayfa1!$A152</f>
        <v>ef76fe54</v>
      </c>
      <c r="AY156" s="78" t="s">
        <v>114</v>
      </c>
      <c r="AZ156" s="79" t="e" vm="1">
        <f t="shared" si="51"/>
        <v>#VALUE!</v>
      </c>
    </row>
    <row r="157" spans="1:52" ht="409.6">
      <c r="A157" s="59" t="s">
        <v>212</v>
      </c>
      <c r="B157" s="59" t="str">
        <f>[4]Sayfa1!$G153</f>
        <v>3876(5)</v>
      </c>
      <c r="C157" s="184" t="str">
        <f>[4]Sayfa1!$H153</f>
        <v>MB</v>
      </c>
      <c r="D157" s="24">
        <f>[4]Sayfa1!$N153</f>
        <v>49710</v>
      </c>
      <c r="E157" s="24" t="str">
        <f>[4]Sayfa1!$B153</f>
        <v>BOZ-KAY5+6-FF-152</v>
      </c>
      <c r="F157" s="60">
        <f>[4]Sayfa1!$E153</f>
        <v>45392</v>
      </c>
      <c r="G157" s="61">
        <f>[4]Sayfa1!$F153</f>
        <v>45392.113194444442</v>
      </c>
      <c r="H157" s="59" t="str">
        <f>[4]Sayfa1!$I153</f>
        <v>Hat/Line</v>
      </c>
      <c r="I157" s="62" t="str">
        <f>IF([4]Sayfa1!$K153="SSH","Notified by Bozankaya","Notified by Customer")</f>
        <v>Notified by Customer</v>
      </c>
      <c r="J157" s="59" t="e">
        <f>VLOOKUP([4]Sayfa1!$AU153,#REF!,2,FALSE)</f>
        <v>#REF!</v>
      </c>
      <c r="K157" s="59">
        <f>[4]Sayfa1!$AC153</f>
        <v>0</v>
      </c>
      <c r="L157" s="63" t="str">
        <f t="shared" si="39"/>
        <v>KAY_5+104-BOZ-KAY5+6-FF-152</v>
      </c>
      <c r="M157" s="64" t="str">
        <f>[4]Sayfa1!$L153</f>
        <v>3876 CB ALPARSLAN 2. PERONDA İVME KESMİŞ. ARAÇ HAREKET ETMEMİŞ RESETLENİNCE İVME KOLU ARIZASI DÜŞMÜŞTÜR. ARAÇ ANCAK TERS KABİNDEN HAREKET ETMİŞTİR. HATTA BULUNAN ARAÇLARDA TEHİR OLUŞMUŞ. 1 ADET KISMİ SEFER İPTALİ YAŞANMIŞTIR.</v>
      </c>
      <c r="N157" s="33" t="str">
        <f>[4]Sayfa1!$J153</f>
        <v>A-Sürüşü engeller</v>
      </c>
      <c r="O157" s="33" t="str">
        <f>[4]Sayfa1!$P153</f>
        <v>A(Hareket etmeyi engelleyen arıza)</v>
      </c>
      <c r="P157" s="33" t="str">
        <f>[4]Sayfa1!$Q153</f>
        <v>N.A(Yaralanma yok)</v>
      </c>
      <c r="Q157" s="65" t="str" cm="1">
        <f t="array" ref="Q157">_xlfn.IFS([4]Sayfa1!$R153="Bozankaya","Bozankaya",[4]Sayfa1!$R153="İşletme","Customer",[4]Sayfa1!$R153="Tedarikçi","Equipment Supplier")</f>
        <v>Equipment Supplier</v>
      </c>
      <c r="R157" s="66" t="str">
        <f>[4]Sayfa1!$M153</f>
        <v>RAK07 RÖLESİ DEĞİŞTİRİLDİ.</v>
      </c>
      <c r="S157" s="36" t="str">
        <f>[4]Sayfa1!$S153</f>
        <v>Bozankaya</v>
      </c>
      <c r="T157" s="67">
        <f>[4]Sayfa1!$Z153</f>
        <v>0</v>
      </c>
      <c r="U157" s="68">
        <f>[4]Sayfa1!$AN153</f>
        <v>2</v>
      </c>
      <c r="V157" s="60">
        <f>[4]Sayfa1!$T153</f>
        <v>45526</v>
      </c>
      <c r="W157" s="61">
        <f>[4]Sayfa1!$U153</f>
        <v>45526.432199074072</v>
      </c>
      <c r="X157" s="69">
        <f t="shared" si="40"/>
        <v>45526.432199074072</v>
      </c>
      <c r="Y157" s="70">
        <f>[4]Sayfa1!$AQ153</f>
        <v>45526</v>
      </c>
      <c r="Z157" s="61">
        <f>[4]Sayfa1!$AR153</f>
        <v>45526.666666666664</v>
      </c>
      <c r="AA157" s="69">
        <f t="shared" si="41"/>
        <v>45526.666666666664</v>
      </c>
      <c r="AB157" s="71">
        <f t="shared" si="42"/>
        <v>5.6272222222178243</v>
      </c>
      <c r="AC157" s="60">
        <f t="shared" si="43"/>
        <v>45526</v>
      </c>
      <c r="AD157" s="61">
        <f t="shared" si="44"/>
        <v>45526.666666666664</v>
      </c>
      <c r="AE157" s="69">
        <f t="shared" si="45"/>
        <v>45526.666666666664</v>
      </c>
      <c r="AF157" s="36" t="str">
        <f>[4]Sayfa1!$AP153</f>
        <v>(II) Birden fazla karşılaşılan arıza</v>
      </c>
      <c r="AG157" s="33" t="str">
        <f>IF([4]Sayfa1!$J153="C-Uyarı, sürüş devamlılığı","Bu Arıza Aracın Servise Verilmesine Engel Değil","Bu Arıza Aracın Servise Verilmesine Engel")</f>
        <v>Bu Arıza Aracın Servise Verilmesine Engel</v>
      </c>
      <c r="AH157" s="41" t="str">
        <f>[4]Sayfa1!$AB153</f>
        <v>Ekipman değiştirilecek</v>
      </c>
      <c r="AI157" s="60"/>
      <c r="AJ157" s="60"/>
      <c r="AK157" s="69">
        <f t="shared" si="46"/>
        <v>0</v>
      </c>
      <c r="AL157" s="71">
        <f t="shared" si="47"/>
        <v>337.63333333306946</v>
      </c>
      <c r="AM157" s="71">
        <f t="shared" si="48"/>
        <v>337.63333333306946</v>
      </c>
      <c r="AN157" s="72">
        <f t="shared" si="49"/>
        <v>0</v>
      </c>
      <c r="AO157" s="73" t="str">
        <f>[4]Sayfa1!$X153</f>
        <v>E110-7329</v>
      </c>
      <c r="AP157" s="72">
        <f>[4]Sayfa1!$Y153</f>
        <v>1</v>
      </c>
      <c r="AQ157" s="184" t="str">
        <f>[4]Sayfa1!$V153</f>
        <v>ARDA MAKİNA ELEKTRİK TİC.VE</v>
      </c>
      <c r="AR157" s="74" t="str">
        <f>[4]Sayfa1!$W153</f>
        <v>10A-8CO RÖLE</v>
      </c>
      <c r="AS157" s="74">
        <f>[4]Sayfa1!$AD153</f>
        <v>0</v>
      </c>
      <c r="AT157" s="60" t="str">
        <f>[4]Sayfa1!$AE153</f>
        <v/>
      </c>
      <c r="AU157" s="60" t="str">
        <f>[4]Sayfa1!$AH153</f>
        <v/>
      </c>
      <c r="AV157" s="75">
        <v>152</v>
      </c>
      <c r="AW157" s="76">
        <f t="shared" si="50"/>
        <v>123.79888888879213</v>
      </c>
      <c r="AX157" s="77" t="str">
        <f>[4]Sayfa1!$A153</f>
        <v>7bf173a7</v>
      </c>
      <c r="AY157" s="78" t="s">
        <v>114</v>
      </c>
      <c r="AZ157" s="79" t="e" vm="1">
        <f t="shared" si="51"/>
        <v>#VALUE!</v>
      </c>
    </row>
    <row r="158" spans="1:52" ht="186.6">
      <c r="A158" s="59" t="s">
        <v>213</v>
      </c>
      <c r="B158" s="59" t="str">
        <f>[4]Sayfa1!$G154</f>
        <v>3878(7)</v>
      </c>
      <c r="C158" s="184" t="str">
        <f>[4]Sayfa1!$H154</f>
        <v>MB</v>
      </c>
      <c r="D158" s="24">
        <f>[4]Sayfa1!$N154</f>
        <v>26200</v>
      </c>
      <c r="E158" s="24" t="str">
        <f>[4]Sayfa1!$B154</f>
        <v>BOZ-KAY5+6-FF-153</v>
      </c>
      <c r="F158" s="60">
        <f>[4]Sayfa1!$E154</f>
        <v>45392</v>
      </c>
      <c r="G158" s="61">
        <f>[4]Sayfa1!$F154</f>
        <v>45392.228472222225</v>
      </c>
      <c r="H158" s="59" t="str">
        <f>[4]Sayfa1!$I154</f>
        <v>Depo/Depot</v>
      </c>
      <c r="I158" s="62" t="str">
        <f>IF([4]Sayfa1!$K154="SSH","Notified by Bozankaya","Notified by Customer")</f>
        <v>Notified by Customer</v>
      </c>
      <c r="J158" s="59" t="e">
        <f>VLOOKUP([4]Sayfa1!$AU154,#REF!,2,FALSE)</f>
        <v>#REF!</v>
      </c>
      <c r="K158" s="59">
        <f>[4]Sayfa1!$AC154</f>
        <v>0</v>
      </c>
      <c r="L158" s="63" t="str">
        <f t="shared" si="39"/>
        <v>KAY_5+105-BOZ-KAY5+6-FF-153</v>
      </c>
      <c r="M158" s="64" t="str">
        <f>[4]Sayfa1!$L154</f>
        <v>B KABİN SİLECEK ÇALIŞMIYOR</v>
      </c>
      <c r="N158" s="33" t="str">
        <f>[4]Sayfa1!$J154</f>
        <v>A-Sürüşü engeller</v>
      </c>
      <c r="O158" s="33" t="str">
        <f>[4]Sayfa1!$P154</f>
        <v>B(Servisten çekmeye etki eden arızalar)</v>
      </c>
      <c r="P158" s="33" t="str">
        <f>[4]Sayfa1!$Q154</f>
        <v>N.A(Yaralanma yok)</v>
      </c>
      <c r="Q158" s="65" t="str" cm="1">
        <f t="array" ref="Q158">_xlfn.IFS([4]Sayfa1!$R154="Bozankaya","Bozankaya",[4]Sayfa1!$R154="İşletme","Customer",[4]Sayfa1!$R154="Tedarikçi","Equipment Supplier")</f>
        <v>Equipment Supplier</v>
      </c>
      <c r="R158" s="66" t="str">
        <f>[4]Sayfa1!$M154</f>
        <v>SİLECEK VİDALARI GEVŞEMİŞ SIKILDI ARIZA GİDERİLDİ</v>
      </c>
      <c r="S158" s="36" t="str">
        <f>[4]Sayfa1!$S154</f>
        <v>Bozankaya</v>
      </c>
      <c r="T158" s="67">
        <f>[4]Sayfa1!$Z154</f>
        <v>0</v>
      </c>
      <c r="U158" s="68">
        <f>[4]Sayfa1!$AN154</f>
        <v>1</v>
      </c>
      <c r="V158" s="60">
        <f>[4]Sayfa1!$T154</f>
        <v>45392</v>
      </c>
      <c r="W158" s="61">
        <f>[4]Sayfa1!$U154</f>
        <v>45392.333333333336</v>
      </c>
      <c r="X158" s="69">
        <f t="shared" si="40"/>
        <v>45392.333333333336</v>
      </c>
      <c r="Y158" s="70">
        <f>[4]Sayfa1!$AQ154</f>
        <v>45392</v>
      </c>
      <c r="Z158" s="61">
        <f>[4]Sayfa1!$AR154</f>
        <v>45392.416666666664</v>
      </c>
      <c r="AA158" s="69">
        <f t="shared" si="41"/>
        <v>45392.416666666664</v>
      </c>
      <c r="AB158" s="71">
        <f t="shared" si="42"/>
        <v>0</v>
      </c>
      <c r="AC158" s="60">
        <f t="shared" si="43"/>
        <v>45392</v>
      </c>
      <c r="AD158" s="61">
        <f t="shared" si="44"/>
        <v>45392.416666666664</v>
      </c>
      <c r="AE158" s="69">
        <f t="shared" si="45"/>
        <v>45392.416666666664</v>
      </c>
      <c r="AF158" s="36" t="str">
        <f>[4]Sayfa1!$AP154</f>
        <v>(II) Birden fazla karşılaşılan arıza</v>
      </c>
      <c r="AG158" s="33" t="str">
        <f>IF([4]Sayfa1!$J154="C-Uyarı, sürüş devamlılığı","Bu Arıza Aracın Servise Verilmesine Engel Değil","Bu Arıza Aracın Servise Verilmesine Engel")</f>
        <v>Bu Arıza Aracın Servise Verilmesine Engel</v>
      </c>
      <c r="AH158" s="41" t="str">
        <f>[4]Sayfa1!$AB154</f>
        <v>Tamir edilecek</v>
      </c>
      <c r="AI158" s="60"/>
      <c r="AJ158" s="60"/>
      <c r="AK158" s="69">
        <f t="shared" si="46"/>
        <v>0</v>
      </c>
      <c r="AL158" s="71">
        <f t="shared" si="47"/>
        <v>0</v>
      </c>
      <c r="AM158" s="71">
        <f t="shared" si="48"/>
        <v>0</v>
      </c>
      <c r="AN158" s="72">
        <f t="shared" si="49"/>
        <v>0</v>
      </c>
      <c r="AO158" s="73" t="str">
        <f>[4]Sayfa1!$X154</f>
        <v>M100-7066</v>
      </c>
      <c r="AP158" s="72">
        <f>[4]Sayfa1!$Y154</f>
        <v>0</v>
      </c>
      <c r="AQ158" s="184" t="str">
        <f>[4]Sayfa1!$V154</f>
        <v>DENİZLER OTOMOTİV SAN. VE TİC.LTD.Ş</v>
      </c>
      <c r="AR158" s="74" t="str">
        <f>[4]Sayfa1!$W154</f>
        <v>SİLECEK MEKANİZMASI Denizler / M.11.2506</v>
      </c>
      <c r="AS158" s="74">
        <f>[4]Sayfa1!$AD154</f>
        <v>0</v>
      </c>
      <c r="AT158" s="60" t="str">
        <f>[4]Sayfa1!$AE154</f>
        <v/>
      </c>
      <c r="AU158" s="60" t="str">
        <f>[4]Sayfa1!$AH154</f>
        <v/>
      </c>
      <c r="AV158" s="75">
        <v>153</v>
      </c>
      <c r="AW158" s="76">
        <f t="shared" si="50"/>
        <v>0</v>
      </c>
      <c r="AX158" s="77" t="str">
        <f>[4]Sayfa1!$A154</f>
        <v>f02e1c95</v>
      </c>
      <c r="AY158" s="78" t="s">
        <v>114</v>
      </c>
      <c r="AZ158" s="79" t="e" vm="1">
        <f t="shared" si="51"/>
        <v>#VALUE!</v>
      </c>
    </row>
    <row r="159" spans="1:52" ht="207">
      <c r="A159" s="59" t="s">
        <v>214</v>
      </c>
      <c r="B159" s="59" t="str">
        <f>[4]Sayfa1!$G155</f>
        <v>3880(9)</v>
      </c>
      <c r="C159" s="184" t="str">
        <f>[4]Sayfa1!$H155</f>
        <v>MA</v>
      </c>
      <c r="D159" s="24">
        <f>[4]Sayfa1!$N155</f>
        <v>6438</v>
      </c>
      <c r="E159" s="24" t="str">
        <f>[4]Sayfa1!$B155</f>
        <v>BOZ-KAY5+6-FF-154</v>
      </c>
      <c r="F159" s="60">
        <f>[4]Sayfa1!$E155</f>
        <v>45392</v>
      </c>
      <c r="G159" s="61">
        <f>[4]Sayfa1!$F155</f>
        <v>45392.25</v>
      </c>
      <c r="H159" s="59" t="str">
        <f>[4]Sayfa1!$I155</f>
        <v>Depo/Depot</v>
      </c>
      <c r="I159" s="62" t="str">
        <f>IF([4]Sayfa1!$K155="SSH","Notified by Bozankaya","Notified by Customer")</f>
        <v>Notified by Customer</v>
      </c>
      <c r="J159" s="59" t="e">
        <f>VLOOKUP([4]Sayfa1!$AU155,#REF!,2,FALSE)</f>
        <v>#REF!</v>
      </c>
      <c r="K159" s="59">
        <f>[4]Sayfa1!$AC155</f>
        <v>0</v>
      </c>
      <c r="L159" s="63" t="str">
        <f t="shared" si="39"/>
        <v>KAY_5+106-BOZ-KAY5+6-FF-154</v>
      </c>
      <c r="M159" s="64" t="str">
        <f>[4]Sayfa1!$L155</f>
        <v>80 B KABİN KAPI AÇMA MANDALI ARIZASI</v>
      </c>
      <c r="N159" s="33" t="str">
        <f>[4]Sayfa1!$J155</f>
        <v>A-Sürüşü engeller</v>
      </c>
      <c r="O159" s="33" t="str">
        <f>[4]Sayfa1!$P155</f>
        <v>A(Hareket etmeyi engelleyen arıza)</v>
      </c>
      <c r="P159" s="33" t="str">
        <f>[4]Sayfa1!$Q155</f>
        <v>N.A(Yaralanma yok)</v>
      </c>
      <c r="Q159" s="65" t="str" cm="1">
        <f t="array" ref="Q159">_xlfn.IFS([4]Sayfa1!$R155="Bozankaya","Bozankaya",[4]Sayfa1!$R155="İşletme","Customer",[4]Sayfa1!$R155="Tedarikçi","Equipment Supplier")</f>
        <v>Equipment Supplier</v>
      </c>
      <c r="R159" s="66" t="str">
        <f>[4]Sayfa1!$M155</f>
        <v>CA KABİN KAPISI ZOR AÇILIYORDU AYAR YAPILDI. CB AÇMA KAOAMA KİLİT MANDALI BOŞA DÖNÜYORDU AYAR YAPILDI</v>
      </c>
      <c r="S159" s="36" t="str">
        <f>[4]Sayfa1!$S155</f>
        <v>Bozankaya</v>
      </c>
      <c r="T159" s="67">
        <f>[4]Sayfa1!$Z155</f>
        <v>0</v>
      </c>
      <c r="U159" s="68">
        <f>[4]Sayfa1!$AN155</f>
        <v>2</v>
      </c>
      <c r="V159" s="60">
        <f>[4]Sayfa1!$T155</f>
        <v>45392</v>
      </c>
      <c r="W159" s="61">
        <f>[4]Sayfa1!$U155</f>
        <v>45392.333333333336</v>
      </c>
      <c r="X159" s="69">
        <f t="shared" si="40"/>
        <v>45392.333333333336</v>
      </c>
      <c r="Y159" s="70">
        <f>[4]Sayfa1!$AQ155</f>
        <v>45392</v>
      </c>
      <c r="Z159" s="61">
        <f>[4]Sayfa1!$AR155</f>
        <v>45392.5</v>
      </c>
      <c r="AA159" s="69">
        <f t="shared" si="41"/>
        <v>45392.5</v>
      </c>
      <c r="AB159" s="71">
        <f t="shared" si="42"/>
        <v>0</v>
      </c>
      <c r="AC159" s="60">
        <f t="shared" si="43"/>
        <v>45392</v>
      </c>
      <c r="AD159" s="61">
        <f t="shared" si="44"/>
        <v>45392.5</v>
      </c>
      <c r="AE159" s="69">
        <f t="shared" si="45"/>
        <v>45392.5</v>
      </c>
      <c r="AF159" s="36" t="str">
        <f>[4]Sayfa1!$AP155</f>
        <v>(II) Birden fazla karşılaşılan arıza</v>
      </c>
      <c r="AG159" s="33" t="str">
        <f>IF([4]Sayfa1!$J155="C-Uyarı, sürüş devamlılığı","Bu Arıza Aracın Servise Verilmesine Engel Değil","Bu Arıza Aracın Servise Verilmesine Engel")</f>
        <v>Bu Arıza Aracın Servise Verilmesine Engel</v>
      </c>
      <c r="AH159" s="41" t="str">
        <f>[4]Sayfa1!$AB155</f>
        <v>Tamir edilecek</v>
      </c>
      <c r="AI159" s="60"/>
      <c r="AJ159" s="60"/>
      <c r="AK159" s="69">
        <f t="shared" si="46"/>
        <v>0</v>
      </c>
      <c r="AL159" s="71">
        <f t="shared" si="47"/>
        <v>0</v>
      </c>
      <c r="AM159" s="71">
        <f t="shared" si="48"/>
        <v>0</v>
      </c>
      <c r="AN159" s="72">
        <f t="shared" si="49"/>
        <v>0</v>
      </c>
      <c r="AO159" s="73" t="str">
        <f>[4]Sayfa1!$X155</f>
        <v>T190-7010</v>
      </c>
      <c r="AP159" s="72">
        <f>[4]Sayfa1!$Y155</f>
        <v>1</v>
      </c>
      <c r="AQ159" s="184" t="str">
        <f>[4]Sayfa1!$V155</f>
        <v>MESAN KİLİT A.Ş.</v>
      </c>
      <c r="AR159" s="74" t="str">
        <f>[4]Sayfa1!$W155</f>
        <v>KİLİT</v>
      </c>
      <c r="AS159" s="74">
        <f>[4]Sayfa1!$AD155</f>
        <v>0</v>
      </c>
      <c r="AT159" s="60" t="str">
        <f>[4]Sayfa1!$AE155</f>
        <v/>
      </c>
      <c r="AU159" s="60" t="str">
        <f>[4]Sayfa1!$AH155</f>
        <v/>
      </c>
      <c r="AV159" s="75">
        <v>154</v>
      </c>
      <c r="AW159" s="76">
        <f t="shared" si="50"/>
        <v>0</v>
      </c>
      <c r="AX159" s="77" t="str">
        <f>[4]Sayfa1!$A155</f>
        <v>01df42f2</v>
      </c>
      <c r="AY159" s="78" t="s">
        <v>114</v>
      </c>
      <c r="AZ159" s="79" t="e" vm="1">
        <f t="shared" si="51"/>
        <v>#VALUE!</v>
      </c>
    </row>
    <row r="160" spans="1:52" ht="211.15">
      <c r="A160" s="59" t="s">
        <v>215</v>
      </c>
      <c r="B160" s="59" t="str">
        <f>[4]Sayfa1!$G156</f>
        <v>3880(9)</v>
      </c>
      <c r="C160" s="184" t="str">
        <f>[4]Sayfa1!$H156</f>
        <v>MA</v>
      </c>
      <c r="D160" s="24">
        <f>[4]Sayfa1!$N156</f>
        <v>6000</v>
      </c>
      <c r="E160" s="24" t="str">
        <f>[4]Sayfa1!$B156</f>
        <v>BOZ-KAY5+6-FF-155</v>
      </c>
      <c r="F160" s="60">
        <f>[4]Sayfa1!$E156</f>
        <v>45392</v>
      </c>
      <c r="G160" s="61">
        <f>[4]Sayfa1!$F156</f>
        <v>45392.426388888889</v>
      </c>
      <c r="H160" s="59" t="str">
        <f>[4]Sayfa1!$I156</f>
        <v>Hat/Line</v>
      </c>
      <c r="I160" s="62" t="str">
        <f>IF([4]Sayfa1!$K156="SSH","Notified by Bozankaya","Notified by Customer")</f>
        <v>Notified by Customer</v>
      </c>
      <c r="J160" s="59" t="e">
        <f>VLOOKUP([4]Sayfa1!$AU156,#REF!,2,FALSE)</f>
        <v>#REF!</v>
      </c>
      <c r="K160" s="59">
        <f>[4]Sayfa1!$AC156</f>
        <v>0</v>
      </c>
      <c r="L160" s="63" t="str">
        <f t="shared" si="39"/>
        <v>KAY_5+107-BOZ-KAY5+6-FF-155</v>
      </c>
      <c r="M160" s="64" t="str">
        <f>[4]Sayfa1!$L156</f>
        <v>ca kabin silgeç çalışmıyor</v>
      </c>
      <c r="N160" s="33" t="str">
        <f>[4]Sayfa1!$J156</f>
        <v>C-Uyarı, sürüş devamlılığı</v>
      </c>
      <c r="O160" s="33" t="str">
        <f>[4]Sayfa1!$P156</f>
        <v>C(Sisteme etki etmeyen arıza)</v>
      </c>
      <c r="P160" s="33" t="str">
        <f>[4]Sayfa1!$Q156</f>
        <v>N.A(Yaralanma yok)</v>
      </c>
      <c r="Q160" s="65" t="str" cm="1">
        <f t="array" ref="Q160">_xlfn.IFS([4]Sayfa1!$R156="Bozankaya","Bozankaya",[4]Sayfa1!$R156="İşletme","Customer",[4]Sayfa1!$R156="Tedarikçi","Equipment Supplier")</f>
        <v>Equipment Supplier</v>
      </c>
      <c r="R160" s="66" t="str">
        <f>[4]Sayfa1!$M156</f>
        <v>yapılan kontolde silecek kolu kavrama noktasından gevşemiş .Sıkılarak problem giderildi</v>
      </c>
      <c r="S160" s="36" t="str">
        <f>[4]Sayfa1!$S156</f>
        <v>Bozankaya</v>
      </c>
      <c r="T160" s="67">
        <f>[4]Sayfa1!$Z156</f>
        <v>0</v>
      </c>
      <c r="U160" s="68">
        <f>[4]Sayfa1!$AN156</f>
        <v>1</v>
      </c>
      <c r="V160" s="60">
        <f>[4]Sayfa1!$T156</f>
        <v>45528</v>
      </c>
      <c r="W160" s="61">
        <f>[4]Sayfa1!$U156</f>
        <v>45528.437326388892</v>
      </c>
      <c r="X160" s="69">
        <f t="shared" si="40"/>
        <v>45528.437326388892</v>
      </c>
      <c r="Y160" s="70">
        <f>[4]Sayfa1!$AQ156</f>
        <v>45528</v>
      </c>
      <c r="Z160" s="61">
        <f>[4]Sayfa1!$AR156</f>
        <v>45528.5</v>
      </c>
      <c r="AA160" s="69">
        <f t="shared" si="41"/>
        <v>45528.5</v>
      </c>
      <c r="AB160" s="71">
        <f t="shared" si="42"/>
        <v>1.504166666592937</v>
      </c>
      <c r="AC160" s="60">
        <f t="shared" si="43"/>
        <v>45528</v>
      </c>
      <c r="AD160" s="61">
        <f t="shared" si="44"/>
        <v>45528.5</v>
      </c>
      <c r="AE160" s="69">
        <f t="shared" si="45"/>
        <v>45528.5</v>
      </c>
      <c r="AF160" s="36" t="str">
        <f>[4]Sayfa1!$AP156</f>
        <v>(II) Birden fazla karşılaşılan arıza</v>
      </c>
      <c r="AG160" s="33" t="str">
        <f>IF([4]Sayfa1!$J156="C-Uyarı, sürüş devamlılığı","Bu Arıza Aracın Servise Verilmesine Engel Değil","Bu Arıza Aracın Servise Verilmesine Engel")</f>
        <v>Bu Arıza Aracın Servise Verilmesine Engel Değil</v>
      </c>
      <c r="AH160" s="41" t="str">
        <f>[4]Sayfa1!$AB156</f>
        <v>Tamir edilecek</v>
      </c>
      <c r="AI160" s="60"/>
      <c r="AJ160" s="60"/>
      <c r="AK160" s="69">
        <f t="shared" si="46"/>
        <v>0</v>
      </c>
      <c r="AL160" s="71">
        <f t="shared" si="47"/>
        <v>90.249999995576218</v>
      </c>
      <c r="AM160" s="71">
        <f t="shared" si="48"/>
        <v>90.249999995576218</v>
      </c>
      <c r="AN160" s="72">
        <f t="shared" si="49"/>
        <v>0</v>
      </c>
      <c r="AO160" s="73" t="str">
        <f>[4]Sayfa1!$X156</f>
        <v>M100-7066</v>
      </c>
      <c r="AP160" s="72">
        <f>[4]Sayfa1!$Y156</f>
        <v>1</v>
      </c>
      <c r="AQ160" s="184" t="str">
        <f>[4]Sayfa1!$V156</f>
        <v>DENİZLER OTOMOTİV SAN. VE TİC.LTD.Ş</v>
      </c>
      <c r="AR160" s="74" t="str">
        <f>[4]Sayfa1!$W156</f>
        <v>SİLECEK MEKANİZMASI Denizler / M.11.2506</v>
      </c>
      <c r="AS160" s="74">
        <f>[4]Sayfa1!$AD156</f>
        <v>0</v>
      </c>
      <c r="AT160" s="60" t="str">
        <f>[4]Sayfa1!$AE156</f>
        <v/>
      </c>
      <c r="AU160" s="60" t="str">
        <f>[4]Sayfa1!$AH156</f>
        <v/>
      </c>
      <c r="AV160" s="75">
        <v>155</v>
      </c>
      <c r="AW160" s="76">
        <f t="shared" si="50"/>
        <v>16.545833332522307</v>
      </c>
      <c r="AX160" s="77" t="str">
        <f>[4]Sayfa1!$A156</f>
        <v>3dba41b8</v>
      </c>
      <c r="AY160" s="78" t="s">
        <v>114</v>
      </c>
      <c r="AZ160" s="79" t="e" vm="1">
        <f t="shared" si="51"/>
        <v>#VALUE!</v>
      </c>
    </row>
    <row r="161" spans="1:52" ht="276">
      <c r="A161" s="59" t="s">
        <v>216</v>
      </c>
      <c r="B161" s="59" t="str">
        <f>[4]Sayfa1!$G157</f>
        <v>3879(8)</v>
      </c>
      <c r="C161" s="184" t="str">
        <f>[4]Sayfa1!$H157</f>
        <v>MA</v>
      </c>
      <c r="D161" s="24">
        <f>[4]Sayfa1!$N157</f>
        <v>10205</v>
      </c>
      <c r="E161" s="24" t="str">
        <f>[4]Sayfa1!$B157</f>
        <v>BOZ-KAY5+6-FF-156</v>
      </c>
      <c r="F161" s="60">
        <f>[4]Sayfa1!$E157</f>
        <v>45395</v>
      </c>
      <c r="G161" s="61">
        <f>[4]Sayfa1!$F157</f>
        <v>45395.603472222225</v>
      </c>
      <c r="H161" s="59" t="str">
        <f>[4]Sayfa1!$I157</f>
        <v>Hat/Line</v>
      </c>
      <c r="I161" s="62" t="str">
        <f>IF([4]Sayfa1!$K157="SSH","Notified by Bozankaya","Notified by Customer")</f>
        <v>Notified by Customer</v>
      </c>
      <c r="J161" s="59" t="e">
        <f>VLOOKUP([4]Sayfa1!$AU157,#REF!,2,FALSE)</f>
        <v>#REF!</v>
      </c>
      <c r="K161" s="59">
        <f>[4]Sayfa1!$AC157</f>
        <v>0</v>
      </c>
      <c r="L161" s="63" t="str">
        <f t="shared" si="39"/>
        <v>KAY_5+108-BOZ-KAY5+6-FF-156</v>
      </c>
      <c r="M161" s="64" t="str">
        <f>[4]Sayfa1!$L157</f>
        <v>GATEWAY ÇAKIŞMASI ARIZASI VERDİ ARAÇ HAREKET ETMEDİ RESETLEYİNCE DÜZELDİ ARIZA NEDENİ İLE 1 SEFERDE 3 DK TEHİR OLUŞTU</v>
      </c>
      <c r="N161" s="33" t="str">
        <f>[4]Sayfa1!$J157</f>
        <v>A-Sürüşü engeller</v>
      </c>
      <c r="O161" s="33" t="str">
        <f>[4]Sayfa1!$P157</f>
        <v>A(Hareket etmeyi engelleyen arıza)</v>
      </c>
      <c r="P161" s="33" t="str">
        <f>[4]Sayfa1!$Q157</f>
        <v>N.A(Yaralanma yok)</v>
      </c>
      <c r="Q161" s="65" t="str" cm="1">
        <f t="array" ref="Q161">_xlfn.IFS([4]Sayfa1!$R157="Bozankaya","Bozankaya",[4]Sayfa1!$R157="İşletme","Customer",[4]Sayfa1!$R157="Tedarikçi","Equipment Supplier")</f>
        <v>Equipment Supplier</v>
      </c>
      <c r="R161" s="66" t="str">
        <f>[4]Sayfa1!$M157</f>
        <v>ARACIN KAMERA KAYDI İNCELENDİ ARAÇTA OLUMSUZ BİR DURUM GÖRÜLMEDİ İLDEM YÖNÜNE HAREKET EDİYOR</v>
      </c>
      <c r="S161" s="36" t="str">
        <f>[4]Sayfa1!$S157</f>
        <v>Medcom</v>
      </c>
      <c r="T161" s="67">
        <f>[4]Sayfa1!$Z157</f>
        <v>0</v>
      </c>
      <c r="U161" s="68">
        <f>[4]Sayfa1!$AN157</f>
        <v>2</v>
      </c>
      <c r="V161" s="60">
        <f>[4]Sayfa1!$T157</f>
        <v>45395</v>
      </c>
      <c r="W161" s="61">
        <f>[4]Sayfa1!$U157</f>
        <v>45395.666666666664</v>
      </c>
      <c r="X161" s="69">
        <f t="shared" si="40"/>
        <v>45395.666666666664</v>
      </c>
      <c r="Y161" s="70">
        <f>[4]Sayfa1!$AQ157</f>
        <v>45395</v>
      </c>
      <c r="Z161" s="61">
        <f>[4]Sayfa1!$AR157</f>
        <v>45395.75</v>
      </c>
      <c r="AA161" s="69">
        <f t="shared" si="41"/>
        <v>45395.75</v>
      </c>
      <c r="AB161" s="71">
        <f t="shared" si="42"/>
        <v>0</v>
      </c>
      <c r="AC161" s="60">
        <f t="shared" si="43"/>
        <v>45395</v>
      </c>
      <c r="AD161" s="61">
        <f t="shared" si="44"/>
        <v>45395.75</v>
      </c>
      <c r="AE161" s="69">
        <f t="shared" si="45"/>
        <v>45395.75</v>
      </c>
      <c r="AF161" s="36" t="str">
        <f>[4]Sayfa1!$AP157</f>
        <v>(I) İlk defa karşılaşılan arıza</v>
      </c>
      <c r="AG161" s="33" t="str">
        <f>IF([4]Sayfa1!$J157="C-Uyarı, sürüş devamlılığı","Bu Arıza Aracın Servise Verilmesine Engel Değil","Bu Arıza Aracın Servise Verilmesine Engel")</f>
        <v>Bu Arıza Aracın Servise Verilmesine Engel</v>
      </c>
      <c r="AH161" s="41" t="str">
        <f>[4]Sayfa1!$AB157</f>
        <v>Yazılım güncelleme</v>
      </c>
      <c r="AI161" s="60"/>
      <c r="AJ161" s="60"/>
      <c r="AK161" s="69">
        <f t="shared" si="46"/>
        <v>0</v>
      </c>
      <c r="AL161" s="71">
        <f t="shared" si="47"/>
        <v>0</v>
      </c>
      <c r="AM161" s="71">
        <f t="shared" si="48"/>
        <v>0</v>
      </c>
      <c r="AN161" s="72">
        <f t="shared" si="49"/>
        <v>0</v>
      </c>
      <c r="AO161" s="73" t="str">
        <f>[4]Sayfa1!$X157</f>
        <v>E870-7052</v>
      </c>
      <c r="AP161" s="72">
        <f>[4]Sayfa1!$Y157</f>
        <v>1</v>
      </c>
      <c r="AQ161" s="184" t="str">
        <f>[4]Sayfa1!$V157</f>
        <v>MEDCOM SP. Z O.O.</v>
      </c>
      <c r="AR161" s="74" t="str">
        <f>[4]Sayfa1!$W157</f>
        <v>GATEWAY</v>
      </c>
      <c r="AS161" s="74">
        <f>[4]Sayfa1!$AD157</f>
        <v>0</v>
      </c>
      <c r="AT161" s="60" t="str">
        <f>[4]Sayfa1!$AE157</f>
        <v/>
      </c>
      <c r="AU161" s="60" t="str">
        <f>[4]Sayfa1!$AH157</f>
        <v/>
      </c>
      <c r="AV161" s="75">
        <v>156</v>
      </c>
      <c r="AW161" s="76">
        <f t="shared" si="50"/>
        <v>0</v>
      </c>
      <c r="AX161" s="77" t="str">
        <f>[4]Sayfa1!$A157</f>
        <v>d43b9e0f</v>
      </c>
      <c r="AY161" s="78" t="s">
        <v>114</v>
      </c>
      <c r="AZ161" s="79" t="e" vm="1">
        <f t="shared" si="51"/>
        <v>#VALUE!</v>
      </c>
    </row>
    <row r="162" spans="1:52" ht="234.6">
      <c r="A162" s="59" t="s">
        <v>217</v>
      </c>
      <c r="B162" s="59" t="str">
        <f>[4]Sayfa1!$G158</f>
        <v>3879(8)</v>
      </c>
      <c r="C162" s="184" t="str">
        <f>[4]Sayfa1!$H158</f>
        <v>MB</v>
      </c>
      <c r="D162" s="24">
        <f>[4]Sayfa1!$N158</f>
        <v>10531</v>
      </c>
      <c r="E162" s="24" t="str">
        <f>[4]Sayfa1!$B158</f>
        <v>BOZ-KAY5+6-FF-157</v>
      </c>
      <c r="F162" s="60">
        <f>[4]Sayfa1!$E158</f>
        <v>45405</v>
      </c>
      <c r="G162" s="61">
        <f>[4]Sayfa1!$F158</f>
        <v>45405.147916666669</v>
      </c>
      <c r="H162" s="59" t="str">
        <f>[4]Sayfa1!$I158</f>
        <v>Hat/Line</v>
      </c>
      <c r="I162" s="62" t="str">
        <f>IF([4]Sayfa1!$K158="SSH","Notified by Bozankaya","Notified by Customer")</f>
        <v>Notified by Customer</v>
      </c>
      <c r="J162" s="59" t="e">
        <f>VLOOKUP([4]Sayfa1!$AU158,#REF!,2,FALSE)</f>
        <v>#REF!</v>
      </c>
      <c r="K162" s="59">
        <f>[4]Sayfa1!$AC158</f>
        <v>0</v>
      </c>
      <c r="L162" s="63" t="str">
        <f t="shared" si="39"/>
        <v>KAY_5+109-BOZ-KAY5+6-FF-157</v>
      </c>
      <c r="M162" s="64" t="str">
        <f>[4]Sayfa1!$L158</f>
        <v>MB FREN SİSTEMİ FB009 ARIZASI VERDİ. 2 SEFERDE 17 DAKİKA TEHİR MEYDANA GELDİ.</v>
      </c>
      <c r="N162" s="33" t="str">
        <f>[4]Sayfa1!$J158</f>
        <v>A-Sürüşü engeller</v>
      </c>
      <c r="O162" s="33" t="str">
        <f>[4]Sayfa1!$P158</f>
        <v>A(Hareket etmeyi engelleyen arıza)</v>
      </c>
      <c r="P162" s="33" t="str">
        <f>[4]Sayfa1!$Q158</f>
        <v>N.A(Yaralanma yok)</v>
      </c>
      <c r="Q162" s="65" t="str" cm="1">
        <f t="array" ref="Q162">_xlfn.IFS([4]Sayfa1!$R158="Bozankaya","Bozankaya",[4]Sayfa1!$R158="İşletme","Customer",[4]Sayfa1!$R158="Tedarikçi","Equipment Supplier")</f>
        <v>Bozankaya</v>
      </c>
      <c r="R162" s="66" t="str">
        <f>[4]Sayfa1!$M158</f>
        <v>MB BOJİ FEEDBACK KONTAK ARIZASI VERMİŞ. X3.19 HATTI KONTROL EDİLDİ. SORUN GÖRÜLMEDİ. ARAÇTA HPU DEĞİŞİMİ YAPILDI.</v>
      </c>
      <c r="S162" s="36" t="str">
        <f>[4]Sayfa1!$S158</f>
        <v>Üretim</v>
      </c>
      <c r="T162" s="67">
        <f>[4]Sayfa1!$Z158</f>
        <v>0</v>
      </c>
      <c r="U162" s="68">
        <f>[4]Sayfa1!$AN158</f>
        <v>1</v>
      </c>
      <c r="V162" s="60">
        <f>[4]Sayfa1!$T158</f>
        <v>45405</v>
      </c>
      <c r="W162" s="61">
        <f>[4]Sayfa1!$U158</f>
        <v>45405.333333333336</v>
      </c>
      <c r="X162" s="69">
        <f t="shared" si="40"/>
        <v>45405.333333333336</v>
      </c>
      <c r="Y162" s="70">
        <f>[4]Sayfa1!$AQ158</f>
        <v>45405</v>
      </c>
      <c r="Z162" s="61">
        <f>[4]Sayfa1!$AR158</f>
        <v>45405.625</v>
      </c>
      <c r="AA162" s="69">
        <f t="shared" si="41"/>
        <v>45405.625</v>
      </c>
      <c r="AB162" s="71">
        <f t="shared" si="42"/>
        <v>0</v>
      </c>
      <c r="AC162" s="60">
        <f t="shared" si="43"/>
        <v>45405</v>
      </c>
      <c r="AD162" s="61">
        <f t="shared" si="44"/>
        <v>45405.625</v>
      </c>
      <c r="AE162" s="69">
        <f t="shared" si="45"/>
        <v>45405.625</v>
      </c>
      <c r="AF162" s="36" t="str">
        <f>[4]Sayfa1!$AP158</f>
        <v>(II) Birden fazla karşılaşılan arıza</v>
      </c>
      <c r="AG162" s="33" t="str">
        <f>IF([4]Sayfa1!$J158="C-Uyarı, sürüş devamlılığı","Bu Arıza Aracın Servise Verilmesine Engel Değil","Bu Arıza Aracın Servise Verilmesine Engel")</f>
        <v>Bu Arıza Aracın Servise Verilmesine Engel</v>
      </c>
      <c r="AH162" s="41" t="str">
        <f>[4]Sayfa1!$AB158</f>
        <v>Ekipman değiştirilecek</v>
      </c>
      <c r="AI162" s="60"/>
      <c r="AJ162" s="60"/>
      <c r="AK162" s="69">
        <f t="shared" si="46"/>
        <v>0</v>
      </c>
      <c r="AL162" s="71">
        <f t="shared" si="47"/>
        <v>0</v>
      </c>
      <c r="AM162" s="71">
        <f t="shared" si="48"/>
        <v>0</v>
      </c>
      <c r="AN162" s="72">
        <f t="shared" si="49"/>
        <v>0</v>
      </c>
      <c r="AO162" s="73" t="str">
        <f>[4]Sayfa1!$X158</f>
        <v>S306-7001</v>
      </c>
      <c r="AP162" s="72">
        <f>[4]Sayfa1!$Y158</f>
        <v>1</v>
      </c>
      <c r="AQ162" s="184" t="str">
        <f>[4]Sayfa1!$V158</f>
        <v>HANNING &amp; KAHL GMBH &amp; CO.KG</v>
      </c>
      <c r="AR162" s="74" t="str">
        <f>[4]Sayfa1!$W158</f>
        <v>XHidrolik Ünite HZY-K100-DPR</v>
      </c>
      <c r="AS162" s="74">
        <f>[4]Sayfa1!$AD158</f>
        <v>0</v>
      </c>
      <c r="AT162" s="60" t="str">
        <f>[4]Sayfa1!$AE158</f>
        <v/>
      </c>
      <c r="AU162" s="60" t="str">
        <f>[4]Sayfa1!$AH158</f>
        <v/>
      </c>
      <c r="AV162" s="75">
        <v>157</v>
      </c>
      <c r="AW162" s="76">
        <f t="shared" si="50"/>
        <v>0</v>
      </c>
      <c r="AX162" s="77" t="str">
        <f>[4]Sayfa1!$A158</f>
        <v>30f42766</v>
      </c>
      <c r="AY162" s="78" t="s">
        <v>114</v>
      </c>
      <c r="AZ162" s="79" t="e" vm="1">
        <f t="shared" si="51"/>
        <v>#VALUE!</v>
      </c>
    </row>
    <row r="163" spans="1:52" ht="186.6">
      <c r="A163" s="59" t="s">
        <v>218</v>
      </c>
      <c r="B163" s="59" t="str">
        <f>[4]Sayfa1!$G159</f>
        <v>3874(3)</v>
      </c>
      <c r="C163" s="184" t="str">
        <f>[4]Sayfa1!$H159</f>
        <v>RA</v>
      </c>
      <c r="D163" s="24">
        <f>[4]Sayfa1!$N159</f>
        <v>58547</v>
      </c>
      <c r="E163" s="24" t="str">
        <f>[4]Sayfa1!$B159</f>
        <v>BOZ-KAY5+6-FF-158</v>
      </c>
      <c r="F163" s="60">
        <f>[4]Sayfa1!$E159</f>
        <v>45406</v>
      </c>
      <c r="G163" s="61">
        <f>[4]Sayfa1!$F159</f>
        <v>45406.744444444441</v>
      </c>
      <c r="H163" s="59" t="str">
        <f>[4]Sayfa1!$I159</f>
        <v>Hat/Line</v>
      </c>
      <c r="I163" s="62" t="str">
        <f>IF([4]Sayfa1!$K159="SSH","Notified by Bozankaya","Notified by Customer")</f>
        <v>Notified by Customer</v>
      </c>
      <c r="J163" s="59" t="e">
        <f>VLOOKUP([4]Sayfa1!$AU159,#REF!,2,FALSE)</f>
        <v>#REF!</v>
      </c>
      <c r="K163" s="59">
        <f>[4]Sayfa1!$AC159</f>
        <v>0</v>
      </c>
      <c r="L163" s="63" t="str">
        <f t="shared" si="39"/>
        <v>KAY_5+110-BOZ-KAY5+6-FF-158</v>
      </c>
      <c r="M163" s="64" t="str">
        <f>[4]Sayfa1!$L159</f>
        <v>6 NOLU KAPI İZOLE EDİLDİ</v>
      </c>
      <c r="N163" s="33" t="str">
        <f>[4]Sayfa1!$J159</f>
        <v>B-Hız veya güç azalması</v>
      </c>
      <c r="O163" s="33" t="str">
        <f>[4]Sayfa1!$P159</f>
        <v>B(Servisten çekmeye etki eden arızalar)</v>
      </c>
      <c r="P163" s="33" t="str">
        <f>[4]Sayfa1!$Q159</f>
        <v>N.A(Yaralanma yok)</v>
      </c>
      <c r="Q163" s="65" t="str" cm="1">
        <f t="array" ref="Q163">_xlfn.IFS([4]Sayfa1!$R159="Bozankaya","Bozankaya",[4]Sayfa1!$R159="İşletme","Customer",[4]Sayfa1!$R159="Tedarikçi","Equipment Supplier")</f>
        <v>Equipment Supplier</v>
      </c>
      <c r="R163" s="66" t="str">
        <f>[4]Sayfa1!$M159</f>
        <v>KAPININ TÜM İŞLEVSEL TESTLERİ YAPILDI. OLUMSUZ BİR DURUM GÖRÜLMEDİ KAPI NORMAL ÇALIŞIYOR</v>
      </c>
      <c r="S163" s="36" t="str">
        <f>[4]Sayfa1!$S159</f>
        <v>IFE</v>
      </c>
      <c r="T163" s="67">
        <f>[4]Sayfa1!$Z159</f>
        <v>0</v>
      </c>
      <c r="U163" s="68">
        <f>[4]Sayfa1!$AN159</f>
        <v>2</v>
      </c>
      <c r="V163" s="60">
        <f>[4]Sayfa1!$T159</f>
        <v>45407</v>
      </c>
      <c r="W163" s="61">
        <f>[4]Sayfa1!$U159</f>
        <v>45407.333333333336</v>
      </c>
      <c r="X163" s="69">
        <f t="shared" si="40"/>
        <v>45407.333333333336</v>
      </c>
      <c r="Y163" s="70">
        <f>[4]Sayfa1!$AQ159</f>
        <v>45407</v>
      </c>
      <c r="Z163" s="61">
        <f>[4]Sayfa1!$AR159</f>
        <v>45407.5</v>
      </c>
      <c r="AA163" s="69">
        <f t="shared" si="41"/>
        <v>45407.5</v>
      </c>
      <c r="AB163" s="71">
        <f t="shared" si="42"/>
        <v>3.9999999999417923</v>
      </c>
      <c r="AC163" s="60">
        <f t="shared" si="43"/>
        <v>45407</v>
      </c>
      <c r="AD163" s="61">
        <f t="shared" si="44"/>
        <v>45407.5</v>
      </c>
      <c r="AE163" s="69">
        <f t="shared" si="45"/>
        <v>45407.5</v>
      </c>
      <c r="AF163" s="36" t="str">
        <f>[4]Sayfa1!$AP159</f>
        <v>(II) Birden fazla karşılaşılan arıza</v>
      </c>
      <c r="AG163" s="33" t="str">
        <f>IF([4]Sayfa1!$J159="C-Uyarı, sürüş devamlılığı","Bu Arıza Aracın Servise Verilmesine Engel Değil","Bu Arıza Aracın Servise Verilmesine Engel")</f>
        <v>Bu Arıza Aracın Servise Verilmesine Engel</v>
      </c>
      <c r="AH163" s="41" t="str">
        <f>[4]Sayfa1!$AB159</f>
        <v>Tamir edilecek</v>
      </c>
      <c r="AI163" s="60"/>
      <c r="AJ163" s="60"/>
      <c r="AK163" s="69">
        <f t="shared" si="46"/>
        <v>0</v>
      </c>
      <c r="AL163" s="71">
        <f t="shared" si="47"/>
        <v>239.99999999650754</v>
      </c>
      <c r="AM163" s="71">
        <f t="shared" si="48"/>
        <v>239.99999999650754</v>
      </c>
      <c r="AN163" s="72">
        <f t="shared" si="49"/>
        <v>0</v>
      </c>
      <c r="AO163" s="73" t="str">
        <f>[4]Sayfa1!$X159</f>
        <v>M110-7082</v>
      </c>
      <c r="AP163" s="72">
        <f>[4]Sayfa1!$Y159</f>
        <v>1</v>
      </c>
      <c r="AQ163" s="184" t="str">
        <f>[4]Sayfa1!$V159</f>
        <v>KNORR-BREMSE GMBH DİVİSİON IFE AUTO</v>
      </c>
      <c r="AR163" s="74" t="str">
        <f>[4]Sayfa1!$W159</f>
        <v>PRM’LI ÇİFTLİ KAPI</v>
      </c>
      <c r="AS163" s="74">
        <f>[4]Sayfa1!$AD159</f>
        <v>0</v>
      </c>
      <c r="AT163" s="60" t="str">
        <f>[4]Sayfa1!$AE159</f>
        <v/>
      </c>
      <c r="AU163" s="60" t="str">
        <f>[4]Sayfa1!$AH159</f>
        <v/>
      </c>
      <c r="AV163" s="75">
        <v>158</v>
      </c>
      <c r="AW163" s="76">
        <f t="shared" si="50"/>
        <v>87.999999998719431</v>
      </c>
      <c r="AX163" s="77" t="str">
        <f>[4]Sayfa1!$A159</f>
        <v>0af56a69</v>
      </c>
      <c r="AY163" s="78" t="s">
        <v>114</v>
      </c>
      <c r="AZ163" s="79" t="e" vm="1">
        <f t="shared" si="51"/>
        <v>#VALUE!</v>
      </c>
    </row>
    <row r="164" spans="1:52" ht="186.6">
      <c r="A164" s="59" t="s">
        <v>219</v>
      </c>
      <c r="B164" s="59" t="str">
        <f>[4]Sayfa1!$G160</f>
        <v>3874(3)</v>
      </c>
      <c r="C164" s="184" t="str">
        <f>[4]Sayfa1!$H160</f>
        <v>MA</v>
      </c>
      <c r="D164" s="24">
        <f>[4]Sayfa1!$N160</f>
        <v>63000</v>
      </c>
      <c r="E164" s="24" t="str">
        <f>[4]Sayfa1!$B160</f>
        <v>BOZ-KAY5+6-FF-159</v>
      </c>
      <c r="F164" s="60">
        <f>[4]Sayfa1!$E160</f>
        <v>45407</v>
      </c>
      <c r="G164" s="61">
        <f>[4]Sayfa1!$F160</f>
        <v>45407.541666666664</v>
      </c>
      <c r="H164" s="59" t="str">
        <f>[4]Sayfa1!$I160</f>
        <v>Hat/Line</v>
      </c>
      <c r="I164" s="62" t="str">
        <f>IF([4]Sayfa1!$K160="SSH","Notified by Bozankaya","Notified by Customer")</f>
        <v>Notified by Customer</v>
      </c>
      <c r="J164" s="59" t="e">
        <f>VLOOKUP([4]Sayfa1!$AU160,#REF!,2,FALSE)</f>
        <v>#REF!</v>
      </c>
      <c r="K164" s="59">
        <f>[4]Sayfa1!$AC160</f>
        <v>0</v>
      </c>
      <c r="L164" s="63" t="str">
        <f t="shared" si="39"/>
        <v>KAY_5+111-BOZ-KAY5+6-FF-159</v>
      </c>
      <c r="M164" s="64" t="str">
        <f>[4]Sayfa1!$L160</f>
        <v>ARAÇ 35 KM HIZ SINIRI KOYDU ARAÇ RESETLENDİ FAKAT DÜZELMEDİ</v>
      </c>
      <c r="N164" s="33" t="str">
        <f>[4]Sayfa1!$J160</f>
        <v>B-Hız veya güç azalması</v>
      </c>
      <c r="O164" s="33" t="str">
        <f>[4]Sayfa1!$P160</f>
        <v>B(Servisten çekmeye etki eden arızalar)</v>
      </c>
      <c r="P164" s="33" t="str">
        <f>[4]Sayfa1!$Q160</f>
        <v>N.A(Yaralanma yok)</v>
      </c>
      <c r="Q164" s="65" t="str" cm="1">
        <f t="array" ref="Q164">_xlfn.IFS([4]Sayfa1!$R160="Bozankaya","Bozankaya",[4]Sayfa1!$R160="İşletme","Customer",[4]Sayfa1!$R160="Tedarikçi","Equipment Supplier")</f>
        <v>Bozankaya</v>
      </c>
      <c r="R164" s="66" t="str">
        <f>[4]Sayfa1!$M160</f>
        <v>KAPI LOOP BUTONU ARKASINDAKİ KABLO ÇIKMIŞ YERİNE TAKILDI</v>
      </c>
      <c r="S164" s="36" t="str">
        <f>[4]Sayfa1!$S160</f>
        <v>Üretim</v>
      </c>
      <c r="T164" s="67">
        <f>[4]Sayfa1!$Z160</f>
        <v>0</v>
      </c>
      <c r="U164" s="68">
        <f>[4]Sayfa1!$AN160</f>
        <v>2</v>
      </c>
      <c r="V164" s="60">
        <f>[4]Sayfa1!$T160</f>
        <v>45407</v>
      </c>
      <c r="W164" s="61">
        <f>[4]Sayfa1!$U160</f>
        <v>45407.583333333336</v>
      </c>
      <c r="X164" s="69">
        <f t="shared" si="40"/>
        <v>45407.583333333336</v>
      </c>
      <c r="Y164" s="70">
        <f>[4]Sayfa1!$AQ160</f>
        <v>45407</v>
      </c>
      <c r="Z164" s="61">
        <f>[4]Sayfa1!$AR160</f>
        <v>45407.75</v>
      </c>
      <c r="AA164" s="69">
        <f t="shared" si="41"/>
        <v>45407.75</v>
      </c>
      <c r="AB164" s="71">
        <f t="shared" si="42"/>
        <v>0</v>
      </c>
      <c r="AC164" s="60">
        <f t="shared" si="43"/>
        <v>45407</v>
      </c>
      <c r="AD164" s="61">
        <f t="shared" si="44"/>
        <v>45407.75</v>
      </c>
      <c r="AE164" s="69">
        <f t="shared" si="45"/>
        <v>45407.75</v>
      </c>
      <c r="AF164" s="36" t="str">
        <f>[4]Sayfa1!$AP160</f>
        <v>(I) İlk defa karşılaşılan arıza</v>
      </c>
      <c r="AG164" s="33" t="str">
        <f>IF([4]Sayfa1!$J160="C-Uyarı, sürüş devamlılığı","Bu Arıza Aracın Servise Verilmesine Engel Değil","Bu Arıza Aracın Servise Verilmesine Engel")</f>
        <v>Bu Arıza Aracın Servise Verilmesine Engel</v>
      </c>
      <c r="AH164" s="41" t="str">
        <f>[4]Sayfa1!$AB160</f>
        <v>Tamir edilecek</v>
      </c>
      <c r="AI164" s="60"/>
      <c r="AJ164" s="60"/>
      <c r="AK164" s="69">
        <f t="shared" si="46"/>
        <v>0</v>
      </c>
      <c r="AL164" s="71">
        <f t="shared" si="47"/>
        <v>0</v>
      </c>
      <c r="AM164" s="71">
        <f t="shared" si="48"/>
        <v>0</v>
      </c>
      <c r="AN164" s="72">
        <f t="shared" si="49"/>
        <v>0</v>
      </c>
      <c r="AO164" s="73" t="str">
        <f>[4]Sayfa1!$X160</f>
        <v>E300-7362</v>
      </c>
      <c r="AP164" s="72">
        <f>[4]Sayfa1!$Y160</f>
        <v>0</v>
      </c>
      <c r="AQ164" s="184" t="str">
        <f>[4]Sayfa1!$V160</f>
        <v>GENERAL TEKNİK ELEKTRONİK TESİSAT</v>
      </c>
      <c r="AR164" s="74" t="str">
        <f>[4]Sayfa1!$W160</f>
        <v>BYPAS BUTON PANELİ KOMPLESİ</v>
      </c>
      <c r="AS164" s="74">
        <f>[4]Sayfa1!$AD160</f>
        <v>0</v>
      </c>
      <c r="AT164" s="60" t="str">
        <f>[4]Sayfa1!$AE160</f>
        <v/>
      </c>
      <c r="AU164" s="60" t="str">
        <f>[4]Sayfa1!$AH160</f>
        <v/>
      </c>
      <c r="AV164" s="75">
        <v>159</v>
      </c>
      <c r="AW164" s="76">
        <f t="shared" si="50"/>
        <v>0</v>
      </c>
      <c r="AX164" s="77" t="str">
        <f>[4]Sayfa1!$A160</f>
        <v>139ac2b2</v>
      </c>
      <c r="AY164" s="78" t="s">
        <v>114</v>
      </c>
      <c r="AZ164" s="79" t="e" vm="1">
        <f t="shared" si="51"/>
        <v>#VALUE!</v>
      </c>
    </row>
    <row r="165" spans="1:52" ht="148.15">
      <c r="A165" s="59" t="s">
        <v>220</v>
      </c>
      <c r="B165" s="59" t="str">
        <f>[4]Sayfa1!$G161</f>
        <v>3872(1)</v>
      </c>
      <c r="C165" s="184" t="str">
        <f>[4]Sayfa1!$H161</f>
        <v>MA</v>
      </c>
      <c r="D165" s="24">
        <f>[4]Sayfa1!$N161</f>
        <v>62000</v>
      </c>
      <c r="E165" s="24" t="str">
        <f>[4]Sayfa1!$B161</f>
        <v>BOZ-KAY5+6-FF-160</v>
      </c>
      <c r="F165" s="60">
        <f>[4]Sayfa1!$E161</f>
        <v>45408</v>
      </c>
      <c r="G165" s="61">
        <f>[4]Sayfa1!$F161</f>
        <v>45408.045138888891</v>
      </c>
      <c r="H165" s="59" t="str">
        <f>[4]Sayfa1!$I161</f>
        <v>Hat/Line</v>
      </c>
      <c r="I165" s="62" t="str">
        <f>IF([4]Sayfa1!$K161="SSH","Notified by Bozankaya","Notified by Customer")</f>
        <v>Notified by Customer</v>
      </c>
      <c r="J165" s="59" t="e">
        <f>VLOOKUP([4]Sayfa1!$AU161,#REF!,2,FALSE)</f>
        <v>#REF!</v>
      </c>
      <c r="K165" s="59">
        <f>[4]Sayfa1!$AC161</f>
        <v>0</v>
      </c>
      <c r="L165" s="63" t="str">
        <f t="shared" si="39"/>
        <v>KAY_5+112-BOZ-KAY5+6-FF-160</v>
      </c>
      <c r="M165" s="64" t="str">
        <f>[4]Sayfa1!$L161</f>
        <v>CA KOLÇAK TUŞ TAKIMI ARIZALI</v>
      </c>
      <c r="N165" s="33" t="str">
        <f>[4]Sayfa1!$J161</f>
        <v>A-Sürüşü engeller</v>
      </c>
      <c r="O165" s="33" t="str">
        <f>[4]Sayfa1!$P161</f>
        <v>B(Servisten çekmeye etki eden arızalar)</v>
      </c>
      <c r="P165" s="33" t="str">
        <f>[4]Sayfa1!$Q161</f>
        <v>N.A(Yaralanma yok)</v>
      </c>
      <c r="Q165" s="65" t="str" cm="1">
        <f t="array" ref="Q165">_xlfn.IFS([4]Sayfa1!$R161="Bozankaya","Bozankaya",[4]Sayfa1!$R161="İşletme","Customer",[4]Sayfa1!$R161="Tedarikçi","Equipment Supplier")</f>
        <v>Equipment Supplier</v>
      </c>
      <c r="R165" s="66" t="str">
        <f>[4]Sayfa1!$M161</f>
        <v>TUŞ TAKIMINDA ARIZA GÖRÜLMEDİ TAMİR EDİLDİ</v>
      </c>
      <c r="S165" s="36" t="str">
        <f>[4]Sayfa1!$S161</f>
        <v>Sazcılar</v>
      </c>
      <c r="T165" s="67">
        <f>[4]Sayfa1!$Z161</f>
        <v>0</v>
      </c>
      <c r="U165" s="68">
        <f>[4]Sayfa1!$AN161</f>
        <v>1</v>
      </c>
      <c r="V165" s="60">
        <f>[4]Sayfa1!$T161</f>
        <v>45413</v>
      </c>
      <c r="W165" s="61">
        <f>[4]Sayfa1!$U161</f>
        <v>45413.375</v>
      </c>
      <c r="X165" s="69">
        <f t="shared" si="40"/>
        <v>45413.375</v>
      </c>
      <c r="Y165" s="70">
        <f>[4]Sayfa1!$AQ161</f>
        <v>45413</v>
      </c>
      <c r="Z165" s="61">
        <f>[4]Sayfa1!$AR161</f>
        <v>45413.5</v>
      </c>
      <c r="AA165" s="69">
        <f t="shared" si="41"/>
        <v>45413.5</v>
      </c>
      <c r="AB165" s="71">
        <f t="shared" si="42"/>
        <v>3</v>
      </c>
      <c r="AC165" s="60">
        <f t="shared" si="43"/>
        <v>45413</v>
      </c>
      <c r="AD165" s="61">
        <f t="shared" si="44"/>
        <v>45413.5</v>
      </c>
      <c r="AE165" s="69">
        <f t="shared" si="45"/>
        <v>45413.5</v>
      </c>
      <c r="AF165" s="36" t="str">
        <f>[4]Sayfa1!$AP161</f>
        <v>(I) İlk defa karşılaşılan arıza</v>
      </c>
      <c r="AG165" s="33" t="str">
        <f>IF([4]Sayfa1!$J161="C-Uyarı, sürüş devamlılığı","Bu Arıza Aracın Servise Verilmesine Engel Değil","Bu Arıza Aracın Servise Verilmesine Engel")</f>
        <v>Bu Arıza Aracın Servise Verilmesine Engel</v>
      </c>
      <c r="AH165" s="41" t="str">
        <f>[4]Sayfa1!$AB161</f>
        <v>Tamir edilecek</v>
      </c>
      <c r="AI165" s="60"/>
      <c r="AJ165" s="60"/>
      <c r="AK165" s="69">
        <f t="shared" si="46"/>
        <v>0</v>
      </c>
      <c r="AL165" s="71">
        <f t="shared" si="47"/>
        <v>180</v>
      </c>
      <c r="AM165" s="71">
        <f t="shared" si="48"/>
        <v>180</v>
      </c>
      <c r="AN165" s="72">
        <f t="shared" si="49"/>
        <v>0</v>
      </c>
      <c r="AO165" s="73" t="str">
        <f>[4]Sayfa1!$X161</f>
        <v>T120-7018</v>
      </c>
      <c r="AP165" s="72">
        <f>[4]Sayfa1!$Y161</f>
        <v>1</v>
      </c>
      <c r="AQ165" s="184" t="str">
        <f>[4]Sayfa1!$V161</f>
        <v>SAZCILAR OTOMOTİV SAN.TİCARET A.Ş</v>
      </c>
      <c r="AR165" s="74" t="str">
        <f>[4]Sayfa1!$W161</f>
        <v>SÜRÜCÜ SAĞ ARKA KAPAMA</v>
      </c>
      <c r="AS165" s="74">
        <f>[4]Sayfa1!$AD161</f>
        <v>0</v>
      </c>
      <c r="AT165" s="60" t="str">
        <f>[4]Sayfa1!$AE161</f>
        <v/>
      </c>
      <c r="AU165" s="60" t="str">
        <f>[4]Sayfa1!$AH161</f>
        <v/>
      </c>
      <c r="AV165" s="75">
        <v>160</v>
      </c>
      <c r="AW165" s="76">
        <f t="shared" si="50"/>
        <v>33</v>
      </c>
      <c r="AX165" s="77" t="str">
        <f>[4]Sayfa1!$A161</f>
        <v>233370ff</v>
      </c>
      <c r="AY165" s="78" t="s">
        <v>114</v>
      </c>
      <c r="AZ165" s="79" t="e" vm="1">
        <f t="shared" si="51"/>
        <v>#VALUE!</v>
      </c>
    </row>
    <row r="166" spans="1:52" ht="303.60000000000002">
      <c r="A166" s="59" t="s">
        <v>221</v>
      </c>
      <c r="B166" s="59" t="str">
        <f>[4]Sayfa1!$G162</f>
        <v>3877(6)</v>
      </c>
      <c r="C166" s="184" t="str">
        <f>[4]Sayfa1!$H162</f>
        <v>P</v>
      </c>
      <c r="D166" s="24">
        <f>[4]Sayfa1!$N162</f>
        <v>38592</v>
      </c>
      <c r="E166" s="24" t="str">
        <f>[4]Sayfa1!$B162</f>
        <v>BOZ-KAY5+6-FF-161</v>
      </c>
      <c r="F166" s="60">
        <f>[4]Sayfa1!$E162</f>
        <v>45412</v>
      </c>
      <c r="G166" s="61">
        <f>[4]Sayfa1!$F162</f>
        <v>45412.327511574076</v>
      </c>
      <c r="H166" s="59" t="str">
        <f>[4]Sayfa1!$I162</f>
        <v>Hat/Line</v>
      </c>
      <c r="I166" s="62" t="str">
        <f>IF([4]Sayfa1!$K162="SSH","Notified by Bozankaya","Notified by Customer")</f>
        <v>Notified by Customer</v>
      </c>
      <c r="J166" s="59" t="e">
        <f>VLOOKUP([4]Sayfa1!$AU162,#REF!,2,FALSE)</f>
        <v>#REF!</v>
      </c>
      <c r="K166" s="59">
        <f>[4]Sayfa1!$AC162</f>
        <v>0</v>
      </c>
      <c r="L166" s="63" t="str">
        <f t="shared" si="39"/>
        <v>KAY_5+113-BOZ-KAY5+6-FF-161</v>
      </c>
      <c r="M166" s="64" t="str">
        <f>[4]Sayfa1!$L162</f>
        <v>ANONSLAR KESİK KESİK GELİYOR.</v>
      </c>
      <c r="N166" s="33" t="str">
        <f>[4]Sayfa1!$J162</f>
        <v>C-Uyarı, sürüş devamlılığı</v>
      </c>
      <c r="O166" s="33" t="str">
        <f>[4]Sayfa1!$P162</f>
        <v>B(Servisten çekmeye etki eden arızalar)</v>
      </c>
      <c r="P166" s="33" t="str">
        <f>[4]Sayfa1!$Q162</f>
        <v>N.A(Yaralanma yok)</v>
      </c>
      <c r="Q166" s="65" t="str" cm="1">
        <f t="array" ref="Q166">_xlfn.IFS([4]Sayfa1!$R162="Bozankaya","Bozankaya",[4]Sayfa1!$R162="İşletme","Customer",[4]Sayfa1!$R162="Tedarikçi","Equipment Supplier")</f>
        <v>Equipment Supplier</v>
      </c>
      <c r="R166" s="66" t="str">
        <f>[4]Sayfa1!$M162</f>
        <v>ANONSLAR GEÇ GELİYORDU. ARACIN TEKER ÇAPI 600MM OLARAK GİRİLDİ. ULAŞIM PERSONELİ İLE PARK SAHASINDA TAM TUR TEST YAPILDI. SORUN GİDERİLDİ.</v>
      </c>
      <c r="S166" s="36" t="str">
        <f>[4]Sayfa1!$S162</f>
        <v>Atak</v>
      </c>
      <c r="T166" s="67">
        <f>[4]Sayfa1!$Z162</f>
        <v>0</v>
      </c>
      <c r="U166" s="68">
        <f>[4]Sayfa1!$AN162</f>
        <v>2</v>
      </c>
      <c r="V166" s="60">
        <f>[4]Sayfa1!$T162</f>
        <v>45526</v>
      </c>
      <c r="W166" s="61">
        <f>[4]Sayfa1!$U162</f>
        <v>45526.441446759258</v>
      </c>
      <c r="X166" s="69">
        <f t="shared" si="40"/>
        <v>45526.441446759258</v>
      </c>
      <c r="Y166" s="70">
        <f>[4]Sayfa1!$AQ162</f>
        <v>45526</v>
      </c>
      <c r="Z166" s="61">
        <f>[4]Sayfa1!$AR162</f>
        <v>45526.583333333336</v>
      </c>
      <c r="AA166" s="69">
        <f t="shared" si="41"/>
        <v>45526.583333333336</v>
      </c>
      <c r="AB166" s="71">
        <f t="shared" si="42"/>
        <v>3.4052777778706513</v>
      </c>
      <c r="AC166" s="60">
        <f t="shared" si="43"/>
        <v>45526</v>
      </c>
      <c r="AD166" s="61">
        <f t="shared" si="44"/>
        <v>45526.583333333336</v>
      </c>
      <c r="AE166" s="69">
        <f t="shared" si="45"/>
        <v>45526.583333333336</v>
      </c>
      <c r="AF166" s="36" t="str">
        <f>[4]Sayfa1!$AP162</f>
        <v>(I) İlk defa karşılaşılan arıza</v>
      </c>
      <c r="AG166" s="33" t="str">
        <f>IF([4]Sayfa1!$J162="C-Uyarı, sürüş devamlılığı","Bu Arıza Aracın Servise Verilmesine Engel Değil","Bu Arıza Aracın Servise Verilmesine Engel")</f>
        <v>Bu Arıza Aracın Servise Verilmesine Engel Değil</v>
      </c>
      <c r="AH166" s="41" t="str">
        <f>[4]Sayfa1!$AB162</f>
        <v>Arıza çözülecek</v>
      </c>
      <c r="AI166" s="60"/>
      <c r="AJ166" s="60"/>
      <c r="AK166" s="69">
        <f t="shared" si="46"/>
        <v>0</v>
      </c>
      <c r="AL166" s="71">
        <f t="shared" si="47"/>
        <v>204.31666667223908</v>
      </c>
      <c r="AM166" s="71">
        <f t="shared" si="48"/>
        <v>204.31666667223908</v>
      </c>
      <c r="AN166" s="72">
        <f t="shared" si="49"/>
        <v>0</v>
      </c>
      <c r="AO166" s="73" t="str">
        <f>[4]Sayfa1!$X162</f>
        <v>E840-7002</v>
      </c>
      <c r="AP166" s="72">
        <f>[4]Sayfa1!$Y162</f>
        <v>1</v>
      </c>
      <c r="AQ166" s="184" t="str">
        <f>[4]Sayfa1!$V162</f>
        <v>ATAK ULAŞIM SAN.TİC.LTD.ŞTİ.</v>
      </c>
      <c r="AR166" s="74" t="str">
        <f>[4]Sayfa1!$W162</f>
        <v>Merkez Ünite AU300 (train bus, vehicle b</v>
      </c>
      <c r="AS166" s="74">
        <f>[4]Sayfa1!$AD162</f>
        <v>0</v>
      </c>
      <c r="AT166" s="60" t="str">
        <f>[4]Sayfa1!$AE162</f>
        <v/>
      </c>
      <c r="AU166" s="60" t="str">
        <f>[4]Sayfa1!$AH162</f>
        <v/>
      </c>
      <c r="AV166" s="75">
        <v>161</v>
      </c>
      <c r="AW166" s="76">
        <f t="shared" si="50"/>
        <v>74.916111113154329</v>
      </c>
      <c r="AX166" s="77" t="str">
        <f>[4]Sayfa1!$A162</f>
        <v>be21231a</v>
      </c>
      <c r="AY166" s="78" t="s">
        <v>114</v>
      </c>
      <c r="AZ166" s="79" t="e" vm="1">
        <f t="shared" si="51"/>
        <v>#VALUE!</v>
      </c>
    </row>
    <row r="167" spans="1:52" ht="211.15">
      <c r="A167" s="59" t="s">
        <v>222</v>
      </c>
      <c r="B167" s="59" t="str">
        <f>[4]Sayfa1!$G163</f>
        <v>3881(10)</v>
      </c>
      <c r="C167" s="184" t="str">
        <f>[4]Sayfa1!$H163</f>
        <v>MB</v>
      </c>
      <c r="D167" s="24">
        <f>[4]Sayfa1!$N163</f>
        <v>6788</v>
      </c>
      <c r="E167" s="24" t="str">
        <f>[4]Sayfa1!$B163</f>
        <v>BOZ-KAY5+6-FF-162</v>
      </c>
      <c r="F167" s="60">
        <f>[4]Sayfa1!$E163</f>
        <v>45413</v>
      </c>
      <c r="G167" s="61">
        <f>[4]Sayfa1!$F163</f>
        <v>45413.84375</v>
      </c>
      <c r="H167" s="59" t="str">
        <f>[4]Sayfa1!$I163</f>
        <v>Hat/Line</v>
      </c>
      <c r="I167" s="62" t="str">
        <f>IF([4]Sayfa1!$K163="SSH","Notified by Bozankaya","Notified by Customer")</f>
        <v>Notified by Customer</v>
      </c>
      <c r="J167" s="59" t="e">
        <f>VLOOKUP([4]Sayfa1!$AU163,#REF!,2,FALSE)</f>
        <v>#REF!</v>
      </c>
      <c r="K167" s="59">
        <f>[4]Sayfa1!$AC163</f>
        <v>0</v>
      </c>
      <c r="L167" s="63" t="str">
        <f t="shared" si="39"/>
        <v>KAY_5+114-BOZ-KAY5+6-FF-162</v>
      </c>
      <c r="M167" s="64" t="str">
        <f>[4]Sayfa1!$L163</f>
        <v>KUPLÖR KAPAĞA ÇARPIYOR.</v>
      </c>
      <c r="N167" s="33" t="str">
        <f>[4]Sayfa1!$J163</f>
        <v>C-Uyarı, sürüş devamlılığı</v>
      </c>
      <c r="O167" s="33" t="str">
        <f>[4]Sayfa1!$P163</f>
        <v>C(Sisteme etki etmeyen arıza)</v>
      </c>
      <c r="P167" s="33" t="str">
        <f>[4]Sayfa1!$Q163</f>
        <v>N.A(Yaralanma yok)</v>
      </c>
      <c r="Q167" s="65" t="str" cm="1">
        <f t="array" ref="Q167">_xlfn.IFS([4]Sayfa1!$R163="Bozankaya","Bozankaya",[4]Sayfa1!$R163="İşletme","Customer",[4]Sayfa1!$R163="Tedarikçi","Equipment Supplier")</f>
        <v>Bozankaya</v>
      </c>
      <c r="R167" s="66" t="str">
        <f>[4]Sayfa1!$M163</f>
        <v>KUPLÖR SERBEST KALMIŞ YENİDEN KİLİTLENDİ.</v>
      </c>
      <c r="S167" s="36" t="str">
        <f>[4]Sayfa1!$S163</f>
        <v>Üretim</v>
      </c>
      <c r="T167" s="67">
        <f>[4]Sayfa1!$Z163</f>
        <v>0</v>
      </c>
      <c r="U167" s="68">
        <f>[4]Sayfa1!$AN163</f>
        <v>2</v>
      </c>
      <c r="V167" s="60">
        <f>[4]Sayfa1!$T163</f>
        <v>45526</v>
      </c>
      <c r="W167" s="61">
        <f>[4]Sayfa1!$U163</f>
        <v>45526.624606481484</v>
      </c>
      <c r="X167" s="69">
        <f t="shared" si="40"/>
        <v>45526.624606481484</v>
      </c>
      <c r="Y167" s="70">
        <f>[4]Sayfa1!$AQ163</f>
        <v>45526</v>
      </c>
      <c r="Z167" s="61">
        <f>[4]Sayfa1!$AR163</f>
        <v>45526.666666666664</v>
      </c>
      <c r="AA167" s="69">
        <f t="shared" si="41"/>
        <v>45526.666666666664</v>
      </c>
      <c r="AB167" s="71">
        <f t="shared" si="42"/>
        <v>1.0094444443238899</v>
      </c>
      <c r="AC167" s="60">
        <f t="shared" si="43"/>
        <v>45526</v>
      </c>
      <c r="AD167" s="61">
        <f t="shared" si="44"/>
        <v>45526.666666666664</v>
      </c>
      <c r="AE167" s="69">
        <f t="shared" si="45"/>
        <v>45526.666666666664</v>
      </c>
      <c r="AF167" s="36" t="str">
        <f>[4]Sayfa1!$AP163</f>
        <v>(I) İlk defa karşılaşılan arıza</v>
      </c>
      <c r="AG167" s="33" t="str">
        <f>IF([4]Sayfa1!$J163="C-Uyarı, sürüş devamlılığı","Bu Arıza Aracın Servise Verilmesine Engel Değil","Bu Arıza Aracın Servise Verilmesine Engel")</f>
        <v>Bu Arıza Aracın Servise Verilmesine Engel Değil</v>
      </c>
      <c r="AH167" s="41" t="str">
        <f>[4]Sayfa1!$AB163</f>
        <v>Arıza çözülecek</v>
      </c>
      <c r="AI167" s="60"/>
      <c r="AJ167" s="60"/>
      <c r="AK167" s="69">
        <f t="shared" si="46"/>
        <v>0</v>
      </c>
      <c r="AL167" s="71">
        <f t="shared" si="47"/>
        <v>60.566666659433395</v>
      </c>
      <c r="AM167" s="71">
        <f t="shared" si="48"/>
        <v>60.566666659433395</v>
      </c>
      <c r="AN167" s="72">
        <f t="shared" si="49"/>
        <v>0</v>
      </c>
      <c r="AO167" s="73" t="str">
        <f>[4]Sayfa1!$X163</f>
        <v>M350-7089</v>
      </c>
      <c r="AP167" s="72">
        <f>[4]Sayfa1!$Y163</f>
        <v>1</v>
      </c>
      <c r="AQ167" s="184" t="str">
        <f>[4]Sayfa1!$V163</f>
        <v>DELLNER COUPLERC AB</v>
      </c>
      <c r="AR167" s="74" t="str">
        <f>[4]Sayfa1!$W163</f>
        <v>KUPLOR KRIKOSU</v>
      </c>
      <c r="AS167" s="74">
        <f>[4]Sayfa1!$AD163</f>
        <v>0</v>
      </c>
      <c r="AT167" s="60" t="str">
        <f>[4]Sayfa1!$AE163</f>
        <v/>
      </c>
      <c r="AU167" s="60" t="str">
        <f>[4]Sayfa1!$AH163</f>
        <v/>
      </c>
      <c r="AV167" s="75">
        <v>162</v>
      </c>
      <c r="AW167" s="76">
        <f t="shared" si="50"/>
        <v>22.207777775125578</v>
      </c>
      <c r="AX167" s="77" t="str">
        <f>[4]Sayfa1!$A163</f>
        <v>b191a3a7</v>
      </c>
      <c r="AY167" s="78" t="s">
        <v>114</v>
      </c>
      <c r="AZ167" s="79" t="e" vm="1">
        <f t="shared" si="51"/>
        <v>#VALUE!</v>
      </c>
    </row>
    <row r="168" spans="1:52" ht="148.15">
      <c r="A168" s="59" t="s">
        <v>223</v>
      </c>
      <c r="B168" s="59" t="str">
        <f>[4]Sayfa1!$G164</f>
        <v>3874(3)</v>
      </c>
      <c r="C168" s="184" t="str">
        <f>[4]Sayfa1!$H164</f>
        <v>MB</v>
      </c>
      <c r="D168" s="24">
        <f>[4]Sayfa1!$N164</f>
        <v>62012</v>
      </c>
      <c r="E168" s="24" t="str">
        <f>[4]Sayfa1!$B164</f>
        <v>BOZ-KAY5+6-FF-163</v>
      </c>
      <c r="F168" s="60">
        <f>[4]Sayfa1!$E164</f>
        <v>45413</v>
      </c>
      <c r="G168" s="61">
        <f>[4]Sayfa1!$F164</f>
        <v>45413.845138888886</v>
      </c>
      <c r="H168" s="59" t="str">
        <f>[4]Sayfa1!$I164</f>
        <v>Hat/Line</v>
      </c>
      <c r="I168" s="62" t="str">
        <f>IF([4]Sayfa1!$K164="SSH","Notified by Bozankaya","Notified by Customer")</f>
        <v>Notified by Customer</v>
      </c>
      <c r="J168" s="59" t="e">
        <f>VLOOKUP([4]Sayfa1!$AU164,#REF!,2,FALSE)</f>
        <v>#REF!</v>
      </c>
      <c r="K168" s="59">
        <f>[4]Sayfa1!$AC164</f>
        <v>0</v>
      </c>
      <c r="L168" s="63" t="str">
        <f t="shared" si="39"/>
        <v>KAY_5+115-BOZ-KAY5+6-FF-163</v>
      </c>
      <c r="M168" s="64" t="str">
        <f>[4]Sayfa1!$L164</f>
        <v>MB KAMERA GÖRÜNTÜLERİ GELMİYOR.</v>
      </c>
      <c r="N168" s="33" t="str">
        <f>[4]Sayfa1!$J164</f>
        <v>A-Sürüşü engeller</v>
      </c>
      <c r="O168" s="33" t="str">
        <f>[4]Sayfa1!$P164</f>
        <v>A(Hareket etmeyi engelleyen arıza)</v>
      </c>
      <c r="P168" s="33" t="str">
        <f>[4]Sayfa1!$Q164</f>
        <v>N.A(Yaralanma yok)</v>
      </c>
      <c r="Q168" s="65" t="str" cm="1">
        <f t="array" ref="Q168">_xlfn.IFS([4]Sayfa1!$R164="Bozankaya","Bozankaya",[4]Sayfa1!$R164="İşletme","Customer",[4]Sayfa1!$R164="Tedarikçi","Equipment Supplier")</f>
        <v>Equipment Supplier</v>
      </c>
      <c r="R168" s="66" t="str">
        <f>[4]Sayfa1!$M164</f>
        <v>SİSTEM RESETLENDİ DÜZELDİ.</v>
      </c>
      <c r="S168" s="36" t="str">
        <f>[4]Sayfa1!$S164</f>
        <v>NSC</v>
      </c>
      <c r="T168" s="67">
        <f>[4]Sayfa1!$Z164</f>
        <v>0</v>
      </c>
      <c r="U168" s="68">
        <f>[4]Sayfa1!$AN164</f>
        <v>1</v>
      </c>
      <c r="V168" s="60">
        <f>[4]Sayfa1!$T164</f>
        <v>45526</v>
      </c>
      <c r="W168" s="61">
        <f>[4]Sayfa1!$U164</f>
        <v>45526.628900462965</v>
      </c>
      <c r="X168" s="69">
        <f t="shared" si="40"/>
        <v>45526.628900462965</v>
      </c>
      <c r="Y168" s="70">
        <f>[4]Sayfa1!$AQ164</f>
        <v>45526</v>
      </c>
      <c r="Z168" s="61">
        <f>[4]Sayfa1!$AR164</f>
        <v>45526.75</v>
      </c>
      <c r="AA168" s="69">
        <f t="shared" si="41"/>
        <v>45526.75</v>
      </c>
      <c r="AB168" s="71">
        <f t="shared" si="42"/>
        <v>2.9063888888340443</v>
      </c>
      <c r="AC168" s="60">
        <f t="shared" si="43"/>
        <v>45526</v>
      </c>
      <c r="AD168" s="61">
        <f t="shared" si="44"/>
        <v>45526.75</v>
      </c>
      <c r="AE168" s="69">
        <f t="shared" si="45"/>
        <v>45526.75</v>
      </c>
      <c r="AF168" s="36" t="str">
        <f>[4]Sayfa1!$AP164</f>
        <v>(II) Birden fazla karşılaşılan arıza</v>
      </c>
      <c r="AG168" s="33" t="str">
        <f>IF([4]Sayfa1!$J164="C-Uyarı, sürüş devamlılığı","Bu Arıza Aracın Servise Verilmesine Engel Değil","Bu Arıza Aracın Servise Verilmesine Engel")</f>
        <v>Bu Arıza Aracın Servise Verilmesine Engel</v>
      </c>
      <c r="AH168" s="41" t="str">
        <f>[4]Sayfa1!$AB164</f>
        <v>Arıza çözülecek</v>
      </c>
      <c r="AI168" s="60"/>
      <c r="AJ168" s="60"/>
      <c r="AK168" s="69">
        <f t="shared" si="46"/>
        <v>0</v>
      </c>
      <c r="AL168" s="71">
        <f t="shared" si="47"/>
        <v>174.38333333004266</v>
      </c>
      <c r="AM168" s="71">
        <f t="shared" si="48"/>
        <v>174.38333333004266</v>
      </c>
      <c r="AN168" s="72">
        <f t="shared" si="49"/>
        <v>0</v>
      </c>
      <c r="AO168" s="73" t="str">
        <f>[4]Sayfa1!$X164</f>
        <v>E810-7145</v>
      </c>
      <c r="AP168" s="72">
        <f>[4]Sayfa1!$Y164</f>
        <v>1</v>
      </c>
      <c r="AQ168" s="184" t="str">
        <f>[4]Sayfa1!$V164</f>
        <v>NSC TEKNOLOJİ ve İNŞAAT LTD.ŞTİ.</v>
      </c>
      <c r="AR168" s="74" t="str">
        <f>[4]Sayfa1!$W164</f>
        <v>CCTV EKRANI</v>
      </c>
      <c r="AS168" s="74">
        <f>[4]Sayfa1!$AD164</f>
        <v>0</v>
      </c>
      <c r="AT168" s="60" t="str">
        <f>[4]Sayfa1!$AE164</f>
        <v/>
      </c>
      <c r="AU168" s="60" t="str">
        <f>[4]Sayfa1!$AH164</f>
        <v/>
      </c>
      <c r="AV168" s="75">
        <v>163</v>
      </c>
      <c r="AW168" s="76">
        <f t="shared" si="50"/>
        <v>31.970277777174488</v>
      </c>
      <c r="AX168" s="77" t="str">
        <f>[4]Sayfa1!$A164</f>
        <v>c599ea46</v>
      </c>
      <c r="AY168" s="78" t="s">
        <v>114</v>
      </c>
      <c r="AZ168" s="79" t="e" vm="1">
        <f t="shared" si="51"/>
        <v>#VALUE!</v>
      </c>
    </row>
    <row r="169" spans="1:52" ht="331.15">
      <c r="A169" s="59" t="s">
        <v>224</v>
      </c>
      <c r="B169" s="59" t="str">
        <f>[4]Sayfa1!$G165</f>
        <v>3876(5)</v>
      </c>
      <c r="C169" s="184" t="str">
        <f>[4]Sayfa1!$H165</f>
        <v>P</v>
      </c>
      <c r="D169" s="24">
        <f>[4]Sayfa1!$N165</f>
        <v>57896</v>
      </c>
      <c r="E169" s="24" t="str">
        <f>[4]Sayfa1!$B165</f>
        <v>BOZ-KAY5+6-FF-164</v>
      </c>
      <c r="F169" s="60">
        <f>[4]Sayfa1!$E165</f>
        <v>45414</v>
      </c>
      <c r="G169" s="61">
        <f>[4]Sayfa1!$F165</f>
        <v>45414.713888888888</v>
      </c>
      <c r="H169" s="59" t="str">
        <f>[4]Sayfa1!$I165</f>
        <v>Hat/Line</v>
      </c>
      <c r="I169" s="62" t="str">
        <f>IF([4]Sayfa1!$K165="SSH","Notified by Bozankaya","Notified by Customer")</f>
        <v>Notified by Customer</v>
      </c>
      <c r="J169" s="59" t="e">
        <f>VLOOKUP([4]Sayfa1!$AU165,#REF!,2,FALSE)</f>
        <v>#REF!</v>
      </c>
      <c r="K169" s="59">
        <f>[4]Sayfa1!$AC165</f>
        <v>0</v>
      </c>
      <c r="L169" s="63" t="str">
        <f t="shared" si="39"/>
        <v>KAY_5+116-BOZ-KAY5+6-FF-164</v>
      </c>
      <c r="M169" s="64" t="str">
        <f>[4]Sayfa1!$L165</f>
        <v>02.05.2024 TARİHİNDE GERÇEKLEŞTİRİLEN SAHA DENETİMİNDE 3876 NUMARALI ARAÇTA KAPI ÜSTÜ BİLGİLENDİRMELERİN ÇALIŞMADIĞI TESPİT EDİLMİŞTİR.</v>
      </c>
      <c r="N169" s="33" t="str">
        <f>[4]Sayfa1!$J165</f>
        <v>C-Uyarı, sürüş devamlılığı</v>
      </c>
      <c r="O169" s="33" t="str">
        <f>[4]Sayfa1!$P165</f>
        <v>B(Servisten çekmeye etki eden arızalar)</v>
      </c>
      <c r="P169" s="33" t="str">
        <f>[4]Sayfa1!$Q165</f>
        <v>N.A(Yaralanma yok)</v>
      </c>
      <c r="Q169" s="65" t="str" cm="1">
        <f t="array" ref="Q169">_xlfn.IFS([4]Sayfa1!$R165="Bozankaya","Bozankaya",[4]Sayfa1!$R165="İşletme","Customer",[4]Sayfa1!$R165="Tedarikçi","Equipment Supplier")</f>
        <v>Equipment Supplier</v>
      </c>
      <c r="R169" s="66" t="str">
        <f>[4]Sayfa1!$M165</f>
        <v>GÖRSEL PC PANEL RESETLENDİ. SİSTEM NORMAL ÇALIŞIYOR.</v>
      </c>
      <c r="S169" s="36" t="str">
        <f>[4]Sayfa1!$S165</f>
        <v>Atak</v>
      </c>
      <c r="T169" s="67">
        <f>[4]Sayfa1!$Z165</f>
        <v>0</v>
      </c>
      <c r="U169" s="68">
        <f>[4]Sayfa1!$AN165</f>
        <v>0</v>
      </c>
      <c r="V169" s="60">
        <f>[4]Sayfa1!$T165</f>
        <v>45415</v>
      </c>
      <c r="W169" s="61">
        <f>[4]Sayfa1!$U165</f>
        <v>45415.333333333336</v>
      </c>
      <c r="X169" s="69">
        <f t="shared" si="40"/>
        <v>45415.333333333336</v>
      </c>
      <c r="Y169" s="70">
        <f>[4]Sayfa1!$AQ165</f>
        <v>45415</v>
      </c>
      <c r="Z169" s="61">
        <f>[4]Sayfa1!$AR165</f>
        <v>45415.5</v>
      </c>
      <c r="AA169" s="69">
        <f t="shared" si="41"/>
        <v>45415.5</v>
      </c>
      <c r="AB169" s="71">
        <f t="shared" si="42"/>
        <v>3.9999999999417923</v>
      </c>
      <c r="AC169" s="60">
        <f t="shared" si="43"/>
        <v>45415</v>
      </c>
      <c r="AD169" s="61">
        <f t="shared" si="44"/>
        <v>45415.5</v>
      </c>
      <c r="AE169" s="69">
        <f t="shared" si="45"/>
        <v>45415.5</v>
      </c>
      <c r="AF169" s="36" t="str">
        <f>[4]Sayfa1!$AP165</f>
        <v>(II) Birden fazla karşılaşılan arıza</v>
      </c>
      <c r="AG169" s="33" t="str">
        <f>IF([4]Sayfa1!$J165="C-Uyarı, sürüş devamlılığı","Bu Arıza Aracın Servise Verilmesine Engel Değil","Bu Arıza Aracın Servise Verilmesine Engel")</f>
        <v>Bu Arıza Aracın Servise Verilmesine Engel Değil</v>
      </c>
      <c r="AH169" s="41" t="str">
        <f>[4]Sayfa1!$AB165</f>
        <v>Tamir edilecek</v>
      </c>
      <c r="AI169" s="60"/>
      <c r="AJ169" s="60"/>
      <c r="AK169" s="69">
        <f t="shared" si="46"/>
        <v>0</v>
      </c>
      <c r="AL169" s="71">
        <f t="shared" si="47"/>
        <v>239.99999999650754</v>
      </c>
      <c r="AM169" s="71">
        <f t="shared" si="48"/>
        <v>239.99999999650754</v>
      </c>
      <c r="AN169" s="72">
        <f t="shared" si="49"/>
        <v>0</v>
      </c>
      <c r="AO169" s="73" t="str">
        <f>[4]Sayfa1!$X165</f>
        <v>E410-7003</v>
      </c>
      <c r="AP169" s="72">
        <f>[4]Sayfa1!$Y165</f>
        <v>0</v>
      </c>
      <c r="AQ169" s="184" t="str">
        <f>[4]Sayfa1!$V165</f>
        <v>ATAK ULAŞIM SAN.TİC.LTD.ŞTİ.</v>
      </c>
      <c r="AR169" s="74" t="str">
        <f>[4]Sayfa1!$W165</f>
        <v>STRETCH LCD EKRAN</v>
      </c>
      <c r="AS169" s="74">
        <f>[4]Sayfa1!$AD165</f>
        <v>0</v>
      </c>
      <c r="AT169" s="60" t="str">
        <f>[4]Sayfa1!$AE165</f>
        <v/>
      </c>
      <c r="AU169" s="60" t="str">
        <f>[4]Sayfa1!$AH165</f>
        <v/>
      </c>
      <c r="AV169" s="75">
        <v>164</v>
      </c>
      <c r="AW169" s="76">
        <f t="shared" si="50"/>
        <v>0</v>
      </c>
      <c r="AX169" s="77" t="str">
        <f>[4]Sayfa1!$A165</f>
        <v>830a57cb</v>
      </c>
      <c r="AY169" s="78" t="s">
        <v>114</v>
      </c>
      <c r="AZ169" s="79" t="e" vm="1">
        <f t="shared" si="51"/>
        <v>#VALUE!</v>
      </c>
    </row>
    <row r="170" spans="1:52" ht="211.15">
      <c r="A170" s="59" t="s">
        <v>225</v>
      </c>
      <c r="B170" s="59" t="str">
        <f>[4]Sayfa1!$G166</f>
        <v>3872(1)</v>
      </c>
      <c r="C170" s="184" t="str">
        <f>[4]Sayfa1!$H166</f>
        <v>MB</v>
      </c>
      <c r="D170" s="24">
        <f>[4]Sayfa1!$N166</f>
        <v>55865</v>
      </c>
      <c r="E170" s="24" t="str">
        <f>[4]Sayfa1!$B166</f>
        <v>BOZ-KAY5+6-FF-165</v>
      </c>
      <c r="F170" s="60">
        <f>[4]Sayfa1!$E166</f>
        <v>45415</v>
      </c>
      <c r="G170" s="61">
        <f>[4]Sayfa1!$F166</f>
        <v>45415.885416666664</v>
      </c>
      <c r="H170" s="59" t="str">
        <f>[4]Sayfa1!$I166</f>
        <v>Hat/Line</v>
      </c>
      <c r="I170" s="62" t="str">
        <f>IF([4]Sayfa1!$K166="SSH","Notified by Bozankaya","Notified by Customer")</f>
        <v>Notified by Customer</v>
      </c>
      <c r="J170" s="59" t="e">
        <f>VLOOKUP([4]Sayfa1!$AU166,#REF!,2,FALSE)</f>
        <v>#REF!</v>
      </c>
      <c r="K170" s="59">
        <f>[4]Sayfa1!$AC166</f>
        <v>0</v>
      </c>
      <c r="L170" s="63" t="str">
        <f t="shared" si="39"/>
        <v>KAY_5+117-BOZ-KAY5+6-FF-165</v>
      </c>
      <c r="M170" s="64" t="str">
        <f>[4]Sayfa1!$L166</f>
        <v>3872 nolu araç kabin cb silecek cam suyu hortumu kopmuş</v>
      </c>
      <c r="N170" s="33" t="str">
        <f>[4]Sayfa1!$J166</f>
        <v>C-Uyarı, sürüş devamlılığı</v>
      </c>
      <c r="O170" s="33" t="str">
        <f>[4]Sayfa1!$P166</f>
        <v>C(Sisteme etki etmeyen arıza)</v>
      </c>
      <c r="P170" s="33" t="str">
        <f>[4]Sayfa1!$Q166</f>
        <v>N.A(Yaralanma yok)</v>
      </c>
      <c r="Q170" s="65" t="str" cm="1">
        <f t="array" ref="Q170">_xlfn.IFS([4]Sayfa1!$R166="Bozankaya","Bozankaya",[4]Sayfa1!$R166="İşletme","Customer",[4]Sayfa1!$R166="Tedarikçi","Equipment Supplier")</f>
        <v>Equipment Supplier</v>
      </c>
      <c r="R170" s="66" t="str">
        <f>[4]Sayfa1!$M166</f>
        <v>Silecek su hortumu yerine yapıştırıldı</v>
      </c>
      <c r="S170" s="36" t="str">
        <f>[4]Sayfa1!$S166</f>
        <v>Bozankaya</v>
      </c>
      <c r="T170" s="67">
        <f>[4]Sayfa1!$Z166</f>
        <v>0</v>
      </c>
      <c r="U170" s="68">
        <f>[4]Sayfa1!$AN166</f>
        <v>1</v>
      </c>
      <c r="V170" s="60">
        <f>[4]Sayfa1!$T166</f>
        <v>45416</v>
      </c>
      <c r="W170" s="61">
        <f>[4]Sayfa1!$U166</f>
        <v>45416.333333333336</v>
      </c>
      <c r="X170" s="69">
        <f t="shared" si="40"/>
        <v>45416.333333333336</v>
      </c>
      <c r="Y170" s="70">
        <f>[4]Sayfa1!$AQ166</f>
        <v>45416</v>
      </c>
      <c r="Z170" s="61">
        <f>[4]Sayfa1!$AR166</f>
        <v>45416.416666666664</v>
      </c>
      <c r="AA170" s="69">
        <f t="shared" si="41"/>
        <v>45416.416666666664</v>
      </c>
      <c r="AB170" s="71">
        <f t="shared" si="42"/>
        <v>1.9999999998835847</v>
      </c>
      <c r="AC170" s="60">
        <f t="shared" si="43"/>
        <v>45416</v>
      </c>
      <c r="AD170" s="61">
        <f t="shared" si="44"/>
        <v>45416.416666666664</v>
      </c>
      <c r="AE170" s="69">
        <f t="shared" si="45"/>
        <v>45416.416666666664</v>
      </c>
      <c r="AF170" s="36" t="str">
        <f>[4]Sayfa1!$AP166</f>
        <v>(I) İlk defa karşılaşılan arıza</v>
      </c>
      <c r="AG170" s="33" t="str">
        <f>IF([4]Sayfa1!$J166="C-Uyarı, sürüş devamlılığı","Bu Arıza Aracın Servise Verilmesine Engel Değil","Bu Arıza Aracın Servise Verilmesine Engel")</f>
        <v>Bu Arıza Aracın Servise Verilmesine Engel Değil</v>
      </c>
      <c r="AH170" s="41" t="str">
        <f>[4]Sayfa1!$AB166</f>
        <v>Tamir edilecek</v>
      </c>
      <c r="AI170" s="60"/>
      <c r="AJ170" s="60"/>
      <c r="AK170" s="69">
        <f t="shared" si="46"/>
        <v>0</v>
      </c>
      <c r="AL170" s="71">
        <f t="shared" si="47"/>
        <v>119.99999999301508</v>
      </c>
      <c r="AM170" s="71">
        <f t="shared" si="48"/>
        <v>119.99999999301508</v>
      </c>
      <c r="AN170" s="72">
        <f t="shared" si="49"/>
        <v>0</v>
      </c>
      <c r="AO170" s="73" t="str">
        <f>[4]Sayfa1!$X166</f>
        <v>M100-7066</v>
      </c>
      <c r="AP170" s="72">
        <f>[4]Sayfa1!$Y166</f>
        <v>1</v>
      </c>
      <c r="AQ170" s="184" t="str">
        <f>[4]Sayfa1!$V166</f>
        <v>DENİZLER OTOMOTİV SAN. VE TİC.LTD.Ş</v>
      </c>
      <c r="AR170" s="74" t="str">
        <f>[4]Sayfa1!$W166</f>
        <v>SİLECEK MEKANİZMASI Denizler / M.11.2506</v>
      </c>
      <c r="AS170" s="74">
        <f>[4]Sayfa1!$AD166</f>
        <v>0</v>
      </c>
      <c r="AT170" s="60" t="str">
        <f>[4]Sayfa1!$AE166</f>
        <v/>
      </c>
      <c r="AU170" s="60" t="str">
        <f>[4]Sayfa1!$AH166</f>
        <v/>
      </c>
      <c r="AV170" s="75">
        <v>165</v>
      </c>
      <c r="AW170" s="76">
        <f t="shared" si="50"/>
        <v>21.999999998719431</v>
      </c>
      <c r="AX170" s="77" t="str">
        <f>[4]Sayfa1!$A166</f>
        <v>47d1a534</v>
      </c>
      <c r="AY170" s="78" t="s">
        <v>114</v>
      </c>
      <c r="AZ170" s="79" t="e" vm="1">
        <f t="shared" si="51"/>
        <v>#VALUE!</v>
      </c>
    </row>
    <row r="171" spans="1:52" ht="211.15">
      <c r="A171" s="59" t="s">
        <v>226</v>
      </c>
      <c r="B171" s="59" t="str">
        <f>[4]Sayfa1!$G167</f>
        <v>3877(6)</v>
      </c>
      <c r="C171" s="184" t="str">
        <f>[4]Sayfa1!$H167</f>
        <v>MB</v>
      </c>
      <c r="D171" s="24">
        <f>[4]Sayfa1!$N167</f>
        <v>39900</v>
      </c>
      <c r="E171" s="24" t="str">
        <f>[4]Sayfa1!$B167</f>
        <v>BOZ-KAY5+6-FF-166</v>
      </c>
      <c r="F171" s="60">
        <f>[4]Sayfa1!$E167</f>
        <v>45417</v>
      </c>
      <c r="G171" s="61">
        <f>[4]Sayfa1!$F167</f>
        <v>45417.452777777777</v>
      </c>
      <c r="H171" s="59" t="str">
        <f>[4]Sayfa1!$I167</f>
        <v>Hat/Line</v>
      </c>
      <c r="I171" s="62" t="str">
        <f>IF([4]Sayfa1!$K167="SSH","Notified by Bozankaya","Notified by Customer")</f>
        <v>Notified by Customer</v>
      </c>
      <c r="J171" s="59" t="e">
        <f>VLOOKUP([4]Sayfa1!$AU167,#REF!,2,FALSE)</f>
        <v>#REF!</v>
      </c>
      <c r="K171" s="59">
        <f>[4]Sayfa1!$AC167</f>
        <v>0</v>
      </c>
      <c r="L171" s="63" t="str">
        <f t="shared" si="39"/>
        <v>KAY_5+118-BOZ-KAY5+6-FF-166</v>
      </c>
      <c r="M171" s="64" t="str">
        <f>[4]Sayfa1!$L167</f>
        <v>3877 CB Silgeç 2.konumda çalışıyor diğer modlarda çalışmıyor (Fasıla ve 1.kademe)</v>
      </c>
      <c r="N171" s="33" t="str">
        <f>[4]Sayfa1!$J167</f>
        <v>C-Uyarı, sürüş devamlılığı</v>
      </c>
      <c r="O171" s="33" t="str">
        <f>[4]Sayfa1!$P167</f>
        <v>C(Sisteme etki etmeyen arıza)</v>
      </c>
      <c r="P171" s="33" t="str">
        <f>[4]Sayfa1!$Q167</f>
        <v>N.A(Yaralanma yok)</v>
      </c>
      <c r="Q171" s="65" t="str" cm="1">
        <f t="array" ref="Q171">_xlfn.IFS([4]Sayfa1!$R167="Bozankaya","Bozankaya",[4]Sayfa1!$R167="İşletme","Customer",[4]Sayfa1!$R167="Tedarikçi","Equipment Supplier")</f>
        <v>Equipment Supplier</v>
      </c>
      <c r="R171" s="66" t="str">
        <f>[4]Sayfa1!$M167</f>
        <v>CB kabin silecek modülüne giren 2 adet kablo pinlerinden kopmuş elimizde modüle giren pin olmadığı için kablolar sıkıştırılarak takıldı</v>
      </c>
      <c r="S171" s="36" t="str">
        <f>[4]Sayfa1!$S167</f>
        <v>Bozankaya</v>
      </c>
      <c r="T171" s="67">
        <f>[4]Sayfa1!$Z167</f>
        <v>0</v>
      </c>
      <c r="U171" s="68">
        <f>[4]Sayfa1!$AN167</f>
        <v>1</v>
      </c>
      <c r="V171" s="60">
        <f>[4]Sayfa1!$T167</f>
        <v>45417</v>
      </c>
      <c r="W171" s="61">
        <f>[4]Sayfa1!$U167</f>
        <v>45417.559849537036</v>
      </c>
      <c r="X171" s="69">
        <f t="shared" si="40"/>
        <v>45417.559849537036</v>
      </c>
      <c r="Y171" s="70">
        <f>[4]Sayfa1!$AQ167</f>
        <v>45417</v>
      </c>
      <c r="Z171" s="61">
        <f>[4]Sayfa1!$AR167</f>
        <v>45417.625</v>
      </c>
      <c r="AA171" s="69">
        <f t="shared" si="41"/>
        <v>45417.625</v>
      </c>
      <c r="AB171" s="71">
        <f t="shared" si="42"/>
        <v>0</v>
      </c>
      <c r="AC171" s="60">
        <f t="shared" si="43"/>
        <v>45417</v>
      </c>
      <c r="AD171" s="61">
        <f t="shared" si="44"/>
        <v>45417.625</v>
      </c>
      <c r="AE171" s="69">
        <f t="shared" si="45"/>
        <v>45417.625</v>
      </c>
      <c r="AF171" s="36" t="str">
        <f>[4]Sayfa1!$AP167</f>
        <v>(I) İlk defa karşılaşılan arıza</v>
      </c>
      <c r="AG171" s="33" t="str">
        <f>IF([4]Sayfa1!$J167="C-Uyarı, sürüş devamlılığı","Bu Arıza Aracın Servise Verilmesine Engel Değil","Bu Arıza Aracın Servise Verilmesine Engel")</f>
        <v>Bu Arıza Aracın Servise Verilmesine Engel Değil</v>
      </c>
      <c r="AH171" s="41" t="str">
        <f>[4]Sayfa1!$AB167</f>
        <v>Tamir edilecek</v>
      </c>
      <c r="AI171" s="60"/>
      <c r="AJ171" s="60"/>
      <c r="AK171" s="69">
        <f t="shared" si="46"/>
        <v>0</v>
      </c>
      <c r="AL171" s="71">
        <f t="shared" si="47"/>
        <v>0</v>
      </c>
      <c r="AM171" s="71">
        <f t="shared" si="48"/>
        <v>0</v>
      </c>
      <c r="AN171" s="72">
        <f t="shared" si="49"/>
        <v>0</v>
      </c>
      <c r="AO171" s="73" t="str">
        <f>[4]Sayfa1!$X167</f>
        <v>E865-7038</v>
      </c>
      <c r="AP171" s="72">
        <f>[4]Sayfa1!$Y167</f>
        <v>1</v>
      </c>
      <c r="AQ171" s="184" t="str">
        <f>[4]Sayfa1!$V167</f>
        <v>YILKA OTOMOTİV VE RAYLI ARAÇ TEKNO.</v>
      </c>
      <c r="AR171" s="74" t="str">
        <f>[4]Sayfa1!$W167</f>
        <v>SİLECEK MODÜLÜ (24 VOLT)</v>
      </c>
      <c r="AS171" s="74">
        <f>[4]Sayfa1!$AD167</f>
        <v>0</v>
      </c>
      <c r="AT171" s="60" t="str">
        <f>[4]Sayfa1!$AE167</f>
        <v/>
      </c>
      <c r="AU171" s="60" t="str">
        <f>[4]Sayfa1!$AH167</f>
        <v/>
      </c>
      <c r="AV171" s="75">
        <v>166</v>
      </c>
      <c r="AW171" s="76">
        <f t="shared" si="50"/>
        <v>0</v>
      </c>
      <c r="AX171" s="77" t="str">
        <f>[4]Sayfa1!$A167</f>
        <v>7d884786</v>
      </c>
      <c r="AY171" s="78" t="s">
        <v>114</v>
      </c>
      <c r="AZ171" s="79" t="e" vm="1">
        <f t="shared" si="51"/>
        <v>#VALUE!</v>
      </c>
    </row>
    <row r="172" spans="1:52" ht="211.15">
      <c r="A172" s="59" t="s">
        <v>227</v>
      </c>
      <c r="B172" s="59" t="str">
        <f>[4]Sayfa1!$G168</f>
        <v>3879(8)</v>
      </c>
      <c r="C172" s="184" t="str">
        <f>[4]Sayfa1!$H168</f>
        <v>RA</v>
      </c>
      <c r="D172" s="24">
        <f>[4]Sayfa1!$N168</f>
        <v>16200</v>
      </c>
      <c r="E172" s="24" t="str">
        <f>[4]Sayfa1!$B168</f>
        <v>BOZ-KAY5+6-FF-167</v>
      </c>
      <c r="F172" s="60">
        <f>[4]Sayfa1!$E168</f>
        <v>45418</v>
      </c>
      <c r="G172" s="61">
        <f>[4]Sayfa1!$F168</f>
        <v>45418.46597222222</v>
      </c>
      <c r="H172" s="59" t="str">
        <f>[4]Sayfa1!$I168</f>
        <v>Hat/Line</v>
      </c>
      <c r="I172" s="62" t="str">
        <f>IF([4]Sayfa1!$K168="SSH","Notified by Bozankaya","Notified by Customer")</f>
        <v>Notified by Customer</v>
      </c>
      <c r="J172" s="59" t="e">
        <f>VLOOKUP([4]Sayfa1!$AU168,#REF!,2,FALSE)</f>
        <v>#REF!</v>
      </c>
      <c r="K172" s="59">
        <f>[4]Sayfa1!$AC168</f>
        <v>0</v>
      </c>
      <c r="L172" s="63" t="str">
        <f t="shared" si="39"/>
        <v>KAY_5+119-BOZ-KAY5+6-FF-167</v>
      </c>
      <c r="M172" s="64" t="str">
        <f>[4]Sayfa1!$L168</f>
        <v>Araç yolu bölümüne su alıyor</v>
      </c>
      <c r="N172" s="33" t="str">
        <f>[4]Sayfa1!$J168</f>
        <v>C-Uyarı, sürüş devamlılığı</v>
      </c>
      <c r="O172" s="33" t="str">
        <f>[4]Sayfa1!$P168</f>
        <v>B(Servisten çekmeye etki eden arızalar)</v>
      </c>
      <c r="P172" s="33" t="str">
        <f>[4]Sayfa1!$Q168</f>
        <v>N.A(Yaralanma yok)</v>
      </c>
      <c r="Q172" s="65" t="str" cm="1">
        <f t="array" ref="Q172">_xlfn.IFS([4]Sayfa1!$R168="Bozankaya","Bozankaya",[4]Sayfa1!$R168="İşletme","Customer",[4]Sayfa1!$R168="Tedarikçi","Equipment Supplier")</f>
        <v>Bozankaya</v>
      </c>
      <c r="R172" s="66" t="str">
        <f>[4]Sayfa1!$M168</f>
        <v>Su alan bölgeye sikaflex uygulaması yapıldı</v>
      </c>
      <c r="S172" s="36" t="str">
        <f>[4]Sayfa1!$S168</f>
        <v>Üretim</v>
      </c>
      <c r="T172" s="67">
        <f>[4]Sayfa1!$Z168</f>
        <v>0</v>
      </c>
      <c r="U172" s="68">
        <f>[4]Sayfa1!$AN168</f>
        <v>1</v>
      </c>
      <c r="V172" s="60">
        <f>[4]Sayfa1!$T168</f>
        <v>45419</v>
      </c>
      <c r="W172" s="61">
        <f>[4]Sayfa1!$U168</f>
        <v>45419.333333333336</v>
      </c>
      <c r="X172" s="69">
        <f t="shared" si="40"/>
        <v>45419.333333333336</v>
      </c>
      <c r="Y172" s="70">
        <f>[4]Sayfa1!$AQ168</f>
        <v>45420</v>
      </c>
      <c r="Z172" s="61">
        <f>[4]Sayfa1!$AR168</f>
        <v>45420.333333333336</v>
      </c>
      <c r="AA172" s="69">
        <f t="shared" si="41"/>
        <v>45420.333333333336</v>
      </c>
      <c r="AB172" s="71">
        <f t="shared" si="42"/>
        <v>24</v>
      </c>
      <c r="AC172" s="60">
        <f t="shared" si="43"/>
        <v>45420</v>
      </c>
      <c r="AD172" s="61">
        <f t="shared" si="44"/>
        <v>45420.333333333336</v>
      </c>
      <c r="AE172" s="69">
        <f t="shared" si="45"/>
        <v>45420.333333333336</v>
      </c>
      <c r="AF172" s="36" t="str">
        <f>[4]Sayfa1!$AP168</f>
        <v>(I) İlk defa karşılaşılan arıza</v>
      </c>
      <c r="AG172" s="33" t="str">
        <f>IF([4]Sayfa1!$J168="C-Uyarı, sürüş devamlılığı","Bu Arıza Aracın Servise Verilmesine Engel Değil","Bu Arıza Aracın Servise Verilmesine Engel")</f>
        <v>Bu Arıza Aracın Servise Verilmesine Engel Değil</v>
      </c>
      <c r="AH172" s="41" t="str">
        <f>[4]Sayfa1!$AB168</f>
        <v>Arıza çözülecek</v>
      </c>
      <c r="AI172" s="60"/>
      <c r="AJ172" s="60"/>
      <c r="AK172" s="69">
        <f t="shared" si="46"/>
        <v>0</v>
      </c>
      <c r="AL172" s="71">
        <f t="shared" si="47"/>
        <v>1440</v>
      </c>
      <c r="AM172" s="71">
        <f t="shared" si="48"/>
        <v>1440</v>
      </c>
      <c r="AN172" s="72">
        <f t="shared" si="49"/>
        <v>0</v>
      </c>
      <c r="AO172" s="73" t="str">
        <f>[4]Sayfa1!$X168</f>
        <v>H200-7011</v>
      </c>
      <c r="AP172" s="72">
        <f>[4]Sayfa1!$Y168</f>
        <v>1</v>
      </c>
      <c r="AQ172" s="184" t="str">
        <f>[4]Sayfa1!$V168</f>
        <v>GREBO OTOMOTİV SANAYİ A.Ş</v>
      </c>
      <c r="AR172" s="74" t="str">
        <f>[4]Sayfa1!$W168</f>
        <v>TURBO HAVALANDIRMA BRAKETI</v>
      </c>
      <c r="AS172" s="74">
        <f>[4]Sayfa1!$AD168</f>
        <v>0</v>
      </c>
      <c r="AT172" s="60" t="str">
        <f>[4]Sayfa1!$AE168</f>
        <v/>
      </c>
      <c r="AU172" s="60" t="str">
        <f>[4]Sayfa1!$AH168</f>
        <v/>
      </c>
      <c r="AV172" s="75">
        <v>167</v>
      </c>
      <c r="AW172" s="76">
        <f t="shared" si="50"/>
        <v>264</v>
      </c>
      <c r="AX172" s="77" t="str">
        <f>[4]Sayfa1!$A168</f>
        <v>6769a84a</v>
      </c>
      <c r="AY172" s="78" t="s">
        <v>114</v>
      </c>
      <c r="AZ172" s="79" t="e" vm="1">
        <f t="shared" si="51"/>
        <v>#VALUE!</v>
      </c>
    </row>
    <row r="173" spans="1:52" ht="409.6">
      <c r="A173" s="59" t="s">
        <v>228</v>
      </c>
      <c r="B173" s="59" t="str">
        <f>[4]Sayfa1!$G169</f>
        <v>3880(9)</v>
      </c>
      <c r="C173" s="184" t="str">
        <f>[4]Sayfa1!$H169</f>
        <v>RA</v>
      </c>
      <c r="D173" s="24">
        <f>[4]Sayfa1!$N169</f>
        <v>13142</v>
      </c>
      <c r="E173" s="24" t="str">
        <f>[4]Sayfa1!$B169</f>
        <v>BOZ-KAY5+6-FF-168</v>
      </c>
      <c r="F173" s="60">
        <f>[4]Sayfa1!$E169</f>
        <v>45418</v>
      </c>
      <c r="G173" s="61">
        <f>[4]Sayfa1!$F169</f>
        <v>45418.747916666667</v>
      </c>
      <c r="H173" s="59" t="str">
        <f>[4]Sayfa1!$I169</f>
        <v>Hat/Line</v>
      </c>
      <c r="I173" s="62" t="str">
        <f>IF([4]Sayfa1!$K169="SSH","Notified by Bozankaya","Notified by Customer")</f>
        <v>Notified by Customer</v>
      </c>
      <c r="J173" s="59" t="e">
        <f>VLOOKUP([4]Sayfa1!$AU169,#REF!,2,FALSE)</f>
        <v>#REF!</v>
      </c>
      <c r="K173" s="59">
        <f>[4]Sayfa1!$AC169</f>
        <v>0</v>
      </c>
      <c r="L173" s="63" t="str">
        <f t="shared" si="39"/>
        <v>KAY_5+120-BOZ-KAY5+6-FF-168</v>
      </c>
      <c r="M173" s="64" t="str">
        <f>[4]Sayfa1!$L169</f>
        <v>3880 TRAMVAYINA BİNDİK SAAT 15:20 CİVARINDA KULANNDIK KLİMALARIN ÇALIŞMADIĞINI MAKİNİSTE SÖYLEDİK ARADIK 153 E BİLDİRDİK YETKİLİLERE İLETİLECEK YARDIMCI OLUNACAK DENİLDİ. YİNE ÇÖZÜM ÜRETİLMEDİ DAYANAMAYIP HALEF HOCADA İNDİK.'' ŞEKLİNDE YOLCU ŞİKAYETİ GELMİŞTİR.</v>
      </c>
      <c r="N173" s="33" t="str">
        <f>[4]Sayfa1!$J169</f>
        <v>B-Hız veya güç azalması</v>
      </c>
      <c r="O173" s="33" t="str">
        <f>[4]Sayfa1!$P169</f>
        <v>B(Servisten çekmeye etki eden arızalar)</v>
      </c>
      <c r="P173" s="33" t="str">
        <f>[4]Sayfa1!$Q169</f>
        <v>N.A(Yaralanma yok)</v>
      </c>
      <c r="Q173" s="65" t="str" cm="1">
        <f t="array" ref="Q173">_xlfn.IFS([4]Sayfa1!$R169="Bozankaya","Bozankaya",[4]Sayfa1!$R169="İşletme","Customer",[4]Sayfa1!$R169="Tedarikçi","Equipment Supplier")</f>
        <v>Equipment Supplier</v>
      </c>
      <c r="R173" s="66" t="str">
        <f>[4]Sayfa1!$M169</f>
        <v>ARACIN SORUNU İLE ALAKALI 08.05.2024 TARİHİNDE ALİ ŞAHİN İLE GÖRÜŞTÜM SICAKLIK DEĞERLERİNİN 0 DERECE OLDUĞUNU SÖYLEDİ. 09.05.2024 TARİHİNDE TEKRAR KONTROL SAĞLADIK. SORUN GÖREMEDİK. KLİMA MASTER CARDINI SİGORTADAN RESETLEDİK.</v>
      </c>
      <c r="S173" s="36" t="str">
        <f>[4]Sayfa1!$S169</f>
        <v>Eltesan</v>
      </c>
      <c r="T173" s="67">
        <f>[4]Sayfa1!$Z169</f>
        <v>0</v>
      </c>
      <c r="U173" s="68">
        <f>[4]Sayfa1!$AN169</f>
        <v>2</v>
      </c>
      <c r="V173" s="60">
        <f>[4]Sayfa1!$T169</f>
        <v>45420</v>
      </c>
      <c r="W173" s="61">
        <f>[4]Sayfa1!$U169</f>
        <v>45420.334016203706</v>
      </c>
      <c r="X173" s="69">
        <f t="shared" si="40"/>
        <v>45420.334016203706</v>
      </c>
      <c r="Y173" s="70">
        <f>[4]Sayfa1!$AQ169</f>
        <v>45420</v>
      </c>
      <c r="Z173" s="61">
        <f>[4]Sayfa1!$AR169</f>
        <v>45420.5</v>
      </c>
      <c r="AA173" s="69">
        <f t="shared" si="41"/>
        <v>45420.5</v>
      </c>
      <c r="AB173" s="71">
        <f t="shared" si="42"/>
        <v>3.9836111110635102</v>
      </c>
      <c r="AC173" s="60">
        <f t="shared" si="43"/>
        <v>45420</v>
      </c>
      <c r="AD173" s="61">
        <f t="shared" si="44"/>
        <v>45420.5</v>
      </c>
      <c r="AE173" s="69">
        <f t="shared" si="45"/>
        <v>45420.5</v>
      </c>
      <c r="AF173" s="36" t="str">
        <f>[4]Sayfa1!$AP169</f>
        <v>(II) Birden fazla karşılaşılan arıza</v>
      </c>
      <c r="AG173" s="33" t="str">
        <f>IF([4]Sayfa1!$J169="C-Uyarı, sürüş devamlılığı","Bu Arıza Aracın Servise Verilmesine Engel Değil","Bu Arıza Aracın Servise Verilmesine Engel")</f>
        <v>Bu Arıza Aracın Servise Verilmesine Engel</v>
      </c>
      <c r="AH173" s="41" t="str">
        <f>[4]Sayfa1!$AB169</f>
        <v>Tamir edilecek</v>
      </c>
      <c r="AI173" s="60"/>
      <c r="AJ173" s="60"/>
      <c r="AK173" s="69">
        <f t="shared" si="46"/>
        <v>0</v>
      </c>
      <c r="AL173" s="71">
        <f t="shared" si="47"/>
        <v>239.01666666381061</v>
      </c>
      <c r="AM173" s="71">
        <f t="shared" si="48"/>
        <v>239.01666666381061</v>
      </c>
      <c r="AN173" s="72">
        <f t="shared" si="49"/>
        <v>0</v>
      </c>
      <c r="AO173" s="73" t="str">
        <f>[4]Sayfa1!$X169</f>
        <v>H500-7240</v>
      </c>
      <c r="AP173" s="72">
        <f>[4]Sayfa1!$Y169</f>
        <v>1</v>
      </c>
      <c r="AQ173" s="184" t="str">
        <f>[4]Sayfa1!$V169</f>
        <v>ELTESAN ELEKTRO MEKANİK SOĞUTMA SAN</v>
      </c>
      <c r="AR173" s="74" t="str">
        <f>[4]Sayfa1!$W169</f>
        <v>KLIMA UNITESİ /Eltesan/Hispacold 41,5 kW</v>
      </c>
      <c r="AS173" s="74">
        <f>[4]Sayfa1!$AD169</f>
        <v>0</v>
      </c>
      <c r="AT173" s="60" t="str">
        <f>[4]Sayfa1!$AE169</f>
        <v/>
      </c>
      <c r="AU173" s="60" t="str">
        <f>[4]Sayfa1!$AH169</f>
        <v/>
      </c>
      <c r="AV173" s="75">
        <v>168</v>
      </c>
      <c r="AW173" s="76">
        <f t="shared" si="50"/>
        <v>87.639444443397224</v>
      </c>
      <c r="AX173" s="77" t="str">
        <f>[4]Sayfa1!$A169</f>
        <v>225eaa56</v>
      </c>
      <c r="AY173" s="78" t="s">
        <v>114</v>
      </c>
      <c r="AZ173" s="79" t="e" vm="1">
        <f t="shared" si="51"/>
        <v>#VALUE!</v>
      </c>
    </row>
    <row r="174" spans="1:52" ht="372.6">
      <c r="A174" s="59" t="s">
        <v>229</v>
      </c>
      <c r="B174" s="59" t="str">
        <f>[4]Sayfa1!$G170</f>
        <v>3876(5)</v>
      </c>
      <c r="C174" s="184" t="str">
        <f>[4]Sayfa1!$H170</f>
        <v>MB</v>
      </c>
      <c r="D174" s="24">
        <f>[4]Sayfa1!$N170</f>
        <v>53500</v>
      </c>
      <c r="E174" s="24" t="str">
        <f>[4]Sayfa1!$B170</f>
        <v>BOZ-KAY5+6-FF-169</v>
      </c>
      <c r="F174" s="60">
        <f>[4]Sayfa1!$E170</f>
        <v>45419</v>
      </c>
      <c r="G174" s="61">
        <f>[4]Sayfa1!$F170</f>
        <v>45419.467361111114</v>
      </c>
      <c r="H174" s="59" t="str">
        <f>[4]Sayfa1!$I170</f>
        <v>Hat/Line</v>
      </c>
      <c r="I174" s="62" t="str">
        <f>IF([4]Sayfa1!$K170="SSH","Notified by Bozankaya","Notified by Customer")</f>
        <v>Notified by Customer</v>
      </c>
      <c r="J174" s="59" t="e">
        <f>VLOOKUP([4]Sayfa1!$AU170,#REF!,2,FALSE)</f>
        <v>#REF!</v>
      </c>
      <c r="K174" s="59">
        <f>[4]Sayfa1!$AC170</f>
        <v>0</v>
      </c>
      <c r="L174" s="63" t="str">
        <f t="shared" si="39"/>
        <v>KAY_5+121-BOZ-KAY5+6-FF-169</v>
      </c>
      <c r="M174" s="64" t="str">
        <f>[4]Sayfa1!$L170</f>
        <v>07.05.2024 tarihinde yapılan saha denetiminde saar10:50 de 3876 -B  nolu aracın ikinci ve üçüncü kapı üstlerinde ekranların çalışmadığı tespit edilmiştir.Gerekli müdahaleyi gerçekleştirelim.</v>
      </c>
      <c r="N174" s="33" t="str">
        <f>[4]Sayfa1!$J170</f>
        <v>C-Uyarı, sürüş devamlılığı</v>
      </c>
      <c r="O174" s="33" t="str">
        <f>[4]Sayfa1!$P170</f>
        <v>C(Sisteme etki etmeyen arıza)</v>
      </c>
      <c r="P174" s="33" t="str">
        <f>[4]Sayfa1!$Q170</f>
        <v>N.A(Yaralanma yok)</v>
      </c>
      <c r="Q174" s="65" t="str" cm="1">
        <f t="array" ref="Q174">_xlfn.IFS([4]Sayfa1!$R170="Bozankaya","Bozankaya",[4]Sayfa1!$R170="İşletme","Customer",[4]Sayfa1!$R170="Tedarikçi","Equipment Supplier")</f>
        <v>Equipment Supplier</v>
      </c>
      <c r="R174" s="66" t="str">
        <f>[4]Sayfa1!$M170</f>
        <v>kontrol edildi kapı üstündeki ekranlara görüntü geliyor</v>
      </c>
      <c r="S174" s="36" t="str">
        <f>[4]Sayfa1!$S170</f>
        <v>Atak</v>
      </c>
      <c r="T174" s="67">
        <f>[4]Sayfa1!$Z170</f>
        <v>0</v>
      </c>
      <c r="U174" s="68">
        <f>[4]Sayfa1!$AN170</f>
        <v>0</v>
      </c>
      <c r="V174" s="60">
        <f>[4]Sayfa1!$T170</f>
        <v>45420</v>
      </c>
      <c r="W174" s="61">
        <f>[4]Sayfa1!$U170</f>
        <v>45420.333333333336</v>
      </c>
      <c r="X174" s="69">
        <f t="shared" si="40"/>
        <v>45420.333333333336</v>
      </c>
      <c r="Y174" s="70">
        <f>[4]Sayfa1!$AQ170</f>
        <v>45420</v>
      </c>
      <c r="Z174" s="61">
        <f>[4]Sayfa1!$AR170</f>
        <v>45420.458333333336</v>
      </c>
      <c r="AA174" s="69">
        <f t="shared" si="41"/>
        <v>45420.458333333336</v>
      </c>
      <c r="AB174" s="71">
        <f t="shared" si="42"/>
        <v>3</v>
      </c>
      <c r="AC174" s="60">
        <f t="shared" si="43"/>
        <v>45420</v>
      </c>
      <c r="AD174" s="61">
        <f t="shared" si="44"/>
        <v>45420.458333333336</v>
      </c>
      <c r="AE174" s="69">
        <f t="shared" si="45"/>
        <v>45420.458333333336</v>
      </c>
      <c r="AF174" s="36" t="str">
        <f>[4]Sayfa1!$AP170</f>
        <v>(III) Birden fazla aynı araçta karşılaşılan arıza</v>
      </c>
      <c r="AG174" s="33" t="str">
        <f>IF([4]Sayfa1!$J170="C-Uyarı, sürüş devamlılığı","Bu Arıza Aracın Servise Verilmesine Engel Değil","Bu Arıza Aracın Servise Verilmesine Engel")</f>
        <v>Bu Arıza Aracın Servise Verilmesine Engel Değil</v>
      </c>
      <c r="AH174" s="41" t="str">
        <f>[4]Sayfa1!$AB170</f>
        <v>Tamir edilecek</v>
      </c>
      <c r="AI174" s="60"/>
      <c r="AJ174" s="60"/>
      <c r="AK174" s="69">
        <f t="shared" si="46"/>
        <v>0</v>
      </c>
      <c r="AL174" s="71">
        <f t="shared" si="47"/>
        <v>180</v>
      </c>
      <c r="AM174" s="71">
        <f t="shared" si="48"/>
        <v>180</v>
      </c>
      <c r="AN174" s="72">
        <f t="shared" si="49"/>
        <v>0</v>
      </c>
      <c r="AO174" s="73" t="str">
        <f>[4]Sayfa1!$X170</f>
        <v>E410-7003</v>
      </c>
      <c r="AP174" s="72">
        <f>[4]Sayfa1!$Y170</f>
        <v>1</v>
      </c>
      <c r="AQ174" s="184" t="str">
        <f>[4]Sayfa1!$V170</f>
        <v>ATAK ULAŞIM SAN.TİC.LTD.ŞTİ.</v>
      </c>
      <c r="AR174" s="74" t="str">
        <f>[4]Sayfa1!$W170</f>
        <v>STRETCH LCD EKRAN</v>
      </c>
      <c r="AS174" s="74">
        <f>[4]Sayfa1!$AD170</f>
        <v>0</v>
      </c>
      <c r="AT174" s="60" t="str">
        <f>[4]Sayfa1!$AE170</f>
        <v/>
      </c>
      <c r="AU174" s="60" t="str">
        <f>[4]Sayfa1!$AH170</f>
        <v/>
      </c>
      <c r="AV174" s="75">
        <v>169</v>
      </c>
      <c r="AW174" s="76">
        <f t="shared" si="50"/>
        <v>0</v>
      </c>
      <c r="AX174" s="77" t="str">
        <f>[4]Sayfa1!$A170</f>
        <v>a0778126</v>
      </c>
      <c r="AY174" s="78" t="s">
        <v>114</v>
      </c>
      <c r="AZ174" s="79" t="e" vm="1">
        <f t="shared" si="51"/>
        <v>#VALUE!</v>
      </c>
    </row>
    <row r="175" spans="1:52" ht="186.6">
      <c r="A175" s="59" t="s">
        <v>230</v>
      </c>
      <c r="B175" s="59" t="str">
        <f>[4]Sayfa1!$G171</f>
        <v>3874(3)</v>
      </c>
      <c r="C175" s="184" t="str">
        <f>[4]Sayfa1!$H171</f>
        <v>MB</v>
      </c>
      <c r="D175" s="24">
        <f>[4]Sayfa1!$N171</f>
        <v>62800</v>
      </c>
      <c r="E175" s="24" t="str">
        <f>[4]Sayfa1!$B171</f>
        <v>BOZ-KAY5+6-FF-170</v>
      </c>
      <c r="F175" s="60">
        <f>[4]Sayfa1!$E171</f>
        <v>45420</v>
      </c>
      <c r="G175" s="61">
        <f>[4]Sayfa1!$F171</f>
        <v>45420.791666666664</v>
      </c>
      <c r="H175" s="59" t="str">
        <f>[4]Sayfa1!$I171</f>
        <v>Hat/Line</v>
      </c>
      <c r="I175" s="62" t="str">
        <f>IF([4]Sayfa1!$K171="SSH","Notified by Bozankaya","Notified by Customer")</f>
        <v>Notified by Customer</v>
      </c>
      <c r="J175" s="59" t="e">
        <f>VLOOKUP([4]Sayfa1!$AU171,#REF!,2,FALSE)</f>
        <v>#REF!</v>
      </c>
      <c r="K175" s="59">
        <f>[4]Sayfa1!$AC171</f>
        <v>0</v>
      </c>
      <c r="L175" s="63" t="str">
        <f t="shared" si="39"/>
        <v>KAY_5+122-BOZ-KAY5+6-FF-170</v>
      </c>
      <c r="M175" s="64" t="str">
        <f>[4]Sayfa1!$L171</f>
        <v>CB Kabin ivme kolu yerinden çıkıyor</v>
      </c>
      <c r="N175" s="33" t="str">
        <f>[4]Sayfa1!$J171</f>
        <v>C-Uyarı, sürüş devamlılığı</v>
      </c>
      <c r="O175" s="33" t="str">
        <f>[4]Sayfa1!$P171</f>
        <v>B(Servisten çekmeye etki eden arızalar)</v>
      </c>
      <c r="P175" s="33" t="str">
        <f>[4]Sayfa1!$Q171</f>
        <v>N.A(Yaralanma yok)</v>
      </c>
      <c r="Q175" s="65" t="str" cm="1">
        <f t="array" ref="Q175">_xlfn.IFS([4]Sayfa1!$R171="Bozankaya","Bozankaya",[4]Sayfa1!$R171="İşletme","Customer",[4]Sayfa1!$R171="Tedarikçi","Equipment Supplier")</f>
        <v>Equipment Supplier</v>
      </c>
      <c r="R175" s="66" t="str">
        <f>[4]Sayfa1!$M171</f>
        <v>ivme kolu vidası gevşemiş sıkılandı</v>
      </c>
      <c r="S175" s="36" t="str">
        <f>[4]Sayfa1!$S171</f>
        <v>Medcom</v>
      </c>
      <c r="T175" s="67">
        <f>[4]Sayfa1!$Z171</f>
        <v>0</v>
      </c>
      <c r="U175" s="68">
        <f>[4]Sayfa1!$AN171</f>
        <v>2</v>
      </c>
      <c r="V175" s="60">
        <f>[4]Sayfa1!$T171</f>
        <v>45421</v>
      </c>
      <c r="W175" s="61">
        <f>[4]Sayfa1!$U171</f>
        <v>45421.333333333336</v>
      </c>
      <c r="X175" s="69">
        <f t="shared" si="40"/>
        <v>45421.333333333336</v>
      </c>
      <c r="Y175" s="70">
        <f>[4]Sayfa1!$AQ171</f>
        <v>45421</v>
      </c>
      <c r="Z175" s="61">
        <f>[4]Sayfa1!$AR171</f>
        <v>45421.583333333336</v>
      </c>
      <c r="AA175" s="69">
        <f t="shared" si="41"/>
        <v>45421.583333333336</v>
      </c>
      <c r="AB175" s="71">
        <f t="shared" si="42"/>
        <v>6</v>
      </c>
      <c r="AC175" s="60">
        <f t="shared" si="43"/>
        <v>45421</v>
      </c>
      <c r="AD175" s="61">
        <f t="shared" si="44"/>
        <v>45421.583333333336</v>
      </c>
      <c r="AE175" s="69">
        <f t="shared" si="45"/>
        <v>45421.583333333336</v>
      </c>
      <c r="AF175" s="36" t="str">
        <f>[4]Sayfa1!$AP171</f>
        <v>(I) İlk defa karşılaşılan arıza</v>
      </c>
      <c r="AG175" s="33" t="str">
        <f>IF([4]Sayfa1!$J171="C-Uyarı, sürüş devamlılığı","Bu Arıza Aracın Servise Verilmesine Engel Değil","Bu Arıza Aracın Servise Verilmesine Engel")</f>
        <v>Bu Arıza Aracın Servise Verilmesine Engel Değil</v>
      </c>
      <c r="AH175" s="41" t="str">
        <f>[4]Sayfa1!$AB171</f>
        <v>Tamir edilecek</v>
      </c>
      <c r="AI175" s="60"/>
      <c r="AJ175" s="60"/>
      <c r="AK175" s="69">
        <f t="shared" si="46"/>
        <v>0</v>
      </c>
      <c r="AL175" s="71">
        <f t="shared" si="47"/>
        <v>360</v>
      </c>
      <c r="AM175" s="71">
        <f t="shared" si="48"/>
        <v>360</v>
      </c>
      <c r="AN175" s="72">
        <f t="shared" si="49"/>
        <v>0</v>
      </c>
      <c r="AO175" s="73" t="str">
        <f>[4]Sayfa1!$X171</f>
        <v>E300-7001</v>
      </c>
      <c r="AP175" s="72">
        <f>[4]Sayfa1!$Y171</f>
        <v>1</v>
      </c>
      <c r="AQ175" s="184" t="str">
        <f>[4]Sayfa1!$V171</f>
        <v>MEDCOM SP. Z O.O.</v>
      </c>
      <c r="AR175" s="74" t="str">
        <f>[4]Sayfa1!$W171</f>
        <v>MASTER CONTRROLER S334 C36B</v>
      </c>
      <c r="AS175" s="74">
        <f>[4]Sayfa1!$AD171</f>
        <v>0</v>
      </c>
      <c r="AT175" s="60" t="str">
        <f>[4]Sayfa1!$AE171</f>
        <v/>
      </c>
      <c r="AU175" s="60" t="str">
        <f>[4]Sayfa1!$AH171</f>
        <v/>
      </c>
      <c r="AV175" s="75">
        <v>170</v>
      </c>
      <c r="AW175" s="76">
        <f t="shared" si="50"/>
        <v>132</v>
      </c>
      <c r="AX175" s="77" t="str">
        <f>[4]Sayfa1!$A171</f>
        <v>16bfeafb</v>
      </c>
      <c r="AY175" s="78" t="s">
        <v>114</v>
      </c>
      <c r="AZ175" s="79" t="e" vm="1">
        <f t="shared" si="51"/>
        <v>#VALUE!</v>
      </c>
    </row>
    <row r="176" spans="1:52" ht="186.6">
      <c r="A176" s="59" t="s">
        <v>231</v>
      </c>
      <c r="B176" s="59" t="str">
        <f>[4]Sayfa1!$G172</f>
        <v>3877(6)</v>
      </c>
      <c r="C176" s="184" t="str">
        <f>[4]Sayfa1!$H172</f>
        <v>RA</v>
      </c>
      <c r="D176" s="24">
        <f>[4]Sayfa1!$N172</f>
        <v>15000</v>
      </c>
      <c r="E176" s="24" t="str">
        <f>[4]Sayfa1!$B172</f>
        <v>BOZ-KAY5+6-FF-171</v>
      </c>
      <c r="F176" s="60">
        <f>[4]Sayfa1!$E172</f>
        <v>45421</v>
      </c>
      <c r="G176" s="61">
        <f>[4]Sayfa1!$F172</f>
        <v>45421.231944444444</v>
      </c>
      <c r="H176" s="59" t="str">
        <f>[4]Sayfa1!$I172</f>
        <v>Depo/Depot</v>
      </c>
      <c r="I176" s="62" t="str">
        <f>IF([4]Sayfa1!$K172="SSH","Notified by Bozankaya","Notified by Customer")</f>
        <v>Notified by Customer</v>
      </c>
      <c r="J176" s="59" t="e">
        <f>VLOOKUP([4]Sayfa1!$AU172,#REF!,2,FALSE)</f>
        <v>#REF!</v>
      </c>
      <c r="K176" s="59">
        <f>[4]Sayfa1!$AC172</f>
        <v>0</v>
      </c>
      <c r="L176" s="63" t="str">
        <f t="shared" si="39"/>
        <v>KAY_5+123-BOZ-KAY5+6-FF-171</v>
      </c>
      <c r="M176" s="64" t="str">
        <f>[4]Sayfa1!$L172</f>
        <v>İÇ VE DIŞ ANONS KONTROLÜ : A BAŞ ÇALIŞMIYOR</v>
      </c>
      <c r="N176" s="33" t="str">
        <f>[4]Sayfa1!$J172</f>
        <v>A-Sürüşü engeller</v>
      </c>
      <c r="O176" s="33" t="str">
        <f>[4]Sayfa1!$P172</f>
        <v>B(Servisten çekmeye etki eden arızalar)</v>
      </c>
      <c r="P176" s="33" t="str">
        <f>[4]Sayfa1!$Q172</f>
        <v>N.A(Yaralanma yok)</v>
      </c>
      <c r="Q176" s="65" t="str" cm="1">
        <f t="array" ref="Q176">_xlfn.IFS([4]Sayfa1!$R172="Bozankaya","Bozankaya",[4]Sayfa1!$R172="İşletme","Customer",[4]Sayfa1!$R172="Tedarikçi","Equipment Supplier")</f>
        <v>Equipment Supplier</v>
      </c>
      <c r="R176" s="66" t="str">
        <f>[4]Sayfa1!$M172</f>
        <v>SİSTEM DONMUŞ RESETLENDİ NORMAL ÇALIŞIYOR</v>
      </c>
      <c r="S176" s="36" t="str">
        <f>[4]Sayfa1!$S172</f>
        <v>Atak</v>
      </c>
      <c r="T176" s="67">
        <f>[4]Sayfa1!$Z172</f>
        <v>0</v>
      </c>
      <c r="U176" s="68">
        <f>[4]Sayfa1!$AN172</f>
        <v>1</v>
      </c>
      <c r="V176" s="60">
        <f>[4]Sayfa1!$T172</f>
        <v>45421</v>
      </c>
      <c r="W176" s="61">
        <f>[4]Sayfa1!$U172</f>
        <v>45421.333333333336</v>
      </c>
      <c r="X176" s="69">
        <f t="shared" si="40"/>
        <v>45421.333333333336</v>
      </c>
      <c r="Y176" s="70">
        <f>[4]Sayfa1!$AQ172</f>
        <v>45421</v>
      </c>
      <c r="Z176" s="61">
        <f>[4]Sayfa1!$AR172</f>
        <v>45421.416666666664</v>
      </c>
      <c r="AA176" s="69">
        <f t="shared" si="41"/>
        <v>45421.416666666664</v>
      </c>
      <c r="AB176" s="71">
        <f t="shared" si="42"/>
        <v>0</v>
      </c>
      <c r="AC176" s="60">
        <f t="shared" si="43"/>
        <v>45421</v>
      </c>
      <c r="AD176" s="61">
        <f t="shared" si="44"/>
        <v>45421.416666666664</v>
      </c>
      <c r="AE176" s="69">
        <f t="shared" si="45"/>
        <v>45421.416666666664</v>
      </c>
      <c r="AF176" s="36" t="str">
        <f>[4]Sayfa1!$AP172</f>
        <v>(I) İlk defa karşılaşılan arıza</v>
      </c>
      <c r="AG176" s="33" t="str">
        <f>IF([4]Sayfa1!$J172="C-Uyarı, sürüş devamlılığı","Bu Arıza Aracın Servise Verilmesine Engel Değil","Bu Arıza Aracın Servise Verilmesine Engel")</f>
        <v>Bu Arıza Aracın Servise Verilmesine Engel</v>
      </c>
      <c r="AH176" s="41">
        <f>[4]Sayfa1!$AB172</f>
        <v>0</v>
      </c>
      <c r="AI176" s="60"/>
      <c r="AJ176" s="60"/>
      <c r="AK176" s="69">
        <f t="shared" si="46"/>
        <v>0</v>
      </c>
      <c r="AL176" s="71">
        <f t="shared" si="47"/>
        <v>0</v>
      </c>
      <c r="AM176" s="71">
        <f t="shared" si="48"/>
        <v>0</v>
      </c>
      <c r="AN176" s="72">
        <f t="shared" si="49"/>
        <v>0</v>
      </c>
      <c r="AO176" s="73" t="str">
        <f>[4]Sayfa1!$X172</f>
        <v>E840-7002</v>
      </c>
      <c r="AP176" s="72">
        <f>[4]Sayfa1!$Y172</f>
        <v>0</v>
      </c>
      <c r="AQ176" s="184" t="str">
        <f>[4]Sayfa1!$V172</f>
        <v>ATAK ULAŞIM SAN.TİC.LTD.ŞTİ.</v>
      </c>
      <c r="AR176" s="74" t="str">
        <f>[4]Sayfa1!$W172</f>
        <v>Merkez Ünite AU300 (train bus, vehicle b</v>
      </c>
      <c r="AS176" s="74">
        <f>[4]Sayfa1!$AD172</f>
        <v>0</v>
      </c>
      <c r="AT176" s="60" t="str">
        <f>[4]Sayfa1!$AE172</f>
        <v/>
      </c>
      <c r="AU176" s="60" t="str">
        <f>[4]Sayfa1!$AH172</f>
        <v/>
      </c>
      <c r="AV176" s="75">
        <v>171</v>
      </c>
      <c r="AW176" s="76">
        <f t="shared" si="50"/>
        <v>0</v>
      </c>
      <c r="AX176" s="77" t="str">
        <f>[4]Sayfa1!$A172</f>
        <v>3e0fc70b</v>
      </c>
      <c r="AY176" s="78" t="s">
        <v>114</v>
      </c>
      <c r="AZ176" s="79" t="e" vm="1">
        <f t="shared" si="51"/>
        <v>#VALUE!</v>
      </c>
    </row>
    <row r="177" spans="1:52" ht="186.6">
      <c r="A177" s="59" t="s">
        <v>232</v>
      </c>
      <c r="B177" s="59" t="str">
        <f>[4]Sayfa1!$G173</f>
        <v>3874(3)</v>
      </c>
      <c r="C177" s="184" t="str">
        <f>[4]Sayfa1!$H173</f>
        <v>MA</v>
      </c>
      <c r="D177" s="24">
        <f>[4]Sayfa1!$N173</f>
        <v>63200</v>
      </c>
      <c r="E177" s="24" t="str">
        <f>[4]Sayfa1!$B173</f>
        <v>BOZ-KAY5+6-FF-172</v>
      </c>
      <c r="F177" s="60">
        <f>[4]Sayfa1!$E173</f>
        <v>45421</v>
      </c>
      <c r="G177" s="61">
        <f>[4]Sayfa1!$F173</f>
        <v>45421.738888888889</v>
      </c>
      <c r="H177" s="59" t="str">
        <f>[4]Sayfa1!$I173</f>
        <v>Hat/Line</v>
      </c>
      <c r="I177" s="62" t="str">
        <f>IF([4]Sayfa1!$K173="SSH","Notified by Bozankaya","Notified by Customer")</f>
        <v>Notified by Customer</v>
      </c>
      <c r="J177" s="59" t="e">
        <f>VLOOKUP([4]Sayfa1!$AU173,#REF!,2,FALSE)</f>
        <v>#REF!</v>
      </c>
      <c r="K177" s="59">
        <f>[4]Sayfa1!$AC173</f>
        <v>0</v>
      </c>
      <c r="L177" s="63" t="str">
        <f t="shared" si="39"/>
        <v>KAY_5+124-BOZ-KAY5+6-FF-172</v>
      </c>
      <c r="M177" s="64" t="str">
        <f>[4]Sayfa1!$L173</f>
        <v>KAMERA EKRANI ARA ARA GİDİP GELİYO</v>
      </c>
      <c r="N177" s="33" t="str">
        <f>[4]Sayfa1!$J173</f>
        <v>A-Sürüşü engeller</v>
      </c>
      <c r="O177" s="33" t="str">
        <f>[4]Sayfa1!$P173</f>
        <v>B(Servisten çekmeye etki eden arızalar)</v>
      </c>
      <c r="P177" s="33" t="str">
        <f>[4]Sayfa1!$Q173</f>
        <v>N.A(Yaralanma yok)</v>
      </c>
      <c r="Q177" s="65" t="str" cm="1">
        <f t="array" ref="Q177">_xlfn.IFS([4]Sayfa1!$R173="Bozankaya","Bozankaya",[4]Sayfa1!$R173="İşletme","Customer",[4]Sayfa1!$R173="Tedarikçi","Equipment Supplier")</f>
        <v>Equipment Supplier</v>
      </c>
      <c r="R177" s="66" t="str">
        <f>[4]Sayfa1!$M173</f>
        <v>YAPILAN KONTROLLERDE OLUMSUZ DURUM GÖRÜLMEDİ SORUNSUZ ÇALIŞIYOR</v>
      </c>
      <c r="S177" s="36" t="str">
        <f>[4]Sayfa1!$S173</f>
        <v>NSC</v>
      </c>
      <c r="T177" s="67">
        <f>[4]Sayfa1!$Z173</f>
        <v>0</v>
      </c>
      <c r="U177" s="68">
        <f>[4]Sayfa1!$AN173</f>
        <v>1</v>
      </c>
      <c r="V177" s="60">
        <f>[4]Sayfa1!$T173</f>
        <v>45421</v>
      </c>
      <c r="W177" s="61">
        <f>[4]Sayfa1!$U173</f>
        <v>45421.75</v>
      </c>
      <c r="X177" s="69">
        <f t="shared" si="40"/>
        <v>45421.75</v>
      </c>
      <c r="Y177" s="70">
        <f>[4]Sayfa1!$AQ173</f>
        <v>45421</v>
      </c>
      <c r="Z177" s="61">
        <f>[4]Sayfa1!$AR173</f>
        <v>45421.791666666664</v>
      </c>
      <c r="AA177" s="69">
        <f t="shared" si="41"/>
        <v>45421.791666666664</v>
      </c>
      <c r="AB177" s="71">
        <f t="shared" si="42"/>
        <v>0</v>
      </c>
      <c r="AC177" s="60">
        <f t="shared" si="43"/>
        <v>45421</v>
      </c>
      <c r="AD177" s="61">
        <f t="shared" si="44"/>
        <v>45421.791666666664</v>
      </c>
      <c r="AE177" s="69">
        <f t="shared" si="45"/>
        <v>45421.791666666664</v>
      </c>
      <c r="AF177" s="36" t="str">
        <f>[4]Sayfa1!$AP173</f>
        <v>(II) Birden fazla karşılaşılan arıza</v>
      </c>
      <c r="AG177" s="33" t="str">
        <f>IF([4]Sayfa1!$J173="C-Uyarı, sürüş devamlılığı","Bu Arıza Aracın Servise Verilmesine Engel Değil","Bu Arıza Aracın Servise Verilmesine Engel")</f>
        <v>Bu Arıza Aracın Servise Verilmesine Engel</v>
      </c>
      <c r="AH177" s="41" t="str">
        <f>[4]Sayfa1!$AB173</f>
        <v>Tamir edilecek</v>
      </c>
      <c r="AI177" s="60"/>
      <c r="AJ177" s="60"/>
      <c r="AK177" s="69">
        <f t="shared" si="46"/>
        <v>0</v>
      </c>
      <c r="AL177" s="71">
        <f t="shared" si="47"/>
        <v>0</v>
      </c>
      <c r="AM177" s="71">
        <f t="shared" si="48"/>
        <v>0</v>
      </c>
      <c r="AN177" s="72">
        <f t="shared" si="49"/>
        <v>0</v>
      </c>
      <c r="AO177" s="73" t="str">
        <f>[4]Sayfa1!$X173</f>
        <v>E810-7145</v>
      </c>
      <c r="AP177" s="72">
        <f>[4]Sayfa1!$Y173</f>
        <v>1</v>
      </c>
      <c r="AQ177" s="184" t="str">
        <f>[4]Sayfa1!$V173</f>
        <v>NSC TEKNOLOJİ ve İNŞAAT LTD.ŞTİ.</v>
      </c>
      <c r="AR177" s="74" t="str">
        <f>[4]Sayfa1!$W173</f>
        <v>CCTV EKRANI</v>
      </c>
      <c r="AS177" s="74">
        <f>[4]Sayfa1!$AD173</f>
        <v>0</v>
      </c>
      <c r="AT177" s="60" t="str">
        <f>[4]Sayfa1!$AE173</f>
        <v/>
      </c>
      <c r="AU177" s="60" t="str">
        <f>[4]Sayfa1!$AH173</f>
        <v/>
      </c>
      <c r="AV177" s="75">
        <v>172</v>
      </c>
      <c r="AW177" s="76">
        <f t="shared" si="50"/>
        <v>0</v>
      </c>
      <c r="AX177" s="77" t="str">
        <f>[4]Sayfa1!$A173</f>
        <v>b775e35f</v>
      </c>
      <c r="AY177" s="78" t="s">
        <v>114</v>
      </c>
      <c r="AZ177" s="79" t="e" vm="1">
        <f t="shared" si="51"/>
        <v>#VALUE!</v>
      </c>
    </row>
    <row r="178" spans="1:52" ht="211.15">
      <c r="A178" s="59" t="s">
        <v>233</v>
      </c>
      <c r="B178" s="59" t="str">
        <f>[4]Sayfa1!$G174</f>
        <v>3874(3)</v>
      </c>
      <c r="C178" s="184" t="str">
        <f>[4]Sayfa1!$H174</f>
        <v>RA</v>
      </c>
      <c r="D178" s="24">
        <f>[4]Sayfa1!$N174</f>
        <v>62800</v>
      </c>
      <c r="E178" s="24" t="str">
        <f>[4]Sayfa1!$B174</f>
        <v>BOZ-KAY5+6-FF-173</v>
      </c>
      <c r="F178" s="60">
        <f>[4]Sayfa1!$E174</f>
        <v>45421</v>
      </c>
      <c r="G178" s="61">
        <f>[4]Sayfa1!$F174</f>
        <v>45421.739583333336</v>
      </c>
      <c r="H178" s="59" t="str">
        <f>[4]Sayfa1!$I174</f>
        <v>Hat/Line</v>
      </c>
      <c r="I178" s="62" t="str">
        <f>IF([4]Sayfa1!$K174="SSH","Notified by Bozankaya","Notified by Customer")</f>
        <v>Notified by Customer</v>
      </c>
      <c r="J178" s="59" t="e">
        <f>VLOOKUP([4]Sayfa1!$AU174,#REF!,2,FALSE)</f>
        <v>#REF!</v>
      </c>
      <c r="K178" s="59">
        <f>[4]Sayfa1!$AC174</f>
        <v>0</v>
      </c>
      <c r="L178" s="63" t="str">
        <f t="shared" si="39"/>
        <v>KAY_5+125-BOZ-KAY5+6-FF-173</v>
      </c>
      <c r="M178" s="64" t="str">
        <f>[4]Sayfa1!$L174</f>
        <v>Engelii butonu kabine uyarı sesi veriyor.iptal olmuyor</v>
      </c>
      <c r="N178" s="33" t="str">
        <f>[4]Sayfa1!$J174</f>
        <v>C-Uyarı, sürüş devamlılığı</v>
      </c>
      <c r="O178" s="33" t="str">
        <f>[4]Sayfa1!$P174</f>
        <v>C(Sisteme etki etmeyen arıza)</v>
      </c>
      <c r="P178" s="33" t="str">
        <f>[4]Sayfa1!$Q174</f>
        <v>N.A(Yaralanma yok)</v>
      </c>
      <c r="Q178" s="65" t="str" cm="1">
        <f t="array" ref="Q178">_xlfn.IFS([4]Sayfa1!$R174="Bozankaya","Bozankaya",[4]Sayfa1!$R174="İşletme","Customer",[4]Sayfa1!$R174="Tedarikçi","Equipment Supplier")</f>
        <v>Equipment Supplier</v>
      </c>
      <c r="R178" s="66" t="str">
        <f>[4]Sayfa1!$M174</f>
        <v>Engelli butonuna basıldığında kabine uyarı veriyor.diğer araçlar kontrol edildi.diğer araçlardada bu şekilde çalışıyor</v>
      </c>
      <c r="S178" s="36" t="str">
        <f>[4]Sayfa1!$S174</f>
        <v>Bozankaya</v>
      </c>
      <c r="T178" s="67">
        <f>[4]Sayfa1!$Z174</f>
        <v>0</v>
      </c>
      <c r="U178" s="68">
        <f>[4]Sayfa1!$AN174</f>
        <v>1</v>
      </c>
      <c r="V178" s="60">
        <f>[4]Sayfa1!$T174</f>
        <v>45422</v>
      </c>
      <c r="W178" s="61">
        <f>[4]Sayfa1!$U174</f>
        <v>45422.333333333336</v>
      </c>
      <c r="X178" s="69">
        <f t="shared" si="40"/>
        <v>45422.333333333336</v>
      </c>
      <c r="Y178" s="70">
        <f>[4]Sayfa1!$AQ174</f>
        <v>45422</v>
      </c>
      <c r="Z178" s="61">
        <f>[4]Sayfa1!$AR174</f>
        <v>45422.416666666664</v>
      </c>
      <c r="AA178" s="69">
        <f t="shared" si="41"/>
        <v>45422.416666666664</v>
      </c>
      <c r="AB178" s="71">
        <f t="shared" si="42"/>
        <v>1.9999999998835847</v>
      </c>
      <c r="AC178" s="60">
        <f t="shared" si="43"/>
        <v>45422</v>
      </c>
      <c r="AD178" s="61">
        <f t="shared" si="44"/>
        <v>45422.416666666664</v>
      </c>
      <c r="AE178" s="69">
        <f t="shared" si="45"/>
        <v>45422.416666666664</v>
      </c>
      <c r="AF178" s="36" t="str">
        <f>[4]Sayfa1!$AP174</f>
        <v>(II) Birden fazla karşılaşılan arıza</v>
      </c>
      <c r="AG178" s="33" t="str">
        <f>IF([4]Sayfa1!$J174="C-Uyarı, sürüş devamlılığı","Bu Arıza Aracın Servise Verilmesine Engel Değil","Bu Arıza Aracın Servise Verilmesine Engel")</f>
        <v>Bu Arıza Aracın Servise Verilmesine Engel Değil</v>
      </c>
      <c r="AH178" s="41" t="str">
        <f>[4]Sayfa1!$AB174</f>
        <v>Tamir edilecek</v>
      </c>
      <c r="AI178" s="60"/>
      <c r="AJ178" s="60"/>
      <c r="AK178" s="69">
        <f t="shared" si="46"/>
        <v>0</v>
      </c>
      <c r="AL178" s="71">
        <f t="shared" si="47"/>
        <v>119.99999999301508</v>
      </c>
      <c r="AM178" s="71">
        <f t="shared" si="48"/>
        <v>119.99999999301508</v>
      </c>
      <c r="AN178" s="72">
        <f t="shared" si="49"/>
        <v>0</v>
      </c>
      <c r="AO178" s="73" t="str">
        <f>[4]Sayfa1!$X174</f>
        <v>M110-7057</v>
      </c>
      <c r="AP178" s="72">
        <f>[4]Sayfa1!$Y174</f>
        <v>1</v>
      </c>
      <c r="AQ178" s="184" t="str">
        <f>[4]Sayfa1!$V174</f>
        <v>TURCK OTOMASYON TİC. LTD.ŞTİ.</v>
      </c>
      <c r="AR178" s="74" t="str">
        <f>[4]Sayfa1!$W174</f>
        <v>SESLI UYARI CIHAZI</v>
      </c>
      <c r="AS178" s="74">
        <f>[4]Sayfa1!$AD174</f>
        <v>0</v>
      </c>
      <c r="AT178" s="60" t="str">
        <f>[4]Sayfa1!$AE174</f>
        <v/>
      </c>
      <c r="AU178" s="60" t="str">
        <f>[4]Sayfa1!$AH174</f>
        <v/>
      </c>
      <c r="AV178" s="75">
        <v>173</v>
      </c>
      <c r="AW178" s="76">
        <f t="shared" si="50"/>
        <v>21.999999998719431</v>
      </c>
      <c r="AX178" s="77" t="str">
        <f>[4]Sayfa1!$A174</f>
        <v>8fc36cef</v>
      </c>
      <c r="AY178" s="78" t="s">
        <v>114</v>
      </c>
      <c r="AZ178" s="79" t="e" vm="1">
        <f t="shared" si="51"/>
        <v>#VALUE!</v>
      </c>
    </row>
    <row r="179" spans="1:52" ht="148.15">
      <c r="A179" s="59" t="s">
        <v>234</v>
      </c>
      <c r="B179" s="59" t="str">
        <f>[4]Sayfa1!$G175</f>
        <v>3874(3)</v>
      </c>
      <c r="C179" s="184" t="str">
        <f>[4]Sayfa1!$H175</f>
        <v>RA</v>
      </c>
      <c r="D179" s="24">
        <f>[4]Sayfa1!$N175</f>
        <v>62800</v>
      </c>
      <c r="E179" s="24" t="str">
        <f>[4]Sayfa1!$B175</f>
        <v>BOZ-KAY5+6-FF-174</v>
      </c>
      <c r="F179" s="60">
        <f>[4]Sayfa1!$E175</f>
        <v>45422</v>
      </c>
      <c r="G179" s="61">
        <f>[4]Sayfa1!$F175</f>
        <v>45422.617361111108</v>
      </c>
      <c r="H179" s="59" t="str">
        <f>[4]Sayfa1!$I175</f>
        <v>Hat/Line</v>
      </c>
      <c r="I179" s="62" t="str">
        <f>IF([4]Sayfa1!$K175="SSH","Notified by Bozankaya","Notified by Customer")</f>
        <v>Notified by Customer</v>
      </c>
      <c r="J179" s="59" t="e">
        <f>VLOOKUP([4]Sayfa1!$AU175,#REF!,2,FALSE)</f>
        <v>#REF!</v>
      </c>
      <c r="K179" s="59">
        <f>[4]Sayfa1!$AC175</f>
        <v>0</v>
      </c>
      <c r="L179" s="63" t="str">
        <f t="shared" si="39"/>
        <v>KAY_5+126-BOZ-KAY5+6-FF-174</v>
      </c>
      <c r="M179" s="64" t="str">
        <f>[4]Sayfa1!$L175</f>
        <v>6 nolu kapı izole edildi</v>
      </c>
      <c r="N179" s="33" t="str">
        <f>[4]Sayfa1!$J175</f>
        <v>C-Uyarı, sürüş devamlılığı</v>
      </c>
      <c r="O179" s="33" t="str">
        <f>[4]Sayfa1!$P175</f>
        <v>B(Servisten çekmeye etki eden arızalar)</v>
      </c>
      <c r="P179" s="33" t="str">
        <f>[4]Sayfa1!$Q175</f>
        <v>N.A(Yaralanma yok)</v>
      </c>
      <c r="Q179" s="65" t="str" cm="1">
        <f t="array" ref="Q179">_xlfn.IFS([4]Sayfa1!$R175="Bozankaya","Bozankaya",[4]Sayfa1!$R175="İşletme","Customer",[4]Sayfa1!$R175="Tedarikçi","Equipment Supplier")</f>
        <v>Equipment Supplier</v>
      </c>
      <c r="R179" s="66" t="str">
        <f>[4]Sayfa1!$M175</f>
        <v>5 ve 6 nolu kapıların DCU kendi aralarında DCU değişimi yapıldı</v>
      </c>
      <c r="S179" s="36" t="str">
        <f>[4]Sayfa1!$S175</f>
        <v>IFE</v>
      </c>
      <c r="T179" s="67">
        <f>[4]Sayfa1!$Z175</f>
        <v>0</v>
      </c>
      <c r="U179" s="68">
        <f>[4]Sayfa1!$AN175</f>
        <v>1</v>
      </c>
      <c r="V179" s="60">
        <f>[4]Sayfa1!$T175</f>
        <v>45423</v>
      </c>
      <c r="W179" s="61">
        <f>[4]Sayfa1!$U175</f>
        <v>45423.616261574076</v>
      </c>
      <c r="X179" s="69">
        <f t="shared" si="40"/>
        <v>45423.616261574076</v>
      </c>
      <c r="Y179" s="70">
        <f>[4]Sayfa1!$AQ175</f>
        <v>45423</v>
      </c>
      <c r="Z179" s="61">
        <f>[4]Sayfa1!$AR175</f>
        <v>45423.708333333336</v>
      </c>
      <c r="AA179" s="69">
        <f t="shared" si="41"/>
        <v>45423.708333333336</v>
      </c>
      <c r="AB179" s="71">
        <f t="shared" si="42"/>
        <v>2.2097222222364508</v>
      </c>
      <c r="AC179" s="60">
        <f t="shared" si="43"/>
        <v>45423</v>
      </c>
      <c r="AD179" s="61">
        <f t="shared" si="44"/>
        <v>45423.708333333336</v>
      </c>
      <c r="AE179" s="69">
        <f t="shared" si="45"/>
        <v>45423.708333333336</v>
      </c>
      <c r="AF179" s="36" t="str">
        <f>[4]Sayfa1!$AP175</f>
        <v>(I) İlk defa karşılaşılan arıza</v>
      </c>
      <c r="AG179" s="33" t="str">
        <f>IF([4]Sayfa1!$J175="C-Uyarı, sürüş devamlılığı","Bu Arıza Aracın Servise Verilmesine Engel Değil","Bu Arıza Aracın Servise Verilmesine Engel")</f>
        <v>Bu Arıza Aracın Servise Verilmesine Engel Değil</v>
      </c>
      <c r="AH179" s="41" t="str">
        <f>[4]Sayfa1!$AB175</f>
        <v>Tamir edilecek</v>
      </c>
      <c r="AI179" s="60"/>
      <c r="AJ179" s="60"/>
      <c r="AK179" s="69">
        <f t="shared" si="46"/>
        <v>0</v>
      </c>
      <c r="AL179" s="71">
        <f t="shared" si="47"/>
        <v>132.58333333418705</v>
      </c>
      <c r="AM179" s="71">
        <f t="shared" si="48"/>
        <v>132.58333333418705</v>
      </c>
      <c r="AN179" s="72">
        <f t="shared" si="49"/>
        <v>0</v>
      </c>
      <c r="AO179" s="73" t="str">
        <f>[4]Sayfa1!$X175</f>
        <v>M110-7082</v>
      </c>
      <c r="AP179" s="72">
        <f>[4]Sayfa1!$Y175</f>
        <v>1</v>
      </c>
      <c r="AQ179" s="184" t="str">
        <f>[4]Sayfa1!$V175</f>
        <v>KNORR-BREMSE GMBH DİVİSİON IFE AUTO</v>
      </c>
      <c r="AR179" s="74" t="str">
        <f>[4]Sayfa1!$W175</f>
        <v>PRM’LI ÇİFTLİ KAPI</v>
      </c>
      <c r="AS179" s="74">
        <f>[4]Sayfa1!$AD175</f>
        <v>0</v>
      </c>
      <c r="AT179" s="60" t="str">
        <f>[4]Sayfa1!$AE175</f>
        <v/>
      </c>
      <c r="AU179" s="60" t="str">
        <f>[4]Sayfa1!$AH175</f>
        <v/>
      </c>
      <c r="AV179" s="75">
        <v>174</v>
      </c>
      <c r="AW179" s="76">
        <f t="shared" si="50"/>
        <v>24.306944444600958</v>
      </c>
      <c r="AX179" s="77" t="str">
        <f>[4]Sayfa1!$A175</f>
        <v>0d217701</v>
      </c>
      <c r="AY179" s="78" t="s">
        <v>114</v>
      </c>
      <c r="AZ179" s="79" t="e" vm="1">
        <f t="shared" si="51"/>
        <v>#VALUE!</v>
      </c>
    </row>
    <row r="180" spans="1:52" ht="409.6">
      <c r="A180" s="59" t="s">
        <v>235</v>
      </c>
      <c r="B180" s="59" t="str">
        <f>[4]Sayfa1!$G176</f>
        <v>3875(4)</v>
      </c>
      <c r="C180" s="184" t="str">
        <f>[4]Sayfa1!$H176</f>
        <v>RB</v>
      </c>
      <c r="D180" s="24">
        <f>[4]Sayfa1!$N176</f>
        <v>43800</v>
      </c>
      <c r="E180" s="24" t="str">
        <f>[4]Sayfa1!$B176</f>
        <v>BOZ-KAY5+6-FF-175</v>
      </c>
      <c r="F180" s="60">
        <f>[4]Sayfa1!$E176</f>
        <v>45424</v>
      </c>
      <c r="G180" s="61">
        <f>[4]Sayfa1!$F176</f>
        <v>45424.179861111108</v>
      </c>
      <c r="H180" s="59" t="str">
        <f>[4]Sayfa1!$I176</f>
        <v>Depo/Depot</v>
      </c>
      <c r="I180" s="62" t="str">
        <f>IF([4]Sayfa1!$K176="SSH","Notified by Bozankaya","Notified by Customer")</f>
        <v>Notified by Customer</v>
      </c>
      <c r="J180" s="59" t="e">
        <f>VLOOKUP([4]Sayfa1!$AU176,#REF!,2,FALSE)</f>
        <v>#REF!</v>
      </c>
      <c r="K180" s="59">
        <f>[4]Sayfa1!$AC176</f>
        <v>0</v>
      </c>
      <c r="L180" s="63" t="str">
        <f t="shared" si="39"/>
        <v>KAY_5+127-BOZ-KAY5+6-FF-175</v>
      </c>
      <c r="M180" s="64" t="str">
        <f>[4]Sayfa1!$L176</f>
        <v>3875 nolu araç pantoğraf indirilemiyor araç söndürelemiyor</v>
      </c>
      <c r="N180" s="33" t="str">
        <f>[4]Sayfa1!$J176</f>
        <v>A-Sürüşü engeller</v>
      </c>
      <c r="O180" s="33" t="str">
        <f>[4]Sayfa1!$P176</f>
        <v>A(Hareket etmeyi engelleyen arıza)</v>
      </c>
      <c r="P180" s="33" t="str">
        <f>[4]Sayfa1!$Q176</f>
        <v>N.A(Yaralanma yok)</v>
      </c>
      <c r="Q180" s="65" t="str" cm="1">
        <f t="array" ref="Q180">_xlfn.IFS([4]Sayfa1!$R176="Bozankaya","Bozankaya",[4]Sayfa1!$R176="İşletme","Customer",[4]Sayfa1!$R176="Tedarikçi","Equipment Supplier")</f>
        <v>Bozankaya</v>
      </c>
      <c r="R180" s="66" t="str">
        <f>[4]Sayfa1!$M176</f>
        <v>pantoğtaf indirilemiyor bu sebeple söndürülemiyor denilmişti.Yapılan kontrollerde GA-03sigortası atıktı kaldırınca geri atıyordu.Sigorta atma sebebi modülüne giren terminal soketi DOT_P_02 terminal soketi ile yerleri karıstırılmış.Soketlerin yerleri düzeltildi pantoğraf normale döndü fakat kısa devre kaynaklı terminalde deformasyon vardı.Terminal BZN SSH tarafından değiştildi.Sorun giderildi</v>
      </c>
      <c r="S180" s="36" t="str">
        <f>[4]Sayfa1!$S176</f>
        <v>Üretim</v>
      </c>
      <c r="T180" s="67">
        <f>[4]Sayfa1!$Z176</f>
        <v>0</v>
      </c>
      <c r="U180" s="68">
        <f>[4]Sayfa1!$AN176</f>
        <v>2</v>
      </c>
      <c r="V180" s="60">
        <f>[4]Sayfa1!$T176</f>
        <v>45424</v>
      </c>
      <c r="W180" s="61">
        <f>[4]Sayfa1!$U176</f>
        <v>45424.333333333336</v>
      </c>
      <c r="X180" s="69">
        <f t="shared" si="40"/>
        <v>45424.333333333336</v>
      </c>
      <c r="Y180" s="70">
        <f>[4]Sayfa1!$AQ176</f>
        <v>45424</v>
      </c>
      <c r="Z180" s="61">
        <f>[4]Sayfa1!$AR176</f>
        <v>45424.5</v>
      </c>
      <c r="AA180" s="69">
        <f t="shared" si="41"/>
        <v>45424.5</v>
      </c>
      <c r="AB180" s="71">
        <f t="shared" si="42"/>
        <v>0</v>
      </c>
      <c r="AC180" s="60">
        <f t="shared" si="43"/>
        <v>45424</v>
      </c>
      <c r="AD180" s="61">
        <f t="shared" si="44"/>
        <v>45424.5</v>
      </c>
      <c r="AE180" s="69">
        <f t="shared" si="45"/>
        <v>45424.5</v>
      </c>
      <c r="AF180" s="36" t="str">
        <f>[4]Sayfa1!$AP176</f>
        <v>(I) İlk defa karşılaşılan arıza</v>
      </c>
      <c r="AG180" s="33" t="str">
        <f>IF([4]Sayfa1!$J176="C-Uyarı, sürüş devamlılığı","Bu Arıza Aracın Servise Verilmesine Engel Değil","Bu Arıza Aracın Servise Verilmesine Engel")</f>
        <v>Bu Arıza Aracın Servise Verilmesine Engel</v>
      </c>
      <c r="AH180" s="41">
        <f>[4]Sayfa1!$AB176</f>
        <v>0</v>
      </c>
      <c r="AI180" s="60"/>
      <c r="AJ180" s="60"/>
      <c r="AK180" s="69">
        <f t="shared" si="46"/>
        <v>0</v>
      </c>
      <c r="AL180" s="71">
        <f t="shared" si="47"/>
        <v>0</v>
      </c>
      <c r="AM180" s="71">
        <f t="shared" si="48"/>
        <v>0</v>
      </c>
      <c r="AN180" s="72">
        <f t="shared" si="49"/>
        <v>0</v>
      </c>
      <c r="AO180" s="73" t="str">
        <f>[4]Sayfa1!$X176</f>
        <v>B100-7019</v>
      </c>
      <c r="AP180" s="72">
        <f>[4]Sayfa1!$Y176</f>
        <v>1</v>
      </c>
      <c r="AQ180" s="184" t="str">
        <f>[4]Sayfa1!$V176</f>
        <v>STEMMANN-TECHNİK</v>
      </c>
      <c r="AR180" s="74" t="str">
        <f>[4]Sayfa1!$W176</f>
        <v>XTopraklama</v>
      </c>
      <c r="AS180" s="74">
        <f>[4]Sayfa1!$AD176</f>
        <v>0</v>
      </c>
      <c r="AT180" s="60" t="str">
        <f>[4]Sayfa1!$AE176</f>
        <v/>
      </c>
      <c r="AU180" s="60" t="str">
        <f>[4]Sayfa1!$AH176</f>
        <v/>
      </c>
      <c r="AV180" s="75">
        <v>175</v>
      </c>
      <c r="AW180" s="76">
        <f t="shared" si="50"/>
        <v>0</v>
      </c>
      <c r="AX180" s="77" t="str">
        <f>[4]Sayfa1!$A176</f>
        <v>1518d757</v>
      </c>
      <c r="AY180" s="78" t="s">
        <v>114</v>
      </c>
      <c r="AZ180" s="79" t="e" vm="1">
        <f t="shared" si="51"/>
        <v>#VALUE!</v>
      </c>
    </row>
    <row r="181" spans="1:52" ht="409.6">
      <c r="A181" s="59" t="s">
        <v>236</v>
      </c>
      <c r="B181" s="59" t="str">
        <f>[4]Sayfa1!$G177</f>
        <v>3881(10)</v>
      </c>
      <c r="C181" s="184" t="str">
        <f>[4]Sayfa1!$H177</f>
        <v>MA</v>
      </c>
      <c r="D181" s="24">
        <f>[4]Sayfa1!$N177</f>
        <v>14200</v>
      </c>
      <c r="E181" s="24" t="str">
        <f>[4]Sayfa1!$B177</f>
        <v>BOZ-KAY5+6-FF-176</v>
      </c>
      <c r="F181" s="60">
        <f>[4]Sayfa1!$E177</f>
        <v>45426</v>
      </c>
      <c r="G181" s="61">
        <f>[4]Sayfa1!$F177</f>
        <v>45426.467916666668</v>
      </c>
      <c r="H181" s="59" t="str">
        <f>[4]Sayfa1!$I177</f>
        <v>Hat/Line</v>
      </c>
      <c r="I181" s="62" t="str">
        <f>IF([4]Sayfa1!$K177="SSH","Notified by Bozankaya","Notified by Customer")</f>
        <v>Notified by Customer</v>
      </c>
      <c r="J181" s="59" t="e">
        <f>VLOOKUP([4]Sayfa1!$AU177,#REF!,2,FALSE)</f>
        <v>#REF!</v>
      </c>
      <c r="K181" s="59">
        <f>[4]Sayfa1!$AC177</f>
        <v>0</v>
      </c>
      <c r="L181" s="63" t="str">
        <f t="shared" si="39"/>
        <v>KAY_5+128-BOZ-KAY5+6-FF-176</v>
      </c>
      <c r="M181" s="64" t="str">
        <f>[4]Sayfa1!$L177</f>
        <v>Yeni tramvaydan kabinden su geliyor olası elektrik arıza problemlerine yol açabilir bilginize video ektedir.10/05/2024 10:19 ilgili video bağlı dökümanlar kısmına eklenmiştir.arıza müdahalesini sağlayalım,araca ikinci kez su kaçak kontrolünü gerçekleştirelim.</v>
      </c>
      <c r="N181" s="33" t="str">
        <f>[4]Sayfa1!$J177</f>
        <v>C-Uyarı, sürüş devamlılığı</v>
      </c>
      <c r="O181" s="33" t="str">
        <f>[4]Sayfa1!$P177</f>
        <v>B(Servisten çekmeye etki eden arızalar)</v>
      </c>
      <c r="P181" s="33" t="str">
        <f>[4]Sayfa1!$Q177</f>
        <v>N.A(Yaralanma yok)</v>
      </c>
      <c r="Q181" s="65" t="str" cm="1">
        <f t="array" ref="Q181">_xlfn.IFS([4]Sayfa1!$R177="Bozankaya","Bozankaya",[4]Sayfa1!$R177="İşletme","Customer",[4]Sayfa1!$R177="Tedarikçi","Equipment Supplier")</f>
        <v>Bozankaya</v>
      </c>
      <c r="R181" s="66" t="str">
        <f>[4]Sayfa1!$M177</f>
        <v>Araca açılan arıza tarihi sonrası müdahale edilmişti. Bölüm bölüm araca su basıldı aktif kaçak noktaları tespit edilip sika uygulandı.SSH ekibi ve ulaşım personeli ile araca müdahale edildi.</v>
      </c>
      <c r="S181" s="36" t="str">
        <f>[4]Sayfa1!$S177</f>
        <v>Üretim</v>
      </c>
      <c r="T181" s="67">
        <f>[4]Sayfa1!$Z177</f>
        <v>0</v>
      </c>
      <c r="U181" s="68">
        <f>[4]Sayfa1!$AN177</f>
        <v>1</v>
      </c>
      <c r="V181" s="60">
        <f>[4]Sayfa1!$T177</f>
        <v>45426</v>
      </c>
      <c r="W181" s="61">
        <f>[4]Sayfa1!$U177</f>
        <v>45426.542233796295</v>
      </c>
      <c r="X181" s="69">
        <f t="shared" si="40"/>
        <v>45426.542233796295</v>
      </c>
      <c r="Y181" s="70">
        <f>[4]Sayfa1!$AQ177</f>
        <v>45426</v>
      </c>
      <c r="Z181" s="61">
        <f>[4]Sayfa1!$AR177</f>
        <v>45426.583333333336</v>
      </c>
      <c r="AA181" s="69">
        <f t="shared" si="41"/>
        <v>45426.583333333336</v>
      </c>
      <c r="AB181" s="71">
        <f t="shared" si="42"/>
        <v>0</v>
      </c>
      <c r="AC181" s="60">
        <f t="shared" si="43"/>
        <v>45426</v>
      </c>
      <c r="AD181" s="61">
        <f t="shared" si="44"/>
        <v>45426.583333333336</v>
      </c>
      <c r="AE181" s="69">
        <f t="shared" si="45"/>
        <v>45426.583333333336</v>
      </c>
      <c r="AF181" s="36" t="str">
        <f>[4]Sayfa1!$AP177</f>
        <v>(I) İlk defa karşılaşılan arıza</v>
      </c>
      <c r="AG181" s="33" t="str">
        <f>IF([4]Sayfa1!$J177="C-Uyarı, sürüş devamlılığı","Bu Arıza Aracın Servise Verilmesine Engel Değil","Bu Arıza Aracın Servise Verilmesine Engel")</f>
        <v>Bu Arıza Aracın Servise Verilmesine Engel Değil</v>
      </c>
      <c r="AH181" s="41" t="str">
        <f>[4]Sayfa1!$AB177</f>
        <v>Tamir edilecek</v>
      </c>
      <c r="AI181" s="60"/>
      <c r="AJ181" s="60"/>
      <c r="AK181" s="69">
        <f t="shared" si="46"/>
        <v>0</v>
      </c>
      <c r="AL181" s="71">
        <f t="shared" si="47"/>
        <v>0</v>
      </c>
      <c r="AM181" s="71">
        <f t="shared" si="48"/>
        <v>0</v>
      </c>
      <c r="AN181" s="72">
        <f t="shared" si="49"/>
        <v>0</v>
      </c>
      <c r="AO181" s="73" t="str">
        <f>[4]Sayfa1!$X177</f>
        <v>T-SLR100011</v>
      </c>
      <c r="AP181" s="72">
        <f>[4]Sayfa1!$Y177</f>
        <v>1</v>
      </c>
      <c r="AQ181" s="184" t="str">
        <f>[4]Sayfa1!$V177</f>
        <v>SİKA YAPI KİMYASALLARI A.Ş</v>
      </c>
      <c r="AR181" s="74" t="str">
        <f>[4]Sayfa1!$W177</f>
        <v>Sikaflex-521 UV</v>
      </c>
      <c r="AS181" s="74">
        <f>[4]Sayfa1!$AD177</f>
        <v>0</v>
      </c>
      <c r="AT181" s="60" t="str">
        <f>[4]Sayfa1!$AE177</f>
        <v/>
      </c>
      <c r="AU181" s="60" t="str">
        <f>[4]Sayfa1!$AH177</f>
        <v/>
      </c>
      <c r="AV181" s="75">
        <v>176</v>
      </c>
      <c r="AW181" s="76">
        <f t="shared" si="50"/>
        <v>0</v>
      </c>
      <c r="AX181" s="77" t="str">
        <f>[4]Sayfa1!$A177</f>
        <v>244f35d5</v>
      </c>
      <c r="AY181" s="78" t="s">
        <v>114</v>
      </c>
      <c r="AZ181" s="79" t="e" vm="1">
        <f t="shared" si="51"/>
        <v>#VALUE!</v>
      </c>
    </row>
    <row r="182" spans="1:52" ht="211.15">
      <c r="A182" s="59" t="s">
        <v>237</v>
      </c>
      <c r="B182" s="59" t="str">
        <f>[4]Sayfa1!$G178</f>
        <v>3881(10)</v>
      </c>
      <c r="C182" s="184" t="str">
        <f>[4]Sayfa1!$H178</f>
        <v>MB</v>
      </c>
      <c r="D182" s="24">
        <f>[4]Sayfa1!$N178</f>
        <v>9000</v>
      </c>
      <c r="E182" s="24" t="str">
        <f>[4]Sayfa1!$B178</f>
        <v>BOZ-KAY5+6-FF-177</v>
      </c>
      <c r="F182" s="60">
        <f>[4]Sayfa1!$E178</f>
        <v>45426</v>
      </c>
      <c r="G182" s="61">
        <f>[4]Sayfa1!$F178</f>
        <v>45426.813888888886</v>
      </c>
      <c r="H182" s="59" t="str">
        <f>[4]Sayfa1!$I178</f>
        <v>Hat/Line</v>
      </c>
      <c r="I182" s="62" t="str">
        <f>IF([4]Sayfa1!$K178="SSH","Notified by Bozankaya","Notified by Customer")</f>
        <v>Notified by Customer</v>
      </c>
      <c r="J182" s="59" t="e">
        <f>VLOOKUP([4]Sayfa1!$AU178,#REF!,2,FALSE)</f>
        <v>#REF!</v>
      </c>
      <c r="K182" s="59">
        <f>[4]Sayfa1!$AC178</f>
        <v>0</v>
      </c>
      <c r="L182" s="63" t="str">
        <f t="shared" si="39"/>
        <v>KAY_5+129-BOZ-KAY5+6-FF-177</v>
      </c>
      <c r="M182" s="64" t="str">
        <f>[4]Sayfa1!$L178</f>
        <v>CB KUPLAJ MOTORU SABİTLENMEMİŞ OYNUYOR</v>
      </c>
      <c r="N182" s="33" t="str">
        <f>[4]Sayfa1!$J178</f>
        <v>C-Uyarı, sürüş devamlılığı</v>
      </c>
      <c r="O182" s="33" t="str">
        <f>[4]Sayfa1!$P178</f>
        <v>B(Servisten çekmeye etki eden arızalar)</v>
      </c>
      <c r="P182" s="33" t="str">
        <f>[4]Sayfa1!$Q178</f>
        <v>N.A(Yaralanma yok)</v>
      </c>
      <c r="Q182" s="65" t="str" cm="1">
        <f t="array" ref="Q182">_xlfn.IFS([4]Sayfa1!$R178="Bozankaya","Bozankaya",[4]Sayfa1!$R178="İşletme","Customer",[4]Sayfa1!$R178="Tedarikçi","Equipment Supplier")</f>
        <v>Equipment Supplier</v>
      </c>
      <c r="R182" s="66" t="str">
        <f>[4]Sayfa1!$M178</f>
        <v>KUPLAJ KAPAK KİLİT MEKANİZMASI ARIZALIYDI AYARI YAPILDI SORUN GİDERİLDİ</v>
      </c>
      <c r="S182" s="36" t="str">
        <f>[4]Sayfa1!$S178</f>
        <v>Sazcılar</v>
      </c>
      <c r="T182" s="67">
        <f>[4]Sayfa1!$Z178</f>
        <v>0</v>
      </c>
      <c r="U182" s="68">
        <f>[4]Sayfa1!$AN178</f>
        <v>0</v>
      </c>
      <c r="V182" s="60">
        <f>[4]Sayfa1!$T178</f>
        <v>45426</v>
      </c>
      <c r="W182" s="61">
        <f>[4]Sayfa1!$U178</f>
        <v>45426.833333333336</v>
      </c>
      <c r="X182" s="69">
        <f t="shared" si="40"/>
        <v>45426.833333333336</v>
      </c>
      <c r="Y182" s="70">
        <f>[4]Sayfa1!$AQ178</f>
        <v>45426</v>
      </c>
      <c r="Z182" s="61">
        <f>[4]Sayfa1!$AR178</f>
        <v>45426.916666666664</v>
      </c>
      <c r="AA182" s="69">
        <f t="shared" si="41"/>
        <v>45426.916666666664</v>
      </c>
      <c r="AB182" s="71">
        <f t="shared" si="42"/>
        <v>0</v>
      </c>
      <c r="AC182" s="60">
        <f t="shared" si="43"/>
        <v>45426</v>
      </c>
      <c r="AD182" s="61">
        <f t="shared" si="44"/>
        <v>45426.916666666664</v>
      </c>
      <c r="AE182" s="69">
        <f t="shared" si="45"/>
        <v>45426.916666666664</v>
      </c>
      <c r="AF182" s="36" t="str">
        <f>[4]Sayfa1!$AP178</f>
        <v>(I) İlk defa karşılaşılan arıza</v>
      </c>
      <c r="AG182" s="33" t="str">
        <f>IF([4]Sayfa1!$J178="C-Uyarı, sürüş devamlılığı","Bu Arıza Aracın Servise Verilmesine Engel Değil","Bu Arıza Aracın Servise Verilmesine Engel")</f>
        <v>Bu Arıza Aracın Servise Verilmesine Engel Değil</v>
      </c>
      <c r="AH182" s="41" t="str">
        <f>[4]Sayfa1!$AB178</f>
        <v>Tamir edilecek</v>
      </c>
      <c r="AI182" s="60"/>
      <c r="AJ182" s="60"/>
      <c r="AK182" s="69">
        <f t="shared" si="46"/>
        <v>0</v>
      </c>
      <c r="AL182" s="71">
        <f t="shared" si="47"/>
        <v>0</v>
      </c>
      <c r="AM182" s="71">
        <f t="shared" si="48"/>
        <v>0</v>
      </c>
      <c r="AN182" s="72">
        <f t="shared" si="49"/>
        <v>0</v>
      </c>
      <c r="AO182" s="73" t="str">
        <f>[4]Sayfa1!$X178</f>
        <v>D130-7250</v>
      </c>
      <c r="AP182" s="72">
        <f>[4]Sayfa1!$Y178</f>
        <v>0</v>
      </c>
      <c r="AQ182" s="184" t="str">
        <f>[4]Sayfa1!$V178</f>
        <v>SAZCILAR OTOMOTİV SAN.TİCARET A.Ş</v>
      </c>
      <c r="AR182" s="74" t="str">
        <f>[4]Sayfa1!$W178</f>
        <v>KUPLOR KAPAGI KOMPLESI</v>
      </c>
      <c r="AS182" s="74">
        <f>[4]Sayfa1!$AD178</f>
        <v>0</v>
      </c>
      <c r="AT182" s="60" t="str">
        <f>[4]Sayfa1!$AE178</f>
        <v/>
      </c>
      <c r="AU182" s="60" t="str">
        <f>[4]Sayfa1!$AH178</f>
        <v/>
      </c>
      <c r="AV182" s="75">
        <v>177</v>
      </c>
      <c r="AW182" s="76">
        <f t="shared" si="50"/>
        <v>0</v>
      </c>
      <c r="AX182" s="77" t="str">
        <f>[4]Sayfa1!$A178</f>
        <v>5baa75dc</v>
      </c>
      <c r="AY182" s="78" t="s">
        <v>114</v>
      </c>
      <c r="AZ182" s="79" t="e" vm="1">
        <f t="shared" si="51"/>
        <v>#VALUE!</v>
      </c>
    </row>
    <row r="183" spans="1:52" ht="211.15">
      <c r="A183" s="59" t="s">
        <v>238</v>
      </c>
      <c r="B183" s="59" t="str">
        <f>[4]Sayfa1!$G179</f>
        <v>3881(10)</v>
      </c>
      <c r="C183" s="184" t="str">
        <f>[4]Sayfa1!$H179</f>
        <v>MA</v>
      </c>
      <c r="D183" s="24">
        <f>[4]Sayfa1!$N179</f>
        <v>9050</v>
      </c>
      <c r="E183" s="24" t="str">
        <f>[4]Sayfa1!$B179</f>
        <v>BOZ-KAY5+6-FF-178</v>
      </c>
      <c r="F183" s="60">
        <f>[4]Sayfa1!$E179</f>
        <v>45427</v>
      </c>
      <c r="G183" s="61">
        <f>[4]Sayfa1!$F179</f>
        <v>45427.431250000001</v>
      </c>
      <c r="H183" s="59" t="str">
        <f>[4]Sayfa1!$I179</f>
        <v>Hat/Line</v>
      </c>
      <c r="I183" s="62" t="str">
        <f>IF([4]Sayfa1!$K179="SSH","Notified by Bozankaya","Notified by Customer")</f>
        <v>Notified by Customer</v>
      </c>
      <c r="J183" s="59" t="e">
        <f>VLOOKUP([4]Sayfa1!$AU179,#REF!,2,FALSE)</f>
        <v>#REF!</v>
      </c>
      <c r="K183" s="59">
        <f>[4]Sayfa1!$AC179</f>
        <v>0</v>
      </c>
      <c r="L183" s="63" t="str">
        <f t="shared" si="39"/>
        <v>KAY_5+130-BOZ-KAY5+6-FF-178</v>
      </c>
      <c r="M183" s="64" t="str">
        <f>[4]Sayfa1!$L179</f>
        <v>1 VE 2 NOLU KAPI ÜSTÜ EKRANLAR ÇALIŞMIYOR</v>
      </c>
      <c r="N183" s="33" t="str">
        <f>[4]Sayfa1!$J179</f>
        <v>C-Uyarı, sürüş devamlılığı</v>
      </c>
      <c r="O183" s="33" t="str">
        <f>[4]Sayfa1!$P179</f>
        <v>B(Servisten çekmeye etki eden arızalar)</v>
      </c>
      <c r="P183" s="33" t="str">
        <f>[4]Sayfa1!$Q179</f>
        <v>N.A(Yaralanma yok)</v>
      </c>
      <c r="Q183" s="65" t="str" cm="1">
        <f t="array" ref="Q183">_xlfn.IFS([4]Sayfa1!$R179="Bozankaya","Bozankaya",[4]Sayfa1!$R179="İşletme","Customer",[4]Sayfa1!$R179="Tedarikçi","Equipment Supplier")</f>
        <v>Equipment Supplier</v>
      </c>
      <c r="R183" s="66" t="str">
        <f>[4]Sayfa1!$M179</f>
        <v>EKRANLAR SİGORTADAN RESETLENDİ DÜZELDİ</v>
      </c>
      <c r="S183" s="36" t="str">
        <f>[4]Sayfa1!$S179</f>
        <v>Atak</v>
      </c>
      <c r="T183" s="67">
        <f>[4]Sayfa1!$Z179</f>
        <v>0</v>
      </c>
      <c r="U183" s="68">
        <f>[4]Sayfa1!$AN179</f>
        <v>2</v>
      </c>
      <c r="V183" s="60">
        <f>[4]Sayfa1!$T179</f>
        <v>45427</v>
      </c>
      <c r="W183" s="61">
        <f>[4]Sayfa1!$U179</f>
        <v>45427.458333333336</v>
      </c>
      <c r="X183" s="69">
        <f t="shared" si="40"/>
        <v>45427.458333333336</v>
      </c>
      <c r="Y183" s="70">
        <f>[4]Sayfa1!$AQ179</f>
        <v>45427</v>
      </c>
      <c r="Z183" s="61">
        <f>[4]Sayfa1!$AR179</f>
        <v>45427.75</v>
      </c>
      <c r="AA183" s="69">
        <f t="shared" si="41"/>
        <v>45427.75</v>
      </c>
      <c r="AB183" s="71">
        <f t="shared" si="42"/>
        <v>0</v>
      </c>
      <c r="AC183" s="60">
        <f t="shared" si="43"/>
        <v>45427</v>
      </c>
      <c r="AD183" s="61">
        <f t="shared" si="44"/>
        <v>45427.75</v>
      </c>
      <c r="AE183" s="69">
        <f t="shared" si="45"/>
        <v>45427.75</v>
      </c>
      <c r="AF183" s="36" t="str">
        <f>[4]Sayfa1!$AP179</f>
        <v>(II) Birden fazla karşılaşılan arıza</v>
      </c>
      <c r="AG183" s="33" t="str">
        <f>IF([4]Sayfa1!$J179="C-Uyarı, sürüş devamlılığı","Bu Arıza Aracın Servise Verilmesine Engel Değil","Bu Arıza Aracın Servise Verilmesine Engel")</f>
        <v>Bu Arıza Aracın Servise Verilmesine Engel Değil</v>
      </c>
      <c r="AH183" s="41" t="str">
        <f>[4]Sayfa1!$AB179</f>
        <v>Arıza çözülecek</v>
      </c>
      <c r="AI183" s="60"/>
      <c r="AJ183" s="60"/>
      <c r="AK183" s="69">
        <f t="shared" si="46"/>
        <v>0</v>
      </c>
      <c r="AL183" s="71">
        <f t="shared" si="47"/>
        <v>0</v>
      </c>
      <c r="AM183" s="71">
        <f t="shared" si="48"/>
        <v>0</v>
      </c>
      <c r="AN183" s="72">
        <f t="shared" si="49"/>
        <v>0</v>
      </c>
      <c r="AO183" s="73" t="str">
        <f>[4]Sayfa1!$X179</f>
        <v>E410-7003</v>
      </c>
      <c r="AP183" s="72">
        <f>[4]Sayfa1!$Y179</f>
        <v>0</v>
      </c>
      <c r="AQ183" s="184" t="str">
        <f>[4]Sayfa1!$V179</f>
        <v>ATAK ULAŞIM SAN.TİC.LTD.ŞTİ.</v>
      </c>
      <c r="AR183" s="74" t="str">
        <f>[4]Sayfa1!$W179</f>
        <v>STRETCH LCD EKRAN</v>
      </c>
      <c r="AS183" s="74">
        <f>[4]Sayfa1!$AD179</f>
        <v>0</v>
      </c>
      <c r="AT183" s="60" t="str">
        <f>[4]Sayfa1!$AE179</f>
        <v/>
      </c>
      <c r="AU183" s="60" t="str">
        <f>[4]Sayfa1!$AH179</f>
        <v/>
      </c>
      <c r="AV183" s="75">
        <v>178</v>
      </c>
      <c r="AW183" s="76">
        <f t="shared" si="50"/>
        <v>0</v>
      </c>
      <c r="AX183" s="77" t="str">
        <f>[4]Sayfa1!$A179</f>
        <v>141c7bed</v>
      </c>
      <c r="AY183" s="78" t="s">
        <v>114</v>
      </c>
      <c r="AZ183" s="79" t="e" vm="1">
        <f t="shared" si="51"/>
        <v>#VALUE!</v>
      </c>
    </row>
    <row r="184" spans="1:52" ht="226.9">
      <c r="A184" s="59" t="s">
        <v>239</v>
      </c>
      <c r="B184" s="59" t="str">
        <f>[4]Sayfa1!$G180</f>
        <v>3879(8)</v>
      </c>
      <c r="C184" s="184" t="str">
        <f>[4]Sayfa1!$H180</f>
        <v>MA</v>
      </c>
      <c r="D184" s="24">
        <f>[4]Sayfa1!$N180</f>
        <v>18200</v>
      </c>
      <c r="E184" s="24" t="str">
        <f>[4]Sayfa1!$B180</f>
        <v>BOZ-KAY5+6-FF-179</v>
      </c>
      <c r="F184" s="60">
        <f>[4]Sayfa1!$E180</f>
        <v>45426</v>
      </c>
      <c r="G184" s="61">
        <f>[4]Sayfa1!$F180</f>
        <v>45426.547222222223</v>
      </c>
      <c r="H184" s="59" t="str">
        <f>[4]Sayfa1!$I180</f>
        <v>Hat/Line</v>
      </c>
      <c r="I184" s="62" t="str">
        <f>IF([4]Sayfa1!$K180="SSH","Notified by Bozankaya","Notified by Customer")</f>
        <v>Notified by Customer</v>
      </c>
      <c r="J184" s="59" t="e">
        <f>VLOOKUP([4]Sayfa1!$AU180,#REF!,2,FALSE)</f>
        <v>#REF!</v>
      </c>
      <c r="K184" s="59">
        <f>[4]Sayfa1!$AC180</f>
        <v>0</v>
      </c>
      <c r="L184" s="63" t="str">
        <f t="shared" si="39"/>
        <v>KAY_5+131-BOZ-KAY5+6-FF-179</v>
      </c>
      <c r="M184" s="64" t="str">
        <f>[4]Sayfa1!$L180</f>
        <v>1-2-5 ve11 nolu kapıların üstündeki ekranlarda mevcut arıza var diğer ekranlardada arıza mevcut  değişmesi gerekiyor</v>
      </c>
      <c r="N184" s="33" t="str">
        <f>[4]Sayfa1!$J180</f>
        <v>C-Uyarı, sürüş devamlılığı</v>
      </c>
      <c r="O184" s="33" t="str">
        <f>[4]Sayfa1!$P180</f>
        <v>C(Sisteme etki etmeyen arıza)</v>
      </c>
      <c r="P184" s="33" t="str">
        <f>[4]Sayfa1!$Q180</f>
        <v>N.A(Yaralanma yok)</v>
      </c>
      <c r="Q184" s="65" t="str" cm="1">
        <f t="array" ref="Q184">_xlfn.IFS([4]Sayfa1!$R180="Bozankaya","Bozankaya",[4]Sayfa1!$R180="İşletme","Customer",[4]Sayfa1!$R180="Tedarikçi","Equipment Supplier")</f>
        <v>Equipment Supplier</v>
      </c>
      <c r="R184" s="66" t="str">
        <f>[4]Sayfa1!$M180</f>
        <v>kontrol edildi 1 nolu kapı üstü ekran değişimi yapıldı</v>
      </c>
      <c r="S184" s="36" t="str">
        <f>[4]Sayfa1!$S180</f>
        <v>Atak</v>
      </c>
      <c r="T184" s="67">
        <f>[4]Sayfa1!$Z180</f>
        <v>0</v>
      </c>
      <c r="U184" s="68">
        <f>[4]Sayfa1!$AN180</f>
        <v>1</v>
      </c>
      <c r="V184" s="60">
        <f>[4]Sayfa1!$T180</f>
        <v>45427</v>
      </c>
      <c r="W184" s="61">
        <f>[4]Sayfa1!$U180</f>
        <v>45427.333333333336</v>
      </c>
      <c r="X184" s="69">
        <f t="shared" si="40"/>
        <v>45427.333333333336</v>
      </c>
      <c r="Y184" s="70">
        <f>[4]Sayfa1!$AQ180</f>
        <v>45427</v>
      </c>
      <c r="Z184" s="61">
        <f>[4]Sayfa1!$AR180</f>
        <v>45427.416666666664</v>
      </c>
      <c r="AA184" s="69">
        <f t="shared" si="41"/>
        <v>45427.416666666664</v>
      </c>
      <c r="AB184" s="71">
        <f t="shared" si="42"/>
        <v>1.9999999998835847</v>
      </c>
      <c r="AC184" s="60">
        <f t="shared" si="43"/>
        <v>45427</v>
      </c>
      <c r="AD184" s="61">
        <f t="shared" si="44"/>
        <v>45427.416666666664</v>
      </c>
      <c r="AE184" s="69">
        <f t="shared" si="45"/>
        <v>45427.416666666664</v>
      </c>
      <c r="AF184" s="36" t="str">
        <f>[4]Sayfa1!$AP180</f>
        <v>(III) Birden fazla aynı araçta karşılaşılan arıza</v>
      </c>
      <c r="AG184" s="33" t="str">
        <f>IF([4]Sayfa1!$J180="C-Uyarı, sürüş devamlılığı","Bu Arıza Aracın Servise Verilmesine Engel Değil","Bu Arıza Aracın Servise Verilmesine Engel")</f>
        <v>Bu Arıza Aracın Servise Verilmesine Engel Değil</v>
      </c>
      <c r="AH184" s="41" t="str">
        <f>[4]Sayfa1!$AB180</f>
        <v>Ekipman değiştirilecek</v>
      </c>
      <c r="AI184" s="60"/>
      <c r="AJ184" s="60"/>
      <c r="AK184" s="69">
        <f t="shared" si="46"/>
        <v>0</v>
      </c>
      <c r="AL184" s="71">
        <f t="shared" si="47"/>
        <v>119.99999999301508</v>
      </c>
      <c r="AM184" s="71">
        <f t="shared" si="48"/>
        <v>119.99999999301508</v>
      </c>
      <c r="AN184" s="72">
        <f t="shared" si="49"/>
        <v>0</v>
      </c>
      <c r="AO184" s="73" t="str">
        <f>[4]Sayfa1!$X180</f>
        <v>E410-7003</v>
      </c>
      <c r="AP184" s="72">
        <f>[4]Sayfa1!$Y180</f>
        <v>1</v>
      </c>
      <c r="AQ184" s="184" t="str">
        <f>[4]Sayfa1!$V180</f>
        <v>ATAK ULAŞIM SAN.TİC.LTD.ŞTİ.</v>
      </c>
      <c r="AR184" s="74" t="str">
        <f>[4]Sayfa1!$W180</f>
        <v>STRETCH LCD EKRAN</v>
      </c>
      <c r="AS184" s="74">
        <f>[4]Sayfa1!$AD180</f>
        <v>0</v>
      </c>
      <c r="AT184" s="60" t="str">
        <f>[4]Sayfa1!$AE180</f>
        <v/>
      </c>
      <c r="AU184" s="60" t="str">
        <f>[4]Sayfa1!$AH180</f>
        <v/>
      </c>
      <c r="AV184" s="75">
        <v>179</v>
      </c>
      <c r="AW184" s="76">
        <f t="shared" si="50"/>
        <v>21.999999998719431</v>
      </c>
      <c r="AX184" s="77" t="str">
        <f>[4]Sayfa1!$A180</f>
        <v>ae9cb05d</v>
      </c>
      <c r="AY184" s="78" t="s">
        <v>114</v>
      </c>
      <c r="AZ184" s="79" t="e" vm="1">
        <f t="shared" si="51"/>
        <v>#VALUE!</v>
      </c>
    </row>
    <row r="185" spans="1:52" ht="276">
      <c r="A185" s="59" t="s">
        <v>240</v>
      </c>
      <c r="B185" s="59" t="str">
        <f>[4]Sayfa1!$G181</f>
        <v>3874(3)</v>
      </c>
      <c r="C185" s="184" t="str">
        <f>[4]Sayfa1!$H181</f>
        <v>MB</v>
      </c>
      <c r="D185" s="24">
        <f>[4]Sayfa1!$N181</f>
        <v>65000</v>
      </c>
      <c r="E185" s="24" t="str">
        <f>[4]Sayfa1!$B181</f>
        <v>BOZ-KAY5+6-FF-180</v>
      </c>
      <c r="F185" s="60">
        <f>[4]Sayfa1!$E181</f>
        <v>45428</v>
      </c>
      <c r="G185" s="61">
        <f>[4]Sayfa1!$F181</f>
        <v>45428.995833333334</v>
      </c>
      <c r="H185" s="59" t="str">
        <f>[4]Sayfa1!$I181</f>
        <v>Hat/Line</v>
      </c>
      <c r="I185" s="62" t="str">
        <f>IF([4]Sayfa1!$K181="SSH","Notified by Bozankaya","Notified by Customer")</f>
        <v>Notified by Customer</v>
      </c>
      <c r="J185" s="59" t="e">
        <f>VLOOKUP([4]Sayfa1!$AU181,#REF!,2,FALSE)</f>
        <v>#REF!</v>
      </c>
      <c r="K185" s="59">
        <f>[4]Sayfa1!$AC181</f>
        <v>0</v>
      </c>
      <c r="L185" s="63" t="str">
        <f t="shared" si="39"/>
        <v>KAY_5+132-BOZ-KAY5+6-FF-180</v>
      </c>
      <c r="M185" s="64" t="str">
        <f>[4]Sayfa1!$L181</f>
        <v>CB İVME KOLU ARIZASI VERDİ RESETLENDİ DÜZELDİ</v>
      </c>
      <c r="N185" s="33" t="str">
        <f>[4]Sayfa1!$J181</f>
        <v>A-Sürüşü engeller</v>
      </c>
      <c r="O185" s="33" t="str">
        <f>[4]Sayfa1!$P181</f>
        <v>A(Hareket etmeyi engelleyen arıza)</v>
      </c>
      <c r="P185" s="33" t="str">
        <f>[4]Sayfa1!$Q181</f>
        <v>N.A(Yaralanma yok)</v>
      </c>
      <c r="Q185" s="65" t="str" cm="1">
        <f t="array" ref="Q185">_xlfn.IFS([4]Sayfa1!$R181="Bozankaya","Bozankaya",[4]Sayfa1!$R181="İşletme","Customer",[4]Sayfa1!$R181="Tedarikçi","Equipment Supplier")</f>
        <v>Bozankaya</v>
      </c>
      <c r="R185" s="66" t="str">
        <f>[4]Sayfa1!$M181</f>
        <v>KONTROL EDİLDİ RA-K07 RÖLESİNDE RA1393.01 VE RA1441.01 KABLOLARI GEVŞEMİŞ SIKILDI PARK SAHASINDA TEST YAPILDI SORUN GÖRÜLMEDİ</v>
      </c>
      <c r="S185" s="36" t="str">
        <f>[4]Sayfa1!$S181</f>
        <v>Üretim</v>
      </c>
      <c r="T185" s="67">
        <f>[4]Sayfa1!$Z181</f>
        <v>0</v>
      </c>
      <c r="U185" s="68">
        <f>[4]Sayfa1!$AN181</f>
        <v>1</v>
      </c>
      <c r="V185" s="60">
        <f>[4]Sayfa1!$T181</f>
        <v>45429</v>
      </c>
      <c r="W185" s="61">
        <f>[4]Sayfa1!$U181</f>
        <v>45429.541666666664</v>
      </c>
      <c r="X185" s="69">
        <f t="shared" si="40"/>
        <v>45429.541666666664</v>
      </c>
      <c r="Y185" s="70">
        <f>[4]Sayfa1!$AQ181</f>
        <v>45429</v>
      </c>
      <c r="Z185" s="61">
        <f>[4]Sayfa1!$AR181</f>
        <v>45429.722222222219</v>
      </c>
      <c r="AA185" s="69">
        <f t="shared" si="41"/>
        <v>45429.722222222219</v>
      </c>
      <c r="AB185" s="71">
        <f t="shared" si="42"/>
        <v>4.3333333333139308</v>
      </c>
      <c r="AC185" s="60">
        <f t="shared" si="43"/>
        <v>45429</v>
      </c>
      <c r="AD185" s="61">
        <f t="shared" si="44"/>
        <v>45429.722222222219</v>
      </c>
      <c r="AE185" s="69">
        <f t="shared" si="45"/>
        <v>45429.722222222219</v>
      </c>
      <c r="AF185" s="36" t="str">
        <f>[4]Sayfa1!$AP181</f>
        <v>(I) İlk defa karşılaşılan arıza</v>
      </c>
      <c r="AG185" s="33" t="str">
        <f>IF([4]Sayfa1!$J181="C-Uyarı, sürüş devamlılığı","Bu Arıza Aracın Servise Verilmesine Engel Değil","Bu Arıza Aracın Servise Verilmesine Engel")</f>
        <v>Bu Arıza Aracın Servise Verilmesine Engel</v>
      </c>
      <c r="AH185" s="41" t="str">
        <f>[4]Sayfa1!$AB181</f>
        <v>Tamir edilecek</v>
      </c>
      <c r="AI185" s="60"/>
      <c r="AJ185" s="60"/>
      <c r="AK185" s="69">
        <f t="shared" si="46"/>
        <v>0</v>
      </c>
      <c r="AL185" s="71">
        <f t="shared" si="47"/>
        <v>259.99999999883585</v>
      </c>
      <c r="AM185" s="71">
        <f t="shared" si="48"/>
        <v>259.99999999883585</v>
      </c>
      <c r="AN185" s="72">
        <f t="shared" si="49"/>
        <v>0</v>
      </c>
      <c r="AO185" s="73" t="str">
        <f>[4]Sayfa1!$X181</f>
        <v>E300-7001</v>
      </c>
      <c r="AP185" s="72">
        <f>[4]Sayfa1!$Y181</f>
        <v>1</v>
      </c>
      <c r="AQ185" s="184" t="str">
        <f>[4]Sayfa1!$V181</f>
        <v>MEDCOM SP. Z O.O.</v>
      </c>
      <c r="AR185" s="74" t="str">
        <f>[4]Sayfa1!$W181</f>
        <v>MASTER CONTRROLER S334 C36B</v>
      </c>
      <c r="AS185" s="74">
        <f>[4]Sayfa1!$AD181</f>
        <v>0</v>
      </c>
      <c r="AT185" s="60" t="str">
        <f>[4]Sayfa1!$AE181</f>
        <v/>
      </c>
      <c r="AU185" s="60" t="str">
        <f>[4]Sayfa1!$AH181</f>
        <v/>
      </c>
      <c r="AV185" s="75">
        <v>180</v>
      </c>
      <c r="AW185" s="76">
        <f t="shared" si="50"/>
        <v>47.666666666453239</v>
      </c>
      <c r="AX185" s="77" t="str">
        <f>[4]Sayfa1!$A181</f>
        <v>989eb679</v>
      </c>
      <c r="AY185" s="78" t="s">
        <v>114</v>
      </c>
      <c r="AZ185" s="79" t="e" vm="1">
        <f t="shared" si="51"/>
        <v>#VALUE!</v>
      </c>
    </row>
    <row r="186" spans="1:52" ht="372.6">
      <c r="A186" s="59" t="s">
        <v>241</v>
      </c>
      <c r="B186" s="59" t="str">
        <f>[4]Sayfa1!$G182</f>
        <v>3880(9)</v>
      </c>
      <c r="C186" s="184" t="str">
        <f>[4]Sayfa1!$H182</f>
        <v>MA</v>
      </c>
      <c r="D186" s="24">
        <f>[4]Sayfa1!$N182</f>
        <v>15500</v>
      </c>
      <c r="E186" s="24" t="str">
        <f>[4]Sayfa1!$B182</f>
        <v>BOZ-KAY5+6-FF-181</v>
      </c>
      <c r="F186" s="60">
        <f>[4]Sayfa1!$E182</f>
        <v>45430</v>
      </c>
      <c r="G186" s="61">
        <f>[4]Sayfa1!$F182</f>
        <v>45430.317361111112</v>
      </c>
      <c r="H186" s="59" t="str">
        <f>[4]Sayfa1!$I182</f>
        <v>Hat/Line</v>
      </c>
      <c r="I186" s="62" t="str">
        <f>IF([4]Sayfa1!$K182="SSH","Notified by Bozankaya","Notified by Customer")</f>
        <v>Notified by Customer</v>
      </c>
      <c r="J186" s="59" t="e">
        <f>VLOOKUP([4]Sayfa1!$AU182,#REF!,2,FALSE)</f>
        <v>#REF!</v>
      </c>
      <c r="K186" s="59">
        <f>[4]Sayfa1!$AC182</f>
        <v>0</v>
      </c>
      <c r="L186" s="63" t="str">
        <f t="shared" si="39"/>
        <v>KAY_5+133-BOZ-KAY5+6-FF-181</v>
      </c>
      <c r="M186" s="64" t="str">
        <f>[4]Sayfa1!$L182</f>
        <v>ca kabin org 05:20 seferinde sağ kapılar açılmadı serbeste alınaraksefer yapıldı</v>
      </c>
      <c r="N186" s="33" t="str">
        <f>[4]Sayfa1!$J182</f>
        <v>C-Uyarı, sürüş devamlılığı</v>
      </c>
      <c r="O186" s="33" t="str">
        <f>[4]Sayfa1!$P182</f>
        <v>C(Sisteme etki etmeyen arıza)</v>
      </c>
      <c r="P186" s="33" t="str">
        <f>[4]Sayfa1!$Q182</f>
        <v>N.A(Yaralanma yok)</v>
      </c>
      <c r="Q186" s="65" t="str" cm="1">
        <f t="array" ref="Q186">_xlfn.IFS([4]Sayfa1!$R182="Bozankaya","Bozankaya",[4]Sayfa1!$R182="İşletme","Customer",[4]Sayfa1!$R182="Tedarikçi","Equipment Supplier")</f>
        <v>Bozankaya</v>
      </c>
      <c r="R186" s="66" t="str">
        <f>[4]Sayfa1!$M182</f>
        <v>sağ kapılar serbeste alıyor açmıyordu.Yapılan kontrollerde ,buton ölçümü yapıldı sorun görülmedi.UDX-101KL94'TE bulunan NB1003.03 kablosu sökülüp takıldı ve araç düzeldi.Test yapıldı arıza devamlılığı görülmedi.</v>
      </c>
      <c r="S186" s="36" t="str">
        <f>[4]Sayfa1!$S182</f>
        <v>Üretim</v>
      </c>
      <c r="T186" s="67">
        <f>[4]Sayfa1!$Z182</f>
        <v>0</v>
      </c>
      <c r="U186" s="68">
        <f>[4]Sayfa1!$AN182</f>
        <v>2</v>
      </c>
      <c r="V186" s="60">
        <f>[4]Sayfa1!$T182</f>
        <v>45430</v>
      </c>
      <c r="W186" s="61">
        <f>[4]Sayfa1!$U182</f>
        <v>45430.420590277776</v>
      </c>
      <c r="X186" s="69">
        <f t="shared" si="40"/>
        <v>45430.420590277776</v>
      </c>
      <c r="Y186" s="70">
        <f>[4]Sayfa1!$AQ182</f>
        <v>45430</v>
      </c>
      <c r="Z186" s="61">
        <f>[4]Sayfa1!$AR182</f>
        <v>45430.666666666664</v>
      </c>
      <c r="AA186" s="69">
        <f t="shared" si="41"/>
        <v>45430.666666666664</v>
      </c>
      <c r="AB186" s="71">
        <f t="shared" si="42"/>
        <v>0</v>
      </c>
      <c r="AC186" s="60">
        <f t="shared" si="43"/>
        <v>45430</v>
      </c>
      <c r="AD186" s="61">
        <f t="shared" si="44"/>
        <v>45430.666666666664</v>
      </c>
      <c r="AE186" s="69">
        <f t="shared" si="45"/>
        <v>45430.666666666664</v>
      </c>
      <c r="AF186" s="36" t="str">
        <f>[4]Sayfa1!$AP182</f>
        <v>(I) İlk defa karşılaşılan arıza</v>
      </c>
      <c r="AG186" s="33" t="str">
        <f>IF([4]Sayfa1!$J182="C-Uyarı, sürüş devamlılığı","Bu Arıza Aracın Servise Verilmesine Engel Değil","Bu Arıza Aracın Servise Verilmesine Engel")</f>
        <v>Bu Arıza Aracın Servise Verilmesine Engel Değil</v>
      </c>
      <c r="AH186" s="41" t="str">
        <f>[4]Sayfa1!$AB182</f>
        <v>Arıza çözülecek</v>
      </c>
      <c r="AI186" s="60"/>
      <c r="AJ186" s="60"/>
      <c r="AK186" s="69">
        <f t="shared" si="46"/>
        <v>0</v>
      </c>
      <c r="AL186" s="71">
        <f t="shared" si="47"/>
        <v>0</v>
      </c>
      <c r="AM186" s="71">
        <f t="shared" si="48"/>
        <v>0</v>
      </c>
      <c r="AN186" s="72">
        <f t="shared" si="49"/>
        <v>0</v>
      </c>
      <c r="AO186" s="73" t="str">
        <f>[4]Sayfa1!$X182</f>
        <v>M110-7082</v>
      </c>
      <c r="AP186" s="72">
        <f>[4]Sayfa1!$Y182</f>
        <v>1</v>
      </c>
      <c r="AQ186" s="184" t="str">
        <f>[4]Sayfa1!$V182</f>
        <v>KNORR-BREMSE GMBH DİVİSİON IFE AUTO</v>
      </c>
      <c r="AR186" s="74" t="str">
        <f>[4]Sayfa1!$W182</f>
        <v>PRM’LI ÇİFTLİ KAPI</v>
      </c>
      <c r="AS186" s="74">
        <f>[4]Sayfa1!$AD182</f>
        <v>0</v>
      </c>
      <c r="AT186" s="60" t="str">
        <f>[4]Sayfa1!$AE182</f>
        <v/>
      </c>
      <c r="AU186" s="60" t="str">
        <f>[4]Sayfa1!$AH182</f>
        <v/>
      </c>
      <c r="AV186" s="75">
        <v>181</v>
      </c>
      <c r="AW186" s="76">
        <f t="shared" si="50"/>
        <v>0</v>
      </c>
      <c r="AX186" s="77">
        <f>[4]Sayfa1!$A182</f>
        <v>82841772</v>
      </c>
      <c r="AY186" s="78" t="s">
        <v>114</v>
      </c>
      <c r="AZ186" s="79" t="e" vm="1">
        <f t="shared" si="51"/>
        <v>#VALUE!</v>
      </c>
    </row>
    <row r="187" spans="1:52" ht="211.15">
      <c r="A187" s="59" t="s">
        <v>242</v>
      </c>
      <c r="B187" s="59" t="str">
        <f>[4]Sayfa1!$G183</f>
        <v>3877(6)</v>
      </c>
      <c r="C187" s="184" t="str">
        <f>[4]Sayfa1!$H183</f>
        <v>RA</v>
      </c>
      <c r="D187" s="24">
        <f>[4]Sayfa1!$N183</f>
        <v>44470</v>
      </c>
      <c r="E187" s="24" t="str">
        <f>[4]Sayfa1!$B183</f>
        <v>BOZ-KAY5+6-FF-182</v>
      </c>
      <c r="F187" s="60">
        <f>[4]Sayfa1!$E183</f>
        <v>45431</v>
      </c>
      <c r="G187" s="61">
        <f>[4]Sayfa1!$F183</f>
        <v>45431.231944444444</v>
      </c>
      <c r="H187" s="59" t="str">
        <f>[4]Sayfa1!$I183</f>
        <v>Depo/Depot</v>
      </c>
      <c r="I187" s="62" t="str">
        <f>IF([4]Sayfa1!$K183="SSH","Notified by Bozankaya","Notified by Customer")</f>
        <v>Notified by Customer</v>
      </c>
      <c r="J187" s="59" t="e">
        <f>VLOOKUP([4]Sayfa1!$AU183,#REF!,2,FALSE)</f>
        <v>#REF!</v>
      </c>
      <c r="K187" s="59">
        <f>[4]Sayfa1!$AC183</f>
        <v>0</v>
      </c>
      <c r="L187" s="63" t="str">
        <f t="shared" si="39"/>
        <v>KAY_5+134-BOZ-KAY5+6-FF-182</v>
      </c>
      <c r="M187" s="64" t="str">
        <f>[4]Sayfa1!$L183</f>
        <v>İÇ VE DIŞ ANONS KONTROLÜ A BAŞ HER İKİSİDE ÇALIŞMIYOR</v>
      </c>
      <c r="N187" s="33" t="str">
        <f>[4]Sayfa1!$J183</f>
        <v>C-Uyarı, sürüş devamlılığı</v>
      </c>
      <c r="O187" s="33" t="str">
        <f>[4]Sayfa1!$P183</f>
        <v>B(Servisten çekmeye etki eden arızalar)</v>
      </c>
      <c r="P187" s="33" t="str">
        <f>[4]Sayfa1!$Q183</f>
        <v>N.A(Yaralanma yok)</v>
      </c>
      <c r="Q187" s="65" t="str" cm="1">
        <f t="array" ref="Q187">_xlfn.IFS([4]Sayfa1!$R183="Bozankaya","Bozankaya",[4]Sayfa1!$R183="İşletme","Customer",[4]Sayfa1!$R183="Tedarikçi","Equipment Supplier")</f>
        <v>Equipment Supplier</v>
      </c>
      <c r="R187" s="66" t="str">
        <f>[4]Sayfa1!$M183</f>
        <v>SİSTEM KONTROL EDİLDİ, ARAÇ RESETLENDİ DÜZELDİ</v>
      </c>
      <c r="S187" s="36" t="str">
        <f>[4]Sayfa1!$S183</f>
        <v>LUTZE</v>
      </c>
      <c r="T187" s="67">
        <f>[4]Sayfa1!$Z183</f>
        <v>0</v>
      </c>
      <c r="U187" s="68">
        <f>[4]Sayfa1!$AN183</f>
        <v>2</v>
      </c>
      <c r="V187" s="60">
        <f>[4]Sayfa1!$T183</f>
        <v>45431</v>
      </c>
      <c r="W187" s="61">
        <f>[4]Sayfa1!$U183</f>
        <v>45431.333333333336</v>
      </c>
      <c r="X187" s="69">
        <f t="shared" si="40"/>
        <v>45431.333333333336</v>
      </c>
      <c r="Y187" s="70">
        <f>[4]Sayfa1!$AQ183</f>
        <v>45431</v>
      </c>
      <c r="Z187" s="61">
        <f>[4]Sayfa1!$AR183</f>
        <v>45431.5</v>
      </c>
      <c r="AA187" s="69">
        <f t="shared" si="41"/>
        <v>45431.5</v>
      </c>
      <c r="AB187" s="71">
        <f t="shared" si="42"/>
        <v>0</v>
      </c>
      <c r="AC187" s="60">
        <f t="shared" si="43"/>
        <v>45431</v>
      </c>
      <c r="AD187" s="61">
        <f t="shared" si="44"/>
        <v>45431.5</v>
      </c>
      <c r="AE187" s="69">
        <f t="shared" si="45"/>
        <v>45431.5</v>
      </c>
      <c r="AF187" s="36" t="str">
        <f>[4]Sayfa1!$AP183</f>
        <v>(I) İlk defa karşılaşılan arıza</v>
      </c>
      <c r="AG187" s="33" t="str">
        <f>IF([4]Sayfa1!$J183="C-Uyarı, sürüş devamlılığı","Bu Arıza Aracın Servise Verilmesine Engel Değil","Bu Arıza Aracın Servise Verilmesine Engel")</f>
        <v>Bu Arıza Aracın Servise Verilmesine Engel Değil</v>
      </c>
      <c r="AH187" s="41" t="str">
        <f>[4]Sayfa1!$AB183</f>
        <v>Tamir edilecek</v>
      </c>
      <c r="AI187" s="60"/>
      <c r="AJ187" s="60"/>
      <c r="AK187" s="69">
        <f t="shared" si="46"/>
        <v>0</v>
      </c>
      <c r="AL187" s="71">
        <f t="shared" si="47"/>
        <v>0</v>
      </c>
      <c r="AM187" s="71">
        <f t="shared" si="48"/>
        <v>0</v>
      </c>
      <c r="AN187" s="72">
        <f t="shared" si="49"/>
        <v>0</v>
      </c>
      <c r="AO187" s="73" t="str">
        <f>[4]Sayfa1!$X183</f>
        <v>E820-7020</v>
      </c>
      <c r="AP187" s="72">
        <f>[4]Sayfa1!$Y183</f>
        <v>1</v>
      </c>
      <c r="AQ187" s="184" t="str">
        <f>[4]Sayfa1!$V183</f>
        <v>Lütze Transportation GmbH</v>
      </c>
      <c r="AR187" s="74" t="str">
        <f>[4]Sayfa1!$W183</f>
        <v>ACSys-19'' RACK</v>
      </c>
      <c r="AS187" s="74">
        <f>[4]Sayfa1!$AD183</f>
        <v>0</v>
      </c>
      <c r="AT187" s="60" t="str">
        <f>[4]Sayfa1!$AE183</f>
        <v/>
      </c>
      <c r="AU187" s="60" t="str">
        <f>[4]Sayfa1!$AH183</f>
        <v/>
      </c>
      <c r="AV187" s="75">
        <v>182</v>
      </c>
      <c r="AW187" s="76">
        <f t="shared" si="50"/>
        <v>0</v>
      </c>
      <c r="AX187" s="77" t="str">
        <f>[4]Sayfa1!$A183</f>
        <v>1b9e95f1</v>
      </c>
      <c r="AY187" s="78" t="s">
        <v>114</v>
      </c>
      <c r="AZ187" s="79" t="e" vm="1">
        <f t="shared" si="51"/>
        <v>#VALUE!</v>
      </c>
    </row>
    <row r="188" spans="1:52" ht="186.6">
      <c r="A188" s="59" t="s">
        <v>243</v>
      </c>
      <c r="B188" s="59" t="str">
        <f>[4]Sayfa1!$G184</f>
        <v>3877(6)</v>
      </c>
      <c r="C188" s="184" t="str">
        <f>[4]Sayfa1!$H184</f>
        <v>MB</v>
      </c>
      <c r="D188" s="24">
        <f>[4]Sayfa1!$N184</f>
        <v>44000</v>
      </c>
      <c r="E188" s="24" t="str">
        <f>[4]Sayfa1!$B184</f>
        <v>BOZ-KAY5+6-FF-183</v>
      </c>
      <c r="F188" s="60">
        <f>[4]Sayfa1!$E184</f>
        <v>45432</v>
      </c>
      <c r="G188" s="61">
        <f>[4]Sayfa1!$F184</f>
        <v>45432.84652777778</v>
      </c>
      <c r="H188" s="59" t="str">
        <f>[4]Sayfa1!$I184</f>
        <v>Hat/Line</v>
      </c>
      <c r="I188" s="62" t="str">
        <f>IF([4]Sayfa1!$K184="SSH","Notified by Bozankaya","Notified by Customer")</f>
        <v>Notified by Bozankaya</v>
      </c>
      <c r="J188" s="59" t="e">
        <f>VLOOKUP([4]Sayfa1!$AU184,#REF!,2,FALSE)</f>
        <v>#REF!</v>
      </c>
      <c r="K188" s="59">
        <f>[4]Sayfa1!$AC184</f>
        <v>0</v>
      </c>
      <c r="L188" s="63" t="str">
        <f t="shared" ref="L188:L251" si="52">A188&amp;"-"&amp;E188</f>
        <v>KAY_5+135-BOZ-KAY5+6-FF-183</v>
      </c>
      <c r="M188" s="64" t="str">
        <f>[4]Sayfa1!$L184</f>
        <v>SİLECEK ÇALIŞMIYOR</v>
      </c>
      <c r="N188" s="33" t="str">
        <f>[4]Sayfa1!$J184</f>
        <v>A-Sürüşü engeller</v>
      </c>
      <c r="O188" s="33" t="str">
        <f>[4]Sayfa1!$P184</f>
        <v>B(Servisten çekmeye etki eden arızalar)</v>
      </c>
      <c r="P188" s="33" t="str">
        <f>[4]Sayfa1!$Q184</f>
        <v>N.A(Yaralanma yok)</v>
      </c>
      <c r="Q188" s="65" t="str" cm="1">
        <f t="array" ref="Q188">_xlfn.IFS([4]Sayfa1!$R184="Bozankaya","Bozankaya",[4]Sayfa1!$R184="İşletme","Customer",[4]Sayfa1!$R184="Tedarikçi","Equipment Supplier")</f>
        <v>Equipment Supplier</v>
      </c>
      <c r="R188" s="66" t="str">
        <f>[4]Sayfa1!$M184</f>
        <v>SİLECEK MEKANİZMASI GEVŞEMİŞ SIKILDI</v>
      </c>
      <c r="S188" s="36" t="str">
        <f>[4]Sayfa1!$S184</f>
        <v>Bozankaya</v>
      </c>
      <c r="T188" s="67">
        <f>[4]Sayfa1!$Z184</f>
        <v>0</v>
      </c>
      <c r="U188" s="68">
        <f>[4]Sayfa1!$AN184</f>
        <v>1</v>
      </c>
      <c r="V188" s="60">
        <f>[4]Sayfa1!$T184</f>
        <v>45432</v>
      </c>
      <c r="W188" s="61">
        <f>[4]Sayfa1!$U184</f>
        <v>45432.916666666664</v>
      </c>
      <c r="X188" s="69">
        <f t="shared" ref="X188:X251" si="53">W188</f>
        <v>45432.916666666664</v>
      </c>
      <c r="Y188" s="70">
        <f>[4]Sayfa1!$AQ184</f>
        <v>45432</v>
      </c>
      <c r="Z188" s="61">
        <f>[4]Sayfa1!$AR184</f>
        <v>45432.958333333336</v>
      </c>
      <c r="AA188" s="69">
        <f t="shared" ref="AA188:AA251" si="54">Z188</f>
        <v>45432.958333333336</v>
      </c>
      <c r="AB188" s="71">
        <f t="shared" ref="AB188:AB251" si="55">IF(Y188-F188&gt;0,(AA188-X188)*24,IF(OR(AND(G188&gt;AR$1,G188&lt;AS$1),AND(G188&gt;AT$1,G188&lt;AU$1)),(AA188-X188)*24,0))</f>
        <v>0</v>
      </c>
      <c r="AC188" s="60">
        <f t="shared" ref="AC188:AC251" si="56">Y188</f>
        <v>45432</v>
      </c>
      <c r="AD188" s="61">
        <f t="shared" ref="AD188:AD251" si="57">Z188</f>
        <v>45432.958333333336</v>
      </c>
      <c r="AE188" s="69">
        <f t="shared" ref="AE188:AE251" si="58">AD188</f>
        <v>45432.958333333336</v>
      </c>
      <c r="AF188" s="36" t="str">
        <f>[4]Sayfa1!$AP184</f>
        <v>(II) Birden fazla karşılaşılan arıza</v>
      </c>
      <c r="AG188" s="33" t="str">
        <f>IF([4]Sayfa1!$J184="C-Uyarı, sürüş devamlılığı","Bu Arıza Aracın Servise Verilmesine Engel Değil","Bu Arıza Aracın Servise Verilmesine Engel")</f>
        <v>Bu Arıza Aracın Servise Verilmesine Engel</v>
      </c>
      <c r="AH188" s="41" t="str">
        <f>[4]Sayfa1!$AB184</f>
        <v>Tamir edilecek</v>
      </c>
      <c r="AI188" s="60"/>
      <c r="AJ188" s="60"/>
      <c r="AK188" s="69">
        <f t="shared" ref="AK188:AK251" si="59">AI188+AJ188</f>
        <v>0</v>
      </c>
      <c r="AL188" s="71">
        <f t="shared" ref="AL188:AL251" si="60">IF(AND(N188&lt;&gt;"D:Arıza Değil",AG188="Bu Arıza Aracın Servise Verilmesine Engel Değil"),IF(Y188-F188&gt;0,(AA188-X188)*24,IF(OR(AND(G188&gt;AR$1,G188&lt;AS$1),AND(G188&gt;AT$1,G188&lt;AU$1)),(AK188-X188)*24,0))*60,AM188)</f>
        <v>0</v>
      </c>
      <c r="AM188" s="71">
        <f t="shared" ref="AM188:AM251" si="61">IF(N188&lt;&gt;"D:Arıza Değil",AB188*60,0)</f>
        <v>0</v>
      </c>
      <c r="AN188" s="72">
        <f t="shared" ref="AN188:AN251" si="62">K188</f>
        <v>0</v>
      </c>
      <c r="AO188" s="73" t="str">
        <f>[4]Sayfa1!$X184</f>
        <v>M100-7066</v>
      </c>
      <c r="AP188" s="72">
        <f>[4]Sayfa1!$Y184</f>
        <v>1</v>
      </c>
      <c r="AQ188" s="184" t="str">
        <f>[4]Sayfa1!$V184</f>
        <v>DENİZLER OTOMOTİV SAN. VE TİC.LTD.Ş</v>
      </c>
      <c r="AR188" s="74" t="str">
        <f>[4]Sayfa1!$W184</f>
        <v>SİLECEK MEKANİZMASI Denizler / M.11.2506</v>
      </c>
      <c r="AS188" s="74">
        <f>[4]Sayfa1!$AD184</f>
        <v>0</v>
      </c>
      <c r="AT188" s="60" t="str">
        <f>[4]Sayfa1!$AE184</f>
        <v/>
      </c>
      <c r="AU188" s="60" t="str">
        <f>[4]Sayfa1!$AH184</f>
        <v/>
      </c>
      <c r="AV188" s="75">
        <v>183</v>
      </c>
      <c r="AW188" s="76">
        <f t="shared" ref="AW188:AW251" si="63">U188*AB188*AZ$1</f>
        <v>0</v>
      </c>
      <c r="AX188" s="77" t="str">
        <f>[4]Sayfa1!$A184</f>
        <v>627dd32a</v>
      </c>
      <c r="AY188" s="78" t="s">
        <v>114</v>
      </c>
      <c r="AZ188" s="79" t="e" vm="1">
        <f t="shared" ref="AZ188:AZ251" si="64">_xlfn.IMAGE(AY188)</f>
        <v>#VALUE!</v>
      </c>
    </row>
    <row r="189" spans="1:52" ht="186.6">
      <c r="A189" s="59" t="s">
        <v>244</v>
      </c>
      <c r="B189" s="59" t="str">
        <f>[4]Sayfa1!$G185</f>
        <v>3879(8)</v>
      </c>
      <c r="C189" s="184" t="str">
        <f>[4]Sayfa1!$H185</f>
        <v>MA</v>
      </c>
      <c r="D189" s="24">
        <f>[4]Sayfa1!$N185</f>
        <v>20500</v>
      </c>
      <c r="E189" s="24" t="str">
        <f>[4]Sayfa1!$B185</f>
        <v>BOZ-KAY5+6-FF-184</v>
      </c>
      <c r="F189" s="60">
        <f>[4]Sayfa1!$E185</f>
        <v>45433</v>
      </c>
      <c r="G189" s="61">
        <f>[4]Sayfa1!$F185</f>
        <v>45433.899305555555</v>
      </c>
      <c r="H189" s="59" t="str">
        <f>[4]Sayfa1!$I185</f>
        <v>Hat/Line</v>
      </c>
      <c r="I189" s="62" t="str">
        <f>IF([4]Sayfa1!$K185="SSH","Notified by Bozankaya","Notified by Customer")</f>
        <v>Notified by Customer</v>
      </c>
      <c r="J189" s="59" t="e">
        <f>VLOOKUP([4]Sayfa1!$AU185,#REF!,2,FALSE)</f>
        <v>#REF!</v>
      </c>
      <c r="K189" s="59">
        <f>[4]Sayfa1!$AC185</f>
        <v>0</v>
      </c>
      <c r="L189" s="63" t="str">
        <f t="shared" si="52"/>
        <v>KAY_5+136-BOZ-KAY5+6-FF-184</v>
      </c>
      <c r="M189" s="64" t="str">
        <f>[4]Sayfa1!$L185</f>
        <v>A KABİN AYNA KAMERA EKRANI OYNUYOR</v>
      </c>
      <c r="N189" s="33" t="str">
        <f>[4]Sayfa1!$J185</f>
        <v>A-Sürüşü engeller</v>
      </c>
      <c r="O189" s="33" t="str">
        <f>[4]Sayfa1!$P185</f>
        <v>B(Servisten çekmeye etki eden arızalar)</v>
      </c>
      <c r="P189" s="33" t="str">
        <f>[4]Sayfa1!$Q185</f>
        <v>N.A(Yaralanma yok)</v>
      </c>
      <c r="Q189" s="65" t="str" cm="1">
        <f t="array" ref="Q189">_xlfn.IFS([4]Sayfa1!$R185="Bozankaya","Bozankaya",[4]Sayfa1!$R185="İşletme","Customer",[4]Sayfa1!$R185="Tedarikçi","Equipment Supplier")</f>
        <v>Bozankaya</v>
      </c>
      <c r="R189" s="66" t="str">
        <f>[4]Sayfa1!$M185</f>
        <v>SOL AYNA KAMERA EKRANI SABİTLEME SOMUNU GEVŞEMİŞ SIKILDI ARIZA GİDERİLDİ</v>
      </c>
      <c r="S189" s="36" t="str">
        <f>[4]Sayfa1!$S185</f>
        <v>Üretim</v>
      </c>
      <c r="T189" s="67">
        <f>[4]Sayfa1!$Z185</f>
        <v>0</v>
      </c>
      <c r="U189" s="68">
        <f>[4]Sayfa1!$AN185</f>
        <v>1</v>
      </c>
      <c r="V189" s="60">
        <f>[4]Sayfa1!$T185</f>
        <v>45434</v>
      </c>
      <c r="W189" s="61">
        <f>[4]Sayfa1!$U185</f>
        <v>45434.333333333336</v>
      </c>
      <c r="X189" s="69">
        <f t="shared" si="53"/>
        <v>45434.333333333336</v>
      </c>
      <c r="Y189" s="70">
        <f>[4]Sayfa1!$AQ185</f>
        <v>45434</v>
      </c>
      <c r="Z189" s="61">
        <f>[4]Sayfa1!$AR185</f>
        <v>45434.458333333336</v>
      </c>
      <c r="AA189" s="69">
        <f t="shared" si="54"/>
        <v>45434.458333333336</v>
      </c>
      <c r="AB189" s="71">
        <f t="shared" si="55"/>
        <v>3</v>
      </c>
      <c r="AC189" s="60">
        <f t="shared" si="56"/>
        <v>45434</v>
      </c>
      <c r="AD189" s="61">
        <f t="shared" si="57"/>
        <v>45434.458333333336</v>
      </c>
      <c r="AE189" s="69">
        <f t="shared" si="58"/>
        <v>45434.458333333336</v>
      </c>
      <c r="AF189" s="36" t="str">
        <f>[4]Sayfa1!$AP185</f>
        <v>(II) Birden fazla karşılaşılan arıza</v>
      </c>
      <c r="AG189" s="33" t="str">
        <f>IF([4]Sayfa1!$J185="C-Uyarı, sürüş devamlılığı","Bu Arıza Aracın Servise Verilmesine Engel Değil","Bu Arıza Aracın Servise Verilmesine Engel")</f>
        <v>Bu Arıza Aracın Servise Verilmesine Engel</v>
      </c>
      <c r="AH189" s="41" t="str">
        <f>[4]Sayfa1!$AB185</f>
        <v>Arıza çözülecek</v>
      </c>
      <c r="AI189" s="60"/>
      <c r="AJ189" s="60"/>
      <c r="AK189" s="69">
        <f t="shared" si="59"/>
        <v>0</v>
      </c>
      <c r="AL189" s="71">
        <f t="shared" si="60"/>
        <v>180</v>
      </c>
      <c r="AM189" s="71">
        <f t="shared" si="61"/>
        <v>180</v>
      </c>
      <c r="AN189" s="72">
        <f t="shared" si="62"/>
        <v>0</v>
      </c>
      <c r="AO189" s="73" t="str">
        <f>[4]Sayfa1!$X185</f>
        <v>E810-7004</v>
      </c>
      <c r="AP189" s="72">
        <f>[4]Sayfa1!$Y185</f>
        <v>1</v>
      </c>
      <c r="AQ189" s="184" t="str">
        <f>[4]Sayfa1!$V185</f>
        <v>NSC TEKNOLOJİ ve İNŞAAT LTD.ŞTİ.</v>
      </c>
      <c r="AR189" s="74" t="str">
        <f>[4]Sayfa1!$W185</f>
        <v>XAYNA KAMERA</v>
      </c>
      <c r="AS189" s="74">
        <f>[4]Sayfa1!$AD185</f>
        <v>0</v>
      </c>
      <c r="AT189" s="60" t="str">
        <f>[4]Sayfa1!$AE185</f>
        <v/>
      </c>
      <c r="AU189" s="60" t="str">
        <f>[4]Sayfa1!$AH185</f>
        <v/>
      </c>
      <c r="AV189" s="75">
        <v>184</v>
      </c>
      <c r="AW189" s="76">
        <f t="shared" si="63"/>
        <v>33</v>
      </c>
      <c r="AX189" s="77" t="str">
        <f>[4]Sayfa1!$A185</f>
        <v>6cfaf76f</v>
      </c>
      <c r="AY189" s="78" t="s">
        <v>114</v>
      </c>
      <c r="AZ189" s="79" t="e" vm="1">
        <f t="shared" si="64"/>
        <v>#VALUE!</v>
      </c>
    </row>
    <row r="190" spans="1:52" ht="198.6">
      <c r="A190" s="59" t="s">
        <v>245</v>
      </c>
      <c r="B190" s="59" t="str">
        <f>[4]Sayfa1!$G186</f>
        <v>3880(9)</v>
      </c>
      <c r="C190" s="184" t="str">
        <f>[4]Sayfa1!$H186</f>
        <v>RA</v>
      </c>
      <c r="D190" s="24">
        <f>[4]Sayfa1!$N186</f>
        <v>16300</v>
      </c>
      <c r="E190" s="24" t="str">
        <f>[4]Sayfa1!$B186</f>
        <v>BOZ-KAY5+6-FF-185</v>
      </c>
      <c r="F190" s="60">
        <f>[4]Sayfa1!$E186</f>
        <v>45434</v>
      </c>
      <c r="G190" s="61">
        <f>[4]Sayfa1!$F186</f>
        <v>45434.689583333333</v>
      </c>
      <c r="H190" s="59" t="str">
        <f>[4]Sayfa1!$I186</f>
        <v>Hat/Line</v>
      </c>
      <c r="I190" s="62" t="str">
        <f>IF([4]Sayfa1!$K186="SSH","Notified by Bozankaya","Notified by Customer")</f>
        <v>Notified by Customer</v>
      </c>
      <c r="J190" s="59" t="e">
        <f>VLOOKUP([4]Sayfa1!$AU186,#REF!,2,FALSE)</f>
        <v>#REF!</v>
      </c>
      <c r="K190" s="59">
        <f>[4]Sayfa1!$AC186</f>
        <v>0</v>
      </c>
      <c r="L190" s="63" t="str">
        <f t="shared" si="52"/>
        <v>KAY_5+137-BOZ-KAY5+6-FF-185</v>
      </c>
      <c r="M190" s="64" t="str">
        <f>[4]Sayfa1!$L186</f>
        <v>YOLCU BÖLÜMÜ KLİMALARI SICAK ÜFÜRÜYOR. YOLCULARDAN ŞİKAYET GELDİ.</v>
      </c>
      <c r="N190" s="33" t="str">
        <f>[4]Sayfa1!$J186</f>
        <v>B-Hız veya güç azalması</v>
      </c>
      <c r="O190" s="33" t="str">
        <f>[4]Sayfa1!$P186</f>
        <v>B(Servisten çekmeye etki eden arızalar)</v>
      </c>
      <c r="P190" s="33" t="str">
        <f>[4]Sayfa1!$Q186</f>
        <v>N.A(Yaralanma yok)</v>
      </c>
      <c r="Q190" s="65" t="str" cm="1">
        <f t="array" ref="Q190">_xlfn.IFS([4]Sayfa1!$R186="Bozankaya","Bozankaya",[4]Sayfa1!$R186="İşletme","Customer",[4]Sayfa1!$R186="Tedarikçi","Equipment Supplier")</f>
        <v>Equipment Supplier</v>
      </c>
      <c r="R190" s="66" t="str">
        <f>[4]Sayfa1!$M186</f>
        <v>RA MASTERCARDINA PROGRAM ATILDI.</v>
      </c>
      <c r="S190" s="36" t="str">
        <f>[4]Sayfa1!$S186</f>
        <v>Eltesan</v>
      </c>
      <c r="T190" s="67">
        <f>[4]Sayfa1!$Z186</f>
        <v>0</v>
      </c>
      <c r="U190" s="68">
        <f>[4]Sayfa1!$AN186</f>
        <v>1</v>
      </c>
      <c r="V190" s="60">
        <f>[4]Sayfa1!$T186</f>
        <v>45434</v>
      </c>
      <c r="W190" s="61">
        <f>[4]Sayfa1!$U186</f>
        <v>45434.694444444445</v>
      </c>
      <c r="X190" s="69">
        <f t="shared" si="53"/>
        <v>45434.694444444445</v>
      </c>
      <c r="Y190" s="70">
        <f>[4]Sayfa1!$AQ186</f>
        <v>45434</v>
      </c>
      <c r="Z190" s="61">
        <f>[4]Sayfa1!$AR186</f>
        <v>45434.75</v>
      </c>
      <c r="AA190" s="69">
        <f t="shared" si="54"/>
        <v>45434.75</v>
      </c>
      <c r="AB190" s="71">
        <f t="shared" si="55"/>
        <v>0</v>
      </c>
      <c r="AC190" s="60">
        <f t="shared" si="56"/>
        <v>45434</v>
      </c>
      <c r="AD190" s="61">
        <f t="shared" si="57"/>
        <v>45434.75</v>
      </c>
      <c r="AE190" s="69">
        <f t="shared" si="58"/>
        <v>45434.75</v>
      </c>
      <c r="AF190" s="36" t="str">
        <f>[4]Sayfa1!$AP186</f>
        <v>(III) Birden fazla aynı araçta karşılaşılan arıza</v>
      </c>
      <c r="AG190" s="33" t="str">
        <f>IF([4]Sayfa1!$J186="C-Uyarı, sürüş devamlılığı","Bu Arıza Aracın Servise Verilmesine Engel Değil","Bu Arıza Aracın Servise Verilmesine Engel")</f>
        <v>Bu Arıza Aracın Servise Verilmesine Engel</v>
      </c>
      <c r="AH190" s="41" t="str">
        <f>[4]Sayfa1!$AB186</f>
        <v>Yazılım güncelleme</v>
      </c>
      <c r="AI190" s="60"/>
      <c r="AJ190" s="60"/>
      <c r="AK190" s="69">
        <f t="shared" si="59"/>
        <v>0</v>
      </c>
      <c r="AL190" s="71">
        <f t="shared" si="60"/>
        <v>0</v>
      </c>
      <c r="AM190" s="71">
        <f t="shared" si="61"/>
        <v>0</v>
      </c>
      <c r="AN190" s="72">
        <f t="shared" si="62"/>
        <v>0</v>
      </c>
      <c r="AO190" s="73" t="str">
        <f>[4]Sayfa1!$X186</f>
        <v>H500-7240</v>
      </c>
      <c r="AP190" s="72">
        <f>[4]Sayfa1!$Y186</f>
        <v>0</v>
      </c>
      <c r="AQ190" s="184" t="str">
        <f>[4]Sayfa1!$V186</f>
        <v>ELTESAN ELEKTRO MEKANİK SOĞUTMA SAN</v>
      </c>
      <c r="AR190" s="74" t="str">
        <f>[4]Sayfa1!$W186</f>
        <v>KLIMA UNITESİ /Eltesan/Hispacold 41,5 kW</v>
      </c>
      <c r="AS190" s="74">
        <f>[4]Sayfa1!$AD186</f>
        <v>0</v>
      </c>
      <c r="AT190" s="60" t="str">
        <f>[4]Sayfa1!$AE186</f>
        <v/>
      </c>
      <c r="AU190" s="60">
        <f>[4]Sayfa1!$AH186</f>
        <v>0</v>
      </c>
      <c r="AV190" s="75">
        <v>185</v>
      </c>
      <c r="AW190" s="76">
        <f t="shared" si="63"/>
        <v>0</v>
      </c>
      <c r="AX190" s="77" t="str">
        <f>[4]Sayfa1!$A186</f>
        <v>bc62c783</v>
      </c>
      <c r="AY190" s="78" t="s">
        <v>114</v>
      </c>
      <c r="AZ190" s="79" t="e" vm="1">
        <f t="shared" si="64"/>
        <v>#VALUE!</v>
      </c>
    </row>
    <row r="191" spans="1:52" ht="220.9">
      <c r="A191" s="59" t="s">
        <v>246</v>
      </c>
      <c r="B191" s="59" t="str">
        <f>[4]Sayfa1!$G187</f>
        <v>3873(2)</v>
      </c>
      <c r="C191" s="184" t="str">
        <f>[4]Sayfa1!$H187</f>
        <v>MB</v>
      </c>
      <c r="D191" s="24">
        <f>[4]Sayfa1!$N187</f>
        <v>67786</v>
      </c>
      <c r="E191" s="24" t="str">
        <f>[4]Sayfa1!$B187</f>
        <v>BOZ-KAY5+6-FF-186</v>
      </c>
      <c r="F191" s="60">
        <f>[4]Sayfa1!$E187</f>
        <v>45434</v>
      </c>
      <c r="G191" s="61">
        <f>[4]Sayfa1!$F187</f>
        <v>45434.7</v>
      </c>
      <c r="H191" s="59" t="str">
        <f>[4]Sayfa1!$I187</f>
        <v>Hat/Line</v>
      </c>
      <c r="I191" s="62" t="str">
        <f>IF([4]Sayfa1!$K187="SSH","Notified by Bozankaya","Notified by Customer")</f>
        <v>Notified by Customer</v>
      </c>
      <c r="J191" s="59" t="e">
        <f>VLOOKUP([4]Sayfa1!$AU187,#REF!,2,FALSE)</f>
        <v>#REF!</v>
      </c>
      <c r="K191" s="59">
        <f>[4]Sayfa1!$AC187</f>
        <v>0</v>
      </c>
      <c r="L191" s="63" t="str">
        <f t="shared" si="52"/>
        <v>KAY_5+138-BOZ-KAY5+6-FF-186</v>
      </c>
      <c r="M191" s="64" t="str">
        <f>[4]Sayfa1!$L187</f>
        <v>MB BOJİ C007 SERİ NUMARALI DİŞLİ KUTUSU ESNEK KAPLİN AKTARMA DİŞLİ HUB GEAR RENGİ DEĞİŞMİŞ(KARARMIŞ)</v>
      </c>
      <c r="N191" s="33" t="str">
        <f>[4]Sayfa1!$J187</f>
        <v>B-Hız veya güç azalması</v>
      </c>
      <c r="O191" s="33" t="str">
        <f>[4]Sayfa1!$P187</f>
        <v>C(Sisteme etki etmeyen arıza)</v>
      </c>
      <c r="P191" s="33" t="str">
        <f>[4]Sayfa1!$Q187</f>
        <v>N.A(Yaralanma yok)</v>
      </c>
      <c r="Q191" s="65" t="str" cm="1">
        <f t="array" ref="Q191">_xlfn.IFS([4]Sayfa1!$R187="Bozankaya","Bozankaya",[4]Sayfa1!$R187="İşletme","Customer",[4]Sayfa1!$R187="Tedarikçi","Equipment Supplier")</f>
        <v>Bozankaya</v>
      </c>
      <c r="R191" s="66">
        <f>[4]Sayfa1!$M187</f>
        <v>0</v>
      </c>
      <c r="S191" s="36" t="str">
        <f>[4]Sayfa1!$S187</f>
        <v>Üretim</v>
      </c>
      <c r="T191" s="67" t="str">
        <f>[4]Sayfa1!$Z187</f>
        <v>C007</v>
      </c>
      <c r="U191" s="68">
        <f>[4]Sayfa1!$AN187</f>
        <v>2</v>
      </c>
      <c r="V191" s="60">
        <f>[4]Sayfa1!$T187</f>
        <v>45435</v>
      </c>
      <c r="W191" s="61">
        <f>[4]Sayfa1!$U187</f>
        <v>45435.333333333336</v>
      </c>
      <c r="X191" s="69">
        <f t="shared" si="53"/>
        <v>45435.333333333336</v>
      </c>
      <c r="Y191" s="70">
        <f>[4]Sayfa1!$AQ187</f>
        <v>45435</v>
      </c>
      <c r="Z191" s="61">
        <f>[4]Sayfa1!$AR187</f>
        <v>45435.458333333336</v>
      </c>
      <c r="AA191" s="69">
        <f t="shared" si="54"/>
        <v>45435.458333333336</v>
      </c>
      <c r="AB191" s="71">
        <f t="shared" si="55"/>
        <v>3</v>
      </c>
      <c r="AC191" s="60">
        <f t="shared" si="56"/>
        <v>45435</v>
      </c>
      <c r="AD191" s="61">
        <f t="shared" si="57"/>
        <v>45435.458333333336</v>
      </c>
      <c r="AE191" s="69">
        <f t="shared" si="58"/>
        <v>45435.458333333336</v>
      </c>
      <c r="AF191" s="36" t="str">
        <f>[4]Sayfa1!$AP187</f>
        <v>(II) Birden fazla karşılaşılan arıza</v>
      </c>
      <c r="AG191" s="33" t="str">
        <f>IF([4]Sayfa1!$J187="C-Uyarı, sürüş devamlılığı","Bu Arıza Aracın Servise Verilmesine Engel Değil","Bu Arıza Aracın Servise Verilmesine Engel")</f>
        <v>Bu Arıza Aracın Servise Verilmesine Engel</v>
      </c>
      <c r="AH191" s="41" t="str">
        <f>[4]Sayfa1!$AB187</f>
        <v>Tamir edilecek</v>
      </c>
      <c r="AI191" s="60"/>
      <c r="AJ191" s="60"/>
      <c r="AK191" s="69">
        <f t="shared" si="59"/>
        <v>0</v>
      </c>
      <c r="AL191" s="71">
        <f t="shared" si="60"/>
        <v>180</v>
      </c>
      <c r="AM191" s="71">
        <f t="shared" si="61"/>
        <v>180</v>
      </c>
      <c r="AN191" s="72">
        <f t="shared" si="62"/>
        <v>0</v>
      </c>
      <c r="AO191" s="73" t="str">
        <f>[4]Sayfa1!$X187</f>
        <v>B110-7029</v>
      </c>
      <c r="AP191" s="72">
        <f>[4]Sayfa1!$Y187</f>
        <v>1</v>
      </c>
      <c r="AQ191" s="184" t="str">
        <f>[4]Sayfa1!$V187</f>
        <v>Voith Turbo Power Transmission CZ s</v>
      </c>
      <c r="AR191" s="74" t="str">
        <f>[4]Sayfa1!$W187</f>
        <v>DISLI KUTUSU KOMPLESI</v>
      </c>
      <c r="AS191" s="74">
        <f>[4]Sayfa1!$AD187</f>
        <v>0</v>
      </c>
      <c r="AT191" s="60" t="str">
        <f>[4]Sayfa1!$AE187</f>
        <v/>
      </c>
      <c r="AU191" s="60" t="str">
        <f>[4]Sayfa1!$AH187</f>
        <v/>
      </c>
      <c r="AV191" s="75">
        <v>186</v>
      </c>
      <c r="AW191" s="76">
        <f t="shared" si="63"/>
        <v>66</v>
      </c>
      <c r="AX191" s="77" t="str">
        <f>[4]Sayfa1!$A187</f>
        <v>57bbbc6f</v>
      </c>
      <c r="AY191" s="78" t="s">
        <v>114</v>
      </c>
      <c r="AZ191" s="79" t="e" vm="1">
        <f t="shared" si="64"/>
        <v>#VALUE!</v>
      </c>
    </row>
    <row r="192" spans="1:52" ht="186.6">
      <c r="A192" s="59" t="s">
        <v>247</v>
      </c>
      <c r="B192" s="59" t="str">
        <f>[4]Sayfa1!$G188</f>
        <v>3872(1)</v>
      </c>
      <c r="C192" s="184" t="str">
        <f>[4]Sayfa1!$H188</f>
        <v>MA</v>
      </c>
      <c r="D192" s="24">
        <f>[4]Sayfa1!$N188</f>
        <v>60509</v>
      </c>
      <c r="E192" s="24" t="str">
        <f>[4]Sayfa1!$B188</f>
        <v>BOZ-KAY5+6-FF-187</v>
      </c>
      <c r="F192" s="60">
        <f>[4]Sayfa1!$E188</f>
        <v>45435</v>
      </c>
      <c r="G192" s="61">
        <f>[4]Sayfa1!$F188</f>
        <v>45435.390972222223</v>
      </c>
      <c r="H192" s="59" t="str">
        <f>[4]Sayfa1!$I188</f>
        <v>Depo/Depot</v>
      </c>
      <c r="I192" s="62" t="str">
        <f>IF([4]Sayfa1!$K188="SSH","Notified by Bozankaya","Notified by Customer")</f>
        <v>Notified by Customer</v>
      </c>
      <c r="J192" s="59" t="e">
        <f>VLOOKUP([4]Sayfa1!$AU188,#REF!,2,FALSE)</f>
        <v>#REF!</v>
      </c>
      <c r="K192" s="59">
        <f>[4]Sayfa1!$AC188</f>
        <v>0</v>
      </c>
      <c r="L192" s="63" t="str">
        <f t="shared" si="52"/>
        <v>KAY_5+139-BOZ-KAY5+6-FF-187</v>
      </c>
      <c r="M192" s="64" t="str">
        <f>[4]Sayfa1!$L188</f>
        <v>Araç MA ve MB dişli kutusu aktarma dişlisi hub gear ayarları bozuk.</v>
      </c>
      <c r="N192" s="33" t="str">
        <f>[4]Sayfa1!$J188</f>
        <v>B-Hız veya güç azalması</v>
      </c>
      <c r="O192" s="33" t="str">
        <f>[4]Sayfa1!$P188</f>
        <v>C(Sisteme etki etmeyen arıza)</v>
      </c>
      <c r="P192" s="33" t="str">
        <f>[4]Sayfa1!$Q188</f>
        <v>N.A(Yaralanma yok)</v>
      </c>
      <c r="Q192" s="65" t="str" cm="1">
        <f t="array" ref="Q192">_xlfn.IFS([4]Sayfa1!$R188="Bozankaya","Bozankaya",[4]Sayfa1!$R188="İşletme","Customer",[4]Sayfa1!$R188="Tedarikçi","Equipment Supplier")</f>
        <v>Bozankaya</v>
      </c>
      <c r="R192" s="66">
        <f>[4]Sayfa1!$M188</f>
        <v>0</v>
      </c>
      <c r="S192" s="36" t="str">
        <f>[4]Sayfa1!$S188</f>
        <v>Üretim</v>
      </c>
      <c r="T192" s="67">
        <f>[4]Sayfa1!$Z188</f>
        <v>0</v>
      </c>
      <c r="U192" s="68">
        <f>[4]Sayfa1!$AN188</f>
        <v>2</v>
      </c>
      <c r="V192" s="60">
        <f>[4]Sayfa1!$T188</f>
        <v>45436</v>
      </c>
      <c r="W192" s="61">
        <f>[4]Sayfa1!$U188</f>
        <v>45436.333333333336</v>
      </c>
      <c r="X192" s="69">
        <f t="shared" si="53"/>
        <v>45436.333333333336</v>
      </c>
      <c r="Y192" s="70">
        <f>[4]Sayfa1!$AQ188</f>
        <v>45436</v>
      </c>
      <c r="Z192" s="61">
        <f>[4]Sayfa1!$AR188</f>
        <v>45436.416666666664</v>
      </c>
      <c r="AA192" s="69">
        <f t="shared" si="54"/>
        <v>45436.416666666664</v>
      </c>
      <c r="AB192" s="71">
        <f t="shared" si="55"/>
        <v>1.9999999998835847</v>
      </c>
      <c r="AC192" s="60">
        <f t="shared" si="56"/>
        <v>45436</v>
      </c>
      <c r="AD192" s="61">
        <f t="shared" si="57"/>
        <v>45436.416666666664</v>
      </c>
      <c r="AE192" s="69">
        <f t="shared" si="58"/>
        <v>45436.416666666664</v>
      </c>
      <c r="AF192" s="36" t="str">
        <f>[4]Sayfa1!$AP188</f>
        <v>(I) İlk defa karşılaşılan arıza</v>
      </c>
      <c r="AG192" s="33" t="str">
        <f>IF([4]Sayfa1!$J188="C-Uyarı, sürüş devamlılığı","Bu Arıza Aracın Servise Verilmesine Engel Değil","Bu Arıza Aracın Servise Verilmesine Engel")</f>
        <v>Bu Arıza Aracın Servise Verilmesine Engel</v>
      </c>
      <c r="AH192" s="41" t="str">
        <f>[4]Sayfa1!$AB188</f>
        <v>Tamir edilecek</v>
      </c>
      <c r="AI192" s="60"/>
      <c r="AJ192" s="60"/>
      <c r="AK192" s="69">
        <f t="shared" si="59"/>
        <v>0</v>
      </c>
      <c r="AL192" s="71">
        <f t="shared" si="60"/>
        <v>119.99999999301508</v>
      </c>
      <c r="AM192" s="71">
        <f t="shared" si="61"/>
        <v>119.99999999301508</v>
      </c>
      <c r="AN192" s="72">
        <f t="shared" si="62"/>
        <v>0</v>
      </c>
      <c r="AO192" s="73" t="str">
        <f>[4]Sayfa1!$X188</f>
        <v>B110-7029</v>
      </c>
      <c r="AP192" s="72">
        <f>[4]Sayfa1!$Y188</f>
        <v>1</v>
      </c>
      <c r="AQ192" s="184" t="str">
        <f>[4]Sayfa1!$V188</f>
        <v>Voith Turbo Power Transmission CZ s</v>
      </c>
      <c r="AR192" s="74" t="str">
        <f>[4]Sayfa1!$W188</f>
        <v>DISLI KUTUSU KOMPLESI</v>
      </c>
      <c r="AS192" s="74">
        <f>[4]Sayfa1!$AD188</f>
        <v>0</v>
      </c>
      <c r="AT192" s="60" t="str">
        <f>[4]Sayfa1!$AE188</f>
        <v/>
      </c>
      <c r="AU192" s="60" t="str">
        <f>[4]Sayfa1!$AH188</f>
        <v/>
      </c>
      <c r="AV192" s="75">
        <v>187</v>
      </c>
      <c r="AW192" s="76">
        <f t="shared" si="63"/>
        <v>43.999999997438863</v>
      </c>
      <c r="AX192" s="77" t="str">
        <f>[4]Sayfa1!$A188</f>
        <v>86995bfc</v>
      </c>
      <c r="AY192" s="78" t="s">
        <v>114</v>
      </c>
      <c r="AZ192" s="79" t="e" vm="1">
        <f t="shared" si="64"/>
        <v>#VALUE!</v>
      </c>
    </row>
    <row r="193" spans="1:52" ht="207">
      <c r="A193" s="59" t="s">
        <v>248</v>
      </c>
      <c r="B193" s="59" t="str">
        <f>[4]Sayfa1!$G189</f>
        <v>3874(3)</v>
      </c>
      <c r="C193" s="184" t="str">
        <f>[4]Sayfa1!$H189</f>
        <v>MA</v>
      </c>
      <c r="D193" s="24">
        <f>[4]Sayfa1!$N189</f>
        <v>66637</v>
      </c>
      <c r="E193" s="24" t="str">
        <f>[4]Sayfa1!$B189</f>
        <v>BOZ-KAY5+6-FF-188</v>
      </c>
      <c r="F193" s="60">
        <f>[4]Sayfa1!$E189</f>
        <v>45435</v>
      </c>
      <c r="G193" s="61">
        <f>[4]Sayfa1!$F189</f>
        <v>45435.39166666667</v>
      </c>
      <c r="H193" s="59" t="str">
        <f>[4]Sayfa1!$I189</f>
        <v>Hat/Line</v>
      </c>
      <c r="I193" s="62" t="str">
        <f>IF([4]Sayfa1!$K189="SSH","Notified by Bozankaya","Notified by Customer")</f>
        <v>Notified by Customer</v>
      </c>
      <c r="J193" s="59" t="e">
        <f>VLOOKUP([4]Sayfa1!$AU189,#REF!,2,FALSE)</f>
        <v>#REF!</v>
      </c>
      <c r="K193" s="59">
        <f>[4]Sayfa1!$AC189</f>
        <v>0</v>
      </c>
      <c r="L193" s="63" t="str">
        <f t="shared" si="52"/>
        <v>KAY_5+140-BOZ-KAY5+6-FF-188</v>
      </c>
      <c r="M193" s="64" t="str">
        <f>[4]Sayfa1!$L189</f>
        <v>ARAÇ MA-MB BOJİ DİŞLİ KUTUSU ESNEK KAPLİNG AKTARMA DİŞLİSİ HUB GEAR AYARLARI BOZUK</v>
      </c>
      <c r="N193" s="33" t="str">
        <f>[4]Sayfa1!$J189</f>
        <v>B-Hız veya güç azalması</v>
      </c>
      <c r="O193" s="33" t="str">
        <f>[4]Sayfa1!$P189</f>
        <v>C(Sisteme etki etmeyen arıza)</v>
      </c>
      <c r="P193" s="33" t="str">
        <f>[4]Sayfa1!$Q189</f>
        <v>N.A(Yaralanma yok)</v>
      </c>
      <c r="Q193" s="65" t="str" cm="1">
        <f t="array" ref="Q193">_xlfn.IFS([4]Sayfa1!$R189="Bozankaya","Bozankaya",[4]Sayfa1!$R189="İşletme","Customer",[4]Sayfa1!$R189="Tedarikçi","Equipment Supplier")</f>
        <v>Bozankaya</v>
      </c>
      <c r="R193" s="66">
        <f>[4]Sayfa1!$M189</f>
        <v>0</v>
      </c>
      <c r="S193" s="36" t="str">
        <f>[4]Sayfa1!$S189</f>
        <v>Üretim</v>
      </c>
      <c r="T193" s="67">
        <f>[4]Sayfa1!$Z189</f>
        <v>0</v>
      </c>
      <c r="U193" s="68">
        <f>[4]Sayfa1!$AN189</f>
        <v>2</v>
      </c>
      <c r="V193" s="60">
        <f>[4]Sayfa1!$T189</f>
        <v>45436</v>
      </c>
      <c r="W193" s="61">
        <f>[4]Sayfa1!$U189</f>
        <v>45436.541666666664</v>
      </c>
      <c r="X193" s="69">
        <f t="shared" si="53"/>
        <v>45436.541666666664</v>
      </c>
      <c r="Y193" s="70">
        <f>[4]Sayfa1!$AQ189</f>
        <v>45436</v>
      </c>
      <c r="Z193" s="61">
        <f>[4]Sayfa1!$AR189</f>
        <v>45436.625</v>
      </c>
      <c r="AA193" s="69">
        <f t="shared" si="54"/>
        <v>45436.625</v>
      </c>
      <c r="AB193" s="71">
        <f t="shared" si="55"/>
        <v>2.0000000000582077</v>
      </c>
      <c r="AC193" s="60">
        <f t="shared" si="56"/>
        <v>45436</v>
      </c>
      <c r="AD193" s="61">
        <f t="shared" si="57"/>
        <v>45436.625</v>
      </c>
      <c r="AE193" s="69">
        <f t="shared" si="58"/>
        <v>45436.625</v>
      </c>
      <c r="AF193" s="36" t="str">
        <f>[4]Sayfa1!$AP189</f>
        <v>(II) Birden fazla karşılaşılan arıza</v>
      </c>
      <c r="AG193" s="33" t="str">
        <f>IF([4]Sayfa1!$J189="C-Uyarı, sürüş devamlılığı","Bu Arıza Aracın Servise Verilmesine Engel Değil","Bu Arıza Aracın Servise Verilmesine Engel")</f>
        <v>Bu Arıza Aracın Servise Verilmesine Engel</v>
      </c>
      <c r="AH193" s="41" t="str">
        <f>[4]Sayfa1!$AB189</f>
        <v>Tamir edilecek</v>
      </c>
      <c r="AI193" s="60"/>
      <c r="AJ193" s="60"/>
      <c r="AK193" s="69">
        <f t="shared" si="59"/>
        <v>0</v>
      </c>
      <c r="AL193" s="71">
        <f t="shared" si="60"/>
        <v>120.00000000349246</v>
      </c>
      <c r="AM193" s="71">
        <f t="shared" si="61"/>
        <v>120.00000000349246</v>
      </c>
      <c r="AN193" s="72">
        <f t="shared" si="62"/>
        <v>0</v>
      </c>
      <c r="AO193" s="73" t="str">
        <f>[4]Sayfa1!$X189</f>
        <v>B110-7029</v>
      </c>
      <c r="AP193" s="72">
        <f>[4]Sayfa1!$Y189</f>
        <v>1</v>
      </c>
      <c r="AQ193" s="184" t="str">
        <f>[4]Sayfa1!$V189</f>
        <v>Voith Turbo Power Transmission CZ s</v>
      </c>
      <c r="AR193" s="74" t="str">
        <f>[4]Sayfa1!$W189</f>
        <v>DISLI KUTUSU KOMPLESI</v>
      </c>
      <c r="AS193" s="74">
        <f>[4]Sayfa1!$AD189</f>
        <v>0</v>
      </c>
      <c r="AT193" s="60" t="str">
        <f>[4]Sayfa1!$AE189</f>
        <v/>
      </c>
      <c r="AU193" s="60" t="str">
        <f>[4]Sayfa1!$AH189</f>
        <v/>
      </c>
      <c r="AV193" s="75">
        <v>188</v>
      </c>
      <c r="AW193" s="76">
        <f t="shared" si="63"/>
        <v>44.000000001280569</v>
      </c>
      <c r="AX193" s="77" t="str">
        <f>[4]Sayfa1!$A189</f>
        <v>5d00ce6b</v>
      </c>
      <c r="AY193" s="78" t="s">
        <v>114</v>
      </c>
      <c r="AZ193" s="79" t="e" vm="1">
        <f t="shared" si="64"/>
        <v>#VALUE!</v>
      </c>
    </row>
    <row r="194" spans="1:52" ht="207">
      <c r="A194" s="59" t="s">
        <v>249</v>
      </c>
      <c r="B194" s="59" t="str">
        <f>[4]Sayfa1!$G190</f>
        <v>3875(4)</v>
      </c>
      <c r="C194" s="184" t="str">
        <f>[4]Sayfa1!$H190</f>
        <v>MA</v>
      </c>
      <c r="D194" s="24">
        <f>[4]Sayfa1!$N190</f>
        <v>46939</v>
      </c>
      <c r="E194" s="24" t="str">
        <f>[4]Sayfa1!$B190</f>
        <v>BOZ-KAY5+6-FF-189</v>
      </c>
      <c r="F194" s="60">
        <f>[4]Sayfa1!$E190</f>
        <v>45435</v>
      </c>
      <c r="G194" s="61">
        <f>[4]Sayfa1!$F190</f>
        <v>45435.393055555556</v>
      </c>
      <c r="H194" s="59" t="str">
        <f>[4]Sayfa1!$I190</f>
        <v>Hat/Line</v>
      </c>
      <c r="I194" s="62" t="str">
        <f>IF([4]Sayfa1!$K190="SSH","Notified by Bozankaya","Notified by Customer")</f>
        <v>Notified by Customer</v>
      </c>
      <c r="J194" s="59" t="e">
        <f>VLOOKUP([4]Sayfa1!$AU190,#REF!,2,FALSE)</f>
        <v>#REF!</v>
      </c>
      <c r="K194" s="59">
        <f>[4]Sayfa1!$AC190</f>
        <v>0</v>
      </c>
      <c r="L194" s="63" t="str">
        <f t="shared" si="52"/>
        <v>KAY_5+141-BOZ-KAY5+6-FF-189</v>
      </c>
      <c r="M194" s="64" t="str">
        <f>[4]Sayfa1!$L190</f>
        <v>ARAÇ MA-MB BOJİ DİŞLİ KUTUSU ESNEK KAPLİNG AKTARMA DİŞLİSİ HUB GEAR AYARLARI BOZUK.</v>
      </c>
      <c r="N194" s="33" t="str">
        <f>[4]Sayfa1!$J190</f>
        <v>B-Hız veya güç azalması</v>
      </c>
      <c r="O194" s="33" t="str">
        <f>[4]Sayfa1!$P190</f>
        <v>C(Sisteme etki etmeyen arıza)</v>
      </c>
      <c r="P194" s="33" t="str">
        <f>[4]Sayfa1!$Q190</f>
        <v>N.A(Yaralanma yok)</v>
      </c>
      <c r="Q194" s="65" t="str" cm="1">
        <f t="array" ref="Q194">_xlfn.IFS([4]Sayfa1!$R190="Bozankaya","Bozankaya",[4]Sayfa1!$R190="İşletme","Customer",[4]Sayfa1!$R190="Tedarikçi","Equipment Supplier")</f>
        <v>Bozankaya</v>
      </c>
      <c r="R194" s="66">
        <f>[4]Sayfa1!$M190</f>
        <v>0</v>
      </c>
      <c r="S194" s="36" t="str">
        <f>[4]Sayfa1!$S190</f>
        <v>Üretim</v>
      </c>
      <c r="T194" s="67">
        <f>[4]Sayfa1!$Z190</f>
        <v>0</v>
      </c>
      <c r="U194" s="68">
        <f>[4]Sayfa1!$AN190</f>
        <v>2</v>
      </c>
      <c r="V194" s="60">
        <f>[4]Sayfa1!$T190</f>
        <v>45437</v>
      </c>
      <c r="W194" s="61">
        <f>[4]Sayfa1!$U190</f>
        <v>45437.333333333336</v>
      </c>
      <c r="X194" s="69">
        <f t="shared" si="53"/>
        <v>45437.333333333336</v>
      </c>
      <c r="Y194" s="70">
        <f>[4]Sayfa1!$AQ190</f>
        <v>45437</v>
      </c>
      <c r="Z194" s="61">
        <f>[4]Sayfa1!$AR190</f>
        <v>45437.416666666664</v>
      </c>
      <c r="AA194" s="69">
        <f t="shared" si="54"/>
        <v>45437.416666666664</v>
      </c>
      <c r="AB194" s="71">
        <f t="shared" si="55"/>
        <v>1.9999999998835847</v>
      </c>
      <c r="AC194" s="60">
        <f t="shared" si="56"/>
        <v>45437</v>
      </c>
      <c r="AD194" s="61">
        <f t="shared" si="57"/>
        <v>45437.416666666664</v>
      </c>
      <c r="AE194" s="69">
        <f t="shared" si="58"/>
        <v>45437.416666666664</v>
      </c>
      <c r="AF194" s="36" t="str">
        <f>[4]Sayfa1!$AP190</f>
        <v>(II) Birden fazla karşılaşılan arıza</v>
      </c>
      <c r="AG194" s="33" t="str">
        <f>IF([4]Sayfa1!$J190="C-Uyarı, sürüş devamlılığı","Bu Arıza Aracın Servise Verilmesine Engel Değil","Bu Arıza Aracın Servise Verilmesine Engel")</f>
        <v>Bu Arıza Aracın Servise Verilmesine Engel</v>
      </c>
      <c r="AH194" s="41" t="str">
        <f>[4]Sayfa1!$AB190</f>
        <v>Tamir edilecek</v>
      </c>
      <c r="AI194" s="60"/>
      <c r="AJ194" s="60"/>
      <c r="AK194" s="69">
        <f t="shared" si="59"/>
        <v>0</v>
      </c>
      <c r="AL194" s="71">
        <f t="shared" si="60"/>
        <v>119.99999999301508</v>
      </c>
      <c r="AM194" s="71">
        <f t="shared" si="61"/>
        <v>119.99999999301508</v>
      </c>
      <c r="AN194" s="72">
        <f t="shared" si="62"/>
        <v>0</v>
      </c>
      <c r="AO194" s="73" t="str">
        <f>[4]Sayfa1!$X190</f>
        <v>B110-7029</v>
      </c>
      <c r="AP194" s="72">
        <f>[4]Sayfa1!$Y190</f>
        <v>1</v>
      </c>
      <c r="AQ194" s="184" t="str">
        <f>[4]Sayfa1!$V190</f>
        <v>Voith Turbo Power Transmission CZ s</v>
      </c>
      <c r="AR194" s="74" t="str">
        <f>[4]Sayfa1!$W190</f>
        <v>DISLI KUTUSU KOMPLESI</v>
      </c>
      <c r="AS194" s="74">
        <f>[4]Sayfa1!$AD190</f>
        <v>0</v>
      </c>
      <c r="AT194" s="60" t="str">
        <f>[4]Sayfa1!$AE190</f>
        <v/>
      </c>
      <c r="AU194" s="60" t="str">
        <f>[4]Sayfa1!$AH190</f>
        <v/>
      </c>
      <c r="AV194" s="75">
        <v>189</v>
      </c>
      <c r="AW194" s="76">
        <f t="shared" si="63"/>
        <v>43.999999997438863</v>
      </c>
      <c r="AX194" s="77" t="str">
        <f>[4]Sayfa1!$A190</f>
        <v>fa435d1d</v>
      </c>
      <c r="AY194" s="78" t="s">
        <v>114</v>
      </c>
      <c r="AZ194" s="79" t="e" vm="1">
        <f t="shared" si="64"/>
        <v>#VALUE!</v>
      </c>
    </row>
    <row r="195" spans="1:52" ht="207">
      <c r="A195" s="59" t="s">
        <v>250</v>
      </c>
      <c r="B195" s="59" t="str">
        <f>[4]Sayfa1!$G191</f>
        <v>3876(5)</v>
      </c>
      <c r="C195" s="184" t="str">
        <f>[4]Sayfa1!$H191</f>
        <v>MA</v>
      </c>
      <c r="D195" s="24">
        <f>[4]Sayfa1!$N191</f>
        <v>58059</v>
      </c>
      <c r="E195" s="24" t="str">
        <f>[4]Sayfa1!$B191</f>
        <v>BOZ-KAY5+6-FF-190</v>
      </c>
      <c r="F195" s="60">
        <f>[4]Sayfa1!$E191</f>
        <v>45435</v>
      </c>
      <c r="G195" s="61">
        <f>[4]Sayfa1!$F191</f>
        <v>45435.393750000003</v>
      </c>
      <c r="H195" s="59" t="str">
        <f>[4]Sayfa1!$I191</f>
        <v>Hat/Line</v>
      </c>
      <c r="I195" s="62" t="str">
        <f>IF([4]Sayfa1!$K191="SSH","Notified by Bozankaya","Notified by Customer")</f>
        <v>Notified by Customer</v>
      </c>
      <c r="J195" s="59" t="e">
        <f>VLOOKUP([4]Sayfa1!$AU191,#REF!,2,FALSE)</f>
        <v>#REF!</v>
      </c>
      <c r="K195" s="59">
        <f>[4]Sayfa1!$AC191</f>
        <v>0</v>
      </c>
      <c r="L195" s="63" t="str">
        <f t="shared" si="52"/>
        <v>KAY_5+142-BOZ-KAY5+6-FF-190</v>
      </c>
      <c r="M195" s="64" t="str">
        <f>[4]Sayfa1!$L191</f>
        <v>ARAÇ MA-MB BOJİ DİŞLİ KUTUSU ESNEK KAPLİNG AKTARMA DİŞLİSİ HUB GEAR AYARLARI BOZUK.</v>
      </c>
      <c r="N195" s="33" t="str">
        <f>[4]Sayfa1!$J191</f>
        <v>B-Hız veya güç azalması</v>
      </c>
      <c r="O195" s="33" t="str">
        <f>[4]Sayfa1!$P191</f>
        <v>C(Sisteme etki etmeyen arıza)</v>
      </c>
      <c r="P195" s="33" t="str">
        <f>[4]Sayfa1!$Q191</f>
        <v>N.A(Yaralanma yok)</v>
      </c>
      <c r="Q195" s="65" t="str" cm="1">
        <f t="array" ref="Q195">_xlfn.IFS([4]Sayfa1!$R191="Bozankaya","Bozankaya",[4]Sayfa1!$R191="İşletme","Customer",[4]Sayfa1!$R191="Tedarikçi","Equipment Supplier")</f>
        <v>Bozankaya</v>
      </c>
      <c r="R195" s="66">
        <f>[4]Sayfa1!$M191</f>
        <v>0</v>
      </c>
      <c r="S195" s="36" t="str">
        <f>[4]Sayfa1!$S191</f>
        <v>Üretim</v>
      </c>
      <c r="T195" s="67">
        <f>[4]Sayfa1!$Z191</f>
        <v>0</v>
      </c>
      <c r="U195" s="68">
        <f>[4]Sayfa1!$AN191</f>
        <v>2</v>
      </c>
      <c r="V195" s="60">
        <f>[4]Sayfa1!$T191</f>
        <v>45437</v>
      </c>
      <c r="W195" s="61">
        <f>[4]Sayfa1!$U191</f>
        <v>45437.541666666664</v>
      </c>
      <c r="X195" s="69">
        <f t="shared" si="53"/>
        <v>45437.541666666664</v>
      </c>
      <c r="Y195" s="70">
        <f>[4]Sayfa1!$AQ191</f>
        <v>45437</v>
      </c>
      <c r="Z195" s="61">
        <f>[4]Sayfa1!$AR191</f>
        <v>45437.625</v>
      </c>
      <c r="AA195" s="69">
        <f t="shared" si="54"/>
        <v>45437.625</v>
      </c>
      <c r="AB195" s="71">
        <f t="shared" si="55"/>
        <v>2.0000000000582077</v>
      </c>
      <c r="AC195" s="60">
        <f t="shared" si="56"/>
        <v>45437</v>
      </c>
      <c r="AD195" s="61">
        <f t="shared" si="57"/>
        <v>45437.625</v>
      </c>
      <c r="AE195" s="69">
        <f t="shared" si="58"/>
        <v>45437.625</v>
      </c>
      <c r="AF195" s="36" t="str">
        <f>[4]Sayfa1!$AP191</f>
        <v>(II) Birden fazla karşılaşılan arıza</v>
      </c>
      <c r="AG195" s="33" t="str">
        <f>IF([4]Sayfa1!$J191="C-Uyarı, sürüş devamlılığı","Bu Arıza Aracın Servise Verilmesine Engel Değil","Bu Arıza Aracın Servise Verilmesine Engel")</f>
        <v>Bu Arıza Aracın Servise Verilmesine Engel</v>
      </c>
      <c r="AH195" s="41" t="str">
        <f>[4]Sayfa1!$AB191</f>
        <v>Tamir edilecek</v>
      </c>
      <c r="AI195" s="60"/>
      <c r="AJ195" s="60"/>
      <c r="AK195" s="69">
        <f t="shared" si="59"/>
        <v>0</v>
      </c>
      <c r="AL195" s="71">
        <f t="shared" si="60"/>
        <v>120.00000000349246</v>
      </c>
      <c r="AM195" s="71">
        <f t="shared" si="61"/>
        <v>120.00000000349246</v>
      </c>
      <c r="AN195" s="72">
        <f t="shared" si="62"/>
        <v>0</v>
      </c>
      <c r="AO195" s="73" t="str">
        <f>[4]Sayfa1!$X191</f>
        <v>B110-7029</v>
      </c>
      <c r="AP195" s="72">
        <f>[4]Sayfa1!$Y191</f>
        <v>1</v>
      </c>
      <c r="AQ195" s="184" t="str">
        <f>[4]Sayfa1!$V191</f>
        <v>Voith Turbo Power Transmission CZ s</v>
      </c>
      <c r="AR195" s="74" t="str">
        <f>[4]Sayfa1!$W191</f>
        <v>DISLI KUTUSU KOMPLESI</v>
      </c>
      <c r="AS195" s="74">
        <f>[4]Sayfa1!$AD191</f>
        <v>0</v>
      </c>
      <c r="AT195" s="60" t="str">
        <f>[4]Sayfa1!$AE191</f>
        <v/>
      </c>
      <c r="AU195" s="60" t="str">
        <f>[4]Sayfa1!$AH191</f>
        <v/>
      </c>
      <c r="AV195" s="75">
        <v>190</v>
      </c>
      <c r="AW195" s="76">
        <f t="shared" si="63"/>
        <v>44.000000001280569</v>
      </c>
      <c r="AX195" s="77" t="str">
        <f>[4]Sayfa1!$A191</f>
        <v>02c70cd7</v>
      </c>
      <c r="AY195" s="78" t="s">
        <v>114</v>
      </c>
      <c r="AZ195" s="79" t="e" vm="1">
        <f t="shared" si="64"/>
        <v>#VALUE!</v>
      </c>
    </row>
    <row r="196" spans="1:52" ht="186.6">
      <c r="A196" s="59" t="s">
        <v>251</v>
      </c>
      <c r="B196" s="59" t="str">
        <f>[4]Sayfa1!$G192</f>
        <v>3877(6)</v>
      </c>
      <c r="C196" s="184" t="str">
        <f>[4]Sayfa1!$H192</f>
        <v>MA</v>
      </c>
      <c r="D196" s="24">
        <f>[4]Sayfa1!$N192</f>
        <v>44470</v>
      </c>
      <c r="E196" s="24" t="str">
        <f>[4]Sayfa1!$B192</f>
        <v>BOZ-KAY5+6-FF-191</v>
      </c>
      <c r="F196" s="60">
        <f>[4]Sayfa1!$E192</f>
        <v>45435</v>
      </c>
      <c r="G196" s="61">
        <f>[4]Sayfa1!$F192</f>
        <v>45435.393750000003</v>
      </c>
      <c r="H196" s="59" t="str">
        <f>[4]Sayfa1!$I192</f>
        <v>Hat/Line</v>
      </c>
      <c r="I196" s="62" t="str">
        <f>IF([4]Sayfa1!$K192="SSH","Notified by Bozankaya","Notified by Customer")</f>
        <v>Notified by Customer</v>
      </c>
      <c r="J196" s="59" t="e">
        <f>VLOOKUP([4]Sayfa1!$AU192,#REF!,2,FALSE)</f>
        <v>#REF!</v>
      </c>
      <c r="K196" s="59">
        <f>[4]Sayfa1!$AC192</f>
        <v>0</v>
      </c>
      <c r="L196" s="63" t="str">
        <f t="shared" si="52"/>
        <v>KAY_5+143-BOZ-KAY5+6-FF-191</v>
      </c>
      <c r="M196" s="64" t="str">
        <f>[4]Sayfa1!$L192</f>
        <v>ARAÇ MA-MB BOJİ DİŞLİ KUTUSU ESNEK KAPLİNG AKTARMA DİŞLİS HUB GEAR BOZUK.</v>
      </c>
      <c r="N196" s="33" t="str">
        <f>[4]Sayfa1!$J192</f>
        <v>B-Hız veya güç azalması</v>
      </c>
      <c r="O196" s="33" t="str">
        <f>[4]Sayfa1!$P192</f>
        <v>C(Sisteme etki etmeyen arıza)</v>
      </c>
      <c r="P196" s="33" t="str">
        <f>[4]Sayfa1!$Q192</f>
        <v>N.A(Yaralanma yok)</v>
      </c>
      <c r="Q196" s="65" t="str" cm="1">
        <f t="array" ref="Q196">_xlfn.IFS([4]Sayfa1!$R192="Bozankaya","Bozankaya",[4]Sayfa1!$R192="İşletme","Customer",[4]Sayfa1!$R192="Tedarikçi","Equipment Supplier")</f>
        <v>Bozankaya</v>
      </c>
      <c r="R196" s="66">
        <f>[4]Sayfa1!$M192</f>
        <v>0</v>
      </c>
      <c r="S196" s="36" t="str">
        <f>[4]Sayfa1!$S192</f>
        <v>Üretim</v>
      </c>
      <c r="T196" s="67">
        <f>[4]Sayfa1!$Z192</f>
        <v>0</v>
      </c>
      <c r="U196" s="68">
        <f>[4]Sayfa1!$AN192</f>
        <v>2</v>
      </c>
      <c r="V196" s="60">
        <f>[4]Sayfa1!$T192</f>
        <v>45437</v>
      </c>
      <c r="W196" s="61">
        <f>[4]Sayfa1!$U192</f>
        <v>45437.666666666664</v>
      </c>
      <c r="X196" s="69">
        <f t="shared" si="53"/>
        <v>45437.666666666664</v>
      </c>
      <c r="Y196" s="70">
        <f>[4]Sayfa1!$AQ192</f>
        <v>45437</v>
      </c>
      <c r="Z196" s="61">
        <f>[4]Sayfa1!$AR192</f>
        <v>45437.75</v>
      </c>
      <c r="AA196" s="69">
        <f t="shared" si="54"/>
        <v>45437.75</v>
      </c>
      <c r="AB196" s="71">
        <f t="shared" si="55"/>
        <v>2.0000000000582077</v>
      </c>
      <c r="AC196" s="60">
        <f t="shared" si="56"/>
        <v>45437</v>
      </c>
      <c r="AD196" s="61">
        <f t="shared" si="57"/>
        <v>45437.75</v>
      </c>
      <c r="AE196" s="69">
        <f t="shared" si="58"/>
        <v>45437.75</v>
      </c>
      <c r="AF196" s="36" t="str">
        <f>[4]Sayfa1!$AP192</f>
        <v>(II) Birden fazla karşılaşılan arıza</v>
      </c>
      <c r="AG196" s="33" t="str">
        <f>IF([4]Sayfa1!$J192="C-Uyarı, sürüş devamlılığı","Bu Arıza Aracın Servise Verilmesine Engel Değil","Bu Arıza Aracın Servise Verilmesine Engel")</f>
        <v>Bu Arıza Aracın Servise Verilmesine Engel</v>
      </c>
      <c r="AH196" s="41" t="str">
        <f>[4]Sayfa1!$AB192</f>
        <v>Tamir edilecek</v>
      </c>
      <c r="AI196" s="60"/>
      <c r="AJ196" s="60"/>
      <c r="AK196" s="69">
        <f t="shared" si="59"/>
        <v>0</v>
      </c>
      <c r="AL196" s="71">
        <f t="shared" si="60"/>
        <v>120.00000000349246</v>
      </c>
      <c r="AM196" s="71">
        <f t="shared" si="61"/>
        <v>120.00000000349246</v>
      </c>
      <c r="AN196" s="72">
        <f t="shared" si="62"/>
        <v>0</v>
      </c>
      <c r="AO196" s="73" t="str">
        <f>[4]Sayfa1!$X192</f>
        <v>B110-7029</v>
      </c>
      <c r="AP196" s="72">
        <f>[4]Sayfa1!$Y192</f>
        <v>1</v>
      </c>
      <c r="AQ196" s="184" t="str">
        <f>[4]Sayfa1!$V192</f>
        <v>Voith Turbo Power Transmission CZ s</v>
      </c>
      <c r="AR196" s="74" t="str">
        <f>[4]Sayfa1!$W192</f>
        <v>DISLI KUTUSU KOMPLESI</v>
      </c>
      <c r="AS196" s="74">
        <f>[4]Sayfa1!$AD192</f>
        <v>0</v>
      </c>
      <c r="AT196" s="60" t="str">
        <f>[4]Sayfa1!$AE192</f>
        <v/>
      </c>
      <c r="AU196" s="60" t="str">
        <f>[4]Sayfa1!$AH192</f>
        <v/>
      </c>
      <c r="AV196" s="75">
        <v>191</v>
      </c>
      <c r="AW196" s="76">
        <f t="shared" si="63"/>
        <v>44.000000001280569</v>
      </c>
      <c r="AX196" s="77" t="str">
        <f>[4]Sayfa1!$A192</f>
        <v>ebfbb280</v>
      </c>
      <c r="AY196" s="78" t="s">
        <v>114</v>
      </c>
      <c r="AZ196" s="79" t="e" vm="1">
        <f t="shared" si="64"/>
        <v>#VALUE!</v>
      </c>
    </row>
    <row r="197" spans="1:52" ht="207">
      <c r="A197" s="59" t="s">
        <v>252</v>
      </c>
      <c r="B197" s="59" t="str">
        <f>[4]Sayfa1!$G193</f>
        <v>3878(7)</v>
      </c>
      <c r="C197" s="184" t="str">
        <f>[4]Sayfa1!$H193</f>
        <v>MA</v>
      </c>
      <c r="D197" s="24">
        <f>[4]Sayfa1!$N193</f>
        <v>37433</v>
      </c>
      <c r="E197" s="24" t="str">
        <f>[4]Sayfa1!$B193</f>
        <v>BOZ-KAY5+6-FF-192</v>
      </c>
      <c r="F197" s="60">
        <f>[4]Sayfa1!$E193</f>
        <v>45435</v>
      </c>
      <c r="G197" s="61">
        <f>[4]Sayfa1!$F193</f>
        <v>45435.394444444442</v>
      </c>
      <c r="H197" s="59" t="str">
        <f>[4]Sayfa1!$I193</f>
        <v>Hat/Line</v>
      </c>
      <c r="I197" s="62" t="str">
        <f>IF([4]Sayfa1!$K193="SSH","Notified by Bozankaya","Notified by Customer")</f>
        <v>Notified by Customer</v>
      </c>
      <c r="J197" s="59" t="e">
        <f>VLOOKUP([4]Sayfa1!$AU193,#REF!,2,FALSE)</f>
        <v>#REF!</v>
      </c>
      <c r="K197" s="59">
        <f>[4]Sayfa1!$AC193</f>
        <v>0</v>
      </c>
      <c r="L197" s="63" t="str">
        <f t="shared" si="52"/>
        <v>KAY_5+144-BOZ-KAY5+6-FF-192</v>
      </c>
      <c r="M197" s="64" t="str">
        <f>[4]Sayfa1!$L193</f>
        <v>ARAÇ MA-MB BOJİ DİŞLİ KUTUSU ESNEK KAPLİNG AKTARMA DİŞLİSİ HUB GEAR AYARLARI BOZUK.</v>
      </c>
      <c r="N197" s="33" t="str">
        <f>[4]Sayfa1!$J193</f>
        <v>B-Hız veya güç azalması</v>
      </c>
      <c r="O197" s="33" t="str">
        <f>[4]Sayfa1!$P193</f>
        <v>C(Sisteme etki etmeyen arıza)</v>
      </c>
      <c r="P197" s="33" t="str">
        <f>[4]Sayfa1!$Q193</f>
        <v>N.A(Yaralanma yok)</v>
      </c>
      <c r="Q197" s="65" t="str" cm="1">
        <f t="array" ref="Q197">_xlfn.IFS([4]Sayfa1!$R193="Bozankaya","Bozankaya",[4]Sayfa1!$R193="İşletme","Customer",[4]Sayfa1!$R193="Tedarikçi","Equipment Supplier")</f>
        <v>Bozankaya</v>
      </c>
      <c r="R197" s="66">
        <f>[4]Sayfa1!$M193</f>
        <v>0</v>
      </c>
      <c r="S197" s="36" t="str">
        <f>[4]Sayfa1!$S193</f>
        <v>Üretim</v>
      </c>
      <c r="T197" s="67">
        <f>[4]Sayfa1!$Z193</f>
        <v>0</v>
      </c>
      <c r="U197" s="68">
        <f>[4]Sayfa1!$AN193</f>
        <v>2</v>
      </c>
      <c r="V197" s="60">
        <f>[4]Sayfa1!$T193</f>
        <v>45438</v>
      </c>
      <c r="W197" s="61">
        <f>[4]Sayfa1!$U193</f>
        <v>45438.333333333336</v>
      </c>
      <c r="X197" s="69">
        <f t="shared" si="53"/>
        <v>45438.333333333336</v>
      </c>
      <c r="Y197" s="70">
        <f>[4]Sayfa1!$AQ193</f>
        <v>45438</v>
      </c>
      <c r="Z197" s="61">
        <f>[4]Sayfa1!$AR193</f>
        <v>45438.416666666664</v>
      </c>
      <c r="AA197" s="69">
        <f t="shared" si="54"/>
        <v>45438.416666666664</v>
      </c>
      <c r="AB197" s="71">
        <f t="shared" si="55"/>
        <v>1.9999999998835847</v>
      </c>
      <c r="AC197" s="60">
        <f t="shared" si="56"/>
        <v>45438</v>
      </c>
      <c r="AD197" s="61">
        <f t="shared" si="57"/>
        <v>45438.416666666664</v>
      </c>
      <c r="AE197" s="69">
        <f t="shared" si="58"/>
        <v>45438.416666666664</v>
      </c>
      <c r="AF197" s="36" t="str">
        <f>[4]Sayfa1!$AP193</f>
        <v>(II) Birden fazla karşılaşılan arıza</v>
      </c>
      <c r="AG197" s="33" t="str">
        <f>IF([4]Sayfa1!$J193="C-Uyarı, sürüş devamlılığı","Bu Arıza Aracın Servise Verilmesine Engel Değil","Bu Arıza Aracın Servise Verilmesine Engel")</f>
        <v>Bu Arıza Aracın Servise Verilmesine Engel</v>
      </c>
      <c r="AH197" s="41" t="str">
        <f>[4]Sayfa1!$AB193</f>
        <v>Tamir edilecek</v>
      </c>
      <c r="AI197" s="60"/>
      <c r="AJ197" s="60"/>
      <c r="AK197" s="69">
        <f t="shared" si="59"/>
        <v>0</v>
      </c>
      <c r="AL197" s="71">
        <f t="shared" si="60"/>
        <v>119.99999999301508</v>
      </c>
      <c r="AM197" s="71">
        <f t="shared" si="61"/>
        <v>119.99999999301508</v>
      </c>
      <c r="AN197" s="72">
        <f t="shared" si="62"/>
        <v>0</v>
      </c>
      <c r="AO197" s="73" t="str">
        <f>[4]Sayfa1!$X193</f>
        <v>B110-7029</v>
      </c>
      <c r="AP197" s="72">
        <f>[4]Sayfa1!$Y193</f>
        <v>1</v>
      </c>
      <c r="AQ197" s="184" t="str">
        <f>[4]Sayfa1!$V193</f>
        <v>Voith Turbo Power Transmission CZ s</v>
      </c>
      <c r="AR197" s="74" t="str">
        <f>[4]Sayfa1!$W193</f>
        <v>DISLI KUTUSU KOMPLESI</v>
      </c>
      <c r="AS197" s="74">
        <f>[4]Sayfa1!$AD193</f>
        <v>0</v>
      </c>
      <c r="AT197" s="60" t="str">
        <f>[4]Sayfa1!$AE193</f>
        <v/>
      </c>
      <c r="AU197" s="60" t="str">
        <f>[4]Sayfa1!$AH193</f>
        <v/>
      </c>
      <c r="AV197" s="75">
        <v>192</v>
      </c>
      <c r="AW197" s="76">
        <f t="shared" si="63"/>
        <v>43.999999997438863</v>
      </c>
      <c r="AX197" s="77" t="str">
        <f>[4]Sayfa1!$A193</f>
        <v>9b83c185</v>
      </c>
      <c r="AY197" s="78" t="s">
        <v>114</v>
      </c>
      <c r="AZ197" s="79" t="e" vm="1">
        <f t="shared" si="64"/>
        <v>#VALUE!</v>
      </c>
    </row>
    <row r="198" spans="1:52" ht="207">
      <c r="A198" s="59" t="s">
        <v>253</v>
      </c>
      <c r="B198" s="59" t="str">
        <f>[4]Sayfa1!$G194</f>
        <v>3879(8)</v>
      </c>
      <c r="C198" s="184" t="str">
        <f>[4]Sayfa1!$H194</f>
        <v>MA</v>
      </c>
      <c r="D198" s="24">
        <f>[4]Sayfa1!$N194</f>
        <v>20889</v>
      </c>
      <c r="E198" s="24" t="str">
        <f>[4]Sayfa1!$B194</f>
        <v>BOZ-KAY5+6-FF-193</v>
      </c>
      <c r="F198" s="60">
        <f>[4]Sayfa1!$E194</f>
        <v>45435</v>
      </c>
      <c r="G198" s="61">
        <f>[4]Sayfa1!$F194</f>
        <v>45435.394444444442</v>
      </c>
      <c r="H198" s="59" t="str">
        <f>[4]Sayfa1!$I194</f>
        <v>Hat/Line</v>
      </c>
      <c r="I198" s="62" t="str">
        <f>IF([4]Sayfa1!$K194="SSH","Notified by Bozankaya","Notified by Customer")</f>
        <v>Notified by Customer</v>
      </c>
      <c r="J198" s="59" t="e">
        <f>VLOOKUP([4]Sayfa1!$AU194,#REF!,2,FALSE)</f>
        <v>#REF!</v>
      </c>
      <c r="K198" s="59">
        <f>[4]Sayfa1!$AC194</f>
        <v>0</v>
      </c>
      <c r="L198" s="63" t="str">
        <f t="shared" si="52"/>
        <v>KAY_5+145-BOZ-KAY5+6-FF-193</v>
      </c>
      <c r="M198" s="64" t="str">
        <f>[4]Sayfa1!$L194</f>
        <v>ARAÇ MA-MB BOJİ DİŞLİ KUTUSU ESNEK KAPLİNG AKTARMA DİŞLİSİ HUB GEAR AYARLARI BOZUK.</v>
      </c>
      <c r="N198" s="33" t="str">
        <f>[4]Sayfa1!$J194</f>
        <v>B-Hız veya güç azalması</v>
      </c>
      <c r="O198" s="33" t="str">
        <f>[4]Sayfa1!$P194</f>
        <v>C(Sisteme etki etmeyen arıza)</v>
      </c>
      <c r="P198" s="33" t="str">
        <f>[4]Sayfa1!$Q194</f>
        <v>N.A(Yaralanma yok)</v>
      </c>
      <c r="Q198" s="65" t="str" cm="1">
        <f t="array" ref="Q198">_xlfn.IFS([4]Sayfa1!$R194="Bozankaya","Bozankaya",[4]Sayfa1!$R194="İşletme","Customer",[4]Sayfa1!$R194="Tedarikçi","Equipment Supplier")</f>
        <v>Bozankaya</v>
      </c>
      <c r="R198" s="66">
        <f>[4]Sayfa1!$M194</f>
        <v>0</v>
      </c>
      <c r="S198" s="36" t="str">
        <f>[4]Sayfa1!$S194</f>
        <v>Üretim</v>
      </c>
      <c r="T198" s="67">
        <f>[4]Sayfa1!$Z194</f>
        <v>0</v>
      </c>
      <c r="U198" s="68">
        <f>[4]Sayfa1!$AN194</f>
        <v>2</v>
      </c>
      <c r="V198" s="60">
        <f>[4]Sayfa1!$T194</f>
        <v>45438</v>
      </c>
      <c r="W198" s="61">
        <f>[4]Sayfa1!$U194</f>
        <v>45438.541666666664</v>
      </c>
      <c r="X198" s="69">
        <f t="shared" si="53"/>
        <v>45438.541666666664</v>
      </c>
      <c r="Y198" s="70">
        <f>[4]Sayfa1!$AQ194</f>
        <v>45438</v>
      </c>
      <c r="Z198" s="61">
        <f>[4]Sayfa1!$AR194</f>
        <v>45438.625</v>
      </c>
      <c r="AA198" s="69">
        <f t="shared" si="54"/>
        <v>45438.625</v>
      </c>
      <c r="AB198" s="71">
        <f t="shared" si="55"/>
        <v>2.0000000000582077</v>
      </c>
      <c r="AC198" s="60">
        <f t="shared" si="56"/>
        <v>45438</v>
      </c>
      <c r="AD198" s="61">
        <f t="shared" si="57"/>
        <v>45438.625</v>
      </c>
      <c r="AE198" s="69">
        <f t="shared" si="58"/>
        <v>45438.625</v>
      </c>
      <c r="AF198" s="36" t="str">
        <f>[4]Sayfa1!$AP194</f>
        <v>(II) Birden fazla karşılaşılan arıza</v>
      </c>
      <c r="AG198" s="33" t="str">
        <f>IF([4]Sayfa1!$J194="C-Uyarı, sürüş devamlılığı","Bu Arıza Aracın Servise Verilmesine Engel Değil","Bu Arıza Aracın Servise Verilmesine Engel")</f>
        <v>Bu Arıza Aracın Servise Verilmesine Engel</v>
      </c>
      <c r="AH198" s="41" t="str">
        <f>[4]Sayfa1!$AB194</f>
        <v>Tamir edilecek</v>
      </c>
      <c r="AI198" s="60"/>
      <c r="AJ198" s="60"/>
      <c r="AK198" s="69">
        <f t="shared" si="59"/>
        <v>0</v>
      </c>
      <c r="AL198" s="71">
        <f t="shared" si="60"/>
        <v>120.00000000349246</v>
      </c>
      <c r="AM198" s="71">
        <f t="shared" si="61"/>
        <v>120.00000000349246</v>
      </c>
      <c r="AN198" s="72">
        <f t="shared" si="62"/>
        <v>0</v>
      </c>
      <c r="AO198" s="73" t="str">
        <f>[4]Sayfa1!$X194</f>
        <v>B110-7029</v>
      </c>
      <c r="AP198" s="72">
        <f>[4]Sayfa1!$Y194</f>
        <v>1</v>
      </c>
      <c r="AQ198" s="184" t="str">
        <f>[4]Sayfa1!$V194</f>
        <v>Voith Turbo Power Transmission CZ s</v>
      </c>
      <c r="AR198" s="74" t="str">
        <f>[4]Sayfa1!$W194</f>
        <v>DISLI KUTUSU KOMPLESI</v>
      </c>
      <c r="AS198" s="74">
        <f>[4]Sayfa1!$AD194</f>
        <v>0</v>
      </c>
      <c r="AT198" s="60" t="str">
        <f>[4]Sayfa1!$AE194</f>
        <v/>
      </c>
      <c r="AU198" s="60" t="str">
        <f>[4]Sayfa1!$AH194</f>
        <v/>
      </c>
      <c r="AV198" s="75">
        <v>193</v>
      </c>
      <c r="AW198" s="76">
        <f t="shared" si="63"/>
        <v>44.000000001280569</v>
      </c>
      <c r="AX198" s="77" t="str">
        <f>[4]Sayfa1!$A194</f>
        <v>c6bd4c94</v>
      </c>
      <c r="AY198" s="78" t="s">
        <v>114</v>
      </c>
      <c r="AZ198" s="79" t="e" vm="1">
        <f t="shared" si="64"/>
        <v>#VALUE!</v>
      </c>
    </row>
    <row r="199" spans="1:52" ht="207">
      <c r="A199" s="59" t="s">
        <v>254</v>
      </c>
      <c r="B199" s="59" t="str">
        <f>[4]Sayfa1!$G195</f>
        <v>3880(9)</v>
      </c>
      <c r="C199" s="184" t="str">
        <f>[4]Sayfa1!$H195</f>
        <v>MA</v>
      </c>
      <c r="D199" s="24">
        <f>[4]Sayfa1!$N195</f>
        <v>16300</v>
      </c>
      <c r="E199" s="24" t="str">
        <f>[4]Sayfa1!$B195</f>
        <v>BOZ-KAY5+6-FF-194</v>
      </c>
      <c r="F199" s="60">
        <f>[4]Sayfa1!$E195</f>
        <v>45435</v>
      </c>
      <c r="G199" s="61">
        <f>[4]Sayfa1!$F195</f>
        <v>45435.395138888889</v>
      </c>
      <c r="H199" s="59" t="str">
        <f>[4]Sayfa1!$I195</f>
        <v>Hat/Line</v>
      </c>
      <c r="I199" s="62" t="str">
        <f>IF([4]Sayfa1!$K195="SSH","Notified by Bozankaya","Notified by Customer")</f>
        <v>Notified by Customer</v>
      </c>
      <c r="J199" s="59" t="e">
        <f>VLOOKUP([4]Sayfa1!$AU195,#REF!,2,FALSE)</f>
        <v>#REF!</v>
      </c>
      <c r="K199" s="59">
        <f>[4]Sayfa1!$AC195</f>
        <v>0</v>
      </c>
      <c r="L199" s="63" t="str">
        <f t="shared" si="52"/>
        <v>KAY_5+146-BOZ-KAY5+6-FF-194</v>
      </c>
      <c r="M199" s="64" t="str">
        <f>[4]Sayfa1!$L195</f>
        <v>ARAÇ MA-MB BOJİ DİŞLİ KUTUSU ESNEK KAPLİNG AKTARMA DİŞLİSİ HUB GEAR AYARLARI BOZUK.</v>
      </c>
      <c r="N199" s="33" t="str">
        <f>[4]Sayfa1!$J195</f>
        <v>B-Hız veya güç azalması</v>
      </c>
      <c r="O199" s="33" t="str">
        <f>[4]Sayfa1!$P195</f>
        <v>C(Sisteme etki etmeyen arıza)</v>
      </c>
      <c r="P199" s="33" t="str">
        <f>[4]Sayfa1!$Q195</f>
        <v>N.A(Yaralanma yok)</v>
      </c>
      <c r="Q199" s="65" t="str" cm="1">
        <f t="array" ref="Q199">_xlfn.IFS([4]Sayfa1!$R195="Bozankaya","Bozankaya",[4]Sayfa1!$R195="İşletme","Customer",[4]Sayfa1!$R195="Tedarikçi","Equipment Supplier")</f>
        <v>Bozankaya</v>
      </c>
      <c r="R199" s="66">
        <f>[4]Sayfa1!$M195</f>
        <v>0</v>
      </c>
      <c r="S199" s="36" t="str">
        <f>[4]Sayfa1!$S195</f>
        <v>Üretim</v>
      </c>
      <c r="T199" s="67">
        <f>[4]Sayfa1!$Z195</f>
        <v>0</v>
      </c>
      <c r="U199" s="68">
        <f>[4]Sayfa1!$AN195</f>
        <v>2</v>
      </c>
      <c r="V199" s="60">
        <f>[4]Sayfa1!$T195</f>
        <v>45438</v>
      </c>
      <c r="W199" s="61">
        <f>[4]Sayfa1!$U195</f>
        <v>45438.666666666664</v>
      </c>
      <c r="X199" s="69">
        <f t="shared" si="53"/>
        <v>45438.666666666664</v>
      </c>
      <c r="Y199" s="70">
        <f>[4]Sayfa1!$AQ195</f>
        <v>45438</v>
      </c>
      <c r="Z199" s="61">
        <f>[4]Sayfa1!$AR195</f>
        <v>45438.75</v>
      </c>
      <c r="AA199" s="69">
        <f t="shared" si="54"/>
        <v>45438.75</v>
      </c>
      <c r="AB199" s="71">
        <f t="shared" si="55"/>
        <v>2.0000000000582077</v>
      </c>
      <c r="AC199" s="60">
        <f t="shared" si="56"/>
        <v>45438</v>
      </c>
      <c r="AD199" s="61">
        <f t="shared" si="57"/>
        <v>45438.75</v>
      </c>
      <c r="AE199" s="69">
        <f t="shared" si="58"/>
        <v>45438.75</v>
      </c>
      <c r="AF199" s="36" t="str">
        <f>[4]Sayfa1!$AP195</f>
        <v>(II) Birden fazla karşılaşılan arıza</v>
      </c>
      <c r="AG199" s="33" t="str">
        <f>IF([4]Sayfa1!$J195="C-Uyarı, sürüş devamlılığı","Bu Arıza Aracın Servise Verilmesine Engel Değil","Bu Arıza Aracın Servise Verilmesine Engel")</f>
        <v>Bu Arıza Aracın Servise Verilmesine Engel</v>
      </c>
      <c r="AH199" s="41" t="str">
        <f>[4]Sayfa1!$AB195</f>
        <v>Tamir edilecek</v>
      </c>
      <c r="AI199" s="60"/>
      <c r="AJ199" s="60"/>
      <c r="AK199" s="69">
        <f t="shared" si="59"/>
        <v>0</v>
      </c>
      <c r="AL199" s="71">
        <f t="shared" si="60"/>
        <v>120.00000000349246</v>
      </c>
      <c r="AM199" s="71">
        <f t="shared" si="61"/>
        <v>120.00000000349246</v>
      </c>
      <c r="AN199" s="72">
        <f t="shared" si="62"/>
        <v>0</v>
      </c>
      <c r="AO199" s="73" t="str">
        <f>[4]Sayfa1!$X195</f>
        <v>B110-7029</v>
      </c>
      <c r="AP199" s="72">
        <f>[4]Sayfa1!$Y195</f>
        <v>1</v>
      </c>
      <c r="AQ199" s="184" t="str">
        <f>[4]Sayfa1!$V195</f>
        <v>Voith Turbo Power Transmission CZ s</v>
      </c>
      <c r="AR199" s="74" t="str">
        <f>[4]Sayfa1!$W195</f>
        <v>DISLI KUTUSU KOMPLESI</v>
      </c>
      <c r="AS199" s="74">
        <f>[4]Sayfa1!$AD195</f>
        <v>0</v>
      </c>
      <c r="AT199" s="60" t="str">
        <f>[4]Sayfa1!$AE195</f>
        <v/>
      </c>
      <c r="AU199" s="60" t="str">
        <f>[4]Sayfa1!$AH195</f>
        <v/>
      </c>
      <c r="AV199" s="75">
        <v>194</v>
      </c>
      <c r="AW199" s="76">
        <f t="shared" si="63"/>
        <v>44.000000001280569</v>
      </c>
      <c r="AX199" s="77" t="str">
        <f>[4]Sayfa1!$A195</f>
        <v>f8dd494c</v>
      </c>
      <c r="AY199" s="78" t="s">
        <v>114</v>
      </c>
      <c r="AZ199" s="79" t="e" vm="1">
        <f t="shared" si="64"/>
        <v>#VALUE!</v>
      </c>
    </row>
    <row r="200" spans="1:52" ht="207">
      <c r="A200" s="59" t="s">
        <v>255</v>
      </c>
      <c r="B200" s="59" t="str">
        <f>[4]Sayfa1!$G196</f>
        <v>3881(10)</v>
      </c>
      <c r="C200" s="184" t="str">
        <f>[4]Sayfa1!$H196</f>
        <v>MA</v>
      </c>
      <c r="D200" s="24">
        <f>[4]Sayfa1!$N196</f>
        <v>10462</v>
      </c>
      <c r="E200" s="24" t="str">
        <f>[4]Sayfa1!$B196</f>
        <v>BOZ-KAY5+6-FF-195</v>
      </c>
      <c r="F200" s="60">
        <f>[4]Sayfa1!$E196</f>
        <v>45435</v>
      </c>
      <c r="G200" s="61">
        <f>[4]Sayfa1!$F196</f>
        <v>45435.395833333336</v>
      </c>
      <c r="H200" s="59" t="str">
        <f>[4]Sayfa1!$I196</f>
        <v>Hat/Line</v>
      </c>
      <c r="I200" s="62" t="str">
        <f>IF([4]Sayfa1!$K196="SSH","Notified by Bozankaya","Notified by Customer")</f>
        <v>Notified by Customer</v>
      </c>
      <c r="J200" s="59" t="e">
        <f>VLOOKUP([4]Sayfa1!$AU196,#REF!,2,FALSE)</f>
        <v>#REF!</v>
      </c>
      <c r="K200" s="59">
        <f>[4]Sayfa1!$AC196</f>
        <v>0</v>
      </c>
      <c r="L200" s="63" t="str">
        <f t="shared" si="52"/>
        <v>KAY_5+147-BOZ-KAY5+6-FF-195</v>
      </c>
      <c r="M200" s="64" t="str">
        <f>[4]Sayfa1!$L196</f>
        <v>ARAÇ MA-MB BOJİ DİŞLİ KUTUSU ESNEK KAPLİNG AKTARMA DİŞLİSİ HUB GEAR AYARLARI BOZUK</v>
      </c>
      <c r="N200" s="33" t="str">
        <f>[4]Sayfa1!$J196</f>
        <v>B-Hız veya güç azalması</v>
      </c>
      <c r="O200" s="33" t="str">
        <f>[4]Sayfa1!$P196</f>
        <v>C(Sisteme etki etmeyen arıza)</v>
      </c>
      <c r="P200" s="33" t="str">
        <f>[4]Sayfa1!$Q196</f>
        <v>N.A(Yaralanma yok)</v>
      </c>
      <c r="Q200" s="65" t="str" cm="1">
        <f t="array" ref="Q200">_xlfn.IFS([4]Sayfa1!$R196="Bozankaya","Bozankaya",[4]Sayfa1!$R196="İşletme","Customer",[4]Sayfa1!$R196="Tedarikçi","Equipment Supplier")</f>
        <v>Bozankaya</v>
      </c>
      <c r="R200" s="66">
        <f>[4]Sayfa1!$M196</f>
        <v>0</v>
      </c>
      <c r="S200" s="36" t="str">
        <f>[4]Sayfa1!$S196</f>
        <v>Üretim</v>
      </c>
      <c r="T200" s="67">
        <f>[4]Sayfa1!$Z196</f>
        <v>0</v>
      </c>
      <c r="U200" s="68">
        <f>[4]Sayfa1!$AN196</f>
        <v>2</v>
      </c>
      <c r="V200" s="60">
        <f>[4]Sayfa1!$T196</f>
        <v>45439</v>
      </c>
      <c r="W200" s="61">
        <f>[4]Sayfa1!$U196</f>
        <v>45439.333333333336</v>
      </c>
      <c r="X200" s="69">
        <f t="shared" si="53"/>
        <v>45439.333333333336</v>
      </c>
      <c r="Y200" s="70">
        <f>[4]Sayfa1!$AQ196</f>
        <v>45439</v>
      </c>
      <c r="Z200" s="61">
        <f>[4]Sayfa1!$AR196</f>
        <v>45439.416666666664</v>
      </c>
      <c r="AA200" s="69">
        <f t="shared" si="54"/>
        <v>45439.416666666664</v>
      </c>
      <c r="AB200" s="71">
        <f t="shared" si="55"/>
        <v>1.9999999998835847</v>
      </c>
      <c r="AC200" s="60">
        <f t="shared" si="56"/>
        <v>45439</v>
      </c>
      <c r="AD200" s="61">
        <f t="shared" si="57"/>
        <v>45439.416666666664</v>
      </c>
      <c r="AE200" s="69">
        <f t="shared" si="58"/>
        <v>45439.416666666664</v>
      </c>
      <c r="AF200" s="36" t="str">
        <f>[4]Sayfa1!$AP196</f>
        <v>(II) Birden fazla karşılaşılan arıza</v>
      </c>
      <c r="AG200" s="33" t="str">
        <f>IF([4]Sayfa1!$J196="C-Uyarı, sürüş devamlılığı","Bu Arıza Aracın Servise Verilmesine Engel Değil","Bu Arıza Aracın Servise Verilmesine Engel")</f>
        <v>Bu Arıza Aracın Servise Verilmesine Engel</v>
      </c>
      <c r="AH200" s="41" t="str">
        <f>[4]Sayfa1!$AB196</f>
        <v>Tamir edilecek</v>
      </c>
      <c r="AI200" s="60"/>
      <c r="AJ200" s="60"/>
      <c r="AK200" s="69">
        <f t="shared" si="59"/>
        <v>0</v>
      </c>
      <c r="AL200" s="71">
        <f t="shared" si="60"/>
        <v>119.99999999301508</v>
      </c>
      <c r="AM200" s="71">
        <f t="shared" si="61"/>
        <v>119.99999999301508</v>
      </c>
      <c r="AN200" s="72">
        <f t="shared" si="62"/>
        <v>0</v>
      </c>
      <c r="AO200" s="73" t="str">
        <f>[4]Sayfa1!$X196</f>
        <v>B110-7029</v>
      </c>
      <c r="AP200" s="72">
        <f>[4]Sayfa1!$Y196</f>
        <v>1</v>
      </c>
      <c r="AQ200" s="184" t="str">
        <f>[4]Sayfa1!$V196</f>
        <v>Voith Turbo Power Transmission CZ s</v>
      </c>
      <c r="AR200" s="74" t="str">
        <f>[4]Sayfa1!$W196</f>
        <v>DISLI KUTUSU KOMPLESI</v>
      </c>
      <c r="AS200" s="74">
        <f>[4]Sayfa1!$AD196</f>
        <v>0</v>
      </c>
      <c r="AT200" s="60" t="str">
        <f>[4]Sayfa1!$AE196</f>
        <v/>
      </c>
      <c r="AU200" s="60" t="str">
        <f>[4]Sayfa1!$AH196</f>
        <v/>
      </c>
      <c r="AV200" s="75">
        <v>195</v>
      </c>
      <c r="AW200" s="76">
        <f t="shared" si="63"/>
        <v>43.999999997438863</v>
      </c>
      <c r="AX200" s="77" t="str">
        <f>[4]Sayfa1!$A196</f>
        <v>9f7c7dbb</v>
      </c>
      <c r="AY200" s="78" t="s">
        <v>114</v>
      </c>
      <c r="AZ200" s="79" t="e" vm="1">
        <f t="shared" si="64"/>
        <v>#VALUE!</v>
      </c>
    </row>
    <row r="201" spans="1:52" ht="207">
      <c r="A201" s="59" t="s">
        <v>256</v>
      </c>
      <c r="B201" s="59" t="str">
        <f>[4]Sayfa1!$G197</f>
        <v>3882(11)</v>
      </c>
      <c r="C201" s="184" t="str">
        <f>[4]Sayfa1!$H197</f>
        <v>MA</v>
      </c>
      <c r="D201" s="24">
        <f>[4]Sayfa1!$N197</f>
        <v>255</v>
      </c>
      <c r="E201" s="24" t="str">
        <f>[4]Sayfa1!$B197</f>
        <v>BOZ-KAY5+6-FF-196</v>
      </c>
      <c r="F201" s="60">
        <f>[4]Sayfa1!$E197</f>
        <v>45435</v>
      </c>
      <c r="G201" s="61">
        <f>[4]Sayfa1!$F197</f>
        <v>45435.396527777775</v>
      </c>
      <c r="H201" s="59" t="str">
        <f>[4]Sayfa1!$I197</f>
        <v>Hat/Line</v>
      </c>
      <c r="I201" s="62" t="str">
        <f>IF([4]Sayfa1!$K197="SSH","Notified by Bozankaya","Notified by Customer")</f>
        <v>Notified by Customer</v>
      </c>
      <c r="J201" s="59" t="e">
        <f>VLOOKUP([4]Sayfa1!$AU197,#REF!,2,FALSE)</f>
        <v>#REF!</v>
      </c>
      <c r="K201" s="59">
        <f>[4]Sayfa1!$AC197</f>
        <v>0</v>
      </c>
      <c r="L201" s="63" t="str">
        <f t="shared" si="52"/>
        <v>KAY_5+148-BOZ-KAY5+6-FF-196</v>
      </c>
      <c r="M201" s="64" t="str">
        <f>[4]Sayfa1!$L197</f>
        <v>ARAÇ MA-MB BOJİ DİŞLİ KUTUSU ESNEK KAPLİNG AKTARMA DİŞLİSİ HUB GEAR AYARLARI BOZUK.</v>
      </c>
      <c r="N201" s="33" t="str">
        <f>[4]Sayfa1!$J197</f>
        <v>B-Hız veya güç azalması</v>
      </c>
      <c r="O201" s="33" t="str">
        <f>[4]Sayfa1!$P197</f>
        <v>C(Sisteme etki etmeyen arıza)</v>
      </c>
      <c r="P201" s="33" t="str">
        <f>[4]Sayfa1!$Q197</f>
        <v>N.A(Yaralanma yok)</v>
      </c>
      <c r="Q201" s="65" t="str" cm="1">
        <f t="array" ref="Q201">_xlfn.IFS([4]Sayfa1!$R197="Bozankaya","Bozankaya",[4]Sayfa1!$R197="İşletme","Customer",[4]Sayfa1!$R197="Tedarikçi","Equipment Supplier")</f>
        <v>Bozankaya</v>
      </c>
      <c r="R201" s="66">
        <f>[4]Sayfa1!$M197</f>
        <v>0</v>
      </c>
      <c r="S201" s="36" t="str">
        <f>[4]Sayfa1!$S197</f>
        <v>Üretim</v>
      </c>
      <c r="T201" s="67">
        <f>[4]Sayfa1!$Z197</f>
        <v>0</v>
      </c>
      <c r="U201" s="68">
        <f>[4]Sayfa1!$AN197</f>
        <v>2</v>
      </c>
      <c r="V201" s="60">
        <f>[4]Sayfa1!$T197</f>
        <v>45439</v>
      </c>
      <c r="W201" s="61">
        <f>[4]Sayfa1!$U197</f>
        <v>45439.541666666664</v>
      </c>
      <c r="X201" s="69">
        <f t="shared" si="53"/>
        <v>45439.541666666664</v>
      </c>
      <c r="Y201" s="70">
        <f>[4]Sayfa1!$AQ197</f>
        <v>45439</v>
      </c>
      <c r="Z201" s="61">
        <f>[4]Sayfa1!$AR197</f>
        <v>45439.625</v>
      </c>
      <c r="AA201" s="69">
        <f t="shared" si="54"/>
        <v>45439.625</v>
      </c>
      <c r="AB201" s="71">
        <f t="shared" si="55"/>
        <v>2.0000000000582077</v>
      </c>
      <c r="AC201" s="60">
        <f t="shared" si="56"/>
        <v>45439</v>
      </c>
      <c r="AD201" s="61">
        <f t="shared" si="57"/>
        <v>45439.625</v>
      </c>
      <c r="AE201" s="69">
        <f t="shared" si="58"/>
        <v>45439.625</v>
      </c>
      <c r="AF201" s="36" t="str">
        <f>[4]Sayfa1!$AP197</f>
        <v>(II) Birden fazla karşılaşılan arıza</v>
      </c>
      <c r="AG201" s="33" t="str">
        <f>IF([4]Sayfa1!$J197="C-Uyarı, sürüş devamlılığı","Bu Arıza Aracın Servise Verilmesine Engel Değil","Bu Arıza Aracın Servise Verilmesine Engel")</f>
        <v>Bu Arıza Aracın Servise Verilmesine Engel</v>
      </c>
      <c r="AH201" s="41" t="str">
        <f>[4]Sayfa1!$AB197</f>
        <v>Tamir edilecek</v>
      </c>
      <c r="AI201" s="60"/>
      <c r="AJ201" s="60"/>
      <c r="AK201" s="69">
        <f t="shared" si="59"/>
        <v>0</v>
      </c>
      <c r="AL201" s="71">
        <f t="shared" si="60"/>
        <v>120.00000000349246</v>
      </c>
      <c r="AM201" s="71">
        <f t="shared" si="61"/>
        <v>120.00000000349246</v>
      </c>
      <c r="AN201" s="72">
        <f t="shared" si="62"/>
        <v>0</v>
      </c>
      <c r="AO201" s="73" t="str">
        <f>[4]Sayfa1!$X197</f>
        <v>B110-7029</v>
      </c>
      <c r="AP201" s="72">
        <f>[4]Sayfa1!$Y197</f>
        <v>1</v>
      </c>
      <c r="AQ201" s="184" t="str">
        <f>[4]Sayfa1!$V197</f>
        <v>Voith Turbo Power Transmission CZ s</v>
      </c>
      <c r="AR201" s="74" t="str">
        <f>[4]Sayfa1!$W197</f>
        <v>DISLI KUTUSU KOMPLESI</v>
      </c>
      <c r="AS201" s="74">
        <f>[4]Sayfa1!$AD197</f>
        <v>0</v>
      </c>
      <c r="AT201" s="60" t="str">
        <f>[4]Sayfa1!$AE197</f>
        <v/>
      </c>
      <c r="AU201" s="60" t="str">
        <f>[4]Sayfa1!$AH197</f>
        <v/>
      </c>
      <c r="AV201" s="75">
        <v>196</v>
      </c>
      <c r="AW201" s="76">
        <f t="shared" si="63"/>
        <v>44.000000001280569</v>
      </c>
      <c r="AX201" s="77" t="str">
        <f>[4]Sayfa1!$A197</f>
        <v>1229afa5</v>
      </c>
      <c r="AY201" s="78" t="s">
        <v>114</v>
      </c>
      <c r="AZ201" s="79" t="e" vm="1">
        <f t="shared" si="64"/>
        <v>#VALUE!</v>
      </c>
    </row>
    <row r="202" spans="1:52" ht="148.15">
      <c r="A202" s="59" t="s">
        <v>257</v>
      </c>
      <c r="B202" s="59" t="str">
        <f>[4]Sayfa1!$G198</f>
        <v>3880(9)</v>
      </c>
      <c r="C202" s="184" t="str">
        <f>[4]Sayfa1!$H198</f>
        <v>RA</v>
      </c>
      <c r="D202" s="24">
        <f>[4]Sayfa1!$N198</f>
        <v>16600</v>
      </c>
      <c r="E202" s="24" t="str">
        <f>[4]Sayfa1!$B198</f>
        <v>BOZ-KAY5+6-FF-197</v>
      </c>
      <c r="F202" s="60">
        <f>[4]Sayfa1!$E198</f>
        <v>45435</v>
      </c>
      <c r="G202" s="61">
        <f>[4]Sayfa1!$F198</f>
        <v>45435.760416666664</v>
      </c>
      <c r="H202" s="59" t="str">
        <f>[4]Sayfa1!$I198</f>
        <v>Hat/Line</v>
      </c>
      <c r="I202" s="62" t="str">
        <f>IF([4]Sayfa1!$K198="SSH","Notified by Bozankaya","Notified by Customer")</f>
        <v>Notified by Customer</v>
      </c>
      <c r="J202" s="59" t="e">
        <f>VLOOKUP([4]Sayfa1!$AU198,#REF!,2,FALSE)</f>
        <v>#REF!</v>
      </c>
      <c r="K202" s="59">
        <f>[4]Sayfa1!$AC198</f>
        <v>0</v>
      </c>
      <c r="L202" s="63" t="str">
        <f t="shared" si="52"/>
        <v>KAY_5+149-BOZ-KAY5+6-FF-197</v>
      </c>
      <c r="M202" s="64" t="str">
        <f>[4]Sayfa1!$L198</f>
        <v>KLİMALAR ÇALIŞMIYOR YOLCULARDAN ŞİKAYET GELİYOR</v>
      </c>
      <c r="N202" s="33" t="str">
        <f>[4]Sayfa1!$J198</f>
        <v>A-Sürüşü engeller</v>
      </c>
      <c r="O202" s="33" t="str">
        <f>[4]Sayfa1!$P198</f>
        <v>B(Servisten çekmeye etki eden arızalar)</v>
      </c>
      <c r="P202" s="33" t="str">
        <f>[4]Sayfa1!$Q198</f>
        <v>N.A(Yaralanma yok)</v>
      </c>
      <c r="Q202" s="65" t="str" cm="1">
        <f t="array" ref="Q202">_xlfn.IFS([4]Sayfa1!$R198="Bozankaya","Bozankaya",[4]Sayfa1!$R198="İşletme","Customer",[4]Sayfa1!$R198="Tedarikçi","Equipment Supplier")</f>
        <v>Equipment Supplier</v>
      </c>
      <c r="R202" s="66" t="str">
        <f>[4]Sayfa1!$M198</f>
        <v>MASTERCARD RESETLENDİ ARIZA DEVAMLILIĞI GÖRÜLMEDİ</v>
      </c>
      <c r="S202" s="36" t="str">
        <f>[4]Sayfa1!$S198</f>
        <v>Eltesan</v>
      </c>
      <c r="T202" s="67">
        <f>[4]Sayfa1!$Z198</f>
        <v>0</v>
      </c>
      <c r="U202" s="68">
        <f>[4]Sayfa1!$AN198</f>
        <v>1</v>
      </c>
      <c r="V202" s="60">
        <f>[4]Sayfa1!$T198</f>
        <v>45436</v>
      </c>
      <c r="W202" s="61">
        <f>[4]Sayfa1!$U198</f>
        <v>45436.333333333336</v>
      </c>
      <c r="X202" s="69">
        <f t="shared" si="53"/>
        <v>45436.333333333336</v>
      </c>
      <c r="Y202" s="70">
        <f>[4]Sayfa1!$AQ198</f>
        <v>45436</v>
      </c>
      <c r="Z202" s="61">
        <f>[4]Sayfa1!$AR198</f>
        <v>45436.458333333336</v>
      </c>
      <c r="AA202" s="69">
        <f t="shared" si="54"/>
        <v>45436.458333333336</v>
      </c>
      <c r="AB202" s="71">
        <f t="shared" si="55"/>
        <v>3</v>
      </c>
      <c r="AC202" s="60">
        <f t="shared" si="56"/>
        <v>45436</v>
      </c>
      <c r="AD202" s="61">
        <f t="shared" si="57"/>
        <v>45436.458333333336</v>
      </c>
      <c r="AE202" s="69">
        <f t="shared" si="58"/>
        <v>45436.458333333336</v>
      </c>
      <c r="AF202" s="36" t="str">
        <f>[4]Sayfa1!$AP198</f>
        <v>(II) Birden fazla karşılaşılan arıza</v>
      </c>
      <c r="AG202" s="33" t="str">
        <f>IF([4]Sayfa1!$J198="C-Uyarı, sürüş devamlılığı","Bu Arıza Aracın Servise Verilmesine Engel Değil","Bu Arıza Aracın Servise Verilmesine Engel")</f>
        <v>Bu Arıza Aracın Servise Verilmesine Engel</v>
      </c>
      <c r="AH202" s="41" t="str">
        <f>[4]Sayfa1!$AB198</f>
        <v>Tamir edilecek</v>
      </c>
      <c r="AI202" s="60"/>
      <c r="AJ202" s="60"/>
      <c r="AK202" s="69">
        <f t="shared" si="59"/>
        <v>0</v>
      </c>
      <c r="AL202" s="71">
        <f t="shared" si="60"/>
        <v>180</v>
      </c>
      <c r="AM202" s="71">
        <f t="shared" si="61"/>
        <v>180</v>
      </c>
      <c r="AN202" s="72">
        <f t="shared" si="62"/>
        <v>0</v>
      </c>
      <c r="AO202" s="73" t="str">
        <f>[4]Sayfa1!$X198</f>
        <v>H500-7240</v>
      </c>
      <c r="AP202" s="72">
        <f>[4]Sayfa1!$Y198</f>
        <v>1</v>
      </c>
      <c r="AQ202" s="184" t="str">
        <f>[4]Sayfa1!$V198</f>
        <v>ELTESAN ELEKTRO MEKANİK SOĞUTMA SAN</v>
      </c>
      <c r="AR202" s="74" t="str">
        <f>[4]Sayfa1!$W198</f>
        <v>KLIMA UNITESİ /Eltesan/Hispacold 41,5 kW</v>
      </c>
      <c r="AS202" s="74">
        <f>[4]Sayfa1!$AD198</f>
        <v>0</v>
      </c>
      <c r="AT202" s="60" t="str">
        <f>[4]Sayfa1!$AE198</f>
        <v/>
      </c>
      <c r="AU202" s="60" t="str">
        <f>[4]Sayfa1!$AH198</f>
        <v/>
      </c>
      <c r="AV202" s="75">
        <v>197</v>
      </c>
      <c r="AW202" s="76">
        <f t="shared" si="63"/>
        <v>33</v>
      </c>
      <c r="AX202" s="77" t="str">
        <f>[4]Sayfa1!$A198</f>
        <v>e68d1637</v>
      </c>
      <c r="AY202" s="78" t="s">
        <v>114</v>
      </c>
      <c r="AZ202" s="79" t="e" vm="1">
        <f t="shared" si="64"/>
        <v>#VALUE!</v>
      </c>
    </row>
    <row r="203" spans="1:52" ht="148.15">
      <c r="A203" s="59" t="s">
        <v>258</v>
      </c>
      <c r="B203" s="59" t="str">
        <f>[4]Sayfa1!$G199</f>
        <v>3877(6)</v>
      </c>
      <c r="C203" s="184" t="str">
        <f>[4]Sayfa1!$H199</f>
        <v>MA</v>
      </c>
      <c r="D203" s="24">
        <f>[4]Sayfa1!$N199</f>
        <v>45000</v>
      </c>
      <c r="E203" s="24" t="str">
        <f>[4]Sayfa1!$B199</f>
        <v>BOZ-KAY5+6-FF-198</v>
      </c>
      <c r="F203" s="60">
        <f>[4]Sayfa1!$E199</f>
        <v>45436</v>
      </c>
      <c r="G203" s="61">
        <f>[4]Sayfa1!$F199</f>
        <v>45436.359027777777</v>
      </c>
      <c r="H203" s="59" t="str">
        <f>[4]Sayfa1!$I199</f>
        <v>Hat/Line</v>
      </c>
      <c r="I203" s="62" t="str">
        <f>IF([4]Sayfa1!$K199="SSH","Notified by Bozankaya","Notified by Customer")</f>
        <v>Notified by Customer</v>
      </c>
      <c r="J203" s="59" t="e">
        <f>VLOOKUP([4]Sayfa1!$AU199,#REF!,2,FALSE)</f>
        <v>#REF!</v>
      </c>
      <c r="K203" s="59">
        <f>[4]Sayfa1!$AC199</f>
        <v>0</v>
      </c>
      <c r="L203" s="63" t="str">
        <f t="shared" si="52"/>
        <v>KAY_5+150-BOZ-KAY5+6-FF-198</v>
      </c>
      <c r="M203" s="64" t="str">
        <f>[4]Sayfa1!$L199</f>
        <v>CA KABİN SİLECEK ÇALIŞMIYOR</v>
      </c>
      <c r="N203" s="33" t="str">
        <f>[4]Sayfa1!$J199</f>
        <v>A-Sürüşü engeller</v>
      </c>
      <c r="O203" s="33" t="str">
        <f>[4]Sayfa1!$P199</f>
        <v>B(Servisten çekmeye etki eden arızalar)</v>
      </c>
      <c r="P203" s="33" t="str">
        <f>[4]Sayfa1!$Q199</f>
        <v>N.A(Yaralanma yok)</v>
      </c>
      <c r="Q203" s="65" t="str" cm="1">
        <f t="array" ref="Q203">_xlfn.IFS([4]Sayfa1!$R199="Bozankaya","Bozankaya",[4]Sayfa1!$R199="İşletme","Customer",[4]Sayfa1!$R199="Tedarikçi","Equipment Supplier")</f>
        <v>Equipment Supplier</v>
      </c>
      <c r="R203" s="66" t="str">
        <f>[4]Sayfa1!$M199</f>
        <v>SİLECEK SOMUNU GEVŞEKTİ SIKILDI SORUN GİDERİLDİ.</v>
      </c>
      <c r="S203" s="36" t="str">
        <f>[4]Sayfa1!$S199</f>
        <v>Bozankaya</v>
      </c>
      <c r="T203" s="67">
        <f>[4]Sayfa1!$Z199</f>
        <v>0</v>
      </c>
      <c r="U203" s="68">
        <f>[4]Sayfa1!$AN199</f>
        <v>1</v>
      </c>
      <c r="V203" s="60">
        <f>[4]Sayfa1!$T199</f>
        <v>45436</v>
      </c>
      <c r="W203" s="61">
        <f>[4]Sayfa1!$U199</f>
        <v>45436.416666666664</v>
      </c>
      <c r="X203" s="69">
        <f t="shared" si="53"/>
        <v>45436.416666666664</v>
      </c>
      <c r="Y203" s="70">
        <f>[4]Sayfa1!$AQ199</f>
        <v>45436</v>
      </c>
      <c r="Z203" s="61">
        <f>[4]Sayfa1!$AR199</f>
        <v>45436.458333333336</v>
      </c>
      <c r="AA203" s="69">
        <f t="shared" si="54"/>
        <v>45436.458333333336</v>
      </c>
      <c r="AB203" s="71">
        <f t="shared" si="55"/>
        <v>0</v>
      </c>
      <c r="AC203" s="60">
        <f t="shared" si="56"/>
        <v>45436</v>
      </c>
      <c r="AD203" s="61">
        <f t="shared" si="57"/>
        <v>45436.458333333336</v>
      </c>
      <c r="AE203" s="69">
        <f t="shared" si="58"/>
        <v>45436.458333333336</v>
      </c>
      <c r="AF203" s="36" t="str">
        <f>[4]Sayfa1!$AP199</f>
        <v>(II) Birden fazla karşılaşılan arıza</v>
      </c>
      <c r="AG203" s="33" t="str">
        <f>IF([4]Sayfa1!$J199="C-Uyarı, sürüş devamlılığı","Bu Arıza Aracın Servise Verilmesine Engel Değil","Bu Arıza Aracın Servise Verilmesine Engel")</f>
        <v>Bu Arıza Aracın Servise Verilmesine Engel</v>
      </c>
      <c r="AH203" s="41" t="str">
        <f>[4]Sayfa1!$AB199</f>
        <v>Tamir edilecek</v>
      </c>
      <c r="AI203" s="60"/>
      <c r="AJ203" s="60"/>
      <c r="AK203" s="69">
        <f t="shared" si="59"/>
        <v>0</v>
      </c>
      <c r="AL203" s="71">
        <f t="shared" si="60"/>
        <v>0</v>
      </c>
      <c r="AM203" s="71">
        <f t="shared" si="61"/>
        <v>0</v>
      </c>
      <c r="AN203" s="72">
        <f t="shared" si="62"/>
        <v>0</v>
      </c>
      <c r="AO203" s="73" t="str">
        <f>[4]Sayfa1!$X199</f>
        <v>M100-7069</v>
      </c>
      <c r="AP203" s="72">
        <f>[4]Sayfa1!$Y199</f>
        <v>1</v>
      </c>
      <c r="AQ203" s="184" t="str">
        <f>[4]Sayfa1!$V199</f>
        <v>DENİZLER OTOMOTİV SAN. VE TİC.LTD.Ş</v>
      </c>
      <c r="AR203" s="74" t="str">
        <f>[4]Sayfa1!$W199</f>
        <v>SILECEK KOL KOMPLESI ANA KOL+YARDIMCI KO</v>
      </c>
      <c r="AS203" s="74">
        <f>[4]Sayfa1!$AD199</f>
        <v>0</v>
      </c>
      <c r="AT203" s="60" t="str">
        <f>[4]Sayfa1!$AE199</f>
        <v/>
      </c>
      <c r="AU203" s="60" t="str">
        <f>[4]Sayfa1!$AH199</f>
        <v/>
      </c>
      <c r="AV203" s="75">
        <v>198</v>
      </c>
      <c r="AW203" s="76">
        <f t="shared" si="63"/>
        <v>0</v>
      </c>
      <c r="AX203" s="77" t="str">
        <f>[4]Sayfa1!$A199</f>
        <v>c74f30ba</v>
      </c>
      <c r="AY203" s="78" t="s">
        <v>114</v>
      </c>
      <c r="AZ203" s="79" t="e" vm="1">
        <f t="shared" si="64"/>
        <v>#VALUE!</v>
      </c>
    </row>
    <row r="204" spans="1:52" ht="303.60000000000002">
      <c r="A204" s="59" t="s">
        <v>259</v>
      </c>
      <c r="B204" s="59" t="str">
        <f>[4]Sayfa1!$G200</f>
        <v>3880(9)</v>
      </c>
      <c r="C204" s="184" t="str">
        <f>[4]Sayfa1!$H200</f>
        <v>MA</v>
      </c>
      <c r="D204" s="24">
        <f>[4]Sayfa1!$N200</f>
        <v>17000</v>
      </c>
      <c r="E204" s="24" t="str">
        <f>[4]Sayfa1!$B200</f>
        <v>BOZ-KAY5+6-FF-199</v>
      </c>
      <c r="F204" s="60">
        <f>[4]Sayfa1!$E200</f>
        <v>45436</v>
      </c>
      <c r="G204" s="61">
        <f>[4]Sayfa1!$F200</f>
        <v>45436.768055555556</v>
      </c>
      <c r="H204" s="59" t="str">
        <f>[4]Sayfa1!$I200</f>
        <v>Depo/Depot</v>
      </c>
      <c r="I204" s="62" t="str">
        <f>IF([4]Sayfa1!$K200="SSH","Notified by Bozankaya","Notified by Customer")</f>
        <v>Notified by Customer</v>
      </c>
      <c r="J204" s="59" t="e">
        <f>VLOOKUP([4]Sayfa1!$AU200,#REF!,2,FALSE)</f>
        <v>#REF!</v>
      </c>
      <c r="K204" s="59">
        <f>[4]Sayfa1!$AC200</f>
        <v>0</v>
      </c>
      <c r="L204" s="63" t="str">
        <f t="shared" si="52"/>
        <v>KAY_5+151-BOZ-KAY5+6-FF-199</v>
      </c>
      <c r="M204" s="64" t="str">
        <f>[4]Sayfa1!$L200</f>
        <v>0302024905 nolu yolcu şikayeti incelenmek istendiğinde kabin kamera kaydına ulaşılmış fakat kayıtta ses olmadığı tespit edilmiş ve durum tespiti yapılamamıştır</v>
      </c>
      <c r="N204" s="33" t="str">
        <f>[4]Sayfa1!$J200</f>
        <v>C-Uyarı, sürüş devamlılığı</v>
      </c>
      <c r="O204" s="33" t="str">
        <f>[4]Sayfa1!$P200</f>
        <v>C(Sisteme etki etmeyen arıza)</v>
      </c>
      <c r="P204" s="33" t="str">
        <f>[4]Sayfa1!$Q200</f>
        <v>N.A(Yaralanma yok)</v>
      </c>
      <c r="Q204" s="65" t="str" cm="1">
        <f t="array" ref="Q204">_xlfn.IFS([4]Sayfa1!$R200="Bozankaya","Bozankaya",[4]Sayfa1!$R200="İşletme","Customer",[4]Sayfa1!$R200="Tedarikçi","Equipment Supplier")</f>
        <v>Equipment Supplier</v>
      </c>
      <c r="R204" s="66" t="str">
        <f>[4]Sayfa1!$M200</f>
        <v>kamera ses giriş seviyesi yükseltildi</v>
      </c>
      <c r="S204" s="36" t="str">
        <f>[4]Sayfa1!$S200</f>
        <v>NSC</v>
      </c>
      <c r="T204" s="67">
        <f>[4]Sayfa1!$Z200</f>
        <v>0</v>
      </c>
      <c r="U204" s="68">
        <f>[4]Sayfa1!$AN200</f>
        <v>1</v>
      </c>
      <c r="V204" s="60">
        <f>[4]Sayfa1!$T200</f>
        <v>45528</v>
      </c>
      <c r="W204" s="61">
        <f>[4]Sayfa1!$U200</f>
        <v>45528.413587962961</v>
      </c>
      <c r="X204" s="69">
        <f t="shared" si="53"/>
        <v>45528.413587962961</v>
      </c>
      <c r="Y204" s="70">
        <f>[4]Sayfa1!$AQ200</f>
        <v>45528</v>
      </c>
      <c r="Z204" s="61">
        <f>[4]Sayfa1!$AR200</f>
        <v>45528.458333333336</v>
      </c>
      <c r="AA204" s="69">
        <f t="shared" si="54"/>
        <v>45528.458333333336</v>
      </c>
      <c r="AB204" s="71">
        <f t="shared" si="55"/>
        <v>1.0738888889900409</v>
      </c>
      <c r="AC204" s="60">
        <f t="shared" si="56"/>
        <v>45528</v>
      </c>
      <c r="AD204" s="61">
        <f t="shared" si="57"/>
        <v>45528.458333333336</v>
      </c>
      <c r="AE204" s="69">
        <f t="shared" si="58"/>
        <v>45528.458333333336</v>
      </c>
      <c r="AF204" s="36" t="str">
        <f>[4]Sayfa1!$AP200</f>
        <v>(I) İlk defa karşılaşılan arıza</v>
      </c>
      <c r="AG204" s="33" t="str">
        <f>IF([4]Sayfa1!$J200="C-Uyarı, sürüş devamlılığı","Bu Arıza Aracın Servise Verilmesine Engel Değil","Bu Arıza Aracın Servise Verilmesine Engel")</f>
        <v>Bu Arıza Aracın Servise Verilmesine Engel Değil</v>
      </c>
      <c r="AH204" s="41" t="str">
        <f>[4]Sayfa1!$AB200</f>
        <v>Arıza çözülecek</v>
      </c>
      <c r="AI204" s="60"/>
      <c r="AJ204" s="60"/>
      <c r="AK204" s="69">
        <f t="shared" si="59"/>
        <v>0</v>
      </c>
      <c r="AL204" s="71">
        <f t="shared" si="60"/>
        <v>64.433333339402452</v>
      </c>
      <c r="AM204" s="71">
        <f t="shared" si="61"/>
        <v>64.433333339402452</v>
      </c>
      <c r="AN204" s="72">
        <f t="shared" si="62"/>
        <v>0</v>
      </c>
      <c r="AO204" s="73" t="str">
        <f>[4]Sayfa1!$X200</f>
        <v>E810-7136</v>
      </c>
      <c r="AP204" s="72">
        <f>[4]Sayfa1!$Y200</f>
        <v>1</v>
      </c>
      <c r="AQ204" s="184" t="str">
        <f>[4]Sayfa1!$V200</f>
        <v>NSC TEKNOLOJİ ve İNŞAAT LTD.ŞTİ.</v>
      </c>
      <c r="AR204" s="74" t="str">
        <f>[4]Sayfa1!$W200</f>
        <v>KAMERA</v>
      </c>
      <c r="AS204" s="74">
        <f>[4]Sayfa1!$AD200</f>
        <v>0</v>
      </c>
      <c r="AT204" s="60" t="str">
        <f>[4]Sayfa1!$AE200</f>
        <v/>
      </c>
      <c r="AU204" s="60" t="str">
        <f>[4]Sayfa1!$AH200</f>
        <v/>
      </c>
      <c r="AV204" s="75">
        <v>199</v>
      </c>
      <c r="AW204" s="76">
        <f t="shared" si="63"/>
        <v>11.81277777889045</v>
      </c>
      <c r="AX204" s="77" t="str">
        <f>[4]Sayfa1!$A200</f>
        <v>533500cf</v>
      </c>
      <c r="AY204" s="78" t="s">
        <v>114</v>
      </c>
      <c r="AZ204" s="79" t="e" vm="1">
        <f t="shared" si="64"/>
        <v>#VALUE!</v>
      </c>
    </row>
    <row r="205" spans="1:52" ht="226.9">
      <c r="A205" s="59" t="s">
        <v>260</v>
      </c>
      <c r="B205" s="59" t="str">
        <f>[4]Sayfa1!$G201</f>
        <v>3872(1)</v>
      </c>
      <c r="C205" s="184" t="str">
        <f>[4]Sayfa1!$H201</f>
        <v>MA</v>
      </c>
      <c r="D205" s="24">
        <f>[4]Sayfa1!$N201</f>
        <v>62000</v>
      </c>
      <c r="E205" s="24" t="str">
        <f>[4]Sayfa1!$B201</f>
        <v>BOZ-KAY5+6-FF-200</v>
      </c>
      <c r="F205" s="60">
        <f>[4]Sayfa1!$E201</f>
        <v>45438</v>
      </c>
      <c r="G205" s="61">
        <f>[4]Sayfa1!$F201</f>
        <v>45438.043749999997</v>
      </c>
      <c r="H205" s="59" t="str">
        <f>[4]Sayfa1!$I201</f>
        <v>Hat/Line</v>
      </c>
      <c r="I205" s="62" t="str">
        <f>IF([4]Sayfa1!$K201="SSH","Notified by Bozankaya","Notified by Customer")</f>
        <v>Notified by Customer</v>
      </c>
      <c r="J205" s="59" t="e">
        <f>VLOOKUP([4]Sayfa1!$AU201,#REF!,2,FALSE)</f>
        <v>#REF!</v>
      </c>
      <c r="K205" s="59">
        <f>[4]Sayfa1!$AC201</f>
        <v>0</v>
      </c>
      <c r="L205" s="63" t="str">
        <f t="shared" si="52"/>
        <v>KAY_5+152-BOZ-KAY5+6-FF-200</v>
      </c>
      <c r="M205" s="64" t="str">
        <f>[4]Sayfa1!$L201</f>
        <v>KABİN KLİMASI ISITMA YAPMIYOR</v>
      </c>
      <c r="N205" s="33" t="str">
        <f>[4]Sayfa1!$J201</f>
        <v>C-Uyarı, sürüş devamlılığı</v>
      </c>
      <c r="O205" s="33" t="str">
        <f>[4]Sayfa1!$P201</f>
        <v>B(Servisten çekmeye etki eden arızalar)</v>
      </c>
      <c r="P205" s="33" t="str">
        <f>[4]Sayfa1!$Q201</f>
        <v>N.A(Yaralanma yok)</v>
      </c>
      <c r="Q205" s="65" t="str" cm="1">
        <f t="array" ref="Q205">_xlfn.IFS([4]Sayfa1!$R201="Bozankaya","Bozankaya",[4]Sayfa1!$R201="İşletme","Customer",[4]Sayfa1!$R201="Tedarikçi","Equipment Supplier")</f>
        <v>Equipment Supplier</v>
      </c>
      <c r="R205" s="66" t="str">
        <f>[4]Sayfa1!$M201</f>
        <v>KLİMA RESETLENDİ SORUN GİDERİLDİ</v>
      </c>
      <c r="S205" s="36" t="str">
        <f>[4]Sayfa1!$S201</f>
        <v>Eltesan</v>
      </c>
      <c r="T205" s="67">
        <f>[4]Sayfa1!$Z201</f>
        <v>0</v>
      </c>
      <c r="U205" s="68">
        <f>[4]Sayfa1!$AN201</f>
        <v>1</v>
      </c>
      <c r="V205" s="60">
        <f>[4]Sayfa1!$T201</f>
        <v>45438</v>
      </c>
      <c r="W205" s="61">
        <f>[4]Sayfa1!$U201</f>
        <v>45438.043749999997</v>
      </c>
      <c r="X205" s="69">
        <f t="shared" si="53"/>
        <v>45438.043749999997</v>
      </c>
      <c r="Y205" s="70">
        <f>[4]Sayfa1!$AQ201</f>
        <v>45438</v>
      </c>
      <c r="Z205" s="61">
        <f>[4]Sayfa1!$AR201</f>
        <v>45438.416666666664</v>
      </c>
      <c r="AA205" s="69">
        <f t="shared" si="54"/>
        <v>45438.416666666664</v>
      </c>
      <c r="AB205" s="71">
        <f t="shared" si="55"/>
        <v>0</v>
      </c>
      <c r="AC205" s="60">
        <f t="shared" si="56"/>
        <v>45438</v>
      </c>
      <c r="AD205" s="61">
        <f t="shared" si="57"/>
        <v>45438.416666666664</v>
      </c>
      <c r="AE205" s="69">
        <f t="shared" si="58"/>
        <v>45438.416666666664</v>
      </c>
      <c r="AF205" s="36" t="str">
        <f>[4]Sayfa1!$AP201</f>
        <v>(III) Birden fazla aynı araçta karşılaşılan arıza</v>
      </c>
      <c r="AG205" s="33" t="str">
        <f>IF([4]Sayfa1!$J201="C-Uyarı, sürüş devamlılığı","Bu Arıza Aracın Servise Verilmesine Engel Değil","Bu Arıza Aracın Servise Verilmesine Engel")</f>
        <v>Bu Arıza Aracın Servise Verilmesine Engel Değil</v>
      </c>
      <c r="AH205" s="41" t="str">
        <f>[4]Sayfa1!$AB201</f>
        <v>Tamir edilecek</v>
      </c>
      <c r="AI205" s="60"/>
      <c r="AJ205" s="60"/>
      <c r="AK205" s="69">
        <f t="shared" si="59"/>
        <v>0</v>
      </c>
      <c r="AL205" s="71">
        <f t="shared" si="60"/>
        <v>0</v>
      </c>
      <c r="AM205" s="71">
        <f t="shared" si="61"/>
        <v>0</v>
      </c>
      <c r="AN205" s="72">
        <f t="shared" si="62"/>
        <v>0</v>
      </c>
      <c r="AO205" s="73" t="str">
        <f>[4]Sayfa1!$X201</f>
        <v>H500-7240</v>
      </c>
      <c r="AP205" s="72">
        <f>[4]Sayfa1!$Y201</f>
        <v>1</v>
      </c>
      <c r="AQ205" s="184" t="str">
        <f>[4]Sayfa1!$V201</f>
        <v>ELTESAN ELEKTRO MEKANİK SOĞUTMA SAN</v>
      </c>
      <c r="AR205" s="74" t="str">
        <f>[4]Sayfa1!$W201</f>
        <v>KLIMA UNITESİ /Eltesan/Hispacold 41,5 kW</v>
      </c>
      <c r="AS205" s="74">
        <f>[4]Sayfa1!$AD201</f>
        <v>0</v>
      </c>
      <c r="AT205" s="60" t="str">
        <f>[4]Sayfa1!$AE201</f>
        <v/>
      </c>
      <c r="AU205" s="60" t="str">
        <f>[4]Sayfa1!$AH201</f>
        <v/>
      </c>
      <c r="AV205" s="75">
        <v>200</v>
      </c>
      <c r="AW205" s="76">
        <f t="shared" si="63"/>
        <v>0</v>
      </c>
      <c r="AX205" s="77" t="str">
        <f>[4]Sayfa1!$A201</f>
        <v>cd3591d8</v>
      </c>
      <c r="AY205" s="78" t="s">
        <v>114</v>
      </c>
      <c r="AZ205" s="79" t="e" vm="1">
        <f t="shared" si="64"/>
        <v>#VALUE!</v>
      </c>
    </row>
    <row r="206" spans="1:52" ht="186.6">
      <c r="A206" s="59" t="s">
        <v>261</v>
      </c>
      <c r="B206" s="59" t="str">
        <f>[4]Sayfa1!$G202</f>
        <v>3880(9)</v>
      </c>
      <c r="C206" s="184" t="str">
        <f>[4]Sayfa1!$H202</f>
        <v>MA</v>
      </c>
      <c r="D206" s="24">
        <f>[4]Sayfa1!$N202</f>
        <v>18028</v>
      </c>
      <c r="E206" s="24" t="str">
        <f>[4]Sayfa1!$B202</f>
        <v>BOZ-KAY5+6-FF-201</v>
      </c>
      <c r="F206" s="60">
        <f>[4]Sayfa1!$E202</f>
        <v>45439</v>
      </c>
      <c r="G206" s="61">
        <f>[4]Sayfa1!$F202</f>
        <v>45439.634027777778</v>
      </c>
      <c r="H206" s="59" t="str">
        <f>[4]Sayfa1!$I202</f>
        <v>Hat/Line</v>
      </c>
      <c r="I206" s="62" t="str">
        <f>IF([4]Sayfa1!$K202="SSH","Notified by Bozankaya","Notified by Customer")</f>
        <v>Notified by Customer</v>
      </c>
      <c r="J206" s="59" t="e">
        <f>VLOOKUP([4]Sayfa1!$AU202,#REF!,2,FALSE)</f>
        <v>#REF!</v>
      </c>
      <c r="K206" s="59">
        <f>[4]Sayfa1!$AC202</f>
        <v>0</v>
      </c>
      <c r="L206" s="63" t="str">
        <f t="shared" si="52"/>
        <v>KAY_5+153-BOZ-KAY5+6-FF-201</v>
      </c>
      <c r="M206" s="64" t="str">
        <f>[4]Sayfa1!$L202</f>
        <v>BOJİ ENGELLEYİCİ KÜREK ÇIKMIŞ YERE SÜRTÜYOR</v>
      </c>
      <c r="N206" s="33" t="str">
        <f>[4]Sayfa1!$J202</f>
        <v>A-Sürüşü engeller</v>
      </c>
      <c r="O206" s="33" t="str">
        <f>[4]Sayfa1!$P202</f>
        <v>A(Hareket etmeyi engelleyen arıza)</v>
      </c>
      <c r="P206" s="33" t="str">
        <f>[4]Sayfa1!$Q202</f>
        <v>N.A(Yaralanma yok)</v>
      </c>
      <c r="Q206" s="65" t="str" cm="1">
        <f t="array" ref="Q206">_xlfn.IFS([4]Sayfa1!$R202="Bozankaya","Bozankaya",[4]Sayfa1!$R202="İşletme","Customer",[4]Sayfa1!$R202="Tedarikçi","Equipment Supplier")</f>
        <v>Bozankaya</v>
      </c>
      <c r="R206" s="66" t="str">
        <f>[4]Sayfa1!$M202</f>
        <v>CİVATALARI GEVŞEKTİ SIKILDI SORUN GİDERİLDİ</v>
      </c>
      <c r="S206" s="36" t="str">
        <f>[4]Sayfa1!$S202</f>
        <v>Üretim</v>
      </c>
      <c r="T206" s="67">
        <f>[4]Sayfa1!$Z202</f>
        <v>0</v>
      </c>
      <c r="U206" s="68">
        <f>[4]Sayfa1!$AN202</f>
        <v>1</v>
      </c>
      <c r="V206" s="60">
        <f>[4]Sayfa1!$T202</f>
        <v>45439</v>
      </c>
      <c r="W206" s="61">
        <f>[4]Sayfa1!$U202</f>
        <v>45439.666666666664</v>
      </c>
      <c r="X206" s="69">
        <f t="shared" si="53"/>
        <v>45439.666666666664</v>
      </c>
      <c r="Y206" s="70">
        <f>[4]Sayfa1!$AQ202</f>
        <v>45439</v>
      </c>
      <c r="Z206" s="61">
        <f>[4]Sayfa1!$AR202</f>
        <v>45439.729166666664</v>
      </c>
      <c r="AA206" s="69">
        <f t="shared" si="54"/>
        <v>45439.729166666664</v>
      </c>
      <c r="AB206" s="71">
        <f t="shared" si="55"/>
        <v>0</v>
      </c>
      <c r="AC206" s="60">
        <f t="shared" si="56"/>
        <v>45439</v>
      </c>
      <c r="AD206" s="61">
        <f t="shared" si="57"/>
        <v>45439.729166666664</v>
      </c>
      <c r="AE206" s="69">
        <f t="shared" si="58"/>
        <v>45439.729166666664</v>
      </c>
      <c r="AF206" s="36" t="str">
        <f>[4]Sayfa1!$AP202</f>
        <v>(I) İlk defa karşılaşılan arıza</v>
      </c>
      <c r="AG206" s="33" t="str">
        <f>IF([4]Sayfa1!$J202="C-Uyarı, sürüş devamlılığı","Bu Arıza Aracın Servise Verilmesine Engel Değil","Bu Arıza Aracın Servise Verilmesine Engel")</f>
        <v>Bu Arıza Aracın Servise Verilmesine Engel</v>
      </c>
      <c r="AH206" s="41" t="str">
        <f>[4]Sayfa1!$AB202</f>
        <v>Tamir edilecek</v>
      </c>
      <c r="AI206" s="60"/>
      <c r="AJ206" s="60"/>
      <c r="AK206" s="69">
        <f t="shared" si="59"/>
        <v>0</v>
      </c>
      <c r="AL206" s="71">
        <f t="shared" si="60"/>
        <v>0</v>
      </c>
      <c r="AM206" s="71">
        <f t="shared" si="61"/>
        <v>0</v>
      </c>
      <c r="AN206" s="72">
        <f t="shared" si="62"/>
        <v>0</v>
      </c>
      <c r="AO206" s="73" t="str">
        <f>[4]Sayfa1!$X202</f>
        <v>T130-7115</v>
      </c>
      <c r="AP206" s="72">
        <f>[4]Sayfa1!$Y202</f>
        <v>1</v>
      </c>
      <c r="AQ206" s="184" t="str">
        <f>[4]Sayfa1!$V202</f>
        <v>GK SAVUNMA MAKİNE SANAYİ TİC.LTD.ŞT</v>
      </c>
      <c r="AR206" s="74" t="str">
        <f>[4]Sayfa1!$W202</f>
        <v>BAGLANTI PLAKASI</v>
      </c>
      <c r="AS206" s="74">
        <f>[4]Sayfa1!$AD202</f>
        <v>0</v>
      </c>
      <c r="AT206" s="60" t="str">
        <f>[4]Sayfa1!$AE202</f>
        <v/>
      </c>
      <c r="AU206" s="60" t="str">
        <f>[4]Sayfa1!$AH202</f>
        <v/>
      </c>
      <c r="AV206" s="75">
        <v>201</v>
      </c>
      <c r="AW206" s="76">
        <f t="shared" si="63"/>
        <v>0</v>
      </c>
      <c r="AX206" s="77" t="str">
        <f>[4]Sayfa1!$A202</f>
        <v>076e0eda</v>
      </c>
      <c r="AY206" s="78" t="s">
        <v>114</v>
      </c>
      <c r="AZ206" s="79" t="e" vm="1">
        <f t="shared" si="64"/>
        <v>#VALUE!</v>
      </c>
    </row>
    <row r="207" spans="1:52" ht="186.6">
      <c r="A207" s="59" t="s">
        <v>262</v>
      </c>
      <c r="B207" s="59" t="str">
        <f>[4]Sayfa1!$G203</f>
        <v>3882(11)</v>
      </c>
      <c r="C207" s="184" t="str">
        <f>[4]Sayfa1!$H203</f>
        <v>MB</v>
      </c>
      <c r="D207" s="24">
        <f>[4]Sayfa1!$N203</f>
        <v>417</v>
      </c>
      <c r="E207" s="24" t="str">
        <f>[4]Sayfa1!$B203</f>
        <v>BOZ-KAY5+6-FF-202</v>
      </c>
      <c r="F207" s="60">
        <f>[4]Sayfa1!$E203</f>
        <v>45440</v>
      </c>
      <c r="G207" s="61">
        <f>[4]Sayfa1!$F203</f>
        <v>45440.065972222219</v>
      </c>
      <c r="H207" s="59" t="str">
        <f>[4]Sayfa1!$I203</f>
        <v>Hat/Line</v>
      </c>
      <c r="I207" s="62" t="str">
        <f>IF([4]Sayfa1!$K203="SSH","Notified by Bozankaya","Notified by Customer")</f>
        <v>Notified by Customer</v>
      </c>
      <c r="J207" s="59" t="e">
        <f>VLOOKUP([4]Sayfa1!$AU203,#REF!,2,FALSE)</f>
        <v>#REF!</v>
      </c>
      <c r="K207" s="59">
        <f>[4]Sayfa1!$AC203</f>
        <v>0</v>
      </c>
      <c r="L207" s="63" t="str">
        <f t="shared" si="52"/>
        <v>KAY_5+154-BOZ-KAY5+6-FF-202</v>
      </c>
      <c r="M207" s="64" t="str">
        <f>[4]Sayfa1!$L203</f>
        <v>CB KABİN SİLGEÇ ARIZALI</v>
      </c>
      <c r="N207" s="33" t="str">
        <f>[4]Sayfa1!$J203</f>
        <v>A-Sürüşü engeller</v>
      </c>
      <c r="O207" s="33" t="str">
        <f>[4]Sayfa1!$P203</f>
        <v>B(Servisten çekmeye etki eden arızalar)</v>
      </c>
      <c r="P207" s="33" t="str">
        <f>[4]Sayfa1!$Q203</f>
        <v>N.A(Yaralanma yok)</v>
      </c>
      <c r="Q207" s="65" t="str" cm="1">
        <f t="array" ref="Q207">_xlfn.IFS([4]Sayfa1!$R203="Bozankaya","Bozankaya",[4]Sayfa1!$R203="İşletme","Customer",[4]Sayfa1!$R203="Tedarikçi","Equipment Supplier")</f>
        <v>Equipment Supplier</v>
      </c>
      <c r="R207" s="66" t="str">
        <f>[4]Sayfa1!$M203</f>
        <v>silecek somunu sıkıldı.</v>
      </c>
      <c r="S207" s="36" t="str">
        <f>[4]Sayfa1!$S203</f>
        <v>Bozankaya</v>
      </c>
      <c r="T207" s="67">
        <f>[4]Sayfa1!$Z203</f>
        <v>0</v>
      </c>
      <c r="U207" s="68">
        <f>[4]Sayfa1!$AN203</f>
        <v>1</v>
      </c>
      <c r="V207" s="60">
        <f>[4]Sayfa1!$T203</f>
        <v>45440</v>
      </c>
      <c r="W207" s="61">
        <f>[4]Sayfa1!$U203</f>
        <v>45440.066666666666</v>
      </c>
      <c r="X207" s="69">
        <f t="shared" si="53"/>
        <v>45440.066666666666</v>
      </c>
      <c r="Y207" s="70">
        <f>[4]Sayfa1!$AQ203</f>
        <v>45440</v>
      </c>
      <c r="Z207" s="61">
        <f>[4]Sayfa1!$AR203</f>
        <v>45440.416666666664</v>
      </c>
      <c r="AA207" s="69">
        <f t="shared" si="54"/>
        <v>45440.416666666664</v>
      </c>
      <c r="AB207" s="71">
        <f t="shared" si="55"/>
        <v>0</v>
      </c>
      <c r="AC207" s="60">
        <f t="shared" si="56"/>
        <v>45440</v>
      </c>
      <c r="AD207" s="61">
        <f t="shared" si="57"/>
        <v>45440.416666666664</v>
      </c>
      <c r="AE207" s="69">
        <f t="shared" si="58"/>
        <v>45440.416666666664</v>
      </c>
      <c r="AF207" s="36" t="str">
        <f>[4]Sayfa1!$AP203</f>
        <v>(II) Birden fazla karşılaşılan arıza</v>
      </c>
      <c r="AG207" s="33" t="str">
        <f>IF([4]Sayfa1!$J203="C-Uyarı, sürüş devamlılığı","Bu Arıza Aracın Servise Verilmesine Engel Değil","Bu Arıza Aracın Servise Verilmesine Engel")</f>
        <v>Bu Arıza Aracın Servise Verilmesine Engel</v>
      </c>
      <c r="AH207" s="41" t="str">
        <f>[4]Sayfa1!$AB203</f>
        <v>Tamir edilecek</v>
      </c>
      <c r="AI207" s="60"/>
      <c r="AJ207" s="60"/>
      <c r="AK207" s="69">
        <f t="shared" si="59"/>
        <v>0</v>
      </c>
      <c r="AL207" s="71">
        <f t="shared" si="60"/>
        <v>0</v>
      </c>
      <c r="AM207" s="71">
        <f t="shared" si="61"/>
        <v>0</v>
      </c>
      <c r="AN207" s="72">
        <f t="shared" si="62"/>
        <v>0</v>
      </c>
      <c r="AO207" s="73" t="str">
        <f>[4]Sayfa1!$X203</f>
        <v>M100-7069</v>
      </c>
      <c r="AP207" s="72">
        <f>[4]Sayfa1!$Y203</f>
        <v>1</v>
      </c>
      <c r="AQ207" s="184" t="str">
        <f>[4]Sayfa1!$V203</f>
        <v>DENİZLER OTOMOTİV SAN. VE TİC.LTD.Ş</v>
      </c>
      <c r="AR207" s="74" t="str">
        <f>[4]Sayfa1!$W203</f>
        <v>SILECEK KOL KOMPLESI ANA KOL+YARDIMCI KO</v>
      </c>
      <c r="AS207" s="74">
        <f>[4]Sayfa1!$AD203</f>
        <v>0</v>
      </c>
      <c r="AT207" s="60" t="str">
        <f>[4]Sayfa1!$AE203</f>
        <v/>
      </c>
      <c r="AU207" s="60" t="str">
        <f>[4]Sayfa1!$AH203</f>
        <v/>
      </c>
      <c r="AV207" s="75">
        <v>202</v>
      </c>
      <c r="AW207" s="76">
        <f t="shared" si="63"/>
        <v>0</v>
      </c>
      <c r="AX207" s="77" t="str">
        <f>[4]Sayfa1!$A203</f>
        <v>2ddf5322</v>
      </c>
      <c r="AY207" s="78" t="s">
        <v>114</v>
      </c>
      <c r="AZ207" s="79" t="e" vm="1">
        <f t="shared" si="64"/>
        <v>#VALUE!</v>
      </c>
    </row>
    <row r="208" spans="1:52" ht="262.14999999999998">
      <c r="A208" s="59" t="s">
        <v>263</v>
      </c>
      <c r="B208" s="59" t="str">
        <f>[4]Sayfa1!$G204</f>
        <v>3881(10)</v>
      </c>
      <c r="C208" s="184" t="str">
        <f>[4]Sayfa1!$H204</f>
        <v>RB</v>
      </c>
      <c r="D208" s="24">
        <f>[4]Sayfa1!$N204</f>
        <v>16149</v>
      </c>
      <c r="E208" s="24" t="str">
        <f>[4]Sayfa1!$B204</f>
        <v>BOZ-KAY5+6-FF-203</v>
      </c>
      <c r="F208" s="60">
        <f>[4]Sayfa1!$E204</f>
        <v>45453</v>
      </c>
      <c r="G208" s="61">
        <f>[4]Sayfa1!$F204</f>
        <v>45453.436805555553</v>
      </c>
      <c r="H208" s="59" t="str">
        <f>[4]Sayfa1!$I204</f>
        <v>Hat/Line</v>
      </c>
      <c r="I208" s="62" t="str">
        <f>IF([4]Sayfa1!$K204="SSH","Notified by Bozankaya","Notified by Customer")</f>
        <v>Notified by Customer</v>
      </c>
      <c r="J208" s="59" t="e">
        <f>VLOOKUP([4]Sayfa1!$AU204,#REF!,2,FALSE)</f>
        <v>#REF!</v>
      </c>
      <c r="K208" s="59">
        <f>[4]Sayfa1!$AC204</f>
        <v>0</v>
      </c>
      <c r="L208" s="63" t="str">
        <f t="shared" si="52"/>
        <v>KAY_5+155-BOZ-KAY5+6-FF-203</v>
      </c>
      <c r="M208" s="64" t="str">
        <f>[4]Sayfa1!$L204</f>
        <v>06/06/2024 tarihinde gerçekleştirilen saha denetiminde 3881 nolu araçta kapı üstü bilgilendirmelerin ve reklam ekranın çalışmadığı tespit edilmiştir</v>
      </c>
      <c r="N208" s="33" t="str">
        <f>[4]Sayfa1!$J204</f>
        <v>C-Uyarı, sürüş devamlılığı</v>
      </c>
      <c r="O208" s="33" t="str">
        <f>[4]Sayfa1!$P204</f>
        <v>C(Sisteme etki etmeyen arıza)</v>
      </c>
      <c r="P208" s="33" t="str">
        <f>[4]Sayfa1!$Q204</f>
        <v>N.A(Yaralanma yok)</v>
      </c>
      <c r="Q208" s="65" t="str" cm="1">
        <f t="array" ref="Q208">_xlfn.IFS([4]Sayfa1!$R204="Bozankaya","Bozankaya",[4]Sayfa1!$R204="İşletme","Customer",[4]Sayfa1!$R204="Tedarikçi","Equipment Supplier")</f>
        <v>Equipment Supplier</v>
      </c>
      <c r="R208" s="66" t="str">
        <f>[4]Sayfa1!$M204</f>
        <v>Kontrol edildi sorun görülmedi</v>
      </c>
      <c r="S208" s="36" t="str">
        <f>[4]Sayfa1!$S204</f>
        <v>Atak</v>
      </c>
      <c r="T208" s="67">
        <f>[4]Sayfa1!$Z204</f>
        <v>0</v>
      </c>
      <c r="U208" s="68">
        <f>[4]Sayfa1!$AN204</f>
        <v>1</v>
      </c>
      <c r="V208" s="60">
        <f>[4]Sayfa1!$T204</f>
        <v>45521</v>
      </c>
      <c r="W208" s="61">
        <f>[4]Sayfa1!$U204</f>
        <v>45521.339236111111</v>
      </c>
      <c r="X208" s="69">
        <f t="shared" si="53"/>
        <v>45521.339236111111</v>
      </c>
      <c r="Y208" s="70">
        <f>[4]Sayfa1!$AQ204</f>
        <v>45521</v>
      </c>
      <c r="Z208" s="61">
        <f>[4]Sayfa1!$AR204</f>
        <v>45521.416666666664</v>
      </c>
      <c r="AA208" s="69">
        <f t="shared" si="54"/>
        <v>45521.416666666664</v>
      </c>
      <c r="AB208" s="71">
        <f t="shared" si="55"/>
        <v>1.8583333332790062</v>
      </c>
      <c r="AC208" s="60">
        <f t="shared" si="56"/>
        <v>45521</v>
      </c>
      <c r="AD208" s="61">
        <f t="shared" si="57"/>
        <v>45521.416666666664</v>
      </c>
      <c r="AE208" s="69">
        <f t="shared" si="58"/>
        <v>45521.416666666664</v>
      </c>
      <c r="AF208" s="36" t="str">
        <f>[4]Sayfa1!$AP204</f>
        <v>(III) Birden fazla aynı araçta karşılaşılan arıza</v>
      </c>
      <c r="AG208" s="33" t="str">
        <f>IF([4]Sayfa1!$J204="C-Uyarı, sürüş devamlılığı","Bu Arıza Aracın Servise Verilmesine Engel Değil","Bu Arıza Aracın Servise Verilmesine Engel")</f>
        <v>Bu Arıza Aracın Servise Verilmesine Engel Değil</v>
      </c>
      <c r="AH208" s="41" t="str">
        <f>[4]Sayfa1!$AB204</f>
        <v>Tamir edilecek</v>
      </c>
      <c r="AI208" s="60"/>
      <c r="AJ208" s="60"/>
      <c r="AK208" s="69">
        <f t="shared" si="59"/>
        <v>0</v>
      </c>
      <c r="AL208" s="71">
        <f t="shared" si="60"/>
        <v>111.49999999674037</v>
      </c>
      <c r="AM208" s="71">
        <f t="shared" si="61"/>
        <v>111.49999999674037</v>
      </c>
      <c r="AN208" s="72">
        <f t="shared" si="62"/>
        <v>0</v>
      </c>
      <c r="AO208" s="73" t="str">
        <f>[4]Sayfa1!$X204</f>
        <v>E410-7003</v>
      </c>
      <c r="AP208" s="72">
        <f>[4]Sayfa1!$Y204</f>
        <v>1</v>
      </c>
      <c r="AQ208" s="184" t="str">
        <f>[4]Sayfa1!$V204</f>
        <v>ATAK ULAŞIM SAN.TİC.LTD.ŞTİ.</v>
      </c>
      <c r="AR208" s="74" t="str">
        <f>[4]Sayfa1!$W204</f>
        <v>STRETCH LCD EKRAN</v>
      </c>
      <c r="AS208" s="74">
        <f>[4]Sayfa1!$AD204</f>
        <v>0</v>
      </c>
      <c r="AT208" s="60" t="str">
        <f>[4]Sayfa1!$AE204</f>
        <v/>
      </c>
      <c r="AU208" s="60" t="str">
        <f>[4]Sayfa1!$AH204</f>
        <v/>
      </c>
      <c r="AV208" s="75">
        <v>203</v>
      </c>
      <c r="AW208" s="76">
        <f t="shared" si="63"/>
        <v>20.441666666069068</v>
      </c>
      <c r="AX208" s="77" t="str">
        <f>[4]Sayfa1!$A204</f>
        <v>39a4c29a</v>
      </c>
      <c r="AY208" s="78" t="s">
        <v>114</v>
      </c>
      <c r="AZ208" s="79" t="e" vm="1">
        <f t="shared" si="64"/>
        <v>#VALUE!</v>
      </c>
    </row>
    <row r="209" spans="1:52" ht="211.15">
      <c r="A209" s="59" t="s">
        <v>264</v>
      </c>
      <c r="B209" s="59" t="str">
        <f>[4]Sayfa1!$G205</f>
        <v>3880(9)</v>
      </c>
      <c r="C209" s="184" t="str">
        <f>[4]Sayfa1!$H205</f>
        <v>MA</v>
      </c>
      <c r="D209" s="24">
        <f>[4]Sayfa1!$N205</f>
        <v>23341</v>
      </c>
      <c r="E209" s="24" t="str">
        <f>[4]Sayfa1!$B205</f>
        <v>BOZ-KAY5+6-FF-204</v>
      </c>
      <c r="F209" s="60">
        <f>[4]Sayfa1!$E205</f>
        <v>45457</v>
      </c>
      <c r="G209" s="61">
        <f>[4]Sayfa1!$F205</f>
        <v>45457.101388888892</v>
      </c>
      <c r="H209" s="59" t="str">
        <f>[4]Sayfa1!$I205</f>
        <v>Depo/Depot</v>
      </c>
      <c r="I209" s="62" t="str">
        <f>IF([4]Sayfa1!$K205="SSH","Notified by Bozankaya","Notified by Customer")</f>
        <v>Notified by Customer</v>
      </c>
      <c r="J209" s="59" t="e">
        <f>VLOOKUP([4]Sayfa1!$AU205,#REF!,2,FALSE)</f>
        <v>#REF!</v>
      </c>
      <c r="K209" s="59">
        <f>[4]Sayfa1!$AC205</f>
        <v>0</v>
      </c>
      <c r="L209" s="63" t="str">
        <f t="shared" si="52"/>
        <v>KAY_5+156-BOZ-KAY5+6-FF-204</v>
      </c>
      <c r="M209" s="64" t="str">
        <f>[4]Sayfa1!$L205</f>
        <v>2 VE 11 NUMARALI KAPI ÜSTLERİNDE SU SIZINTI İZLERİNE RASTLANMIŞTIR.</v>
      </c>
      <c r="N209" s="33" t="str">
        <f>[4]Sayfa1!$J205</f>
        <v>C-Uyarı, sürüş devamlılığı</v>
      </c>
      <c r="O209" s="33" t="str">
        <f>[4]Sayfa1!$P205</f>
        <v>B(Servisten çekmeye etki eden arızalar)</v>
      </c>
      <c r="P209" s="33" t="str">
        <f>[4]Sayfa1!$Q205</f>
        <v>N.A(Yaralanma yok)</v>
      </c>
      <c r="Q209" s="65" t="str" cm="1">
        <f t="array" ref="Q209">_xlfn.IFS([4]Sayfa1!$R205="Bozankaya","Bozankaya",[4]Sayfa1!$R205="İşletme","Customer",[4]Sayfa1!$R205="Tedarikçi","Equipment Supplier")</f>
        <v>Bozankaya</v>
      </c>
      <c r="R209" s="66" t="str">
        <f>[4]Sayfa1!$M205</f>
        <v>ELEKTRİK KABİNET ÜZERİNDE BULUNAN TURBO  FANLARIN ETRAFINA SİKA UYGULAMASI YAPILDI.</v>
      </c>
      <c r="S209" s="36" t="str">
        <f>[4]Sayfa1!$S205</f>
        <v>Üretim</v>
      </c>
      <c r="T209" s="67">
        <f>[4]Sayfa1!$Z205</f>
        <v>0</v>
      </c>
      <c r="U209" s="68">
        <f>[4]Sayfa1!$AN205</f>
        <v>1</v>
      </c>
      <c r="V209" s="60">
        <f>[4]Sayfa1!$T205</f>
        <v>45457</v>
      </c>
      <c r="W209" s="61">
        <f>[4]Sayfa1!$U205</f>
        <v>45457.333333333336</v>
      </c>
      <c r="X209" s="69">
        <f t="shared" si="53"/>
        <v>45457.333333333336</v>
      </c>
      <c r="Y209" s="70">
        <f>[4]Sayfa1!$AQ205</f>
        <v>45457</v>
      </c>
      <c r="Z209" s="61">
        <f>[4]Sayfa1!$AR205</f>
        <v>45457.416666666664</v>
      </c>
      <c r="AA209" s="69">
        <f t="shared" si="54"/>
        <v>45457.416666666664</v>
      </c>
      <c r="AB209" s="71">
        <f t="shared" si="55"/>
        <v>0</v>
      </c>
      <c r="AC209" s="60">
        <f t="shared" si="56"/>
        <v>45457</v>
      </c>
      <c r="AD209" s="61">
        <f t="shared" si="57"/>
        <v>45457.416666666664</v>
      </c>
      <c r="AE209" s="69">
        <f t="shared" si="58"/>
        <v>45457.416666666664</v>
      </c>
      <c r="AF209" s="36" t="str">
        <f>[4]Sayfa1!$AP205</f>
        <v>(II) Birden fazla karşılaşılan arıza</v>
      </c>
      <c r="AG209" s="33" t="str">
        <f>IF([4]Sayfa1!$J205="C-Uyarı, sürüş devamlılığı","Bu Arıza Aracın Servise Verilmesine Engel Değil","Bu Arıza Aracın Servise Verilmesine Engel")</f>
        <v>Bu Arıza Aracın Servise Verilmesine Engel Değil</v>
      </c>
      <c r="AH209" s="41" t="str">
        <f>[4]Sayfa1!$AB205</f>
        <v>Ekipman değiştirilecek</v>
      </c>
      <c r="AI209" s="60"/>
      <c r="AJ209" s="60"/>
      <c r="AK209" s="69">
        <f t="shared" si="59"/>
        <v>0</v>
      </c>
      <c r="AL209" s="71">
        <f t="shared" si="60"/>
        <v>0</v>
      </c>
      <c r="AM209" s="71">
        <f t="shared" si="61"/>
        <v>0</v>
      </c>
      <c r="AN209" s="72">
        <f t="shared" si="62"/>
        <v>0</v>
      </c>
      <c r="AO209" s="73" t="str">
        <f>[4]Sayfa1!$X205</f>
        <v>H200-7001</v>
      </c>
      <c r="AP209" s="72">
        <f>[4]Sayfa1!$Y205</f>
        <v>1</v>
      </c>
      <c r="AQ209" s="184" t="str">
        <f>[4]Sayfa1!$V205</f>
        <v>KORMAS ELEKTRİKLİ MOTOR SAN. VE TİC</v>
      </c>
      <c r="AR209" s="74" t="str">
        <f>[4]Sayfa1!$W205</f>
        <v>TURBO HAVALANDIRMA</v>
      </c>
      <c r="AS209" s="74">
        <f>[4]Sayfa1!$AD205</f>
        <v>0</v>
      </c>
      <c r="AT209" s="60" t="str">
        <f>[4]Sayfa1!$AE205</f>
        <v/>
      </c>
      <c r="AU209" s="60">
        <f>[4]Sayfa1!$AH205</f>
        <v>0</v>
      </c>
      <c r="AV209" s="75">
        <v>204</v>
      </c>
      <c r="AW209" s="76">
        <f t="shared" si="63"/>
        <v>0</v>
      </c>
      <c r="AX209" s="77" t="str">
        <f>[4]Sayfa1!$A205</f>
        <v>877a05a4</v>
      </c>
      <c r="AY209" s="78" t="s">
        <v>114</v>
      </c>
      <c r="AZ209" s="79" t="e" vm="1">
        <f t="shared" si="64"/>
        <v>#VALUE!</v>
      </c>
    </row>
    <row r="210" spans="1:52" ht="289.89999999999998">
      <c r="A210" s="59" t="s">
        <v>265</v>
      </c>
      <c r="B210" s="59" t="str">
        <f>[4]Sayfa1!$G206</f>
        <v>3881(10)</v>
      </c>
      <c r="C210" s="184" t="str">
        <f>[4]Sayfa1!$H206</f>
        <v>RA</v>
      </c>
      <c r="D210" s="24">
        <f>[4]Sayfa1!$N206</f>
        <v>16500</v>
      </c>
      <c r="E210" s="24" t="str">
        <f>[4]Sayfa1!$B206</f>
        <v>BOZ-KAY5+6-FF-205</v>
      </c>
      <c r="F210" s="60">
        <f>[4]Sayfa1!$E206</f>
        <v>45457</v>
      </c>
      <c r="G210" s="61">
        <f>[4]Sayfa1!$F206</f>
        <v>45457.427083333336</v>
      </c>
      <c r="H210" s="59" t="str">
        <f>[4]Sayfa1!$I206</f>
        <v>Hat/Line</v>
      </c>
      <c r="I210" s="62" t="str">
        <f>IF([4]Sayfa1!$K206="SSH","Notified by Bozankaya","Notified by Customer")</f>
        <v>Notified by Customer</v>
      </c>
      <c r="J210" s="59" t="e">
        <f>VLOOKUP([4]Sayfa1!$AU206,#REF!,2,FALSE)</f>
        <v>#REF!</v>
      </c>
      <c r="K210" s="59">
        <f>[4]Sayfa1!$AC206</f>
        <v>0</v>
      </c>
      <c r="L210" s="63" t="str">
        <f t="shared" si="52"/>
        <v>KAY_5+157-BOZ-KAY5+6-FF-205</v>
      </c>
      <c r="M210" s="64" t="str">
        <f>[4]Sayfa1!$L206</f>
        <v>10/06/2024 tarihinde yapılan saha denetiminde 3881 nolu aracın saat 11:36 da kapı üstü ekranların ve orta kısımda bulunan ekranların çalışmadığı tespit edilmiştir</v>
      </c>
      <c r="N210" s="33" t="str">
        <f>[4]Sayfa1!$J206</f>
        <v>C-Uyarı, sürüş devamlılığı</v>
      </c>
      <c r="O210" s="33" t="str">
        <f>[4]Sayfa1!$P206</f>
        <v>C(Sisteme etki etmeyen arıza)</v>
      </c>
      <c r="P210" s="33" t="str">
        <f>[4]Sayfa1!$Q206</f>
        <v>N.A(Yaralanma yok)</v>
      </c>
      <c r="Q210" s="65" t="str" cm="1">
        <f t="array" ref="Q210">_xlfn.IFS([4]Sayfa1!$R206="Bozankaya","Bozankaya",[4]Sayfa1!$R206="İşletme","Customer",[4]Sayfa1!$R206="Tedarikçi","Equipment Supplier")</f>
        <v>Equipment Supplier</v>
      </c>
      <c r="R210" s="66" t="str">
        <f>[4]Sayfa1!$M206</f>
        <v>Kontrol edildi sorun</v>
      </c>
      <c r="S210" s="36" t="str">
        <f>[4]Sayfa1!$S206</f>
        <v>Atak</v>
      </c>
      <c r="T210" s="67">
        <f>[4]Sayfa1!$Z206</f>
        <v>0</v>
      </c>
      <c r="U210" s="68">
        <f>[4]Sayfa1!$AN206</f>
        <v>1</v>
      </c>
      <c r="V210" s="60">
        <f>[4]Sayfa1!$T206</f>
        <v>45521</v>
      </c>
      <c r="W210" s="61">
        <f>[4]Sayfa1!$U206</f>
        <v>45521.354166666664</v>
      </c>
      <c r="X210" s="69">
        <f t="shared" si="53"/>
        <v>45521.354166666664</v>
      </c>
      <c r="Y210" s="70">
        <f>[4]Sayfa1!$AQ206</f>
        <v>45521</v>
      </c>
      <c r="Z210" s="61">
        <f>[4]Sayfa1!$AR206</f>
        <v>45521.416666666664</v>
      </c>
      <c r="AA210" s="69">
        <f t="shared" si="54"/>
        <v>45521.416666666664</v>
      </c>
      <c r="AB210" s="71">
        <f t="shared" si="55"/>
        <v>1.5</v>
      </c>
      <c r="AC210" s="60">
        <f t="shared" si="56"/>
        <v>45521</v>
      </c>
      <c r="AD210" s="61">
        <f t="shared" si="57"/>
        <v>45521.416666666664</v>
      </c>
      <c r="AE210" s="69">
        <f t="shared" si="58"/>
        <v>45521.416666666664</v>
      </c>
      <c r="AF210" s="36" t="str">
        <f>[4]Sayfa1!$AP206</f>
        <v>(III) Birden fazla aynı araçta karşılaşılan arıza</v>
      </c>
      <c r="AG210" s="33" t="str">
        <f>IF([4]Sayfa1!$J206="C-Uyarı, sürüş devamlılığı","Bu Arıza Aracın Servise Verilmesine Engel Değil","Bu Arıza Aracın Servise Verilmesine Engel")</f>
        <v>Bu Arıza Aracın Servise Verilmesine Engel Değil</v>
      </c>
      <c r="AH210" s="41" t="str">
        <f>[4]Sayfa1!$AB206</f>
        <v>Tamir edilecek</v>
      </c>
      <c r="AI210" s="60"/>
      <c r="AJ210" s="60"/>
      <c r="AK210" s="69">
        <f t="shared" si="59"/>
        <v>0</v>
      </c>
      <c r="AL210" s="71">
        <f t="shared" si="60"/>
        <v>90</v>
      </c>
      <c r="AM210" s="71">
        <f t="shared" si="61"/>
        <v>90</v>
      </c>
      <c r="AN210" s="72">
        <f t="shared" si="62"/>
        <v>0</v>
      </c>
      <c r="AO210" s="73" t="str">
        <f>[4]Sayfa1!$X206</f>
        <v>E410-7003</v>
      </c>
      <c r="AP210" s="72">
        <f>[4]Sayfa1!$Y206</f>
        <v>1</v>
      </c>
      <c r="AQ210" s="184" t="str">
        <f>[4]Sayfa1!$V206</f>
        <v>ATAK ULAŞIM SAN.TİC.LTD.ŞTİ.</v>
      </c>
      <c r="AR210" s="74" t="str">
        <f>[4]Sayfa1!$W206</f>
        <v>STRETCH LCD EKRAN</v>
      </c>
      <c r="AS210" s="74">
        <f>[4]Sayfa1!$AD206</f>
        <v>0</v>
      </c>
      <c r="AT210" s="60" t="str">
        <f>[4]Sayfa1!$AE206</f>
        <v/>
      </c>
      <c r="AU210" s="60" t="str">
        <f>[4]Sayfa1!$AH206</f>
        <v/>
      </c>
      <c r="AV210" s="75">
        <v>205</v>
      </c>
      <c r="AW210" s="76">
        <f t="shared" si="63"/>
        <v>16.5</v>
      </c>
      <c r="AX210" s="77" t="str">
        <f>[4]Sayfa1!$A206</f>
        <v>c9414e42</v>
      </c>
      <c r="AY210" s="78" t="s">
        <v>114</v>
      </c>
      <c r="AZ210" s="79" t="e" vm="1">
        <f t="shared" si="64"/>
        <v>#VALUE!</v>
      </c>
    </row>
    <row r="211" spans="1:52" ht="148.15">
      <c r="A211" s="59" t="s">
        <v>266</v>
      </c>
      <c r="B211" s="59" t="str">
        <f>[4]Sayfa1!$G207</f>
        <v>3875(4)</v>
      </c>
      <c r="C211" s="184" t="str">
        <f>[4]Sayfa1!$H207</f>
        <v>MA</v>
      </c>
      <c r="D211" s="24">
        <f>[4]Sayfa1!$N207</f>
        <v>48701</v>
      </c>
      <c r="E211" s="24" t="str">
        <f>[4]Sayfa1!$B207</f>
        <v>BOZ-KAY5+6-FF-206</v>
      </c>
      <c r="F211" s="60">
        <f>[4]Sayfa1!$E207</f>
        <v>45457</v>
      </c>
      <c r="G211" s="61">
        <f>[4]Sayfa1!$F207</f>
        <v>45457.441666666666</v>
      </c>
      <c r="H211" s="59" t="str">
        <f>[4]Sayfa1!$I207</f>
        <v>Depo/Depot</v>
      </c>
      <c r="I211" s="62" t="str">
        <f>IF([4]Sayfa1!$K207="SSH","Notified by Bozankaya","Notified by Customer")</f>
        <v>Notified by Customer</v>
      </c>
      <c r="J211" s="59" t="e">
        <f>VLOOKUP([4]Sayfa1!$AU207,#REF!,2,FALSE)</f>
        <v>#REF!</v>
      </c>
      <c r="K211" s="59">
        <f>[4]Sayfa1!$AC207</f>
        <v>0</v>
      </c>
      <c r="L211" s="63" t="str">
        <f t="shared" si="52"/>
        <v>KAY_5+158-BOZ-KAY5+6-FF-206</v>
      </c>
      <c r="M211" s="64" t="str">
        <f>[4]Sayfa1!$L207</f>
        <v>A BAŞ KUPLAJ ASANSÖRÜ ARIZALI</v>
      </c>
      <c r="N211" s="33" t="str">
        <f>[4]Sayfa1!$J207</f>
        <v>C-Uyarı, sürüş devamlılığı</v>
      </c>
      <c r="O211" s="33" t="str">
        <f>[4]Sayfa1!$P207</f>
        <v>C(Sisteme etki etmeyen arıza)</v>
      </c>
      <c r="P211" s="33" t="str">
        <f>[4]Sayfa1!$Q207</f>
        <v>N.A(Yaralanma yok)</v>
      </c>
      <c r="Q211" s="65" t="str" cm="1">
        <f t="array" ref="Q211">_xlfn.IFS([4]Sayfa1!$R207="Bozankaya","Bozankaya",[4]Sayfa1!$R207="İşletme","Customer",[4]Sayfa1!$R207="Tedarikçi","Equipment Supplier")</f>
        <v>Equipment Supplier</v>
      </c>
      <c r="R211" s="66" t="str">
        <f>[4]Sayfa1!$M207</f>
        <v>KUPLÖR ASANSÖR MODİFİKASYONU YAPILDI.</v>
      </c>
      <c r="S211" s="36" t="str">
        <f>[4]Sayfa1!$S207</f>
        <v>DELLNER</v>
      </c>
      <c r="T211" s="67">
        <f>[4]Sayfa1!$Z207</f>
        <v>0</v>
      </c>
      <c r="U211" s="68">
        <f>[4]Sayfa1!$AN207</f>
        <v>1</v>
      </c>
      <c r="V211" s="60">
        <f>[4]Sayfa1!$T207</f>
        <v>45600</v>
      </c>
      <c r="W211" s="61">
        <f>[4]Sayfa1!$U207</f>
        <v>45600.333333333336</v>
      </c>
      <c r="X211" s="69">
        <f t="shared" si="53"/>
        <v>45600.333333333336</v>
      </c>
      <c r="Y211" s="70">
        <f>[4]Sayfa1!$AQ207</f>
        <v>45600</v>
      </c>
      <c r="Z211" s="61">
        <f>[4]Sayfa1!$AR207</f>
        <v>45600.625</v>
      </c>
      <c r="AA211" s="69">
        <f t="shared" si="54"/>
        <v>45600.625</v>
      </c>
      <c r="AB211" s="71">
        <f t="shared" si="55"/>
        <v>6.9999999999417923</v>
      </c>
      <c r="AC211" s="60">
        <f t="shared" si="56"/>
        <v>45600</v>
      </c>
      <c r="AD211" s="61">
        <f t="shared" si="57"/>
        <v>45600.625</v>
      </c>
      <c r="AE211" s="69">
        <f t="shared" si="58"/>
        <v>45600.625</v>
      </c>
      <c r="AF211" s="36" t="str">
        <f>[4]Sayfa1!$AP207</f>
        <v>(II) Birden fazla karşılaşılan arıza</v>
      </c>
      <c r="AG211" s="33" t="str">
        <f>IF([4]Sayfa1!$J207="C-Uyarı, sürüş devamlılığı","Bu Arıza Aracın Servise Verilmesine Engel Değil","Bu Arıza Aracın Servise Verilmesine Engel")</f>
        <v>Bu Arıza Aracın Servise Verilmesine Engel Değil</v>
      </c>
      <c r="AH211" s="41" t="str">
        <f>[4]Sayfa1!$AB207</f>
        <v>Ekipman değiştirilecek</v>
      </c>
      <c r="AI211" s="60"/>
      <c r="AJ211" s="60"/>
      <c r="AK211" s="69">
        <f t="shared" si="59"/>
        <v>0</v>
      </c>
      <c r="AL211" s="71">
        <f t="shared" si="60"/>
        <v>419.99999999650754</v>
      </c>
      <c r="AM211" s="71">
        <f t="shared" si="61"/>
        <v>419.99999999650754</v>
      </c>
      <c r="AN211" s="72">
        <f t="shared" si="62"/>
        <v>0</v>
      </c>
      <c r="AO211" s="73" t="str">
        <f>[4]Sayfa1!$X207</f>
        <v>M350-7062</v>
      </c>
      <c r="AP211" s="72">
        <f>[4]Sayfa1!$Y207</f>
        <v>0</v>
      </c>
      <c r="AQ211" s="184" t="str">
        <f>[4]Sayfa1!$V207</f>
        <v>DELLNER COUPLERC AB</v>
      </c>
      <c r="AR211" s="74" t="str">
        <f>[4]Sayfa1!$W207</f>
        <v>OTOMATIK KUPLÖR DELLNER</v>
      </c>
      <c r="AS211" s="74">
        <f>[4]Sayfa1!$AD207</f>
        <v>0</v>
      </c>
      <c r="AT211" s="60" t="str">
        <f>[4]Sayfa1!$AE207</f>
        <v/>
      </c>
      <c r="AU211" s="60">
        <f>[4]Sayfa1!$AH207</f>
        <v>0</v>
      </c>
      <c r="AV211" s="75">
        <v>206</v>
      </c>
      <c r="AW211" s="76">
        <f t="shared" si="63"/>
        <v>76.999999999359716</v>
      </c>
      <c r="AX211" s="77" t="str">
        <f>[4]Sayfa1!$A207</f>
        <v>22b93d26</v>
      </c>
      <c r="AY211" s="78" t="s">
        <v>114</v>
      </c>
      <c r="AZ211" s="79" t="e" vm="1">
        <f t="shared" si="64"/>
        <v>#VALUE!</v>
      </c>
    </row>
    <row r="212" spans="1:52" ht="211.15">
      <c r="A212" s="59" t="s">
        <v>267</v>
      </c>
      <c r="B212" s="59" t="str">
        <f>[4]Sayfa1!$G208</f>
        <v>3875(4)</v>
      </c>
      <c r="C212" s="184" t="str">
        <f>[4]Sayfa1!$H208</f>
        <v>MB</v>
      </c>
      <c r="D212" s="24">
        <f>[4]Sayfa1!$N208</f>
        <v>48701</v>
      </c>
      <c r="E212" s="24" t="str">
        <f>[4]Sayfa1!$B208</f>
        <v>BOZ-KAY5+6-FF-207</v>
      </c>
      <c r="F212" s="60">
        <f>[4]Sayfa1!$E208</f>
        <v>45457</v>
      </c>
      <c r="G212" s="61">
        <f>[4]Sayfa1!$F208</f>
        <v>45457.442361111112</v>
      </c>
      <c r="H212" s="59" t="str">
        <f>[4]Sayfa1!$I208</f>
        <v>Depo/Depot</v>
      </c>
      <c r="I212" s="62" t="str">
        <f>IF([4]Sayfa1!$K208="SSH","Notified by Bozankaya","Notified by Customer")</f>
        <v>Notified by Customer</v>
      </c>
      <c r="J212" s="59" t="e">
        <f>VLOOKUP([4]Sayfa1!$AU208,#REF!,2,FALSE)</f>
        <v>#REF!</v>
      </c>
      <c r="K212" s="59">
        <f>[4]Sayfa1!$AC208</f>
        <v>0</v>
      </c>
      <c r="L212" s="63" t="str">
        <f t="shared" si="52"/>
        <v>KAY_5+159-BOZ-KAY5+6-FF-207</v>
      </c>
      <c r="M212" s="64" t="str">
        <f>[4]Sayfa1!$L208</f>
        <v>B BAŞ KUPLAJ ASANSÖRÜ ARIZALI</v>
      </c>
      <c r="N212" s="33" t="str">
        <f>[4]Sayfa1!$J208</f>
        <v>C-Uyarı, sürüş devamlılığı</v>
      </c>
      <c r="O212" s="33" t="str">
        <f>[4]Sayfa1!$P208</f>
        <v>C(Sisteme etki etmeyen arıza)</v>
      </c>
      <c r="P212" s="33" t="str">
        <f>[4]Sayfa1!$Q208</f>
        <v>N.A(Yaralanma yok)</v>
      </c>
      <c r="Q212" s="65" t="str" cm="1">
        <f t="array" ref="Q212">_xlfn.IFS([4]Sayfa1!$R208="Bozankaya","Bozankaya",[4]Sayfa1!$R208="İşletme","Customer",[4]Sayfa1!$R208="Tedarikçi","Equipment Supplier")</f>
        <v>Equipment Supplier</v>
      </c>
      <c r="R212" s="66" t="str">
        <f>[4]Sayfa1!$M208</f>
        <v>KUPLAJ ASANSÖRÜ MODİFİKASYONU YAPILDI.</v>
      </c>
      <c r="S212" s="36" t="str">
        <f>[4]Sayfa1!$S208</f>
        <v>DELLNER</v>
      </c>
      <c r="T212" s="67">
        <f>[4]Sayfa1!$Z208</f>
        <v>0</v>
      </c>
      <c r="U212" s="68">
        <f>[4]Sayfa1!$AN208</f>
        <v>1</v>
      </c>
      <c r="V212" s="60">
        <f>[4]Sayfa1!$T208</f>
        <v>45600</v>
      </c>
      <c r="W212" s="61">
        <f>[4]Sayfa1!$U208</f>
        <v>45600.333333333336</v>
      </c>
      <c r="X212" s="69">
        <f t="shared" si="53"/>
        <v>45600.333333333336</v>
      </c>
      <c r="Y212" s="70">
        <f>[4]Sayfa1!$AQ208</f>
        <v>45600</v>
      </c>
      <c r="Z212" s="61">
        <f>[4]Sayfa1!$AR208</f>
        <v>45600.625</v>
      </c>
      <c r="AA212" s="69">
        <f t="shared" si="54"/>
        <v>45600.625</v>
      </c>
      <c r="AB212" s="71">
        <f t="shared" si="55"/>
        <v>6.9999999999417923</v>
      </c>
      <c r="AC212" s="60">
        <f t="shared" si="56"/>
        <v>45600</v>
      </c>
      <c r="AD212" s="61">
        <f t="shared" si="57"/>
        <v>45600.625</v>
      </c>
      <c r="AE212" s="69">
        <f t="shared" si="58"/>
        <v>45600.625</v>
      </c>
      <c r="AF212" s="36" t="str">
        <f>[4]Sayfa1!$AP208</f>
        <v>(II) Birden fazla karşılaşılan arıza</v>
      </c>
      <c r="AG212" s="33" t="str">
        <f>IF([4]Sayfa1!$J208="C-Uyarı, sürüş devamlılığı","Bu Arıza Aracın Servise Verilmesine Engel Değil","Bu Arıza Aracın Servise Verilmesine Engel")</f>
        <v>Bu Arıza Aracın Servise Verilmesine Engel Değil</v>
      </c>
      <c r="AH212" s="41" t="str">
        <f>[4]Sayfa1!$AB208</f>
        <v>Ekipman değiştirilecek</v>
      </c>
      <c r="AI212" s="60"/>
      <c r="AJ212" s="60"/>
      <c r="AK212" s="69">
        <f t="shared" si="59"/>
        <v>0</v>
      </c>
      <c r="AL212" s="71">
        <f t="shared" si="60"/>
        <v>419.99999999650754</v>
      </c>
      <c r="AM212" s="71">
        <f t="shared" si="61"/>
        <v>419.99999999650754</v>
      </c>
      <c r="AN212" s="72">
        <f t="shared" si="62"/>
        <v>0</v>
      </c>
      <c r="AO212" s="73" t="str">
        <f>[4]Sayfa1!$X208</f>
        <v>M350-7062</v>
      </c>
      <c r="AP212" s="72">
        <f>[4]Sayfa1!$Y208</f>
        <v>1</v>
      </c>
      <c r="AQ212" s="184" t="str">
        <f>[4]Sayfa1!$V208</f>
        <v>DELLNER COUPLERC AB</v>
      </c>
      <c r="AR212" s="74" t="str">
        <f>[4]Sayfa1!$W208</f>
        <v>OTOMATIK KUPLÖR DELLNER</v>
      </c>
      <c r="AS212" s="74">
        <f>[4]Sayfa1!$AD208</f>
        <v>0</v>
      </c>
      <c r="AT212" s="60" t="str">
        <f>[4]Sayfa1!$AE208</f>
        <v/>
      </c>
      <c r="AU212" s="60">
        <f>[4]Sayfa1!$AH208</f>
        <v>0</v>
      </c>
      <c r="AV212" s="75">
        <v>207</v>
      </c>
      <c r="AW212" s="76">
        <f t="shared" si="63"/>
        <v>76.999999999359716</v>
      </c>
      <c r="AX212" s="77" t="str">
        <f>[4]Sayfa1!$A208</f>
        <v>b7fd8e12</v>
      </c>
      <c r="AY212" s="78" t="s">
        <v>114</v>
      </c>
      <c r="AZ212" s="79" t="e" vm="1">
        <f t="shared" si="64"/>
        <v>#VALUE!</v>
      </c>
    </row>
    <row r="213" spans="1:52" ht="148.15">
      <c r="A213" s="59" t="s">
        <v>268</v>
      </c>
      <c r="B213" s="59" t="str">
        <f>[4]Sayfa1!$G209</f>
        <v>3882(11)</v>
      </c>
      <c r="C213" s="184" t="str">
        <f>[4]Sayfa1!$H209</f>
        <v>MA</v>
      </c>
      <c r="D213" s="24">
        <f>[4]Sayfa1!$N209</f>
        <v>3694</v>
      </c>
      <c r="E213" s="24" t="str">
        <f>[4]Sayfa1!$B209</f>
        <v>BOZ-KAY5+6-FF-208</v>
      </c>
      <c r="F213" s="60">
        <f>[4]Sayfa1!$E209</f>
        <v>45457</v>
      </c>
      <c r="G213" s="61">
        <f>[4]Sayfa1!$F209</f>
        <v>45457.445833333331</v>
      </c>
      <c r="H213" s="59" t="str">
        <f>[4]Sayfa1!$I209</f>
        <v>Depo/Depot</v>
      </c>
      <c r="I213" s="62" t="str">
        <f>IF([4]Sayfa1!$K209="SSH","Notified by Bozankaya","Notified by Customer")</f>
        <v>Notified by Customer</v>
      </c>
      <c r="J213" s="59" t="e">
        <f>VLOOKUP([4]Sayfa1!$AU209,#REF!,2,FALSE)</f>
        <v>#REF!</v>
      </c>
      <c r="K213" s="59">
        <f>[4]Sayfa1!$AC209</f>
        <v>0</v>
      </c>
      <c r="L213" s="63" t="str">
        <f t="shared" si="52"/>
        <v>KAY_5+160-BOZ-KAY5+6-FF-208</v>
      </c>
      <c r="M213" s="64" t="str">
        <f>[4]Sayfa1!$L209</f>
        <v>A baş kuplaj asansörü arızalı</v>
      </c>
      <c r="N213" s="33" t="str">
        <f>[4]Sayfa1!$J209</f>
        <v>C-Uyarı, sürüş devamlılığı</v>
      </c>
      <c r="O213" s="33" t="str">
        <f>[4]Sayfa1!$P209</f>
        <v>C(Sisteme etki etmeyen arıza)</v>
      </c>
      <c r="P213" s="33" t="str">
        <f>[4]Sayfa1!$Q209</f>
        <v>N.A(Yaralanma yok)</v>
      </c>
      <c r="Q213" s="65" t="str" cm="1">
        <f t="array" ref="Q213">_xlfn.IFS([4]Sayfa1!$R209="Bozankaya","Bozankaya",[4]Sayfa1!$R209="İşletme","Customer",[4]Sayfa1!$R209="Tedarikçi","Equipment Supplier")</f>
        <v>Bozankaya</v>
      </c>
      <c r="R213" s="66" t="str">
        <f>[4]Sayfa1!$M209</f>
        <v>Kuplör asansörü modifikasyonu yapıldı.</v>
      </c>
      <c r="S213" s="36" t="str">
        <f>[4]Sayfa1!$S209</f>
        <v>Üretim</v>
      </c>
      <c r="T213" s="67">
        <f>[4]Sayfa1!$Z209</f>
        <v>0</v>
      </c>
      <c r="U213" s="68">
        <f>[4]Sayfa1!$AN209</f>
        <v>1</v>
      </c>
      <c r="V213" s="60">
        <f>[4]Sayfa1!$T209</f>
        <v>45600</v>
      </c>
      <c r="W213" s="61">
        <f>[4]Sayfa1!$U209</f>
        <v>45600.333333333336</v>
      </c>
      <c r="X213" s="69">
        <f t="shared" si="53"/>
        <v>45600.333333333336</v>
      </c>
      <c r="Y213" s="70">
        <f>[4]Sayfa1!$AQ209</f>
        <v>45600</v>
      </c>
      <c r="Z213" s="61">
        <f>[4]Sayfa1!$AR209</f>
        <v>45600.625</v>
      </c>
      <c r="AA213" s="69">
        <f t="shared" si="54"/>
        <v>45600.625</v>
      </c>
      <c r="AB213" s="71">
        <f t="shared" si="55"/>
        <v>6.9999999999417923</v>
      </c>
      <c r="AC213" s="60">
        <f t="shared" si="56"/>
        <v>45600</v>
      </c>
      <c r="AD213" s="61">
        <f t="shared" si="57"/>
        <v>45600.625</v>
      </c>
      <c r="AE213" s="69">
        <f t="shared" si="58"/>
        <v>45600.625</v>
      </c>
      <c r="AF213" s="36" t="str">
        <f>[4]Sayfa1!$AP209</f>
        <v>(II) Birden fazla karşılaşılan arıza</v>
      </c>
      <c r="AG213" s="33" t="str">
        <f>IF([4]Sayfa1!$J209="C-Uyarı, sürüş devamlılığı","Bu Arıza Aracın Servise Verilmesine Engel Değil","Bu Arıza Aracın Servise Verilmesine Engel")</f>
        <v>Bu Arıza Aracın Servise Verilmesine Engel Değil</v>
      </c>
      <c r="AH213" s="41" t="str">
        <f>[4]Sayfa1!$AB209</f>
        <v>Tamir edilecek</v>
      </c>
      <c r="AI213" s="60"/>
      <c r="AJ213" s="60"/>
      <c r="AK213" s="69">
        <f t="shared" si="59"/>
        <v>0</v>
      </c>
      <c r="AL213" s="71">
        <f t="shared" si="60"/>
        <v>419.99999999650754</v>
      </c>
      <c r="AM213" s="71">
        <f t="shared" si="61"/>
        <v>419.99999999650754</v>
      </c>
      <c r="AN213" s="72">
        <f t="shared" si="62"/>
        <v>0</v>
      </c>
      <c r="AO213" s="73" t="str">
        <f>[4]Sayfa1!$X209</f>
        <v>M350-7062</v>
      </c>
      <c r="AP213" s="72">
        <f>[4]Sayfa1!$Y209</f>
        <v>1</v>
      </c>
      <c r="AQ213" s="184" t="str">
        <f>[4]Sayfa1!$V209</f>
        <v>DELLNER COUPLERC AB</v>
      </c>
      <c r="AR213" s="74" t="str">
        <f>[4]Sayfa1!$W209</f>
        <v>OTOMATIK KUPLÖR DELLNER</v>
      </c>
      <c r="AS213" s="74">
        <f>[4]Sayfa1!$AD209</f>
        <v>0</v>
      </c>
      <c r="AT213" s="60" t="str">
        <f>[4]Sayfa1!$AE209</f>
        <v/>
      </c>
      <c r="AU213" s="60">
        <f>[4]Sayfa1!$AH209</f>
        <v>0</v>
      </c>
      <c r="AV213" s="75">
        <v>208</v>
      </c>
      <c r="AW213" s="76">
        <f t="shared" si="63"/>
        <v>76.999999999359716</v>
      </c>
      <c r="AX213" s="77" t="str">
        <f>[4]Sayfa1!$A209</f>
        <v>1df40f00</v>
      </c>
      <c r="AY213" s="78" t="s">
        <v>114</v>
      </c>
      <c r="AZ213" s="79" t="e" vm="1">
        <f t="shared" si="64"/>
        <v>#VALUE!</v>
      </c>
    </row>
    <row r="214" spans="1:52" ht="193.15">
      <c r="A214" s="59" t="s">
        <v>269</v>
      </c>
      <c r="B214" s="59" t="str">
        <f>[4]Sayfa1!$G210</f>
        <v>3875(4)</v>
      </c>
      <c r="C214" s="184" t="str">
        <f>[4]Sayfa1!$H210</f>
        <v>MA</v>
      </c>
      <c r="D214" s="24">
        <f>[4]Sayfa1!$N210</f>
        <v>48500</v>
      </c>
      <c r="E214" s="24" t="str">
        <f>[4]Sayfa1!$B210</f>
        <v>BOZ-KAY5+6-FF-209</v>
      </c>
      <c r="F214" s="60">
        <f>[4]Sayfa1!$E210</f>
        <v>45457</v>
      </c>
      <c r="G214" s="61">
        <f>[4]Sayfa1!$F210</f>
        <v>45457.509722222225</v>
      </c>
      <c r="H214" s="59" t="str">
        <f>[4]Sayfa1!$I210</f>
        <v>Hat/Line</v>
      </c>
      <c r="I214" s="62" t="str">
        <f>IF([4]Sayfa1!$K210="SSH","Notified by Bozankaya","Notified by Customer")</f>
        <v>Notified by Customer</v>
      </c>
      <c r="J214" s="59" t="e">
        <f>VLOOKUP([4]Sayfa1!$AU210,#REF!,2,FALSE)</f>
        <v>#REF!</v>
      </c>
      <c r="K214" s="59">
        <f>[4]Sayfa1!$AC210</f>
        <v>0</v>
      </c>
      <c r="L214" s="63" t="str">
        <f t="shared" si="52"/>
        <v>KAY_5+161-BOZ-KAY5+6-FF-209</v>
      </c>
      <c r="M214" s="64" t="str">
        <f>[4]Sayfa1!$L210</f>
        <v>ARAÇ FRENLERİ ZAYIF TUTMUYOR</v>
      </c>
      <c r="N214" s="33" t="str">
        <f>[4]Sayfa1!$J210</f>
        <v>A-Sürüşü engeller</v>
      </c>
      <c r="O214" s="33" t="str">
        <f>[4]Sayfa1!$P210</f>
        <v>A(Hareket etmeyi engelleyen arıza)</v>
      </c>
      <c r="P214" s="33" t="str">
        <f>[4]Sayfa1!$Q210</f>
        <v>N.A(Yaralanma yok)</v>
      </c>
      <c r="Q214" s="65" t="str" cm="1">
        <f t="array" ref="Q214">_xlfn.IFS([4]Sayfa1!$R210="Bozankaya","Bozankaya",[4]Sayfa1!$R210="İşletme","Customer",[4]Sayfa1!$R210="Tedarikçi","Equipment Supplier")</f>
        <v>Bozankaya</v>
      </c>
      <c r="R214" s="66" t="str">
        <f>[4]Sayfa1!$M210</f>
        <v>28084 NOLU FORM İLE KAPATILDI(FREN ARIZA SEBEBİ İNVERTER KABLOLAMA HATASI KAYNAKLI)</v>
      </c>
      <c r="S214" s="36" t="str">
        <f>[4]Sayfa1!$S210</f>
        <v>Üretim</v>
      </c>
      <c r="T214" s="67">
        <f>[4]Sayfa1!$Z210</f>
        <v>0</v>
      </c>
      <c r="U214" s="68">
        <f>[4]Sayfa1!$AN210</f>
        <v>1</v>
      </c>
      <c r="V214" s="60">
        <f>[4]Sayfa1!$T210</f>
        <v>45457</v>
      </c>
      <c r="W214" s="61">
        <f>[4]Sayfa1!$U210</f>
        <v>45457.541666666664</v>
      </c>
      <c r="X214" s="69">
        <f t="shared" si="53"/>
        <v>45457.541666666664</v>
      </c>
      <c r="Y214" s="70">
        <f>[4]Sayfa1!$AQ210</f>
        <v>45457</v>
      </c>
      <c r="Z214" s="61">
        <f>[4]Sayfa1!$AR210</f>
        <v>45457.75</v>
      </c>
      <c r="AA214" s="69">
        <f t="shared" si="54"/>
        <v>45457.75</v>
      </c>
      <c r="AB214" s="71">
        <f t="shared" si="55"/>
        <v>0</v>
      </c>
      <c r="AC214" s="60">
        <f t="shared" si="56"/>
        <v>45457</v>
      </c>
      <c r="AD214" s="61">
        <f t="shared" si="57"/>
        <v>45457.75</v>
      </c>
      <c r="AE214" s="69">
        <f t="shared" si="58"/>
        <v>45457.75</v>
      </c>
      <c r="AF214" s="36" t="str">
        <f>[4]Sayfa1!$AP210</f>
        <v>(I) İlk defa karşılaşılan arıza</v>
      </c>
      <c r="AG214" s="33" t="str">
        <f>IF([4]Sayfa1!$J210="C-Uyarı, sürüş devamlılığı","Bu Arıza Aracın Servise Verilmesine Engel Değil","Bu Arıza Aracın Servise Verilmesine Engel")</f>
        <v>Bu Arıza Aracın Servise Verilmesine Engel</v>
      </c>
      <c r="AH214" s="41" t="str">
        <f>[4]Sayfa1!$AB210</f>
        <v>Arıza çözülecek</v>
      </c>
      <c r="AI214" s="60"/>
      <c r="AJ214" s="60"/>
      <c r="AK214" s="69">
        <f t="shared" si="59"/>
        <v>0</v>
      </c>
      <c r="AL214" s="71">
        <f t="shared" si="60"/>
        <v>0</v>
      </c>
      <c r="AM214" s="71">
        <f t="shared" si="61"/>
        <v>0</v>
      </c>
      <c r="AN214" s="72">
        <f t="shared" si="62"/>
        <v>0</v>
      </c>
      <c r="AO214" s="73" t="str">
        <f>[4]Sayfa1!$X210</f>
        <v>P620-7023</v>
      </c>
      <c r="AP214" s="72">
        <f>[4]Sayfa1!$Y210</f>
        <v>1</v>
      </c>
      <c r="AQ214" s="184" t="str">
        <f>[4]Sayfa1!$V210</f>
        <v>MEDCOM SP. Z O.O.</v>
      </c>
      <c r="AR214" s="74" t="str">
        <f>[4]Sayfa1!$W210</f>
        <v>COMBO KUTUSU (+LHD) MEDCOM</v>
      </c>
      <c r="AS214" s="74">
        <f>[4]Sayfa1!$AD210</f>
        <v>0</v>
      </c>
      <c r="AT214" s="60" t="str">
        <f>[4]Sayfa1!$AE210</f>
        <v/>
      </c>
      <c r="AU214" s="60" t="str">
        <f>[4]Sayfa1!$AH210</f>
        <v/>
      </c>
      <c r="AV214" s="75">
        <v>209</v>
      </c>
      <c r="AW214" s="76">
        <f t="shared" si="63"/>
        <v>0</v>
      </c>
      <c r="AX214" s="77" t="str">
        <f>[4]Sayfa1!$A210</f>
        <v>e1c560cd</v>
      </c>
      <c r="AY214" s="78" t="s">
        <v>114</v>
      </c>
      <c r="AZ214" s="79" t="e" vm="1">
        <f t="shared" si="64"/>
        <v>#VALUE!</v>
      </c>
    </row>
    <row r="215" spans="1:52" ht="165.6">
      <c r="A215" s="59" t="s">
        <v>270</v>
      </c>
      <c r="B215" s="59" t="str">
        <f>[4]Sayfa1!$G211</f>
        <v>3875(4)</v>
      </c>
      <c r="C215" s="184" t="str">
        <f>[4]Sayfa1!$H211</f>
        <v>MA</v>
      </c>
      <c r="D215" s="24">
        <f>[4]Sayfa1!$N211</f>
        <v>48000</v>
      </c>
      <c r="E215" s="24" t="str">
        <f>[4]Sayfa1!$B211</f>
        <v>BOZ-KAY5+6-FF-210</v>
      </c>
      <c r="F215" s="60">
        <f>[4]Sayfa1!$E211</f>
        <v>45461</v>
      </c>
      <c r="G215" s="61">
        <f>[4]Sayfa1!$F211</f>
        <v>45461.625</v>
      </c>
      <c r="H215" s="59" t="str">
        <f>[4]Sayfa1!$I211</f>
        <v>Hat/Line</v>
      </c>
      <c r="I215" s="62" t="str">
        <f>IF([4]Sayfa1!$K211="SSH","Notified by Bozankaya","Notified by Customer")</f>
        <v>Notified by Customer</v>
      </c>
      <c r="J215" s="59" t="e">
        <f>VLOOKUP([4]Sayfa1!$AU211,#REF!,2,FALSE)</f>
        <v>#REF!</v>
      </c>
      <c r="K215" s="59">
        <f>[4]Sayfa1!$AC211</f>
        <v>0</v>
      </c>
      <c r="L215" s="63" t="str">
        <f t="shared" si="52"/>
        <v>KAY_5+162-BOZ-KAY5+6-FF-210</v>
      </c>
      <c r="M215" s="64" t="str">
        <f>[4]Sayfa1!$L211</f>
        <v>Araç 20 km ivmede zorlanıyor.20 km altında frende uzama yaşanıyor</v>
      </c>
      <c r="N215" s="33" t="str">
        <f>[4]Sayfa1!$J211</f>
        <v>B-Hız veya güç azalması</v>
      </c>
      <c r="O215" s="33" t="str">
        <f>[4]Sayfa1!$P211</f>
        <v>B(Servisten çekmeye etki eden arızalar)</v>
      </c>
      <c r="P215" s="33" t="str">
        <f>[4]Sayfa1!$Q211</f>
        <v>N.A(Yaralanma yok)</v>
      </c>
      <c r="Q215" s="65" t="str" cm="1">
        <f t="array" ref="Q215">_xlfn.IFS([4]Sayfa1!$R211="Bozankaya","Bozankaya",[4]Sayfa1!$R211="İşletme","Customer",[4]Sayfa1!$R211="Tedarikçi","Equipment Supplier")</f>
        <v>Equipment Supplier</v>
      </c>
      <c r="R215" s="66" t="str">
        <f>[4]Sayfa1!$M211</f>
        <v>fren arızası inverterde bulunan kablolama hatasından dolayı veriyor.Hata düzeltildi,sorun giderildi.</v>
      </c>
      <c r="S215" s="36" t="str">
        <f>[4]Sayfa1!$S211</f>
        <v>Medcom</v>
      </c>
      <c r="T215" s="67">
        <f>[4]Sayfa1!$Z211</f>
        <v>0</v>
      </c>
      <c r="U215" s="68">
        <f>[4]Sayfa1!$AN211</f>
        <v>1</v>
      </c>
      <c r="V215" s="60">
        <f>[4]Sayfa1!$T211</f>
        <v>45538</v>
      </c>
      <c r="W215" s="61">
        <f>[4]Sayfa1!$U211</f>
        <v>45538.407256944447</v>
      </c>
      <c r="X215" s="69">
        <f t="shared" si="53"/>
        <v>45538.407256944447</v>
      </c>
      <c r="Y215" s="70">
        <f>[4]Sayfa1!$AQ211</f>
        <v>45538</v>
      </c>
      <c r="Z215" s="61">
        <f>[4]Sayfa1!$AR211</f>
        <v>45538.625</v>
      </c>
      <c r="AA215" s="69">
        <f t="shared" si="54"/>
        <v>45538.625</v>
      </c>
      <c r="AB215" s="71">
        <f t="shared" si="55"/>
        <v>5.2258333332720213</v>
      </c>
      <c r="AC215" s="60">
        <f t="shared" si="56"/>
        <v>45538</v>
      </c>
      <c r="AD215" s="61">
        <f t="shared" si="57"/>
        <v>45538.625</v>
      </c>
      <c r="AE215" s="69">
        <f t="shared" si="58"/>
        <v>45538.625</v>
      </c>
      <c r="AF215" s="36" t="str">
        <f>[4]Sayfa1!$AP211</f>
        <v>(I) İlk defa karşılaşılan arıza</v>
      </c>
      <c r="AG215" s="33" t="str">
        <f>IF([4]Sayfa1!$J211="C-Uyarı, sürüş devamlılığı","Bu Arıza Aracın Servise Verilmesine Engel Değil","Bu Arıza Aracın Servise Verilmesine Engel")</f>
        <v>Bu Arıza Aracın Servise Verilmesine Engel</v>
      </c>
      <c r="AH215" s="41" t="str">
        <f>[4]Sayfa1!$AB211</f>
        <v>Arıza çözülecek</v>
      </c>
      <c r="AI215" s="60"/>
      <c r="AJ215" s="60"/>
      <c r="AK215" s="69">
        <f t="shared" si="59"/>
        <v>0</v>
      </c>
      <c r="AL215" s="71">
        <f t="shared" si="60"/>
        <v>313.54999999632128</v>
      </c>
      <c r="AM215" s="71">
        <f t="shared" si="61"/>
        <v>313.54999999632128</v>
      </c>
      <c r="AN215" s="72">
        <f t="shared" si="62"/>
        <v>0</v>
      </c>
      <c r="AO215" s="73" t="str">
        <f>[4]Sayfa1!$X211</f>
        <v>P620-7023</v>
      </c>
      <c r="AP215" s="72">
        <f>[4]Sayfa1!$Y211</f>
        <v>1</v>
      </c>
      <c r="AQ215" s="184" t="str">
        <f>[4]Sayfa1!$V211</f>
        <v>MEDCOM SP. Z O.O.</v>
      </c>
      <c r="AR215" s="74" t="str">
        <f>[4]Sayfa1!$W211</f>
        <v>COMBO KUTUSU (+LHD) MEDCOM</v>
      </c>
      <c r="AS215" s="74">
        <f>[4]Sayfa1!$AD211</f>
        <v>0</v>
      </c>
      <c r="AT215" s="60" t="str">
        <f>[4]Sayfa1!$AE211</f>
        <v/>
      </c>
      <c r="AU215" s="60" t="str">
        <f>[4]Sayfa1!$AH211</f>
        <v/>
      </c>
      <c r="AV215" s="75">
        <v>210</v>
      </c>
      <c r="AW215" s="76">
        <f t="shared" si="63"/>
        <v>57.484166665992234</v>
      </c>
      <c r="AX215" s="77" t="str">
        <f>[4]Sayfa1!$A211</f>
        <v>a345a59b</v>
      </c>
      <c r="AY215" s="78" t="s">
        <v>114</v>
      </c>
      <c r="AZ215" s="79" t="e" vm="1">
        <f t="shared" si="64"/>
        <v>#VALUE!</v>
      </c>
    </row>
    <row r="216" spans="1:52" ht="207">
      <c r="A216" s="59" t="s">
        <v>271</v>
      </c>
      <c r="B216" s="59" t="str">
        <f>[4]Sayfa1!$G212</f>
        <v>3875(4)</v>
      </c>
      <c r="C216" s="184" t="str">
        <f>[4]Sayfa1!$H212</f>
        <v>MA</v>
      </c>
      <c r="D216" s="24">
        <f>[4]Sayfa1!$N212</f>
        <v>50000</v>
      </c>
      <c r="E216" s="24" t="str">
        <f>[4]Sayfa1!$B212</f>
        <v>BOZ-KAY5+6-FF-211</v>
      </c>
      <c r="F216" s="60">
        <f>[4]Sayfa1!$E212</f>
        <v>45461</v>
      </c>
      <c r="G216" s="61">
        <f>[4]Sayfa1!$F212</f>
        <v>45461.625</v>
      </c>
      <c r="H216" s="59" t="str">
        <f>[4]Sayfa1!$I212</f>
        <v>Hat/Line</v>
      </c>
      <c r="I216" s="62" t="str">
        <f>IF([4]Sayfa1!$K212="SSH","Notified by Bozankaya","Notified by Customer")</f>
        <v>Notified by Customer</v>
      </c>
      <c r="J216" s="59" t="e">
        <f>VLOOKUP([4]Sayfa1!$AU212,#REF!,2,FALSE)</f>
        <v>#REF!</v>
      </c>
      <c r="K216" s="59">
        <f>[4]Sayfa1!$AC212</f>
        <v>0</v>
      </c>
      <c r="L216" s="63" t="str">
        <f t="shared" si="52"/>
        <v>KAY_5+163-BOZ-KAY5+6-FF-211</v>
      </c>
      <c r="M216" s="64" t="str">
        <f>[4]Sayfa1!$L212</f>
        <v>ARAÇ 20 KM İVMEDE ZORALNIYOR 20KM ALTINDA FRENDE UZAMA YAŞANIYOR</v>
      </c>
      <c r="N216" s="33" t="str">
        <f>[4]Sayfa1!$J212</f>
        <v>A-Sürüşü engeller</v>
      </c>
      <c r="O216" s="33" t="str">
        <f>[4]Sayfa1!$P212</f>
        <v>A(Hareket etmeyi engelleyen arıza)</v>
      </c>
      <c r="P216" s="33" t="str">
        <f>[4]Sayfa1!$Q212</f>
        <v>N.A(Yaralanma yok)</v>
      </c>
      <c r="Q216" s="65" t="str" cm="1">
        <f t="array" ref="Q216">_xlfn.IFS([4]Sayfa1!$R212="Bozankaya","Bozankaya",[4]Sayfa1!$R212="İşletme","Customer",[4]Sayfa1!$R212="Tedarikçi","Equipment Supplier")</f>
        <v>Bozankaya</v>
      </c>
      <c r="R216" s="66" t="str">
        <f>[4]Sayfa1!$M212</f>
        <v>FREN ARIZASI İNVERTERDE BULUNAN KABLOLAMA HATASINDAN DOLAYI VERİYOR KABLOLAMA DÜZELTİLDİ</v>
      </c>
      <c r="S216" s="36" t="str">
        <f>[4]Sayfa1!$S212</f>
        <v>Üretim</v>
      </c>
      <c r="T216" s="67">
        <f>[4]Sayfa1!$Z212</f>
        <v>0</v>
      </c>
      <c r="U216" s="68">
        <f>[4]Sayfa1!$AN212</f>
        <v>1</v>
      </c>
      <c r="V216" s="60">
        <f>[4]Sayfa1!$T212</f>
        <v>45461</v>
      </c>
      <c r="W216" s="61">
        <f>[4]Sayfa1!$U212</f>
        <v>45461.625</v>
      </c>
      <c r="X216" s="69">
        <f t="shared" si="53"/>
        <v>45461.625</v>
      </c>
      <c r="Y216" s="70">
        <f>[4]Sayfa1!$AQ212</f>
        <v>45462</v>
      </c>
      <c r="Z216" s="61">
        <f>[4]Sayfa1!$AR212</f>
        <v>45462.416666666664</v>
      </c>
      <c r="AA216" s="69">
        <f t="shared" si="54"/>
        <v>45462.416666666664</v>
      </c>
      <c r="AB216" s="71">
        <f t="shared" si="55"/>
        <v>18.999999999941792</v>
      </c>
      <c r="AC216" s="60">
        <f t="shared" si="56"/>
        <v>45462</v>
      </c>
      <c r="AD216" s="61">
        <f t="shared" si="57"/>
        <v>45462.416666666664</v>
      </c>
      <c r="AE216" s="69">
        <f t="shared" si="58"/>
        <v>45462.416666666664</v>
      </c>
      <c r="AF216" s="36" t="str">
        <f>[4]Sayfa1!$AP212</f>
        <v>(I) İlk defa karşılaşılan arıza</v>
      </c>
      <c r="AG216" s="33" t="str">
        <f>IF([4]Sayfa1!$J212="C-Uyarı, sürüş devamlılığı","Bu Arıza Aracın Servise Verilmesine Engel Değil","Bu Arıza Aracın Servise Verilmesine Engel")</f>
        <v>Bu Arıza Aracın Servise Verilmesine Engel</v>
      </c>
      <c r="AH216" s="41">
        <f>[4]Sayfa1!$AB212</f>
        <v>0</v>
      </c>
      <c r="AI216" s="60"/>
      <c r="AJ216" s="60"/>
      <c r="AK216" s="69">
        <f t="shared" si="59"/>
        <v>0</v>
      </c>
      <c r="AL216" s="71">
        <f t="shared" si="60"/>
        <v>1139.9999999965075</v>
      </c>
      <c r="AM216" s="71">
        <f t="shared" si="61"/>
        <v>1139.9999999965075</v>
      </c>
      <c r="AN216" s="72">
        <f t="shared" si="62"/>
        <v>0</v>
      </c>
      <c r="AO216" s="73" t="str">
        <f>[4]Sayfa1!$X212</f>
        <v>P620-7023</v>
      </c>
      <c r="AP216" s="72">
        <f>[4]Sayfa1!$Y212</f>
        <v>1</v>
      </c>
      <c r="AQ216" s="184" t="str">
        <f>[4]Sayfa1!$V212</f>
        <v>MEDCOM SP. Z O.O.</v>
      </c>
      <c r="AR216" s="74" t="str">
        <f>[4]Sayfa1!$W212</f>
        <v>COMBO KUTUSU (+LHD) MEDCOM</v>
      </c>
      <c r="AS216" s="74">
        <f>[4]Sayfa1!$AD212</f>
        <v>0</v>
      </c>
      <c r="AT216" s="60" t="str">
        <f>[4]Sayfa1!$AE212</f>
        <v/>
      </c>
      <c r="AU216" s="60" t="str">
        <f>[4]Sayfa1!$AH212</f>
        <v/>
      </c>
      <c r="AV216" s="75">
        <v>211</v>
      </c>
      <c r="AW216" s="76">
        <f t="shared" si="63"/>
        <v>208.99999999935972</v>
      </c>
      <c r="AX216" s="77" t="str">
        <f>[4]Sayfa1!$A212</f>
        <v>a9a6e496</v>
      </c>
      <c r="AY216" s="78" t="s">
        <v>114</v>
      </c>
      <c r="AZ216" s="79" t="e" vm="1">
        <f t="shared" si="64"/>
        <v>#VALUE!</v>
      </c>
    </row>
    <row r="217" spans="1:52" ht="165.6">
      <c r="A217" s="59" t="s">
        <v>272</v>
      </c>
      <c r="B217" s="59" t="str">
        <f>[4]Sayfa1!$G213</f>
        <v>3880(9)</v>
      </c>
      <c r="C217" s="184" t="str">
        <f>[4]Sayfa1!$H213</f>
        <v>MA</v>
      </c>
      <c r="D217" s="24">
        <f>[4]Sayfa1!$N213</f>
        <v>26500</v>
      </c>
      <c r="E217" s="24" t="str">
        <f>[4]Sayfa1!$B213</f>
        <v>BOZ-KAY5+6-FF-212</v>
      </c>
      <c r="F217" s="60">
        <f>[4]Sayfa1!$E213</f>
        <v>45465</v>
      </c>
      <c r="G217" s="61">
        <f>[4]Sayfa1!$F213</f>
        <v>45465.706944444442</v>
      </c>
      <c r="H217" s="59" t="str">
        <f>[4]Sayfa1!$I213</f>
        <v>Hat/Line</v>
      </c>
      <c r="I217" s="62" t="str">
        <f>IF([4]Sayfa1!$K213="SSH","Notified by Bozankaya","Notified by Customer")</f>
        <v>Notified by Customer</v>
      </c>
      <c r="J217" s="59" t="e">
        <f>VLOOKUP([4]Sayfa1!$AU213,#REF!,2,FALSE)</f>
        <v>#REF!</v>
      </c>
      <c r="K217" s="59">
        <f>[4]Sayfa1!$AC213</f>
        <v>0</v>
      </c>
      <c r="L217" s="63" t="str">
        <f t="shared" si="52"/>
        <v>KAY_5+164-BOZ-KAY5+6-FF-212</v>
      </c>
      <c r="M217" s="64" t="str">
        <f>[4]Sayfa1!$L213</f>
        <v>30 km de frene geçtiğinde araç geç duruyor ve 0 dan km ye kadar geç ivmeleniyor</v>
      </c>
      <c r="N217" s="33" t="str">
        <f>[4]Sayfa1!$J213</f>
        <v>B-Hız veya güç azalması</v>
      </c>
      <c r="O217" s="33" t="str">
        <f>[4]Sayfa1!$P213</f>
        <v>B(Servisten çekmeye etki eden arızalar)</v>
      </c>
      <c r="P217" s="33" t="str">
        <f>[4]Sayfa1!$Q213</f>
        <v>N.A(Yaralanma yok)</v>
      </c>
      <c r="Q217" s="65" t="str" cm="1">
        <f t="array" ref="Q217">_xlfn.IFS([4]Sayfa1!$R213="Bozankaya","Bozankaya",[4]Sayfa1!$R213="İşletme","Customer",[4]Sayfa1!$R213="Tedarikçi","Equipment Supplier")</f>
        <v>Equipment Supplier</v>
      </c>
      <c r="R217" s="66" t="str">
        <f>[4]Sayfa1!$M213</f>
        <v>medcom firması yazılım yükledi</v>
      </c>
      <c r="S217" s="36" t="str">
        <f>[4]Sayfa1!$S213</f>
        <v>Medcom</v>
      </c>
      <c r="T217" s="67">
        <f>[4]Sayfa1!$Z213</f>
        <v>0</v>
      </c>
      <c r="U217" s="68">
        <f>[4]Sayfa1!$AN213</f>
        <v>1</v>
      </c>
      <c r="V217" s="60">
        <f>[4]Sayfa1!$T213</f>
        <v>45530</v>
      </c>
      <c r="W217" s="61">
        <f>[4]Sayfa1!$U213</f>
        <v>45530.489085648151</v>
      </c>
      <c r="X217" s="69">
        <f t="shared" si="53"/>
        <v>45530.489085648151</v>
      </c>
      <c r="Y217" s="70">
        <f>[4]Sayfa1!$AQ213</f>
        <v>45530</v>
      </c>
      <c r="Z217" s="61">
        <f>[4]Sayfa1!$AR213</f>
        <v>45530.666666666664</v>
      </c>
      <c r="AA217" s="69">
        <f t="shared" si="54"/>
        <v>45530.666666666664</v>
      </c>
      <c r="AB217" s="71">
        <f t="shared" si="55"/>
        <v>4.2619444443262182</v>
      </c>
      <c r="AC217" s="60">
        <f t="shared" si="56"/>
        <v>45530</v>
      </c>
      <c r="AD217" s="61">
        <f t="shared" si="57"/>
        <v>45530.666666666664</v>
      </c>
      <c r="AE217" s="69">
        <f t="shared" si="58"/>
        <v>45530.666666666664</v>
      </c>
      <c r="AF217" s="36" t="str">
        <f>[4]Sayfa1!$AP213</f>
        <v>(II) Birden fazla karşılaşılan arıza</v>
      </c>
      <c r="AG217" s="33" t="str">
        <f>IF([4]Sayfa1!$J213="C-Uyarı, sürüş devamlılığı","Bu Arıza Aracın Servise Verilmesine Engel Değil","Bu Arıza Aracın Servise Verilmesine Engel")</f>
        <v>Bu Arıza Aracın Servise Verilmesine Engel</v>
      </c>
      <c r="AH217" s="41" t="str">
        <f>[4]Sayfa1!$AB213</f>
        <v>Yazılım güncelleme</v>
      </c>
      <c r="AI217" s="60"/>
      <c r="AJ217" s="60"/>
      <c r="AK217" s="69">
        <f t="shared" si="59"/>
        <v>0</v>
      </c>
      <c r="AL217" s="71">
        <f t="shared" si="60"/>
        <v>255.71666665957309</v>
      </c>
      <c r="AM217" s="71">
        <f t="shared" si="61"/>
        <v>255.71666665957309</v>
      </c>
      <c r="AN217" s="72">
        <f t="shared" si="62"/>
        <v>0</v>
      </c>
      <c r="AO217" s="73" t="str">
        <f>[4]Sayfa1!$X213</f>
        <v>E110-7659</v>
      </c>
      <c r="AP217" s="72">
        <f>[4]Sayfa1!$Y213</f>
        <v>1</v>
      </c>
      <c r="AQ217" s="184" t="str">
        <f>[4]Sayfa1!$V213</f>
        <v>MEDCOM SP. Z O.O.</v>
      </c>
      <c r="AR217" s="74" t="str">
        <f>[4]Sayfa1!$W213</f>
        <v>MEDCOM SICAKLIK SENSÖRÜ</v>
      </c>
      <c r="AS217" s="74">
        <f>[4]Sayfa1!$AD213</f>
        <v>0</v>
      </c>
      <c r="AT217" s="60" t="str">
        <f>[4]Sayfa1!$AE213</f>
        <v/>
      </c>
      <c r="AU217" s="60" t="str">
        <f>[4]Sayfa1!$AH213</f>
        <v/>
      </c>
      <c r="AV217" s="75">
        <v>212</v>
      </c>
      <c r="AW217" s="76">
        <f t="shared" si="63"/>
        <v>46.8813888875884</v>
      </c>
      <c r="AX217" s="77" t="str">
        <f>[4]Sayfa1!$A213</f>
        <v>1b0468a0</v>
      </c>
      <c r="AY217" s="78" t="s">
        <v>114</v>
      </c>
      <c r="AZ217" s="79" t="e" vm="1">
        <f t="shared" si="64"/>
        <v>#VALUE!</v>
      </c>
    </row>
    <row r="218" spans="1:52" ht="317.45">
      <c r="A218" s="59" t="s">
        <v>273</v>
      </c>
      <c r="B218" s="59" t="str">
        <f>[4]Sayfa1!$G214</f>
        <v>3874(3)</v>
      </c>
      <c r="C218" s="184" t="str">
        <f>[4]Sayfa1!$H214</f>
        <v>MB</v>
      </c>
      <c r="D218" s="24">
        <f>[4]Sayfa1!$N214</f>
        <v>71969</v>
      </c>
      <c r="E218" s="24" t="str">
        <f>[4]Sayfa1!$B214</f>
        <v>BOZ-KAY5+6-FF-213</v>
      </c>
      <c r="F218" s="60">
        <f>[4]Sayfa1!$E214</f>
        <v>45465</v>
      </c>
      <c r="G218" s="61">
        <f>[4]Sayfa1!$F214</f>
        <v>45465.763888888891</v>
      </c>
      <c r="H218" s="59" t="str">
        <f>[4]Sayfa1!$I214</f>
        <v>Hat/Line</v>
      </c>
      <c r="I218" s="62" t="str">
        <f>IF([4]Sayfa1!$K214="SSH","Notified by Bozankaya","Notified by Customer")</f>
        <v>Notified by Customer</v>
      </c>
      <c r="J218" s="59" t="e">
        <f>VLOOKUP([4]Sayfa1!$AU214,#REF!,2,FALSE)</f>
        <v>#REF!</v>
      </c>
      <c r="K218" s="59">
        <f>[4]Sayfa1!$AC214</f>
        <v>0</v>
      </c>
      <c r="L218" s="63" t="str">
        <f t="shared" si="52"/>
        <v>KAY_5+165-BOZ-KAY5+6-FF-213</v>
      </c>
      <c r="M218" s="64" t="str">
        <f>[4]Sayfa1!$L214</f>
        <v>6 NUMARALI KAPI ARA ARA ARIZAYA DÜŞÜYOR, KAPILAR TEKRAR AÇILIP KAPANINCA NORMALE DÖNÜYOR. 2 NUMARALI KAPI SES SEVİYESİ YÜKSEK.</v>
      </c>
      <c r="N218" s="33" t="str">
        <f>[4]Sayfa1!$J214</f>
        <v>C-Uyarı, sürüş devamlılığı</v>
      </c>
      <c r="O218" s="33" t="str">
        <f>[4]Sayfa1!$P214</f>
        <v>B(Servisten çekmeye etki eden arızalar)</v>
      </c>
      <c r="P218" s="33" t="str">
        <f>[4]Sayfa1!$Q214</f>
        <v>N.A(Yaralanma yok)</v>
      </c>
      <c r="Q218" s="65" t="str" cm="1">
        <f t="array" ref="Q218">_xlfn.IFS([4]Sayfa1!$R214="Bozankaya","Bozankaya",[4]Sayfa1!$R214="İşletme","Customer",[4]Sayfa1!$R214="Tedarikçi","Equipment Supplier")</f>
        <v>Equipment Supplier</v>
      </c>
      <c r="R218" s="66" t="str">
        <f>[4]Sayfa1!$M214</f>
        <v>ARACIN 12 VE 1 NUMARALI KAPILARININ BUZZERLARI ÇOK SES ÇIKARTIYORDU. DÜZELTİLDİ. 6 NUMARALI KAPI KONTOL EDİLDİ HERHANGİ BİR ARIZAYA RASTLANMADI.</v>
      </c>
      <c r="S218" s="36" t="str">
        <f>[4]Sayfa1!$S214</f>
        <v>IFE</v>
      </c>
      <c r="T218" s="67">
        <f>[4]Sayfa1!$Z214</f>
        <v>0</v>
      </c>
      <c r="U218" s="68">
        <f>[4]Sayfa1!$AN214</f>
        <v>1</v>
      </c>
      <c r="V218" s="60">
        <f>[4]Sayfa1!$T214</f>
        <v>45465</v>
      </c>
      <c r="W218" s="61">
        <f>[4]Sayfa1!$U214</f>
        <v>45465.791666666664</v>
      </c>
      <c r="X218" s="69">
        <f t="shared" si="53"/>
        <v>45465.791666666664</v>
      </c>
      <c r="Y218" s="70">
        <f>[4]Sayfa1!$AQ214</f>
        <v>45465</v>
      </c>
      <c r="Z218" s="61">
        <f>[4]Sayfa1!$AR214</f>
        <v>45465.854166666664</v>
      </c>
      <c r="AA218" s="69">
        <f t="shared" si="54"/>
        <v>45465.854166666664</v>
      </c>
      <c r="AB218" s="71">
        <f t="shared" si="55"/>
        <v>0</v>
      </c>
      <c r="AC218" s="60">
        <f t="shared" si="56"/>
        <v>45465</v>
      </c>
      <c r="AD218" s="61">
        <f t="shared" si="57"/>
        <v>45465.854166666664</v>
      </c>
      <c r="AE218" s="69">
        <f t="shared" si="58"/>
        <v>45465.854166666664</v>
      </c>
      <c r="AF218" s="36" t="str">
        <f>[4]Sayfa1!$AP214</f>
        <v>(III) Birden fazla aynı araçta karşılaşılan arıza</v>
      </c>
      <c r="AG218" s="33" t="str">
        <f>IF([4]Sayfa1!$J214="C-Uyarı, sürüş devamlılığı","Bu Arıza Aracın Servise Verilmesine Engel Değil","Bu Arıza Aracın Servise Verilmesine Engel")</f>
        <v>Bu Arıza Aracın Servise Verilmesine Engel Değil</v>
      </c>
      <c r="AH218" s="41" t="str">
        <f>[4]Sayfa1!$AB214</f>
        <v>Arıza çözülecek</v>
      </c>
      <c r="AI218" s="60"/>
      <c r="AJ218" s="60"/>
      <c r="AK218" s="69">
        <f t="shared" si="59"/>
        <v>0</v>
      </c>
      <c r="AL218" s="71">
        <f t="shared" si="60"/>
        <v>0</v>
      </c>
      <c r="AM218" s="71">
        <f t="shared" si="61"/>
        <v>0</v>
      </c>
      <c r="AN218" s="72">
        <f t="shared" si="62"/>
        <v>0</v>
      </c>
      <c r="AO218" s="73" t="str">
        <f>[4]Sayfa1!$X214</f>
        <v>M110-7057</v>
      </c>
      <c r="AP218" s="72">
        <f>[4]Sayfa1!$Y214</f>
        <v>2</v>
      </c>
      <c r="AQ218" s="184" t="str">
        <f>[4]Sayfa1!$V214</f>
        <v>TURCK OTOMASYON TİC. LTD.ŞTİ.</v>
      </c>
      <c r="AR218" s="74" t="str">
        <f>[4]Sayfa1!$W214</f>
        <v>SESLI UYARI CIHAZI</v>
      </c>
      <c r="AS218" s="74">
        <f>[4]Sayfa1!$AD214</f>
        <v>0</v>
      </c>
      <c r="AT218" s="60" t="str">
        <f>[4]Sayfa1!$AE214</f>
        <v/>
      </c>
      <c r="AU218" s="60">
        <f>[4]Sayfa1!$AH214</f>
        <v>0</v>
      </c>
      <c r="AV218" s="75">
        <v>213</v>
      </c>
      <c r="AW218" s="76">
        <f t="shared" si="63"/>
        <v>0</v>
      </c>
      <c r="AX218" s="77" t="str">
        <f>[4]Sayfa1!$A214</f>
        <v>37bf0360</v>
      </c>
      <c r="AY218" s="78" t="s">
        <v>114</v>
      </c>
      <c r="AZ218" s="79" t="e" vm="1">
        <f t="shared" si="64"/>
        <v>#VALUE!</v>
      </c>
    </row>
    <row r="219" spans="1:52" ht="317.45">
      <c r="A219" s="59" t="s">
        <v>274</v>
      </c>
      <c r="B219" s="59" t="str">
        <f>[4]Sayfa1!$G215</f>
        <v>3874(3)</v>
      </c>
      <c r="C219" s="184" t="str">
        <f>[4]Sayfa1!$H215</f>
        <v>MA</v>
      </c>
      <c r="D219" s="24">
        <f>[4]Sayfa1!$N215</f>
        <v>71969</v>
      </c>
      <c r="E219" s="24" t="str">
        <f>[4]Sayfa1!$B215</f>
        <v>BOZ-KAY5+6-FF-214</v>
      </c>
      <c r="F219" s="60">
        <f>[4]Sayfa1!$E215</f>
        <v>45465</v>
      </c>
      <c r="G219" s="61">
        <f>[4]Sayfa1!$F215</f>
        <v>45465.763888888891</v>
      </c>
      <c r="H219" s="59" t="str">
        <f>[4]Sayfa1!$I215</f>
        <v>Hat/Line</v>
      </c>
      <c r="I219" s="62" t="str">
        <f>IF([4]Sayfa1!$K215="SSH","Notified by Bozankaya","Notified by Customer")</f>
        <v>Notified by Customer</v>
      </c>
      <c r="J219" s="59" t="e">
        <f>VLOOKUP([4]Sayfa1!$AU215,#REF!,2,FALSE)</f>
        <v>#REF!</v>
      </c>
      <c r="K219" s="59">
        <f>[4]Sayfa1!$AC215</f>
        <v>0</v>
      </c>
      <c r="L219" s="63" t="str">
        <f t="shared" si="52"/>
        <v>KAY_5+166-BOZ-KAY5+6-FF-214</v>
      </c>
      <c r="M219" s="64" t="str">
        <f>[4]Sayfa1!$L215</f>
        <v>6 NUMARALI KAPI ARA ARA ARIZAYA DÜŞÜYOR. KAPILAR TEKRAR AÇILIP KAPANINCA NORMALE DÖNÜYOR. 2 NUMARALI KAPI SES SEVİYESİ YÜKSEK.</v>
      </c>
      <c r="N219" s="33" t="str">
        <f>[4]Sayfa1!$J215</f>
        <v>C-Uyarı, sürüş devamlılığı</v>
      </c>
      <c r="O219" s="33" t="str">
        <f>[4]Sayfa1!$P215</f>
        <v>B(Servisten çekmeye etki eden arızalar)</v>
      </c>
      <c r="P219" s="33" t="str">
        <f>[4]Sayfa1!$Q215</f>
        <v>N.A(Yaralanma yok)</v>
      </c>
      <c r="Q219" s="65" t="str" cm="1">
        <f t="array" ref="Q219">_xlfn.IFS([4]Sayfa1!$R215="Bozankaya","Bozankaya",[4]Sayfa1!$R215="İşletme","Customer",[4]Sayfa1!$R215="Tedarikçi","Equipment Supplier")</f>
        <v>Equipment Supplier</v>
      </c>
      <c r="R219" s="66" t="str">
        <f>[4]Sayfa1!$M215</f>
        <v>ARACIN 12 VE 1 NUMARALI KAPILARININ BUZZERLARI ÇOK SES ÇIKARTIYORDU.DÜZELTİLDİ. 6 NUMARALI KAPI KONTROL EDİLDİ HERHANGİ BİR ARIZAYA RASTLANMADI.</v>
      </c>
      <c r="S219" s="36" t="str">
        <f>[4]Sayfa1!$S215</f>
        <v>Bozankaya</v>
      </c>
      <c r="T219" s="67">
        <f>[4]Sayfa1!$Z215</f>
        <v>0</v>
      </c>
      <c r="U219" s="68">
        <f>[4]Sayfa1!$AN215</f>
        <v>1</v>
      </c>
      <c r="V219" s="60">
        <f>[4]Sayfa1!$T215</f>
        <v>45465</v>
      </c>
      <c r="W219" s="61">
        <f>[4]Sayfa1!$U215</f>
        <v>45465.791666666664</v>
      </c>
      <c r="X219" s="69">
        <f t="shared" si="53"/>
        <v>45465.791666666664</v>
      </c>
      <c r="Y219" s="70">
        <f>[4]Sayfa1!$AQ215</f>
        <v>45465</v>
      </c>
      <c r="Z219" s="61">
        <f>[4]Sayfa1!$AR215</f>
        <v>45465.854166666664</v>
      </c>
      <c r="AA219" s="69">
        <f t="shared" si="54"/>
        <v>45465.854166666664</v>
      </c>
      <c r="AB219" s="71">
        <f t="shared" si="55"/>
        <v>0</v>
      </c>
      <c r="AC219" s="60">
        <f t="shared" si="56"/>
        <v>45465</v>
      </c>
      <c r="AD219" s="61">
        <f t="shared" si="57"/>
        <v>45465.854166666664</v>
      </c>
      <c r="AE219" s="69">
        <f t="shared" si="58"/>
        <v>45465.854166666664</v>
      </c>
      <c r="AF219" s="36" t="str">
        <f>[4]Sayfa1!$AP215</f>
        <v>(III) Birden fazla aynı araçta karşılaşılan arıza</v>
      </c>
      <c r="AG219" s="33" t="str">
        <f>IF([4]Sayfa1!$J215="C-Uyarı, sürüş devamlılığı","Bu Arıza Aracın Servise Verilmesine Engel Değil","Bu Arıza Aracın Servise Verilmesine Engel")</f>
        <v>Bu Arıza Aracın Servise Verilmesine Engel Değil</v>
      </c>
      <c r="AH219" s="41" t="str">
        <f>[4]Sayfa1!$AB215</f>
        <v>Tamir edilecek</v>
      </c>
      <c r="AI219" s="60"/>
      <c r="AJ219" s="60"/>
      <c r="AK219" s="69">
        <f t="shared" si="59"/>
        <v>0</v>
      </c>
      <c r="AL219" s="71">
        <f t="shared" si="60"/>
        <v>0</v>
      </c>
      <c r="AM219" s="71">
        <f t="shared" si="61"/>
        <v>0</v>
      </c>
      <c r="AN219" s="72">
        <f t="shared" si="62"/>
        <v>0</v>
      </c>
      <c r="AO219" s="73" t="str">
        <f>[4]Sayfa1!$X215</f>
        <v>M110-7057</v>
      </c>
      <c r="AP219" s="72">
        <f>[4]Sayfa1!$Y215</f>
        <v>1</v>
      </c>
      <c r="AQ219" s="184" t="str">
        <f>[4]Sayfa1!$V215</f>
        <v>TURCK OTOMASYON TİC. LTD.ŞTİ.</v>
      </c>
      <c r="AR219" s="74" t="str">
        <f>[4]Sayfa1!$W215</f>
        <v>SESLI UYARI CIHAZI</v>
      </c>
      <c r="AS219" s="74">
        <f>[4]Sayfa1!$AD215</f>
        <v>0</v>
      </c>
      <c r="AT219" s="60" t="str">
        <f>[4]Sayfa1!$AE215</f>
        <v/>
      </c>
      <c r="AU219" s="60">
        <f>[4]Sayfa1!$AH215</f>
        <v>0</v>
      </c>
      <c r="AV219" s="75">
        <v>214</v>
      </c>
      <c r="AW219" s="76">
        <f t="shared" si="63"/>
        <v>0</v>
      </c>
      <c r="AX219" s="77" t="str">
        <f>[4]Sayfa1!$A215</f>
        <v>1369672c</v>
      </c>
      <c r="AY219" s="78" t="s">
        <v>114</v>
      </c>
      <c r="AZ219" s="79" t="e" vm="1">
        <f t="shared" si="64"/>
        <v>#VALUE!</v>
      </c>
    </row>
    <row r="220" spans="1:52" ht="248.45">
      <c r="A220" s="59" t="s">
        <v>275</v>
      </c>
      <c r="B220" s="59" t="str">
        <f>[4]Sayfa1!$G216</f>
        <v>3879(8)</v>
      </c>
      <c r="C220" s="184" t="str">
        <f>[4]Sayfa1!$H216</f>
        <v>MA</v>
      </c>
      <c r="D220" s="24">
        <f>[4]Sayfa1!$N216</f>
        <v>30000</v>
      </c>
      <c r="E220" s="24" t="str">
        <f>[4]Sayfa1!$B216</f>
        <v>BOZ-KAY5+6-FF-215</v>
      </c>
      <c r="F220" s="60">
        <f>[4]Sayfa1!$E216</f>
        <v>45465</v>
      </c>
      <c r="G220" s="61">
        <f>[4]Sayfa1!$F216</f>
        <v>45465.773611111108</v>
      </c>
      <c r="H220" s="59" t="str">
        <f>[4]Sayfa1!$I216</f>
        <v>Hat/Line</v>
      </c>
      <c r="I220" s="62" t="str">
        <f>IF([4]Sayfa1!$K216="SSH","Notified by Bozankaya","Notified by Customer")</f>
        <v>Notified by Customer</v>
      </c>
      <c r="J220" s="59" t="e">
        <f>VLOOKUP([4]Sayfa1!$AU216,#REF!,2,FALSE)</f>
        <v>#REF!</v>
      </c>
      <c r="K220" s="59">
        <f>[4]Sayfa1!$AC216</f>
        <v>0</v>
      </c>
      <c r="L220" s="63" t="str">
        <f t="shared" si="52"/>
        <v>KAY_5+167-BOZ-KAY5+6-FF-215</v>
      </c>
      <c r="M220" s="64" t="str">
        <f>[4]Sayfa1!$L216</f>
        <v>30 kmden 0 km  hızda iken frenlemesi zayıfve 0-20 km ivmelenmesi yavaş.Tip 2 bozankayanın geneli için aynı sorun vardır</v>
      </c>
      <c r="N220" s="33" t="str">
        <f>[4]Sayfa1!$J216</f>
        <v>B-Hız veya güç azalması</v>
      </c>
      <c r="O220" s="33" t="str">
        <f>[4]Sayfa1!$P216</f>
        <v>B(Servisten çekmeye etki eden arızalar)</v>
      </c>
      <c r="P220" s="33" t="str">
        <f>[4]Sayfa1!$Q216</f>
        <v>N.A(Yaralanma yok)</v>
      </c>
      <c r="Q220" s="65" t="str" cm="1">
        <f t="array" ref="Q220">_xlfn.IFS([4]Sayfa1!$R216="Bozankaya","Bozankaya",[4]Sayfa1!$R216="İşletme","Customer",[4]Sayfa1!$R216="Tedarikçi","Equipment Supplier")</f>
        <v>Equipment Supplier</v>
      </c>
      <c r="R220" s="66" t="str">
        <f>[4]Sayfa1!$M216</f>
        <v>medcom firması yazılım yükledi</v>
      </c>
      <c r="S220" s="36" t="str">
        <f>[4]Sayfa1!$S216</f>
        <v>Medcom</v>
      </c>
      <c r="T220" s="67">
        <f>[4]Sayfa1!$Z216</f>
        <v>0</v>
      </c>
      <c r="U220" s="68">
        <f>[4]Sayfa1!$AN216</f>
        <v>1</v>
      </c>
      <c r="V220" s="60">
        <f>[4]Sayfa1!$T216</f>
        <v>45530</v>
      </c>
      <c r="W220" s="61">
        <f>[4]Sayfa1!$U216</f>
        <v>45530.563969907409</v>
      </c>
      <c r="X220" s="69">
        <f t="shared" si="53"/>
        <v>45530.563969907409</v>
      </c>
      <c r="Y220" s="70">
        <f>[4]Sayfa1!$AQ216</f>
        <v>45530</v>
      </c>
      <c r="Z220" s="61">
        <f>[4]Sayfa1!$AR216</f>
        <v>45530.708333333336</v>
      </c>
      <c r="AA220" s="69">
        <f t="shared" si="54"/>
        <v>45530.708333333336</v>
      </c>
      <c r="AB220" s="71">
        <f t="shared" si="55"/>
        <v>3.4647222222411074</v>
      </c>
      <c r="AC220" s="60">
        <f t="shared" si="56"/>
        <v>45530</v>
      </c>
      <c r="AD220" s="61">
        <f t="shared" si="57"/>
        <v>45530.708333333336</v>
      </c>
      <c r="AE220" s="69">
        <f t="shared" si="58"/>
        <v>45530.708333333336</v>
      </c>
      <c r="AF220" s="36" t="str">
        <f>[4]Sayfa1!$AP216</f>
        <v>(II) Birden fazla karşılaşılan arıza</v>
      </c>
      <c r="AG220" s="33" t="str">
        <f>IF([4]Sayfa1!$J216="C-Uyarı, sürüş devamlılığı","Bu Arıza Aracın Servise Verilmesine Engel Değil","Bu Arıza Aracın Servise Verilmesine Engel")</f>
        <v>Bu Arıza Aracın Servise Verilmesine Engel</v>
      </c>
      <c r="AH220" s="41" t="str">
        <f>[4]Sayfa1!$AB216</f>
        <v>Tamir edilecek</v>
      </c>
      <c r="AI220" s="60"/>
      <c r="AJ220" s="60"/>
      <c r="AK220" s="69">
        <f t="shared" si="59"/>
        <v>0</v>
      </c>
      <c r="AL220" s="71">
        <f t="shared" si="60"/>
        <v>207.88333333446644</v>
      </c>
      <c r="AM220" s="71">
        <f t="shared" si="61"/>
        <v>207.88333333446644</v>
      </c>
      <c r="AN220" s="72">
        <f t="shared" si="62"/>
        <v>0</v>
      </c>
      <c r="AO220" s="73" t="str">
        <f>[4]Sayfa1!$X216</f>
        <v>E110-7659</v>
      </c>
      <c r="AP220" s="72">
        <f>[4]Sayfa1!$Y216</f>
        <v>1</v>
      </c>
      <c r="AQ220" s="184" t="str">
        <f>[4]Sayfa1!$V216</f>
        <v>MEDCOM SP. Z O.O.</v>
      </c>
      <c r="AR220" s="74" t="str">
        <f>[4]Sayfa1!$W216</f>
        <v>MEDCOM SICAKLIK SENSÖRÜ</v>
      </c>
      <c r="AS220" s="74">
        <f>[4]Sayfa1!$AD216</f>
        <v>0</v>
      </c>
      <c r="AT220" s="60" t="str">
        <f>[4]Sayfa1!$AE216</f>
        <v/>
      </c>
      <c r="AU220" s="60" t="str">
        <f>[4]Sayfa1!$AH216</f>
        <v/>
      </c>
      <c r="AV220" s="75">
        <v>215</v>
      </c>
      <c r="AW220" s="76">
        <f t="shared" si="63"/>
        <v>38.111944444652181</v>
      </c>
      <c r="AX220" s="77" t="str">
        <f>[4]Sayfa1!$A216</f>
        <v>d29fac79</v>
      </c>
      <c r="AY220" s="78" t="s">
        <v>114</v>
      </c>
      <c r="AZ220" s="79" t="e" vm="1">
        <f t="shared" si="64"/>
        <v>#VALUE!</v>
      </c>
    </row>
    <row r="221" spans="1:52" ht="148.15">
      <c r="A221" s="59" t="s">
        <v>276</v>
      </c>
      <c r="B221" s="59" t="str">
        <f>[4]Sayfa1!$G217</f>
        <v>3879(8)</v>
      </c>
      <c r="C221" s="184" t="str">
        <f>[4]Sayfa1!$H217</f>
        <v>MA</v>
      </c>
      <c r="D221" s="24">
        <f>[4]Sayfa1!$N217</f>
        <v>31500</v>
      </c>
      <c r="E221" s="24" t="str">
        <f>[4]Sayfa1!$B217</f>
        <v>BOZ-KAY5+6-FF-216</v>
      </c>
      <c r="F221" s="60">
        <f>[4]Sayfa1!$E217</f>
        <v>45468</v>
      </c>
      <c r="G221" s="61">
        <f>[4]Sayfa1!$F217</f>
        <v>45468.748611111114</v>
      </c>
      <c r="H221" s="59" t="str">
        <f>[4]Sayfa1!$I217</f>
        <v>Hat/Line</v>
      </c>
      <c r="I221" s="62" t="str">
        <f>IF([4]Sayfa1!$K217="SSH","Notified by Bozankaya","Notified by Customer")</f>
        <v>Notified by Customer</v>
      </c>
      <c r="J221" s="59" t="e">
        <f>VLOOKUP([4]Sayfa1!$AU217,#REF!,2,FALSE)</f>
        <v>#REF!</v>
      </c>
      <c r="K221" s="59">
        <f>[4]Sayfa1!$AC217</f>
        <v>0</v>
      </c>
      <c r="L221" s="63" t="str">
        <f t="shared" si="52"/>
        <v>KAY_5+168-BOZ-KAY5+6-FF-216</v>
      </c>
      <c r="M221" s="64" t="str">
        <f>[4]Sayfa1!$L217</f>
        <v>Aracın fren mesafesi uzun %50 fren uyguluyor</v>
      </c>
      <c r="N221" s="33" t="str">
        <f>[4]Sayfa1!$J217</f>
        <v>B-Hız veya güç azalması</v>
      </c>
      <c r="O221" s="33" t="str">
        <f>[4]Sayfa1!$P217</f>
        <v>B(Servisten çekmeye etki eden arızalar)</v>
      </c>
      <c r="P221" s="33" t="str">
        <f>[4]Sayfa1!$Q217</f>
        <v>N.A(Yaralanma yok)</v>
      </c>
      <c r="Q221" s="65" t="str" cm="1">
        <f t="array" ref="Q221">_xlfn.IFS([4]Sayfa1!$R217="Bozankaya","Bozankaya",[4]Sayfa1!$R217="İşletme","Customer",[4]Sayfa1!$R217="Tedarikçi","Equipment Supplier")</f>
        <v>Equipment Supplier</v>
      </c>
      <c r="R221" s="66" t="str">
        <f>[4]Sayfa1!$M217</f>
        <v>medcom firması yazılım yükledi</v>
      </c>
      <c r="S221" s="36" t="str">
        <f>[4]Sayfa1!$S217</f>
        <v>Medcom</v>
      </c>
      <c r="T221" s="67">
        <f>[4]Sayfa1!$Z217</f>
        <v>0</v>
      </c>
      <c r="U221" s="68">
        <f>[4]Sayfa1!$AN217</f>
        <v>1</v>
      </c>
      <c r="V221" s="60">
        <f>[4]Sayfa1!$T217</f>
        <v>45530</v>
      </c>
      <c r="W221" s="61">
        <f>[4]Sayfa1!$U217</f>
        <v>45530.567557870374</v>
      </c>
      <c r="X221" s="69">
        <f t="shared" si="53"/>
        <v>45530.567557870374</v>
      </c>
      <c r="Y221" s="70">
        <f>[4]Sayfa1!$AQ217</f>
        <v>45530</v>
      </c>
      <c r="Z221" s="61">
        <f>[4]Sayfa1!$AR217</f>
        <v>45530.75</v>
      </c>
      <c r="AA221" s="69">
        <f t="shared" si="54"/>
        <v>45530.75</v>
      </c>
      <c r="AB221" s="71">
        <f t="shared" si="55"/>
        <v>4.378611111023929</v>
      </c>
      <c r="AC221" s="60">
        <f t="shared" si="56"/>
        <v>45530</v>
      </c>
      <c r="AD221" s="61">
        <f t="shared" si="57"/>
        <v>45530.75</v>
      </c>
      <c r="AE221" s="69">
        <f t="shared" si="58"/>
        <v>45530.75</v>
      </c>
      <c r="AF221" s="36" t="str">
        <f>[4]Sayfa1!$AP217</f>
        <v>(III) Birden fazla aynı araçta karşılaşılan arıza</v>
      </c>
      <c r="AG221" s="33" t="str">
        <f>IF([4]Sayfa1!$J217="C-Uyarı, sürüş devamlılığı","Bu Arıza Aracın Servise Verilmesine Engel Değil","Bu Arıza Aracın Servise Verilmesine Engel")</f>
        <v>Bu Arıza Aracın Servise Verilmesine Engel</v>
      </c>
      <c r="AH221" s="41" t="str">
        <f>[4]Sayfa1!$AB217</f>
        <v>Yazılım güncelleme</v>
      </c>
      <c r="AI221" s="60"/>
      <c r="AJ221" s="60"/>
      <c r="AK221" s="69">
        <f t="shared" si="59"/>
        <v>0</v>
      </c>
      <c r="AL221" s="71">
        <f t="shared" si="60"/>
        <v>262.71666666143574</v>
      </c>
      <c r="AM221" s="71">
        <f t="shared" si="61"/>
        <v>262.71666666143574</v>
      </c>
      <c r="AN221" s="72">
        <f t="shared" si="62"/>
        <v>0</v>
      </c>
      <c r="AO221" s="73" t="str">
        <f>[4]Sayfa1!$X217</f>
        <v>E110-7659</v>
      </c>
      <c r="AP221" s="72">
        <f>[4]Sayfa1!$Y217</f>
        <v>1</v>
      </c>
      <c r="AQ221" s="184" t="str">
        <f>[4]Sayfa1!$V217</f>
        <v>MEDCOM SP. Z O.O.</v>
      </c>
      <c r="AR221" s="74" t="str">
        <f>[4]Sayfa1!$W217</f>
        <v>MEDCOM SICAKLIK SENSÖRÜ</v>
      </c>
      <c r="AS221" s="74">
        <f>[4]Sayfa1!$AD217</f>
        <v>0</v>
      </c>
      <c r="AT221" s="60" t="str">
        <f>[4]Sayfa1!$AE217</f>
        <v/>
      </c>
      <c r="AU221" s="60" t="str">
        <f>[4]Sayfa1!$AH217</f>
        <v/>
      </c>
      <c r="AV221" s="75">
        <v>216</v>
      </c>
      <c r="AW221" s="76">
        <f t="shared" si="63"/>
        <v>48.164722221263219</v>
      </c>
      <c r="AX221" s="77" t="str">
        <f>[4]Sayfa1!$A217</f>
        <v>6f1279cb</v>
      </c>
      <c r="AY221" s="78" t="s">
        <v>114</v>
      </c>
      <c r="AZ221" s="79" t="e" vm="1">
        <f t="shared" si="64"/>
        <v>#VALUE!</v>
      </c>
    </row>
    <row r="222" spans="1:52" ht="160.15">
      <c r="A222" s="59" t="s">
        <v>277</v>
      </c>
      <c r="B222" s="59" t="str">
        <f>[4]Sayfa1!$G218</f>
        <v>3882(11)</v>
      </c>
      <c r="C222" s="184" t="str">
        <f>[4]Sayfa1!$H218</f>
        <v>MB</v>
      </c>
      <c r="D222" s="24">
        <f>[4]Sayfa1!$N218</f>
        <v>5700</v>
      </c>
      <c r="E222" s="24" t="str">
        <f>[4]Sayfa1!$B218</f>
        <v>BOZ-KAY5+6-FF-217</v>
      </c>
      <c r="F222" s="60">
        <f>[4]Sayfa1!$E218</f>
        <v>45469</v>
      </c>
      <c r="G222" s="61">
        <f>[4]Sayfa1!$F218</f>
        <v>45469.38958333333</v>
      </c>
      <c r="H222" s="59" t="str">
        <f>[4]Sayfa1!$I218</f>
        <v>Hat/Line</v>
      </c>
      <c r="I222" s="62" t="str">
        <f>IF([4]Sayfa1!$K218="SSH","Notified by Bozankaya","Notified by Customer")</f>
        <v>Notified by Customer</v>
      </c>
      <c r="J222" s="59" t="e">
        <f>VLOOKUP([4]Sayfa1!$AU218,#REF!,2,FALSE)</f>
        <v>#REF!</v>
      </c>
      <c r="K222" s="59">
        <f>[4]Sayfa1!$AC218</f>
        <v>0</v>
      </c>
      <c r="L222" s="63" t="str">
        <f t="shared" si="52"/>
        <v>KAY_5+169-BOZ-KAY5+6-FF-217</v>
      </c>
      <c r="M222" s="64" t="str">
        <f>[4]Sayfa1!$L218</f>
        <v>Araç haraket halinde iken cb kuplör kırmızı oluyor araç ivme kesiyor</v>
      </c>
      <c r="N222" s="33" t="str">
        <f>[4]Sayfa1!$J218</f>
        <v>B-Hız veya güç azalması</v>
      </c>
      <c r="O222" s="33" t="str">
        <f>[4]Sayfa1!$P218</f>
        <v>B(Servisten çekmeye etki eden arızalar)</v>
      </c>
      <c r="P222" s="33" t="str">
        <f>[4]Sayfa1!$Q218</f>
        <v>N.A(Yaralanma yok)</v>
      </c>
      <c r="Q222" s="65" t="str" cm="1">
        <f t="array" ref="Q222">_xlfn.IFS([4]Sayfa1!$R218="Bozankaya","Bozankaya",[4]Sayfa1!$R218="İşletme","Customer",[4]Sayfa1!$R218="Tedarikçi","Equipment Supplier")</f>
        <v>Equipment Supplier</v>
      </c>
      <c r="R222" s="66" t="str">
        <f>[4]Sayfa1!$M218</f>
        <v>17/08/2024 tarihi ile kontrol edildi sorun görülmedi</v>
      </c>
      <c r="S222" s="36" t="str">
        <f>[4]Sayfa1!$S218</f>
        <v>Bozankaya</v>
      </c>
      <c r="T222" s="67">
        <f>[4]Sayfa1!$Z218</f>
        <v>0</v>
      </c>
      <c r="U222" s="68">
        <f>[4]Sayfa1!$AN218</f>
        <v>2</v>
      </c>
      <c r="V222" s="60">
        <f>[4]Sayfa1!$T218</f>
        <v>45530</v>
      </c>
      <c r="W222" s="61">
        <f>[4]Sayfa1!$U218</f>
        <v>45530.41134259259</v>
      </c>
      <c r="X222" s="69">
        <f t="shared" si="53"/>
        <v>45530.41134259259</v>
      </c>
      <c r="Y222" s="70">
        <f>[4]Sayfa1!$AQ218</f>
        <v>45530</v>
      </c>
      <c r="Z222" s="61">
        <f>[4]Sayfa1!$AR218</f>
        <v>45530.625</v>
      </c>
      <c r="AA222" s="69">
        <f t="shared" si="54"/>
        <v>45530.625</v>
      </c>
      <c r="AB222" s="71">
        <f t="shared" si="55"/>
        <v>5.12777777784504</v>
      </c>
      <c r="AC222" s="60">
        <f t="shared" si="56"/>
        <v>45530</v>
      </c>
      <c r="AD222" s="61">
        <f t="shared" si="57"/>
        <v>45530.625</v>
      </c>
      <c r="AE222" s="69">
        <f t="shared" si="58"/>
        <v>45530.625</v>
      </c>
      <c r="AF222" s="36" t="str">
        <f>[4]Sayfa1!$AP218</f>
        <v>(I) İlk defa karşılaşılan arıza</v>
      </c>
      <c r="AG222" s="33" t="str">
        <f>IF([4]Sayfa1!$J218="C-Uyarı, sürüş devamlılığı","Bu Arıza Aracın Servise Verilmesine Engel Değil","Bu Arıza Aracın Servise Verilmesine Engel")</f>
        <v>Bu Arıza Aracın Servise Verilmesine Engel</v>
      </c>
      <c r="AH222" s="41" t="str">
        <f>[4]Sayfa1!$AB218</f>
        <v>Tamir edilecek</v>
      </c>
      <c r="AI222" s="60"/>
      <c r="AJ222" s="60"/>
      <c r="AK222" s="69">
        <f t="shared" si="59"/>
        <v>0</v>
      </c>
      <c r="AL222" s="71">
        <f t="shared" si="60"/>
        <v>307.6666666707024</v>
      </c>
      <c r="AM222" s="71">
        <f t="shared" si="61"/>
        <v>307.6666666707024</v>
      </c>
      <c r="AN222" s="72">
        <f t="shared" si="62"/>
        <v>0</v>
      </c>
      <c r="AO222" s="73" t="str">
        <f>[4]Sayfa1!$X218</f>
        <v>M350-7062</v>
      </c>
      <c r="AP222" s="72">
        <f>[4]Sayfa1!$Y218</f>
        <v>1</v>
      </c>
      <c r="AQ222" s="184" t="str">
        <f>[4]Sayfa1!$V218</f>
        <v>DELLNER COUPLERC AB</v>
      </c>
      <c r="AR222" s="74" t="str">
        <f>[4]Sayfa1!$W218</f>
        <v>OTOMATIK KUPLÖR DELLNER</v>
      </c>
      <c r="AS222" s="74">
        <f>[4]Sayfa1!$AD218</f>
        <v>0</v>
      </c>
      <c r="AT222" s="60" t="str">
        <f>[4]Sayfa1!$AE218</f>
        <v/>
      </c>
      <c r="AU222" s="60" t="str">
        <f>[4]Sayfa1!$AH218</f>
        <v/>
      </c>
      <c r="AV222" s="75">
        <v>217</v>
      </c>
      <c r="AW222" s="76">
        <f t="shared" si="63"/>
        <v>112.81111111259088</v>
      </c>
      <c r="AX222" s="77" t="str">
        <f>[4]Sayfa1!$A218</f>
        <v>7abfdfeb</v>
      </c>
      <c r="AY222" s="78" t="s">
        <v>114</v>
      </c>
      <c r="AZ222" s="79" t="e" vm="1">
        <f t="shared" si="64"/>
        <v>#VALUE!</v>
      </c>
    </row>
    <row r="223" spans="1:52" ht="148.15">
      <c r="A223" s="59" t="s">
        <v>278</v>
      </c>
      <c r="B223" s="59" t="str">
        <f>[4]Sayfa1!$G219</f>
        <v>3881(10)</v>
      </c>
      <c r="C223" s="184" t="str">
        <f>[4]Sayfa1!$H219</f>
        <v>MB</v>
      </c>
      <c r="D223" s="24">
        <f>[4]Sayfa1!$N219</f>
        <v>19000</v>
      </c>
      <c r="E223" s="24" t="str">
        <f>[4]Sayfa1!$B219</f>
        <v>BOZ-KAY5+6-FF-218</v>
      </c>
      <c r="F223" s="60">
        <f>[4]Sayfa1!$E219</f>
        <v>45469</v>
      </c>
      <c r="G223" s="61">
        <f>[4]Sayfa1!$F219</f>
        <v>45469.609722222223</v>
      </c>
      <c r="H223" s="59" t="str">
        <f>[4]Sayfa1!$I219</f>
        <v>Hat/Line</v>
      </c>
      <c r="I223" s="62" t="str">
        <f>IF([4]Sayfa1!$K219="SSH","Notified by Bozankaya","Notified by Customer")</f>
        <v>Notified by Customer</v>
      </c>
      <c r="J223" s="59" t="e">
        <f>VLOOKUP([4]Sayfa1!$AU219,#REF!,2,FALSE)</f>
        <v>#REF!</v>
      </c>
      <c r="K223" s="59">
        <f>[4]Sayfa1!$AC219</f>
        <v>0</v>
      </c>
      <c r="L223" s="63" t="str">
        <f t="shared" si="52"/>
        <v>KAY_5+170-BOZ-KAY5+6-FF-218</v>
      </c>
      <c r="M223" s="64" t="str">
        <f>[4]Sayfa1!$L219</f>
        <v>CB CCTV ekranı görüntü gelmiyor</v>
      </c>
      <c r="N223" s="33" t="str">
        <f>[4]Sayfa1!$J219</f>
        <v>C-Uyarı, sürüş devamlılığı</v>
      </c>
      <c r="O223" s="33" t="str">
        <f>[4]Sayfa1!$P219</f>
        <v>C(Sisteme etki etmeyen arıza)</v>
      </c>
      <c r="P223" s="33" t="str">
        <f>[4]Sayfa1!$Q219</f>
        <v>N.A(Yaralanma yok)</v>
      </c>
      <c r="Q223" s="65" t="str" cm="1">
        <f t="array" ref="Q223">_xlfn.IFS([4]Sayfa1!$R219="Bozankaya","Bozankaya",[4]Sayfa1!$R219="İşletme","Customer",[4]Sayfa1!$R219="Tedarikçi","Equipment Supplier")</f>
        <v>Equipment Supplier</v>
      </c>
      <c r="R223" s="66" t="str">
        <f>[4]Sayfa1!$M219</f>
        <v>Kontrol edildi sorun görülmedi</v>
      </c>
      <c r="S223" s="36" t="str">
        <f>[4]Sayfa1!$S219</f>
        <v>NSC</v>
      </c>
      <c r="T223" s="67">
        <f>[4]Sayfa1!$Z219</f>
        <v>0</v>
      </c>
      <c r="U223" s="68">
        <f>[4]Sayfa1!$AN219</f>
        <v>1</v>
      </c>
      <c r="V223" s="60">
        <f>[4]Sayfa1!$T219</f>
        <v>45521</v>
      </c>
      <c r="W223" s="61">
        <f>[4]Sayfa1!$U219</f>
        <v>45521.443553240744</v>
      </c>
      <c r="X223" s="69">
        <f t="shared" si="53"/>
        <v>45521.443553240744</v>
      </c>
      <c r="Y223" s="70">
        <f>[4]Sayfa1!$AQ219</f>
        <v>45521</v>
      </c>
      <c r="Z223" s="61">
        <f>[4]Sayfa1!$AR219</f>
        <v>45521.5625</v>
      </c>
      <c r="AA223" s="69">
        <f t="shared" si="54"/>
        <v>45521.5625</v>
      </c>
      <c r="AB223" s="71">
        <f t="shared" si="55"/>
        <v>2.8547222221386619</v>
      </c>
      <c r="AC223" s="60">
        <f t="shared" si="56"/>
        <v>45521</v>
      </c>
      <c r="AD223" s="61">
        <f t="shared" si="57"/>
        <v>45521.5625</v>
      </c>
      <c r="AE223" s="69">
        <f t="shared" si="58"/>
        <v>45521.5625</v>
      </c>
      <c r="AF223" s="36" t="str">
        <f>[4]Sayfa1!$AP219</f>
        <v>(I) İlk defa karşılaşılan arıza</v>
      </c>
      <c r="AG223" s="33" t="str">
        <f>IF([4]Sayfa1!$J219="C-Uyarı, sürüş devamlılığı","Bu Arıza Aracın Servise Verilmesine Engel Değil","Bu Arıza Aracın Servise Verilmesine Engel")</f>
        <v>Bu Arıza Aracın Servise Verilmesine Engel Değil</v>
      </c>
      <c r="AH223" s="41" t="str">
        <f>[4]Sayfa1!$AB219</f>
        <v>Tamir edilecek</v>
      </c>
      <c r="AI223" s="60"/>
      <c r="AJ223" s="60"/>
      <c r="AK223" s="69">
        <f t="shared" si="59"/>
        <v>0</v>
      </c>
      <c r="AL223" s="71">
        <f t="shared" si="60"/>
        <v>171.28333332831971</v>
      </c>
      <c r="AM223" s="71">
        <f t="shared" si="61"/>
        <v>171.28333332831971</v>
      </c>
      <c r="AN223" s="72">
        <f t="shared" si="62"/>
        <v>0</v>
      </c>
      <c r="AO223" s="73" t="str">
        <f>[4]Sayfa1!$X219</f>
        <v>E810-7145</v>
      </c>
      <c r="AP223" s="72">
        <f>[4]Sayfa1!$Y219</f>
        <v>1</v>
      </c>
      <c r="AQ223" s="184" t="str">
        <f>[4]Sayfa1!$V219</f>
        <v>NSC TEKNOLOJİ ve İNŞAAT LTD.ŞTİ.</v>
      </c>
      <c r="AR223" s="74" t="str">
        <f>[4]Sayfa1!$W219</f>
        <v>CCTV EKRANI</v>
      </c>
      <c r="AS223" s="74">
        <f>[4]Sayfa1!$AD219</f>
        <v>0</v>
      </c>
      <c r="AT223" s="60" t="str">
        <f>[4]Sayfa1!$AE219</f>
        <v/>
      </c>
      <c r="AU223" s="60" t="str">
        <f>[4]Sayfa1!$AH219</f>
        <v/>
      </c>
      <c r="AV223" s="75">
        <v>218</v>
      </c>
      <c r="AW223" s="76">
        <f t="shared" si="63"/>
        <v>31.401944443525281</v>
      </c>
      <c r="AX223" s="77" t="str">
        <f>[4]Sayfa1!$A219</f>
        <v>74bd2df3</v>
      </c>
      <c r="AY223" s="78" t="s">
        <v>114</v>
      </c>
      <c r="AZ223" s="79" t="e" vm="1">
        <f t="shared" si="64"/>
        <v>#VALUE!</v>
      </c>
    </row>
    <row r="224" spans="1:52" ht="148.15">
      <c r="A224" s="59" t="s">
        <v>279</v>
      </c>
      <c r="B224" s="59" t="str">
        <f>[4]Sayfa1!$G220</f>
        <v>3874(3)</v>
      </c>
      <c r="C224" s="184" t="str">
        <f>[4]Sayfa1!$H220</f>
        <v>MA</v>
      </c>
      <c r="D224" s="24">
        <f>[4]Sayfa1!$N220</f>
        <v>72100</v>
      </c>
      <c r="E224" s="24" t="str">
        <f>[4]Sayfa1!$B220</f>
        <v>BOZ-KAY5+6-FF-219</v>
      </c>
      <c r="F224" s="60">
        <f>[4]Sayfa1!$E220</f>
        <v>45471</v>
      </c>
      <c r="G224" s="61">
        <f>[4]Sayfa1!$F220</f>
        <v>45471.458333333336</v>
      </c>
      <c r="H224" s="59" t="str">
        <f>[4]Sayfa1!$I220</f>
        <v>Hat/Line</v>
      </c>
      <c r="I224" s="62" t="str">
        <f>IF([4]Sayfa1!$K220="SSH","Notified by Bozankaya","Notified by Customer")</f>
        <v>Notified by Customer</v>
      </c>
      <c r="J224" s="59" t="e">
        <f>VLOOKUP([4]Sayfa1!$AU220,#REF!,2,FALSE)</f>
        <v>#REF!</v>
      </c>
      <c r="K224" s="59">
        <f>[4]Sayfa1!$AC220</f>
        <v>0</v>
      </c>
      <c r="L224" s="63" t="str">
        <f t="shared" si="52"/>
        <v>KAY_5+171-BOZ-KAY5+6-FF-219</v>
      </c>
      <c r="M224" s="64" t="str">
        <f>[4]Sayfa1!$L220</f>
        <v>2 VE 7 NUMARALI KAPILARIN BUZZER ÇALIŞMIYOR</v>
      </c>
      <c r="N224" s="33" t="str">
        <f>[4]Sayfa1!$J220</f>
        <v>C-Uyarı, sürüş devamlılığı</v>
      </c>
      <c r="O224" s="33" t="str">
        <f>[4]Sayfa1!$P220</f>
        <v>C(Sisteme etki etmeyen arıza)</v>
      </c>
      <c r="P224" s="33" t="str">
        <f>[4]Sayfa1!$Q220</f>
        <v>N.A(Yaralanma yok)</v>
      </c>
      <c r="Q224" s="65" t="str" cm="1">
        <f t="array" ref="Q224">_xlfn.IFS([4]Sayfa1!$R220="Bozankaya","Bozankaya",[4]Sayfa1!$R220="İşletme","Customer",[4]Sayfa1!$R220="Tedarikçi","Equipment Supplier")</f>
        <v>Equipment Supplier</v>
      </c>
      <c r="R224" s="66" t="str">
        <f>[4]Sayfa1!$M220</f>
        <v>BUZZER DEĞİŞİMİ YAPILDI</v>
      </c>
      <c r="S224" s="36" t="str">
        <f>[4]Sayfa1!$S220</f>
        <v>TSL</v>
      </c>
      <c r="T224" s="67">
        <f>[4]Sayfa1!$Z220</f>
        <v>0</v>
      </c>
      <c r="U224" s="68">
        <f>[4]Sayfa1!$AN220</f>
        <v>1</v>
      </c>
      <c r="V224" s="60">
        <f>[4]Sayfa1!$T220</f>
        <v>45471</v>
      </c>
      <c r="W224" s="61">
        <f>[4]Sayfa1!$U220</f>
        <v>45471.5</v>
      </c>
      <c r="X224" s="69">
        <f t="shared" si="53"/>
        <v>45471.5</v>
      </c>
      <c r="Y224" s="70">
        <f>[4]Sayfa1!$AQ220</f>
        <v>45471</v>
      </c>
      <c r="Z224" s="61">
        <f>[4]Sayfa1!$AR220</f>
        <v>45471.625</v>
      </c>
      <c r="AA224" s="69">
        <f t="shared" si="54"/>
        <v>45471.625</v>
      </c>
      <c r="AB224" s="71">
        <f t="shared" si="55"/>
        <v>0</v>
      </c>
      <c r="AC224" s="60">
        <f t="shared" si="56"/>
        <v>45471</v>
      </c>
      <c r="AD224" s="61">
        <f t="shared" si="57"/>
        <v>45471.625</v>
      </c>
      <c r="AE224" s="69">
        <f t="shared" si="58"/>
        <v>45471.625</v>
      </c>
      <c r="AF224" s="36" t="str">
        <f>[4]Sayfa1!$AP220</f>
        <v>(II) Birden fazla karşılaşılan arıza</v>
      </c>
      <c r="AG224" s="33" t="str">
        <f>IF([4]Sayfa1!$J220="C-Uyarı, sürüş devamlılığı","Bu Arıza Aracın Servise Verilmesine Engel Değil","Bu Arıza Aracın Servise Verilmesine Engel")</f>
        <v>Bu Arıza Aracın Servise Verilmesine Engel Değil</v>
      </c>
      <c r="AH224" s="41" t="str">
        <f>[4]Sayfa1!$AB220</f>
        <v>Tamir edilecek</v>
      </c>
      <c r="AI224" s="60"/>
      <c r="AJ224" s="60"/>
      <c r="AK224" s="69">
        <f t="shared" si="59"/>
        <v>0</v>
      </c>
      <c r="AL224" s="71">
        <f t="shared" si="60"/>
        <v>0</v>
      </c>
      <c r="AM224" s="71">
        <f t="shared" si="61"/>
        <v>0</v>
      </c>
      <c r="AN224" s="72">
        <f t="shared" si="62"/>
        <v>0</v>
      </c>
      <c r="AO224" s="73" t="str">
        <f>[4]Sayfa1!$X220</f>
        <v>M110-7057</v>
      </c>
      <c r="AP224" s="72">
        <f>[4]Sayfa1!$Y220</f>
        <v>2</v>
      </c>
      <c r="AQ224" s="184" t="str">
        <f>[4]Sayfa1!$V220</f>
        <v>TURCK OTOMASYON TİC. LTD.ŞTİ.</v>
      </c>
      <c r="AR224" s="74" t="str">
        <f>[4]Sayfa1!$W220</f>
        <v>SESLI UYARI CIHAZI</v>
      </c>
      <c r="AS224" s="74">
        <f>[4]Sayfa1!$AD220</f>
        <v>0</v>
      </c>
      <c r="AT224" s="60" t="str">
        <f>[4]Sayfa1!$AE220</f>
        <v/>
      </c>
      <c r="AU224" s="60" t="str">
        <f>[4]Sayfa1!$AH220</f>
        <v/>
      </c>
      <c r="AV224" s="75">
        <v>219</v>
      </c>
      <c r="AW224" s="76">
        <f t="shared" si="63"/>
        <v>0</v>
      </c>
      <c r="AX224" s="77" t="str">
        <f>[4]Sayfa1!$A220</f>
        <v>b45b31b9</v>
      </c>
      <c r="AY224" s="78" t="s">
        <v>114</v>
      </c>
      <c r="AZ224" s="79" t="e" vm="1">
        <f t="shared" si="64"/>
        <v>#VALUE!</v>
      </c>
    </row>
    <row r="225" spans="1:52" ht="148.15">
      <c r="A225" s="59" t="s">
        <v>280</v>
      </c>
      <c r="B225" s="59" t="str">
        <f>[4]Sayfa1!$G221</f>
        <v>3882(11)</v>
      </c>
      <c r="C225" s="184" t="str">
        <f>[4]Sayfa1!$H221</f>
        <v>MA</v>
      </c>
      <c r="D225" s="24">
        <f>[4]Sayfa1!$N221</f>
        <v>6300</v>
      </c>
      <c r="E225" s="24" t="str">
        <f>[4]Sayfa1!$B221</f>
        <v>BOZ-KAY5+6-FF-220</v>
      </c>
      <c r="F225" s="60">
        <f>[4]Sayfa1!$E221</f>
        <v>45473</v>
      </c>
      <c r="G225" s="61">
        <f>[4]Sayfa1!$F221</f>
        <v>45473.259027777778</v>
      </c>
      <c r="H225" s="59" t="str">
        <f>[4]Sayfa1!$I221</f>
        <v>Hat/Line</v>
      </c>
      <c r="I225" s="62" t="str">
        <f>IF([4]Sayfa1!$K221="SSH","Notified by Bozankaya","Notified by Customer")</f>
        <v>Notified by Customer</v>
      </c>
      <c r="J225" s="59" t="e">
        <f>VLOOKUP([4]Sayfa1!$AU221,#REF!,2,FALSE)</f>
        <v>#REF!</v>
      </c>
      <c r="K225" s="59">
        <f>[4]Sayfa1!$AC221</f>
        <v>0</v>
      </c>
      <c r="L225" s="63" t="str">
        <f t="shared" si="52"/>
        <v>KAY_5+172-BOZ-KAY5+6-FF-220</v>
      </c>
      <c r="M225" s="64" t="str">
        <f>[4]Sayfa1!$L221</f>
        <v>Kameralar çalışmıyor</v>
      </c>
      <c r="N225" s="33" t="str">
        <f>[4]Sayfa1!$J221</f>
        <v>C-Uyarı, sürüş devamlılığı</v>
      </c>
      <c r="O225" s="33" t="str">
        <f>[4]Sayfa1!$P221</f>
        <v>C(Sisteme etki etmeyen arıza)</v>
      </c>
      <c r="P225" s="33" t="str">
        <f>[4]Sayfa1!$Q221</f>
        <v>N.A(Yaralanma yok)</v>
      </c>
      <c r="Q225" s="65" t="str" cm="1">
        <f t="array" ref="Q225">_xlfn.IFS([4]Sayfa1!$R221="Bozankaya","Bozankaya",[4]Sayfa1!$R221="İşletme","Customer",[4]Sayfa1!$R221="Tedarikçi","Equipment Supplier")</f>
        <v>Equipment Supplier</v>
      </c>
      <c r="R225" s="66" t="str">
        <f>[4]Sayfa1!$M221</f>
        <v>Kontrol edildi sorun görülmedi</v>
      </c>
      <c r="S225" s="36" t="str">
        <f>[4]Sayfa1!$S221</f>
        <v>NSC</v>
      </c>
      <c r="T225" s="67">
        <f>[4]Sayfa1!$Z221</f>
        <v>0</v>
      </c>
      <c r="U225" s="68">
        <f>[4]Sayfa1!$AN221</f>
        <v>1</v>
      </c>
      <c r="V225" s="60">
        <f>[4]Sayfa1!$T221</f>
        <v>45473</v>
      </c>
      <c r="W225" s="61">
        <f>[4]Sayfa1!$U221</f>
        <v>45473.354166666664</v>
      </c>
      <c r="X225" s="69">
        <f t="shared" si="53"/>
        <v>45473.354166666664</v>
      </c>
      <c r="Y225" s="70">
        <f>[4]Sayfa1!$AQ221</f>
        <v>45473</v>
      </c>
      <c r="Z225" s="61">
        <f>[4]Sayfa1!$AR221</f>
        <v>45473.5</v>
      </c>
      <c r="AA225" s="69">
        <f t="shared" si="54"/>
        <v>45473.5</v>
      </c>
      <c r="AB225" s="71">
        <f t="shared" si="55"/>
        <v>0</v>
      </c>
      <c r="AC225" s="60">
        <f t="shared" si="56"/>
        <v>45473</v>
      </c>
      <c r="AD225" s="61">
        <f t="shared" si="57"/>
        <v>45473.5</v>
      </c>
      <c r="AE225" s="69">
        <f t="shared" si="58"/>
        <v>45473.5</v>
      </c>
      <c r="AF225" s="36" t="str">
        <f>[4]Sayfa1!$AP221</f>
        <v>(I) İlk defa karşılaşılan arıza</v>
      </c>
      <c r="AG225" s="33" t="str">
        <f>IF([4]Sayfa1!$J221="C-Uyarı, sürüş devamlılığı","Bu Arıza Aracın Servise Verilmesine Engel Değil","Bu Arıza Aracın Servise Verilmesine Engel")</f>
        <v>Bu Arıza Aracın Servise Verilmesine Engel Değil</v>
      </c>
      <c r="AH225" s="41" t="str">
        <f>[4]Sayfa1!$AB221</f>
        <v>Tamir edilecek</v>
      </c>
      <c r="AI225" s="60"/>
      <c r="AJ225" s="60"/>
      <c r="AK225" s="69">
        <f t="shared" si="59"/>
        <v>0</v>
      </c>
      <c r="AL225" s="71">
        <f t="shared" si="60"/>
        <v>0</v>
      </c>
      <c r="AM225" s="71">
        <f t="shared" si="61"/>
        <v>0</v>
      </c>
      <c r="AN225" s="72">
        <f t="shared" si="62"/>
        <v>0</v>
      </c>
      <c r="AO225" s="73" t="str">
        <f>[4]Sayfa1!$X221</f>
        <v>E810-7145</v>
      </c>
      <c r="AP225" s="72">
        <f>[4]Sayfa1!$Y221</f>
        <v>1</v>
      </c>
      <c r="AQ225" s="184" t="str">
        <f>[4]Sayfa1!$V221</f>
        <v>NSC TEKNOLOJİ ve İNŞAAT LTD.ŞTİ.</v>
      </c>
      <c r="AR225" s="74" t="str">
        <f>[4]Sayfa1!$W221</f>
        <v>CCTV EKRANI</v>
      </c>
      <c r="AS225" s="74">
        <f>[4]Sayfa1!$AD221</f>
        <v>0</v>
      </c>
      <c r="AT225" s="60" t="str">
        <f>[4]Sayfa1!$AE221</f>
        <v/>
      </c>
      <c r="AU225" s="60" t="str">
        <f>[4]Sayfa1!$AH221</f>
        <v/>
      </c>
      <c r="AV225" s="75">
        <v>220</v>
      </c>
      <c r="AW225" s="76">
        <f t="shared" si="63"/>
        <v>0</v>
      </c>
      <c r="AX225" s="77" t="str">
        <f>[4]Sayfa1!$A221</f>
        <v>d0b1d403</v>
      </c>
      <c r="AY225" s="78" t="s">
        <v>114</v>
      </c>
      <c r="AZ225" s="79" t="e" vm="1">
        <f t="shared" si="64"/>
        <v>#VALUE!</v>
      </c>
    </row>
    <row r="226" spans="1:52" ht="409.6">
      <c r="A226" s="59" t="s">
        <v>281</v>
      </c>
      <c r="B226" s="59" t="str">
        <f>[4]Sayfa1!$G222</f>
        <v>3879(8)</v>
      </c>
      <c r="C226" s="184" t="str">
        <f>[4]Sayfa1!$H222</f>
        <v>MA</v>
      </c>
      <c r="D226" s="24">
        <f>[4]Sayfa1!$N222</f>
        <v>32000</v>
      </c>
      <c r="E226" s="24" t="str">
        <f>[4]Sayfa1!$B222</f>
        <v>BOZ-KAY5+6-FF-221</v>
      </c>
      <c r="F226" s="60">
        <f>[4]Sayfa1!$E222</f>
        <v>45473</v>
      </c>
      <c r="G226" s="61">
        <f>[4]Sayfa1!$F222</f>
        <v>45473.627083333333</v>
      </c>
      <c r="H226" s="59" t="str">
        <f>[4]Sayfa1!$I222</f>
        <v>Hat/Line</v>
      </c>
      <c r="I226" s="62" t="str">
        <f>IF([4]Sayfa1!$K222="SSH","Notified by Bozankaya","Notified by Customer")</f>
        <v>Notified by Customer</v>
      </c>
      <c r="J226" s="59" t="e">
        <f>VLOOKUP([4]Sayfa1!$AU222,#REF!,2,FALSE)</f>
        <v>#REF!</v>
      </c>
      <c r="K226" s="59">
        <f>[4]Sayfa1!$AC222</f>
        <v>0</v>
      </c>
      <c r="L226" s="63" t="str">
        <f t="shared" si="52"/>
        <v>KAY_5+173-BOZ-KAY5+6-FF-221</v>
      </c>
      <c r="M226" s="64" t="str">
        <f>[4]Sayfa1!$L222</f>
        <v>Araç ilk arızasını esentepe bölgesinde vermiştir.HSCB ışığı komple gittiği bilgisi geldi.Araç iki kez resetlendikten sonra düzeldi.Sakarya kavşakta tekrar arıza verdi.Sakarya peronda yolcu tahliyesi yapıldı.Araç cebe alındı.İldem 15:50 seferi organize arası sefer iptali</v>
      </c>
      <c r="N226" s="33" t="str">
        <f>[4]Sayfa1!$J222</f>
        <v>A-Sürüşü engeller</v>
      </c>
      <c r="O226" s="33" t="str">
        <f>[4]Sayfa1!$P222</f>
        <v>A(Hareket etmeyi engelleyen arıza)</v>
      </c>
      <c r="P226" s="33" t="str">
        <f>[4]Sayfa1!$Q222</f>
        <v>N.A(Yaralanma yok)</v>
      </c>
      <c r="Q226" s="65" t="str" cm="1">
        <f t="array" ref="Q226">_xlfn.IFS([4]Sayfa1!$R222="Bozankaya","Bozankaya",[4]Sayfa1!$R222="İşletme","Customer",[4]Sayfa1!$R222="Tedarikçi","Equipment Supplier")</f>
        <v>Equipment Supplier</v>
      </c>
      <c r="R226" s="66" t="str">
        <f>[4]Sayfa1!$M222</f>
        <v>Arıza 3877 nolu aracın arızasıdır.3879 nolu araçta arıza yoktur.</v>
      </c>
      <c r="S226" s="36" t="str">
        <f>[4]Sayfa1!$S222</f>
        <v>Bozankaya</v>
      </c>
      <c r="T226" s="67">
        <f>[4]Sayfa1!$Z222</f>
        <v>0</v>
      </c>
      <c r="U226" s="68">
        <f>[4]Sayfa1!$AN222</f>
        <v>1</v>
      </c>
      <c r="V226" s="60">
        <f>[4]Sayfa1!$T222</f>
        <v>45473</v>
      </c>
      <c r="W226" s="61">
        <f>[4]Sayfa1!$U222</f>
        <v>45473.645833333336</v>
      </c>
      <c r="X226" s="69">
        <f t="shared" si="53"/>
        <v>45473.645833333336</v>
      </c>
      <c r="Y226" s="70">
        <f>[4]Sayfa1!$AQ222</f>
        <v>45473</v>
      </c>
      <c r="Z226" s="61">
        <f>[4]Sayfa1!$AR222</f>
        <v>45473.708333333336</v>
      </c>
      <c r="AA226" s="69">
        <f t="shared" si="54"/>
        <v>45473.708333333336</v>
      </c>
      <c r="AB226" s="71">
        <f t="shared" si="55"/>
        <v>0</v>
      </c>
      <c r="AC226" s="60">
        <f t="shared" si="56"/>
        <v>45473</v>
      </c>
      <c r="AD226" s="61">
        <f t="shared" si="57"/>
        <v>45473.708333333336</v>
      </c>
      <c r="AE226" s="69">
        <f t="shared" si="58"/>
        <v>45473.708333333336</v>
      </c>
      <c r="AF226" s="36" t="str">
        <f>[4]Sayfa1!$AP222</f>
        <v>(I) İlk defa karşılaşılan arıza</v>
      </c>
      <c r="AG226" s="33" t="str">
        <f>IF([4]Sayfa1!$J222="C-Uyarı, sürüş devamlılığı","Bu Arıza Aracın Servise Verilmesine Engel Değil","Bu Arıza Aracın Servise Verilmesine Engel")</f>
        <v>Bu Arıza Aracın Servise Verilmesine Engel</v>
      </c>
      <c r="AH226" s="41" t="str">
        <f>[4]Sayfa1!$AB222</f>
        <v>Arıza çözülecek</v>
      </c>
      <c r="AI226" s="60"/>
      <c r="AJ226" s="60"/>
      <c r="AK226" s="69">
        <f t="shared" si="59"/>
        <v>0</v>
      </c>
      <c r="AL226" s="71">
        <f t="shared" si="60"/>
        <v>0</v>
      </c>
      <c r="AM226" s="71">
        <f t="shared" si="61"/>
        <v>0</v>
      </c>
      <c r="AN226" s="72">
        <f t="shared" si="62"/>
        <v>0</v>
      </c>
      <c r="AO226" s="73" t="str">
        <f>[4]Sayfa1!$X222</f>
        <v>P620-7023</v>
      </c>
      <c r="AP226" s="72">
        <f>[4]Sayfa1!$Y222</f>
        <v>0</v>
      </c>
      <c r="AQ226" s="184" t="str">
        <f>[4]Sayfa1!$V222</f>
        <v>MEDCOM SP. Z O.O.</v>
      </c>
      <c r="AR226" s="74" t="str">
        <f>[4]Sayfa1!$W222</f>
        <v>COMBO KUTUSU (+LHD) MEDCOM</v>
      </c>
      <c r="AS226" s="74">
        <f>[4]Sayfa1!$AD222</f>
        <v>0</v>
      </c>
      <c r="AT226" s="60" t="str">
        <f>[4]Sayfa1!$AE222</f>
        <v/>
      </c>
      <c r="AU226" s="60" t="str">
        <f>[4]Sayfa1!$AH222</f>
        <v/>
      </c>
      <c r="AV226" s="75">
        <v>221</v>
      </c>
      <c r="AW226" s="76">
        <f t="shared" si="63"/>
        <v>0</v>
      </c>
      <c r="AX226" s="77" t="str">
        <f>[4]Sayfa1!$A222</f>
        <v>7277866c</v>
      </c>
      <c r="AY226" s="78" t="s">
        <v>114</v>
      </c>
      <c r="AZ226" s="79" t="e" vm="1">
        <f t="shared" si="64"/>
        <v>#VALUE!</v>
      </c>
    </row>
    <row r="227" spans="1:52" ht="220.9">
      <c r="A227" s="59" t="s">
        <v>282</v>
      </c>
      <c r="B227" s="59" t="str">
        <f>[4]Sayfa1!$G223</f>
        <v>3882(11)</v>
      </c>
      <c r="C227" s="184" t="str">
        <f>[4]Sayfa1!$H223</f>
        <v>MB</v>
      </c>
      <c r="D227" s="24">
        <f>[4]Sayfa1!$N223</f>
        <v>6751</v>
      </c>
      <c r="E227" s="24" t="str">
        <f>[4]Sayfa1!$B223</f>
        <v>BOZ-KAY5+6-FF-222</v>
      </c>
      <c r="F227" s="60">
        <f>[4]Sayfa1!$E223</f>
        <v>45475</v>
      </c>
      <c r="G227" s="61">
        <f>[4]Sayfa1!$F223</f>
        <v>45475.129861111112</v>
      </c>
      <c r="H227" s="59" t="str">
        <f>[4]Sayfa1!$I223</f>
        <v>Hat/Line</v>
      </c>
      <c r="I227" s="62" t="str">
        <f>IF([4]Sayfa1!$K223="SSH","Notified by Bozankaya","Notified by Customer")</f>
        <v>Notified by Customer</v>
      </c>
      <c r="J227" s="59" t="e">
        <f>VLOOKUP([4]Sayfa1!$AU223,#REF!,2,FALSE)</f>
        <v>#REF!</v>
      </c>
      <c r="K227" s="59">
        <f>[4]Sayfa1!$AC223</f>
        <v>0</v>
      </c>
      <c r="L227" s="63" t="str">
        <f t="shared" si="52"/>
        <v>KAY_5+174-BOZ-KAY5+6-FF-222</v>
      </c>
      <c r="M227" s="64" t="str">
        <f>[4]Sayfa1!$L223</f>
        <v>SİLECEK CAM ORTASINDA TAKILI KALDI.</v>
      </c>
      <c r="N227" s="33" t="str">
        <f>[4]Sayfa1!$J223</f>
        <v>C-Uyarı, sürüş devamlılığı</v>
      </c>
      <c r="O227" s="33" t="str">
        <f>[4]Sayfa1!$P223</f>
        <v>B(Servisten çekmeye etki eden arızalar)</v>
      </c>
      <c r="P227" s="33" t="str">
        <f>[4]Sayfa1!$Q223</f>
        <v>N.A(Yaralanma yok)</v>
      </c>
      <c r="Q227" s="65" t="str" cm="1">
        <f t="array" ref="Q227">_xlfn.IFS([4]Sayfa1!$R223="Bozankaya","Bozankaya",[4]Sayfa1!$R223="İşletme","Customer",[4]Sayfa1!$R223="Tedarikçi","Equipment Supplier")</f>
        <v>Equipment Supplier</v>
      </c>
      <c r="R227" s="66" t="str">
        <f>[4]Sayfa1!$M223</f>
        <v>SİLECEK AYARSIZDI RONDELA YENİLENDİ. GEVŞEK SABİTLEME CİVATALARI SIKILDI. SORUN GİDERİLDİ.</v>
      </c>
      <c r="S227" s="36" t="str">
        <f>[4]Sayfa1!$S223</f>
        <v>Bozankaya</v>
      </c>
      <c r="T227" s="67">
        <f>[4]Sayfa1!$Z223</f>
        <v>0</v>
      </c>
      <c r="U227" s="68">
        <f>[4]Sayfa1!$AN223</f>
        <v>1</v>
      </c>
      <c r="V227" s="60">
        <f>[4]Sayfa1!$T223</f>
        <v>45475</v>
      </c>
      <c r="W227" s="61">
        <f>[4]Sayfa1!$U223</f>
        <v>45475.333333333336</v>
      </c>
      <c r="X227" s="69">
        <f t="shared" si="53"/>
        <v>45475.333333333336</v>
      </c>
      <c r="Y227" s="70">
        <f>[4]Sayfa1!$AQ223</f>
        <v>45475</v>
      </c>
      <c r="Z227" s="61">
        <f>[4]Sayfa1!$AR223</f>
        <v>45475.416666666664</v>
      </c>
      <c r="AA227" s="69">
        <f t="shared" si="54"/>
        <v>45475.416666666664</v>
      </c>
      <c r="AB227" s="71">
        <f t="shared" si="55"/>
        <v>0</v>
      </c>
      <c r="AC227" s="60">
        <f t="shared" si="56"/>
        <v>45475</v>
      </c>
      <c r="AD227" s="61">
        <f t="shared" si="57"/>
        <v>45475.416666666664</v>
      </c>
      <c r="AE227" s="69">
        <f t="shared" si="58"/>
        <v>45475.416666666664</v>
      </c>
      <c r="AF227" s="36" t="str">
        <f>[4]Sayfa1!$AP223</f>
        <v>(II) Birden fazla karşılaşılan arıza</v>
      </c>
      <c r="AG227" s="33" t="str">
        <f>IF([4]Sayfa1!$J223="C-Uyarı, sürüş devamlılığı","Bu Arıza Aracın Servise Verilmesine Engel Değil","Bu Arıza Aracın Servise Verilmesine Engel")</f>
        <v>Bu Arıza Aracın Servise Verilmesine Engel Değil</v>
      </c>
      <c r="AH227" s="41" t="str">
        <f>[4]Sayfa1!$AB223</f>
        <v>Tamir edilecek</v>
      </c>
      <c r="AI227" s="60"/>
      <c r="AJ227" s="60"/>
      <c r="AK227" s="69">
        <f t="shared" si="59"/>
        <v>0</v>
      </c>
      <c r="AL227" s="71">
        <f t="shared" si="60"/>
        <v>0</v>
      </c>
      <c r="AM227" s="71">
        <f t="shared" si="61"/>
        <v>0</v>
      </c>
      <c r="AN227" s="72">
        <f t="shared" si="62"/>
        <v>0</v>
      </c>
      <c r="AO227" s="73" t="str">
        <f>[4]Sayfa1!$X223</f>
        <v>M100-7066</v>
      </c>
      <c r="AP227" s="72">
        <f>[4]Sayfa1!$Y223</f>
        <v>1</v>
      </c>
      <c r="AQ227" s="184" t="str">
        <f>[4]Sayfa1!$V223</f>
        <v>DENİZLER OTOMOTİV SAN. VE TİC.LTD.Ş</v>
      </c>
      <c r="AR227" s="74" t="str">
        <f>[4]Sayfa1!$W223</f>
        <v>SİLECEK MEKANİZMASI Denizler / M.11.2506</v>
      </c>
      <c r="AS227" s="74">
        <f>[4]Sayfa1!$AD223</f>
        <v>0</v>
      </c>
      <c r="AT227" s="60" t="str">
        <f>[4]Sayfa1!$AE223</f>
        <v/>
      </c>
      <c r="AU227" s="60">
        <f>[4]Sayfa1!$AH223</f>
        <v>0</v>
      </c>
      <c r="AV227" s="75">
        <v>222</v>
      </c>
      <c r="AW227" s="76">
        <f t="shared" si="63"/>
        <v>0</v>
      </c>
      <c r="AX227" s="77">
        <f>[4]Sayfa1!$A223</f>
        <v>77365067</v>
      </c>
      <c r="AY227" s="78" t="s">
        <v>114</v>
      </c>
      <c r="AZ227" s="79" t="e" vm="1">
        <f t="shared" si="64"/>
        <v>#VALUE!</v>
      </c>
    </row>
    <row r="228" spans="1:52" ht="148.15">
      <c r="A228" s="59" t="s">
        <v>283</v>
      </c>
      <c r="B228" s="59" t="str">
        <f>[4]Sayfa1!$G224</f>
        <v>3879(8)</v>
      </c>
      <c r="C228" s="184" t="str">
        <f>[4]Sayfa1!$H224</f>
        <v>P</v>
      </c>
      <c r="D228" s="24">
        <f>[4]Sayfa1!$N224</f>
        <v>32920</v>
      </c>
      <c r="E228" s="24" t="str">
        <f>[4]Sayfa1!$B224</f>
        <v>BOZ-KAY5+6-FF-223</v>
      </c>
      <c r="F228" s="60">
        <f>[4]Sayfa1!$E224</f>
        <v>45476</v>
      </c>
      <c r="G228" s="61">
        <f>[4]Sayfa1!$F224</f>
        <v>45476.652083333334</v>
      </c>
      <c r="H228" s="59" t="str">
        <f>[4]Sayfa1!$I224</f>
        <v>Hat/Line</v>
      </c>
      <c r="I228" s="62" t="str">
        <f>IF([4]Sayfa1!$K224="SSH","Notified by Bozankaya","Notified by Customer")</f>
        <v>Notified by Customer</v>
      </c>
      <c r="J228" s="59" t="e">
        <f>VLOOKUP([4]Sayfa1!$AU224,#REF!,2,FALSE)</f>
        <v>#REF!</v>
      </c>
      <c r="K228" s="59">
        <f>[4]Sayfa1!$AC224</f>
        <v>0</v>
      </c>
      <c r="L228" s="63" t="str">
        <f t="shared" si="52"/>
        <v>KAY_5+175-BOZ-KAY5+6-FF-223</v>
      </c>
      <c r="M228" s="64" t="str">
        <f>[4]Sayfa1!$L224</f>
        <v>YOLCU BÖLÜMÜ SICAK</v>
      </c>
      <c r="N228" s="33" t="str">
        <f>[4]Sayfa1!$J224</f>
        <v>B-Hız veya güç azalması</v>
      </c>
      <c r="O228" s="33" t="str">
        <f>[4]Sayfa1!$P224</f>
        <v>B(Servisten çekmeye etki eden arızalar)</v>
      </c>
      <c r="P228" s="33" t="str">
        <f>[4]Sayfa1!$Q224</f>
        <v>N.A(Yaralanma yok)</v>
      </c>
      <c r="Q228" s="65" t="str" cm="1">
        <f t="array" ref="Q228">_xlfn.IFS([4]Sayfa1!$R224="Bozankaya","Bozankaya",[4]Sayfa1!$R224="İşletme","Customer",[4]Sayfa1!$R224="Tedarikçi","Equipment Supplier")</f>
        <v>Equipment Supplier</v>
      </c>
      <c r="R228" s="66" t="str">
        <f>[4]Sayfa1!$M224</f>
        <v>ARAÇ KONTROL EDİLDİ. SORUN GÖRÜLMEDİ.</v>
      </c>
      <c r="S228" s="36" t="str">
        <f>[4]Sayfa1!$S224</f>
        <v>Eltesan</v>
      </c>
      <c r="T228" s="67">
        <f>[4]Sayfa1!$Z224</f>
        <v>0</v>
      </c>
      <c r="U228" s="68">
        <f>[4]Sayfa1!$AN224</f>
        <v>1</v>
      </c>
      <c r="V228" s="60">
        <f>[4]Sayfa1!$T224</f>
        <v>45476</v>
      </c>
      <c r="W228" s="61">
        <f>[4]Sayfa1!$U224</f>
        <v>45476.666666666664</v>
      </c>
      <c r="X228" s="69">
        <f t="shared" si="53"/>
        <v>45476.666666666664</v>
      </c>
      <c r="Y228" s="70">
        <f>[4]Sayfa1!$AQ224</f>
        <v>45476</v>
      </c>
      <c r="Z228" s="61">
        <f>[4]Sayfa1!$AR224</f>
        <v>45476.75</v>
      </c>
      <c r="AA228" s="69">
        <f t="shared" si="54"/>
        <v>45476.75</v>
      </c>
      <c r="AB228" s="71">
        <f t="shared" si="55"/>
        <v>0</v>
      </c>
      <c r="AC228" s="60">
        <f t="shared" si="56"/>
        <v>45476</v>
      </c>
      <c r="AD228" s="61">
        <f t="shared" si="57"/>
        <v>45476.75</v>
      </c>
      <c r="AE228" s="69">
        <f t="shared" si="58"/>
        <v>45476.75</v>
      </c>
      <c r="AF228" s="36" t="str">
        <f>[4]Sayfa1!$AP224</f>
        <v>(III) Birden fazla aynı araçta karşılaşılan arıza</v>
      </c>
      <c r="AG228" s="33" t="str">
        <f>IF([4]Sayfa1!$J224="C-Uyarı, sürüş devamlılığı","Bu Arıza Aracın Servise Verilmesine Engel Değil","Bu Arıza Aracın Servise Verilmesine Engel")</f>
        <v>Bu Arıza Aracın Servise Verilmesine Engel</v>
      </c>
      <c r="AH228" s="41" t="str">
        <f>[4]Sayfa1!$AB224</f>
        <v>Arıza çözülecek</v>
      </c>
      <c r="AI228" s="60"/>
      <c r="AJ228" s="60"/>
      <c r="AK228" s="69">
        <f t="shared" si="59"/>
        <v>0</v>
      </c>
      <c r="AL228" s="71">
        <f t="shared" si="60"/>
        <v>0</v>
      </c>
      <c r="AM228" s="71">
        <f t="shared" si="61"/>
        <v>0</v>
      </c>
      <c r="AN228" s="72">
        <f t="shared" si="62"/>
        <v>0</v>
      </c>
      <c r="AO228" s="73" t="str">
        <f>[4]Sayfa1!$X224</f>
        <v>H500-7240</v>
      </c>
      <c r="AP228" s="72">
        <f>[4]Sayfa1!$Y224</f>
        <v>1</v>
      </c>
      <c r="AQ228" s="184" t="str">
        <f>[4]Sayfa1!$V224</f>
        <v>ELTESAN ELEKTRO MEKANİK SOĞUTMA SAN</v>
      </c>
      <c r="AR228" s="74" t="str">
        <f>[4]Sayfa1!$W224</f>
        <v>KLIMA UNITESİ /Eltesan/Hispacold 41,5 kW</v>
      </c>
      <c r="AS228" s="74">
        <f>[4]Sayfa1!$AD224</f>
        <v>0</v>
      </c>
      <c r="AT228" s="60" t="str">
        <f>[4]Sayfa1!$AE224</f>
        <v/>
      </c>
      <c r="AU228" s="60">
        <f>[4]Sayfa1!$AH224</f>
        <v>0</v>
      </c>
      <c r="AV228" s="75">
        <v>223</v>
      </c>
      <c r="AW228" s="76">
        <f t="shared" si="63"/>
        <v>0</v>
      </c>
      <c r="AX228" s="77" t="str">
        <f>[4]Sayfa1!$A224</f>
        <v>979a9b98</v>
      </c>
      <c r="AY228" s="78" t="s">
        <v>114</v>
      </c>
      <c r="AZ228" s="79" t="e" vm="1">
        <f t="shared" si="64"/>
        <v>#VALUE!</v>
      </c>
    </row>
    <row r="229" spans="1:52" ht="151.9">
      <c r="A229" s="59" t="s">
        <v>284</v>
      </c>
      <c r="B229" s="59" t="str">
        <f>[4]Sayfa1!$G225</f>
        <v>3872(1)</v>
      </c>
      <c r="C229" s="184" t="str">
        <f>[4]Sayfa1!$H225</f>
        <v>MA</v>
      </c>
      <c r="D229" s="24">
        <f>[4]Sayfa1!$N225</f>
        <v>70100</v>
      </c>
      <c r="E229" s="24" t="str">
        <f>[4]Sayfa1!$B225</f>
        <v>BOZ-KAY5+6-FF-224</v>
      </c>
      <c r="F229" s="60">
        <f>[4]Sayfa1!$E225</f>
        <v>45479</v>
      </c>
      <c r="G229" s="61">
        <f>[4]Sayfa1!$F225</f>
        <v>45479.324305555558</v>
      </c>
      <c r="H229" s="59" t="str">
        <f>[4]Sayfa1!$I225</f>
        <v>Depo/Depot</v>
      </c>
      <c r="I229" s="62" t="str">
        <f>IF([4]Sayfa1!$K225="SSH","Notified by Bozankaya","Notified by Customer")</f>
        <v>Notified by Customer</v>
      </c>
      <c r="J229" s="59" t="e">
        <f>VLOOKUP([4]Sayfa1!$AU225,#REF!,2,FALSE)</f>
        <v>#REF!</v>
      </c>
      <c r="K229" s="59">
        <f>[4]Sayfa1!$AC225</f>
        <v>0</v>
      </c>
      <c r="L229" s="63" t="str">
        <f t="shared" si="52"/>
        <v>KAY_5+176-BOZ-KAY5+6-FF-224</v>
      </c>
      <c r="M229" s="64" t="str">
        <f>[4]Sayfa1!$L225</f>
        <v>CA kabin araç canlanmadı akü devre dışı kaldı.3 seferde 12 dk tehir oluştu</v>
      </c>
      <c r="N229" s="33" t="str">
        <f>[4]Sayfa1!$J225</f>
        <v>A-Sürüşü engeller</v>
      </c>
      <c r="O229" s="33" t="str">
        <f>[4]Sayfa1!$P225</f>
        <v>A(Hareket etmeyi engelleyen arıza)</v>
      </c>
      <c r="P229" s="33" t="str">
        <f>[4]Sayfa1!$Q225</f>
        <v>N.A(Yaralanma yok)</v>
      </c>
      <c r="Q229" s="65" t="str" cm="1">
        <f t="array" ref="Q229">_xlfn.IFS([4]Sayfa1!$R225="Bozankaya","Bozankaya",[4]Sayfa1!$R225="İşletme","Customer",[4]Sayfa1!$R225="Tedarikçi","Equipment Supplier")</f>
        <v>Bozankaya</v>
      </c>
      <c r="R229" s="66" t="str">
        <f>[4]Sayfa1!$M225</f>
        <v>Kontrol edildi .Araç CA kabinden  canlandırıldı.Sorun görülmedi</v>
      </c>
      <c r="S229" s="36" t="str">
        <f>[4]Sayfa1!$S225</f>
        <v>Üretim</v>
      </c>
      <c r="T229" s="67">
        <f>[4]Sayfa1!$Z225</f>
        <v>0</v>
      </c>
      <c r="U229" s="68">
        <f>[4]Sayfa1!$AN225</f>
        <v>2</v>
      </c>
      <c r="V229" s="60">
        <f>[4]Sayfa1!$T225</f>
        <v>45530</v>
      </c>
      <c r="W229" s="61">
        <f>[4]Sayfa1!$U225</f>
        <v>45530.57303240741</v>
      </c>
      <c r="X229" s="69">
        <f t="shared" si="53"/>
        <v>45530.57303240741</v>
      </c>
      <c r="Y229" s="70">
        <f>[4]Sayfa1!$AQ225</f>
        <v>45530</v>
      </c>
      <c r="Z229" s="61">
        <f>[4]Sayfa1!$AR225</f>
        <v>45530.666666666664</v>
      </c>
      <c r="AA229" s="69">
        <f t="shared" si="54"/>
        <v>45530.666666666664</v>
      </c>
      <c r="AB229" s="71">
        <f t="shared" si="55"/>
        <v>2.2472222220967524</v>
      </c>
      <c r="AC229" s="60">
        <f t="shared" si="56"/>
        <v>45530</v>
      </c>
      <c r="AD229" s="61">
        <f t="shared" si="57"/>
        <v>45530.666666666664</v>
      </c>
      <c r="AE229" s="69">
        <f t="shared" si="58"/>
        <v>45530.666666666664</v>
      </c>
      <c r="AF229" s="36" t="str">
        <f>[4]Sayfa1!$AP225</f>
        <v>(I) İlk defa karşılaşılan arıza</v>
      </c>
      <c r="AG229" s="33" t="str">
        <f>IF([4]Sayfa1!$J225="C-Uyarı, sürüş devamlılığı","Bu Arıza Aracın Servise Verilmesine Engel Değil","Bu Arıza Aracın Servise Verilmesine Engel")</f>
        <v>Bu Arıza Aracın Servise Verilmesine Engel</v>
      </c>
      <c r="AH229" s="41" t="str">
        <f>[4]Sayfa1!$AB225</f>
        <v>Tamir edilecek</v>
      </c>
      <c r="AI229" s="60"/>
      <c r="AJ229" s="60"/>
      <c r="AK229" s="69">
        <f t="shared" si="59"/>
        <v>0</v>
      </c>
      <c r="AL229" s="71">
        <f t="shared" si="60"/>
        <v>134.83333332580514</v>
      </c>
      <c r="AM229" s="71">
        <f t="shared" si="61"/>
        <v>134.83333332580514</v>
      </c>
      <c r="AN229" s="72">
        <f t="shared" si="62"/>
        <v>0</v>
      </c>
      <c r="AO229" s="73" t="str">
        <f>[4]Sayfa1!$X225</f>
        <v>M350-7062</v>
      </c>
      <c r="AP229" s="72">
        <f>[4]Sayfa1!$Y225</f>
        <v>1</v>
      </c>
      <c r="AQ229" s="184" t="str">
        <f>[4]Sayfa1!$V225</f>
        <v>DELLNER COUPLERC AB</v>
      </c>
      <c r="AR229" s="74" t="str">
        <f>[4]Sayfa1!$W225</f>
        <v>OTOMATIK KUPLÖR DELLNER</v>
      </c>
      <c r="AS229" s="74">
        <f>[4]Sayfa1!$AD225</f>
        <v>0</v>
      </c>
      <c r="AT229" s="60" t="str">
        <f>[4]Sayfa1!$AE225</f>
        <v/>
      </c>
      <c r="AU229" s="60" t="str">
        <f>[4]Sayfa1!$AH225</f>
        <v/>
      </c>
      <c r="AV229" s="75">
        <v>224</v>
      </c>
      <c r="AW229" s="76">
        <f t="shared" si="63"/>
        <v>49.438888886128552</v>
      </c>
      <c r="AX229" s="77" t="str">
        <f>[4]Sayfa1!$A225</f>
        <v>5ee07d94</v>
      </c>
      <c r="AY229" s="78" t="s">
        <v>114</v>
      </c>
      <c r="AZ229" s="79" t="e" vm="1">
        <f t="shared" si="64"/>
        <v>#VALUE!</v>
      </c>
    </row>
    <row r="230" spans="1:52" ht="409.6">
      <c r="A230" s="59" t="s">
        <v>285</v>
      </c>
      <c r="B230" s="59" t="str">
        <f>[4]Sayfa1!$G226</f>
        <v>3872(1)</v>
      </c>
      <c r="C230" s="184" t="str">
        <f>[4]Sayfa1!$H226</f>
        <v>MA</v>
      </c>
      <c r="D230" s="24">
        <f>[4]Sayfa1!$N226</f>
        <v>70000</v>
      </c>
      <c r="E230" s="24" t="str">
        <f>[4]Sayfa1!$B226</f>
        <v>BOZ-KAY5+6-FF-225</v>
      </c>
      <c r="F230" s="60">
        <f>[4]Sayfa1!$E226</f>
        <v>45479</v>
      </c>
      <c r="G230" s="61">
        <f>[4]Sayfa1!$F226</f>
        <v>45479.625694444447</v>
      </c>
      <c r="H230" s="59" t="str">
        <f>[4]Sayfa1!$I226</f>
        <v>Hat/Line</v>
      </c>
      <c r="I230" s="62" t="str">
        <f>IF([4]Sayfa1!$K226="SSH","Notified by Bozankaya","Notified by Customer")</f>
        <v>Notified by Customer</v>
      </c>
      <c r="J230" s="59" t="e">
        <f>VLOOKUP([4]Sayfa1!$AU226,#REF!,2,FALSE)</f>
        <v>#REF!</v>
      </c>
      <c r="K230" s="59">
        <f>[4]Sayfa1!$AC226</f>
        <v>0</v>
      </c>
      <c r="L230" s="63" t="str">
        <f t="shared" si="52"/>
        <v>KAY_5+177-BOZ-KAY5+6-FF-225</v>
      </c>
      <c r="M230" s="64" t="str">
        <f>[4]Sayfa1!$L226</f>
        <v>Araç servis dışı olarak depoya çekilirkenidu ya em genişletmiş sinyali yok şeklinde uyarı düştü.5 km hız sınırı koyarak kendisini durdurdu.Araç söndürüldü.Kontak aktif edilmek istenildiğinde enerji gelmedi.Araç canlandırılamadı.1 adet sefer iptali ,14 seferde 62 dakika tehir meydana geldi.</v>
      </c>
      <c r="N230" s="33" t="str">
        <f>[4]Sayfa1!$J226</f>
        <v>C-Uyarı, sürüş devamlılığı</v>
      </c>
      <c r="O230" s="33" t="str">
        <f>[4]Sayfa1!$P226</f>
        <v>B(Servisten çekmeye etki eden arızalar)</v>
      </c>
      <c r="P230" s="33" t="str">
        <f>[4]Sayfa1!$Q226</f>
        <v>N.A(Yaralanma yok)</v>
      </c>
      <c r="Q230" s="65" t="str" cm="1">
        <f t="array" ref="Q230">_xlfn.IFS([4]Sayfa1!$R226="Bozankaya","Bozankaya",[4]Sayfa1!$R226="İşletme","Customer",[4]Sayfa1!$R226="Tedarikçi","Equipment Supplier")</f>
        <v>Equipment Supplier</v>
      </c>
      <c r="R230" s="66" t="str">
        <f>[4]Sayfa1!$M226</f>
        <v>Kuplör klemensindeki kablonun tam oturmadığı tespit edildi.Kablo yerine takıldı</v>
      </c>
      <c r="S230" s="36" t="str">
        <f>[4]Sayfa1!$S226</f>
        <v>Bozankaya</v>
      </c>
      <c r="T230" s="67">
        <f>[4]Sayfa1!$Z226</f>
        <v>0</v>
      </c>
      <c r="U230" s="68">
        <f>[4]Sayfa1!$AN226</f>
        <v>1</v>
      </c>
      <c r="V230" s="60">
        <f>[4]Sayfa1!$T226</f>
        <v>45538</v>
      </c>
      <c r="W230" s="61">
        <f>[4]Sayfa1!$U226</f>
        <v>45538.403773148151</v>
      </c>
      <c r="X230" s="69">
        <f t="shared" si="53"/>
        <v>45538.403773148151</v>
      </c>
      <c r="Y230" s="70">
        <f>[4]Sayfa1!$AQ226</f>
        <v>45538</v>
      </c>
      <c r="Z230" s="61">
        <f>[4]Sayfa1!$AR226</f>
        <v>45538.583333333336</v>
      </c>
      <c r="AA230" s="69">
        <f t="shared" si="54"/>
        <v>45538.583333333336</v>
      </c>
      <c r="AB230" s="71">
        <f t="shared" si="55"/>
        <v>4.3094444444286637</v>
      </c>
      <c r="AC230" s="60">
        <f t="shared" si="56"/>
        <v>45538</v>
      </c>
      <c r="AD230" s="61">
        <f t="shared" si="57"/>
        <v>45538.583333333336</v>
      </c>
      <c r="AE230" s="69">
        <f t="shared" si="58"/>
        <v>45538.583333333336</v>
      </c>
      <c r="AF230" s="36" t="str">
        <f>[4]Sayfa1!$AP226</f>
        <v>(I) İlk defa karşılaşılan arıza</v>
      </c>
      <c r="AG230" s="33" t="str">
        <f>IF([4]Sayfa1!$J226="C-Uyarı, sürüş devamlılığı","Bu Arıza Aracın Servise Verilmesine Engel Değil","Bu Arıza Aracın Servise Verilmesine Engel")</f>
        <v>Bu Arıza Aracın Servise Verilmesine Engel Değil</v>
      </c>
      <c r="AH230" s="41" t="str">
        <f>[4]Sayfa1!$AB226</f>
        <v>Arıza çözülecek</v>
      </c>
      <c r="AI230" s="60"/>
      <c r="AJ230" s="60"/>
      <c r="AK230" s="69">
        <f t="shared" si="59"/>
        <v>0</v>
      </c>
      <c r="AL230" s="71">
        <f t="shared" si="60"/>
        <v>258.56666666571982</v>
      </c>
      <c r="AM230" s="71">
        <f t="shared" si="61"/>
        <v>258.56666666571982</v>
      </c>
      <c r="AN230" s="72">
        <f t="shared" si="62"/>
        <v>0</v>
      </c>
      <c r="AO230" s="73" t="str">
        <f>[4]Sayfa1!$X226</f>
        <v>M350-7062</v>
      </c>
      <c r="AP230" s="72">
        <f>[4]Sayfa1!$Y226</f>
        <v>1</v>
      </c>
      <c r="AQ230" s="184" t="str">
        <f>[4]Sayfa1!$V226</f>
        <v>DELLNER COUPLERC AB</v>
      </c>
      <c r="AR230" s="74" t="str">
        <f>[4]Sayfa1!$W226</f>
        <v>OTOMATIK KUPLÖR DELLNER</v>
      </c>
      <c r="AS230" s="74">
        <f>[4]Sayfa1!$AD226</f>
        <v>0</v>
      </c>
      <c r="AT230" s="60" t="str">
        <f>[4]Sayfa1!$AE226</f>
        <v/>
      </c>
      <c r="AU230" s="60" t="str">
        <f>[4]Sayfa1!$AH226</f>
        <v/>
      </c>
      <c r="AV230" s="75">
        <v>225</v>
      </c>
      <c r="AW230" s="76">
        <f t="shared" si="63"/>
        <v>47.403888888715301</v>
      </c>
      <c r="AX230" s="77" t="str">
        <f>[4]Sayfa1!$A226</f>
        <v>1a939f4e</v>
      </c>
      <c r="AY230" s="78" t="s">
        <v>114</v>
      </c>
      <c r="AZ230" s="79" t="e" vm="1">
        <f t="shared" si="64"/>
        <v>#VALUE!</v>
      </c>
    </row>
    <row r="231" spans="1:52" ht="148.15">
      <c r="A231" s="59" t="s">
        <v>286</v>
      </c>
      <c r="B231" s="59" t="str">
        <f>[4]Sayfa1!$G227</f>
        <v>3882(11)</v>
      </c>
      <c r="C231" s="184" t="str">
        <f>[4]Sayfa1!$H227</f>
        <v>MA</v>
      </c>
      <c r="D231" s="24">
        <f>[4]Sayfa1!$N227</f>
        <v>10150</v>
      </c>
      <c r="E231" s="24" t="str">
        <f>[4]Sayfa1!$B227</f>
        <v>BOZ-KAY5+6-FF-226</v>
      </c>
      <c r="F231" s="60">
        <f>[4]Sayfa1!$E227</f>
        <v>45489</v>
      </c>
      <c r="G231" s="61">
        <f>[4]Sayfa1!$F227</f>
        <v>45489.680555555555</v>
      </c>
      <c r="H231" s="59" t="str">
        <f>[4]Sayfa1!$I227</f>
        <v>Hat/Line</v>
      </c>
      <c r="I231" s="62" t="str">
        <f>IF([4]Sayfa1!$K227="SSH","Notified by Bozankaya","Notified by Customer")</f>
        <v>Notified by Customer</v>
      </c>
      <c r="J231" s="59" t="e">
        <f>VLOOKUP([4]Sayfa1!$AU227,#REF!,2,FALSE)</f>
        <v>#REF!</v>
      </c>
      <c r="K231" s="59">
        <f>[4]Sayfa1!$AC227</f>
        <v>0</v>
      </c>
      <c r="L231" s="63" t="str">
        <f t="shared" si="52"/>
        <v>KAY_5+178-BOZ-KAY5+6-FF-226</v>
      </c>
      <c r="M231" s="64" t="str">
        <f>[4]Sayfa1!$L227</f>
        <v>Fren mesafesi uzuyor.Frenlerde boşlama var</v>
      </c>
      <c r="N231" s="33" t="str">
        <f>[4]Sayfa1!$J227</f>
        <v>B-Hız veya güç azalması</v>
      </c>
      <c r="O231" s="33" t="str">
        <f>[4]Sayfa1!$P227</f>
        <v>B(Servisten çekmeye etki eden arızalar)</v>
      </c>
      <c r="P231" s="33" t="str">
        <f>[4]Sayfa1!$Q227</f>
        <v>N.A(Yaralanma yok)</v>
      </c>
      <c r="Q231" s="65" t="str" cm="1">
        <f t="array" ref="Q231">_xlfn.IFS([4]Sayfa1!$R227="Bozankaya","Bozankaya",[4]Sayfa1!$R227="İşletme","Customer",[4]Sayfa1!$R227="Tedarikçi","Equipment Supplier")</f>
        <v>Equipment Supplier</v>
      </c>
      <c r="R231" s="66" t="str">
        <f>[4]Sayfa1!$M227</f>
        <v>medcom firması yazılım yükledi,sorun giderildi</v>
      </c>
      <c r="S231" s="36" t="str">
        <f>[4]Sayfa1!$S227</f>
        <v>Medcom</v>
      </c>
      <c r="T231" s="67">
        <f>[4]Sayfa1!$Z227</f>
        <v>0</v>
      </c>
      <c r="U231" s="68">
        <f>[4]Sayfa1!$AN227</f>
        <v>2</v>
      </c>
      <c r="V231" s="60">
        <f>[4]Sayfa1!$T227</f>
        <v>45530</v>
      </c>
      <c r="W231" s="61">
        <f>[4]Sayfa1!$U227</f>
        <v>45530.478726851848</v>
      </c>
      <c r="X231" s="69">
        <f t="shared" si="53"/>
        <v>45530.478726851848</v>
      </c>
      <c r="Y231" s="70">
        <f>[4]Sayfa1!$AQ227</f>
        <v>45530</v>
      </c>
      <c r="Z231" s="61">
        <f>[4]Sayfa1!$AR227</f>
        <v>45530.666666666664</v>
      </c>
      <c r="AA231" s="69">
        <f t="shared" si="54"/>
        <v>45530.666666666664</v>
      </c>
      <c r="AB231" s="71">
        <f t="shared" si="55"/>
        <v>4.5105555555783212</v>
      </c>
      <c r="AC231" s="60">
        <f t="shared" si="56"/>
        <v>45530</v>
      </c>
      <c r="AD231" s="61">
        <f t="shared" si="57"/>
        <v>45530.666666666664</v>
      </c>
      <c r="AE231" s="69">
        <f t="shared" si="58"/>
        <v>45530.666666666664</v>
      </c>
      <c r="AF231" s="36" t="str">
        <f>[4]Sayfa1!$AP227</f>
        <v>(II) Birden fazla karşılaşılan arıza</v>
      </c>
      <c r="AG231" s="33" t="str">
        <f>IF([4]Sayfa1!$J227="C-Uyarı, sürüş devamlılığı","Bu Arıza Aracın Servise Verilmesine Engel Değil","Bu Arıza Aracın Servise Verilmesine Engel")</f>
        <v>Bu Arıza Aracın Servise Verilmesine Engel</v>
      </c>
      <c r="AH231" s="41" t="str">
        <f>[4]Sayfa1!$AB227</f>
        <v>Tamir edilecek</v>
      </c>
      <c r="AI231" s="60"/>
      <c r="AJ231" s="60"/>
      <c r="AK231" s="69">
        <f t="shared" si="59"/>
        <v>0</v>
      </c>
      <c r="AL231" s="71">
        <f t="shared" si="60"/>
        <v>270.63333333469927</v>
      </c>
      <c r="AM231" s="71">
        <f t="shared" si="61"/>
        <v>270.63333333469927</v>
      </c>
      <c r="AN231" s="72">
        <f t="shared" si="62"/>
        <v>0</v>
      </c>
      <c r="AO231" s="73" t="str">
        <f>[4]Sayfa1!$X227</f>
        <v>E110-7659</v>
      </c>
      <c r="AP231" s="72">
        <f>[4]Sayfa1!$Y227</f>
        <v>1</v>
      </c>
      <c r="AQ231" s="184" t="str">
        <f>[4]Sayfa1!$V227</f>
        <v>MEDCOM SP. Z O.O.</v>
      </c>
      <c r="AR231" s="74" t="str">
        <f>[4]Sayfa1!$W227</f>
        <v>MEDCOM SICAKLIK SENSÖRÜ</v>
      </c>
      <c r="AS231" s="74">
        <f>[4]Sayfa1!$AD227</f>
        <v>0</v>
      </c>
      <c r="AT231" s="60" t="str">
        <f>[4]Sayfa1!$AE227</f>
        <v/>
      </c>
      <c r="AU231" s="60" t="str">
        <f>[4]Sayfa1!$AH227</f>
        <v/>
      </c>
      <c r="AV231" s="75">
        <v>226</v>
      </c>
      <c r="AW231" s="76">
        <f t="shared" si="63"/>
        <v>99.232222222723067</v>
      </c>
      <c r="AX231" s="77" t="str">
        <f>[4]Sayfa1!$A227</f>
        <v>cacf0a71</v>
      </c>
      <c r="AY231" s="78" t="s">
        <v>114</v>
      </c>
      <c r="AZ231" s="79" t="e" vm="1">
        <f t="shared" si="64"/>
        <v>#VALUE!</v>
      </c>
    </row>
    <row r="232" spans="1:52" ht="148.15">
      <c r="A232" s="59" t="s">
        <v>287</v>
      </c>
      <c r="B232" s="59" t="str">
        <f>[4]Sayfa1!$G228</f>
        <v>3873(2)</v>
      </c>
      <c r="C232" s="184" t="str">
        <f>[4]Sayfa1!$H228</f>
        <v>MA</v>
      </c>
      <c r="D232" s="24">
        <f>[4]Sayfa1!$N228</f>
        <v>83000</v>
      </c>
      <c r="E232" s="24" t="str">
        <f>[4]Sayfa1!$B228</f>
        <v>BOZ-KAY5+6-FF-227</v>
      </c>
      <c r="F232" s="60">
        <f>[4]Sayfa1!$E228</f>
        <v>45491</v>
      </c>
      <c r="G232" s="61">
        <f>[4]Sayfa1!$F228</f>
        <v>45491.363888888889</v>
      </c>
      <c r="H232" s="59" t="str">
        <f>[4]Sayfa1!$I228</f>
        <v>Hat/Line</v>
      </c>
      <c r="I232" s="62" t="str">
        <f>IF([4]Sayfa1!$K228="SSH","Notified by Bozankaya","Notified by Customer")</f>
        <v>Notified by Customer</v>
      </c>
      <c r="J232" s="59" t="e">
        <f>VLOOKUP([4]Sayfa1!$AU228,#REF!,2,FALSE)</f>
        <v>#REF!</v>
      </c>
      <c r="K232" s="59">
        <f>[4]Sayfa1!$AC228</f>
        <v>0</v>
      </c>
      <c r="L232" s="63" t="str">
        <f t="shared" si="52"/>
        <v>KAY_5+179-BOZ-KAY5+6-FF-227</v>
      </c>
      <c r="M232" s="64" t="str">
        <f>[4]Sayfa1!$L228</f>
        <v>CA KABİN SİLECEK KIRIK</v>
      </c>
      <c r="N232" s="33" t="str">
        <f>[4]Sayfa1!$J228</f>
        <v>A-Sürüşü engeller</v>
      </c>
      <c r="O232" s="33" t="str">
        <f>[4]Sayfa1!$P228</f>
        <v>B(Servisten çekmeye etki eden arızalar)</v>
      </c>
      <c r="P232" s="33" t="str">
        <f>[4]Sayfa1!$Q228</f>
        <v>N.A(Yaralanma yok)</v>
      </c>
      <c r="Q232" s="65" t="str" cm="1">
        <f t="array" ref="Q232">_xlfn.IFS([4]Sayfa1!$R228="Bozankaya","Bozankaya",[4]Sayfa1!$R228="İşletme","Customer",[4]Sayfa1!$R228="Tedarikçi","Equipment Supplier")</f>
        <v>Equipment Supplier</v>
      </c>
      <c r="R232" s="66" t="str">
        <f>[4]Sayfa1!$M228</f>
        <v>SİLECEK DEĞİŞİMİ YAPILDI</v>
      </c>
      <c r="S232" s="36" t="str">
        <f>[4]Sayfa1!$S228</f>
        <v>Bozankaya</v>
      </c>
      <c r="T232" s="67">
        <f>[4]Sayfa1!$Z228</f>
        <v>0</v>
      </c>
      <c r="U232" s="68">
        <f>[4]Sayfa1!$AN228</f>
        <v>1</v>
      </c>
      <c r="V232" s="60">
        <f>[4]Sayfa1!$T228</f>
        <v>45491</v>
      </c>
      <c r="W232" s="61">
        <f>[4]Sayfa1!$U228</f>
        <v>45491.5</v>
      </c>
      <c r="X232" s="69">
        <f t="shared" si="53"/>
        <v>45491.5</v>
      </c>
      <c r="Y232" s="70">
        <f>[4]Sayfa1!$AQ228</f>
        <v>45491</v>
      </c>
      <c r="Z232" s="61">
        <f>[4]Sayfa1!$AR228</f>
        <v>45491.520833333336</v>
      </c>
      <c r="AA232" s="69">
        <f t="shared" si="54"/>
        <v>45491.520833333336</v>
      </c>
      <c r="AB232" s="71">
        <f t="shared" si="55"/>
        <v>0</v>
      </c>
      <c r="AC232" s="60">
        <f t="shared" si="56"/>
        <v>45491</v>
      </c>
      <c r="AD232" s="61">
        <f t="shared" si="57"/>
        <v>45491.520833333336</v>
      </c>
      <c r="AE232" s="69">
        <f t="shared" si="58"/>
        <v>45491.520833333336</v>
      </c>
      <c r="AF232" s="36" t="str">
        <f>[4]Sayfa1!$AP228</f>
        <v>(II) Birden fazla karşılaşılan arıza</v>
      </c>
      <c r="AG232" s="33" t="str">
        <f>IF([4]Sayfa1!$J228="C-Uyarı, sürüş devamlılığı","Bu Arıza Aracın Servise Verilmesine Engel Değil","Bu Arıza Aracın Servise Verilmesine Engel")</f>
        <v>Bu Arıza Aracın Servise Verilmesine Engel</v>
      </c>
      <c r="AH232" s="41" t="str">
        <f>[4]Sayfa1!$AB228</f>
        <v>Ekipman değiştirilecek</v>
      </c>
      <c r="AI232" s="60"/>
      <c r="AJ232" s="60"/>
      <c r="AK232" s="69">
        <f t="shared" si="59"/>
        <v>0</v>
      </c>
      <c r="AL232" s="71">
        <f t="shared" si="60"/>
        <v>0</v>
      </c>
      <c r="AM232" s="71">
        <f t="shared" si="61"/>
        <v>0</v>
      </c>
      <c r="AN232" s="72">
        <f t="shared" si="62"/>
        <v>0</v>
      </c>
      <c r="AO232" s="73" t="str">
        <f>[4]Sayfa1!$X228</f>
        <v>M100-7066</v>
      </c>
      <c r="AP232" s="72">
        <f>[4]Sayfa1!$Y228</f>
        <v>1</v>
      </c>
      <c r="AQ232" s="184" t="str">
        <f>[4]Sayfa1!$V228</f>
        <v>DENİZLER OTOMOTİV SAN. VE TİC.LTD.Ş</v>
      </c>
      <c r="AR232" s="74" t="str">
        <f>[4]Sayfa1!$W228</f>
        <v>SİLECEK MEKANİZMASI Denizler / M.11.2506</v>
      </c>
      <c r="AS232" s="74">
        <f>[4]Sayfa1!$AD228</f>
        <v>0</v>
      </c>
      <c r="AT232" s="60" t="str">
        <f>[4]Sayfa1!$AE228</f>
        <v/>
      </c>
      <c r="AU232" s="60" t="str">
        <f>[4]Sayfa1!$AH228</f>
        <v/>
      </c>
      <c r="AV232" s="75">
        <v>227</v>
      </c>
      <c r="AW232" s="76">
        <f t="shared" si="63"/>
        <v>0</v>
      </c>
      <c r="AX232" s="77" t="str">
        <f>[4]Sayfa1!$A228</f>
        <v>0671bc1a</v>
      </c>
      <c r="AY232" s="78" t="s">
        <v>114</v>
      </c>
      <c r="AZ232" s="79" t="e" vm="1">
        <f t="shared" si="64"/>
        <v>#VALUE!</v>
      </c>
    </row>
    <row r="233" spans="1:52" ht="179.45">
      <c r="A233" s="59" t="s">
        <v>288</v>
      </c>
      <c r="B233" s="59" t="str">
        <f>[4]Sayfa1!$G229</f>
        <v>3881(10)</v>
      </c>
      <c r="C233" s="184" t="str">
        <f>[4]Sayfa1!$H229</f>
        <v>MA</v>
      </c>
      <c r="D233" s="24">
        <f>[4]Sayfa1!$N229</f>
        <v>23550</v>
      </c>
      <c r="E233" s="24" t="str">
        <f>[4]Sayfa1!$B229</f>
        <v>BOZ-KAY5+6-FF-228</v>
      </c>
      <c r="F233" s="60">
        <f>[4]Sayfa1!$E229</f>
        <v>45491</v>
      </c>
      <c r="G233" s="61">
        <f>[4]Sayfa1!$F229</f>
        <v>45491.663194444445</v>
      </c>
      <c r="H233" s="59" t="str">
        <f>[4]Sayfa1!$I229</f>
        <v>Hat/Line</v>
      </c>
      <c r="I233" s="62" t="str">
        <f>IF([4]Sayfa1!$K229="SSH","Notified by Bozankaya","Notified by Customer")</f>
        <v>Notified by Customer</v>
      </c>
      <c r="J233" s="59" t="e">
        <f>VLOOKUP([4]Sayfa1!$AU229,#REF!,2,FALSE)</f>
        <v>#REF!</v>
      </c>
      <c r="K233" s="59">
        <f>[4]Sayfa1!$AC229</f>
        <v>0</v>
      </c>
      <c r="L233" s="63" t="str">
        <f t="shared" si="52"/>
        <v>KAY_5+180-BOZ-KAY5+6-FF-228</v>
      </c>
      <c r="M233" s="64" t="str">
        <f>[4]Sayfa1!$L229</f>
        <v>CA Kabinden kullanırken sürekli ivme ve frende boşlama yapıyor.Fren mesafesi uzuyor</v>
      </c>
      <c r="N233" s="33" t="str">
        <f>[4]Sayfa1!$J229</f>
        <v>B-Hız veya güç azalması</v>
      </c>
      <c r="O233" s="33" t="str">
        <f>[4]Sayfa1!$P229</f>
        <v>B(Servisten çekmeye etki eden arızalar)</v>
      </c>
      <c r="P233" s="33" t="str">
        <f>[4]Sayfa1!$Q229</f>
        <v>N.A(Yaralanma yok)</v>
      </c>
      <c r="Q233" s="65" t="str" cm="1">
        <f t="array" ref="Q233">_xlfn.IFS([4]Sayfa1!$R229="Bozankaya","Bozankaya",[4]Sayfa1!$R229="İşletme","Customer",[4]Sayfa1!$R229="Tedarikçi","Equipment Supplier")</f>
        <v>Equipment Supplier</v>
      </c>
      <c r="R233" s="66" t="str">
        <f>[4]Sayfa1!$M229</f>
        <v>Medcom firması yazılım yükledi</v>
      </c>
      <c r="S233" s="36" t="str">
        <f>[4]Sayfa1!$S229</f>
        <v>Medcom</v>
      </c>
      <c r="T233" s="67">
        <f>[4]Sayfa1!$Z229</f>
        <v>0</v>
      </c>
      <c r="U233" s="68">
        <f>[4]Sayfa1!$AN229</f>
        <v>2</v>
      </c>
      <c r="V233" s="60">
        <f>[4]Sayfa1!$T229</f>
        <v>45530</v>
      </c>
      <c r="W233" s="61">
        <f>[4]Sayfa1!$U229</f>
        <v>45530.483888888892</v>
      </c>
      <c r="X233" s="69">
        <f t="shared" si="53"/>
        <v>45530.483888888892</v>
      </c>
      <c r="Y233" s="70">
        <f>[4]Sayfa1!$AQ229</f>
        <v>45530</v>
      </c>
      <c r="Z233" s="61">
        <f>[4]Sayfa1!$AR229</f>
        <v>45530.75</v>
      </c>
      <c r="AA233" s="69">
        <f t="shared" si="54"/>
        <v>45530.75</v>
      </c>
      <c r="AB233" s="71">
        <f t="shared" si="55"/>
        <v>6.3866666665999219</v>
      </c>
      <c r="AC233" s="60">
        <f t="shared" si="56"/>
        <v>45530</v>
      </c>
      <c r="AD233" s="61">
        <f t="shared" si="57"/>
        <v>45530.75</v>
      </c>
      <c r="AE233" s="69">
        <f t="shared" si="58"/>
        <v>45530.75</v>
      </c>
      <c r="AF233" s="36" t="str">
        <f>[4]Sayfa1!$AP229</f>
        <v>(II) Birden fazla karşılaşılan arıza</v>
      </c>
      <c r="AG233" s="33" t="str">
        <f>IF([4]Sayfa1!$J229="C-Uyarı, sürüş devamlılığı","Bu Arıza Aracın Servise Verilmesine Engel Değil","Bu Arıza Aracın Servise Verilmesine Engel")</f>
        <v>Bu Arıza Aracın Servise Verilmesine Engel</v>
      </c>
      <c r="AH233" s="41" t="str">
        <f>[4]Sayfa1!$AB229</f>
        <v>Yazılım güncelleme</v>
      </c>
      <c r="AI233" s="60"/>
      <c r="AJ233" s="60"/>
      <c r="AK233" s="69">
        <f t="shared" si="59"/>
        <v>0</v>
      </c>
      <c r="AL233" s="71">
        <f t="shared" si="60"/>
        <v>383.19999999599531</v>
      </c>
      <c r="AM233" s="71">
        <f t="shared" si="61"/>
        <v>383.19999999599531</v>
      </c>
      <c r="AN233" s="72">
        <f t="shared" si="62"/>
        <v>0</v>
      </c>
      <c r="AO233" s="73" t="str">
        <f>[4]Sayfa1!$X229</f>
        <v>E110-7659</v>
      </c>
      <c r="AP233" s="72">
        <f>[4]Sayfa1!$Y229</f>
        <v>1</v>
      </c>
      <c r="AQ233" s="184" t="str">
        <f>[4]Sayfa1!$V229</f>
        <v>MEDCOM SP. Z O.O.</v>
      </c>
      <c r="AR233" s="74" t="str">
        <f>[4]Sayfa1!$W229</f>
        <v>MEDCOM SICAKLIK SENSÖRÜ</v>
      </c>
      <c r="AS233" s="74">
        <f>[4]Sayfa1!$AD229</f>
        <v>0</v>
      </c>
      <c r="AT233" s="60" t="str">
        <f>[4]Sayfa1!$AE229</f>
        <v/>
      </c>
      <c r="AU233" s="60" t="str">
        <f>[4]Sayfa1!$AH229</f>
        <v/>
      </c>
      <c r="AV233" s="75">
        <v>228</v>
      </c>
      <c r="AW233" s="76">
        <f t="shared" si="63"/>
        <v>140.50666666519828</v>
      </c>
      <c r="AX233" s="77" t="str">
        <f>[4]Sayfa1!$A229</f>
        <v>529775db</v>
      </c>
      <c r="AY233" s="78" t="s">
        <v>114</v>
      </c>
      <c r="AZ233" s="79" t="e" vm="1">
        <f t="shared" si="64"/>
        <v>#VALUE!</v>
      </c>
    </row>
    <row r="234" spans="1:52" ht="148.15">
      <c r="A234" s="59" t="s">
        <v>289</v>
      </c>
      <c r="B234" s="59" t="str">
        <f>[4]Sayfa1!$G230</f>
        <v>3872(1)</v>
      </c>
      <c r="C234" s="184" t="str">
        <f>[4]Sayfa1!$H230</f>
        <v>MA</v>
      </c>
      <c r="D234" s="24">
        <f>[4]Sayfa1!$N230</f>
        <v>73000</v>
      </c>
      <c r="E234" s="24" t="str">
        <f>[4]Sayfa1!$B230</f>
        <v>BOZ-KAY5+6-FF-229</v>
      </c>
      <c r="F234" s="60">
        <f>[4]Sayfa1!$E230</f>
        <v>45492</v>
      </c>
      <c r="G234" s="61">
        <f>[4]Sayfa1!$F230</f>
        <v>45492.317361111112</v>
      </c>
      <c r="H234" s="59" t="str">
        <f>[4]Sayfa1!$I230</f>
        <v>Depo/Depot</v>
      </c>
      <c r="I234" s="62" t="str">
        <f>IF([4]Sayfa1!$K230="SSH","Notified by Bozankaya","Notified by Customer")</f>
        <v>Notified by Customer</v>
      </c>
      <c r="J234" s="59" t="e">
        <f>VLOOKUP([4]Sayfa1!$AU230,#REF!,2,FALSE)</f>
        <v>#REF!</v>
      </c>
      <c r="K234" s="59">
        <f>[4]Sayfa1!$AC230</f>
        <v>0</v>
      </c>
      <c r="L234" s="63" t="str">
        <f t="shared" si="52"/>
        <v>KAY_5+181-BOZ-KAY5+6-FF-229</v>
      </c>
      <c r="M234" s="64" t="str">
        <f>[4]Sayfa1!$L230</f>
        <v>CA kabin kuplör elektrik kafaları açmıyor</v>
      </c>
      <c r="N234" s="33" t="str">
        <f>[4]Sayfa1!$J230</f>
        <v>A-Sürüşü engeller</v>
      </c>
      <c r="O234" s="33" t="str">
        <f>[4]Sayfa1!$P230</f>
        <v>A(Hareket etmeyi engelleyen arıza)</v>
      </c>
      <c r="P234" s="33" t="str">
        <f>[4]Sayfa1!$Q230</f>
        <v>N.A(Yaralanma yok)</v>
      </c>
      <c r="Q234" s="65" t="str" cm="1">
        <f t="array" ref="Q234">_xlfn.IFS([4]Sayfa1!$R230="Bozankaya","Bozankaya",[4]Sayfa1!$R230="İşletme","Customer",[4]Sayfa1!$R230="Tedarikçi","Equipment Supplier")</f>
        <v>Equipment Supplier</v>
      </c>
      <c r="R234" s="66" t="str">
        <f>[4]Sayfa1!$M230</f>
        <v>Araç dekuplaj edilip tekrar kuplajlandı sorun görülmedi</v>
      </c>
      <c r="S234" s="36" t="str">
        <f>[4]Sayfa1!$S230</f>
        <v>Bozankaya</v>
      </c>
      <c r="T234" s="67">
        <f>[4]Sayfa1!$Z230</f>
        <v>0</v>
      </c>
      <c r="U234" s="68">
        <f>[4]Sayfa1!$AN230</f>
        <v>2</v>
      </c>
      <c r="V234" s="60">
        <f>[4]Sayfa1!$T230</f>
        <v>45492</v>
      </c>
      <c r="W234" s="61">
        <f>[4]Sayfa1!$U230</f>
        <v>45492.57644675926</v>
      </c>
      <c r="X234" s="69">
        <f t="shared" si="53"/>
        <v>45492.57644675926</v>
      </c>
      <c r="Y234" s="70">
        <f>[4]Sayfa1!$AQ230</f>
        <v>45492</v>
      </c>
      <c r="Z234" s="61">
        <f>[4]Sayfa1!$AR230</f>
        <v>45492.6875</v>
      </c>
      <c r="AA234" s="69">
        <f t="shared" si="54"/>
        <v>45492.6875</v>
      </c>
      <c r="AB234" s="71">
        <f t="shared" si="55"/>
        <v>0</v>
      </c>
      <c r="AC234" s="60">
        <f t="shared" si="56"/>
        <v>45492</v>
      </c>
      <c r="AD234" s="61">
        <f t="shared" si="57"/>
        <v>45492.6875</v>
      </c>
      <c r="AE234" s="69">
        <f t="shared" si="58"/>
        <v>45492.6875</v>
      </c>
      <c r="AF234" s="36" t="str">
        <f>[4]Sayfa1!$AP230</f>
        <v>(I) İlk defa karşılaşılan arıza</v>
      </c>
      <c r="AG234" s="33" t="str">
        <f>IF([4]Sayfa1!$J230="C-Uyarı, sürüş devamlılığı","Bu Arıza Aracın Servise Verilmesine Engel Değil","Bu Arıza Aracın Servise Verilmesine Engel")</f>
        <v>Bu Arıza Aracın Servise Verilmesine Engel</v>
      </c>
      <c r="AH234" s="41" t="str">
        <f>[4]Sayfa1!$AB230</f>
        <v>Tamir edilecek</v>
      </c>
      <c r="AI234" s="60"/>
      <c r="AJ234" s="60"/>
      <c r="AK234" s="69">
        <f t="shared" si="59"/>
        <v>0</v>
      </c>
      <c r="AL234" s="71">
        <f t="shared" si="60"/>
        <v>0</v>
      </c>
      <c r="AM234" s="71">
        <f t="shared" si="61"/>
        <v>0</v>
      </c>
      <c r="AN234" s="72">
        <f t="shared" si="62"/>
        <v>0</v>
      </c>
      <c r="AO234" s="73" t="str">
        <f>[4]Sayfa1!$X230</f>
        <v>M350-7062</v>
      </c>
      <c r="AP234" s="72">
        <f>[4]Sayfa1!$Y230</f>
        <v>1</v>
      </c>
      <c r="AQ234" s="184" t="str">
        <f>[4]Sayfa1!$V230</f>
        <v>DELLNER COUPLERC AB</v>
      </c>
      <c r="AR234" s="74" t="str">
        <f>[4]Sayfa1!$W230</f>
        <v>OTOMATIK KUPLÖR DELLNER</v>
      </c>
      <c r="AS234" s="74">
        <f>[4]Sayfa1!$AD230</f>
        <v>0</v>
      </c>
      <c r="AT234" s="60" t="str">
        <f>[4]Sayfa1!$AE230</f>
        <v/>
      </c>
      <c r="AU234" s="60" t="str">
        <f>[4]Sayfa1!$AH230</f>
        <v/>
      </c>
      <c r="AV234" s="75">
        <v>229</v>
      </c>
      <c r="AW234" s="76">
        <f t="shared" si="63"/>
        <v>0</v>
      </c>
      <c r="AX234" s="77" t="str">
        <f>[4]Sayfa1!$A230</f>
        <v>61150bb6</v>
      </c>
      <c r="AY234" s="78" t="s">
        <v>114</v>
      </c>
      <c r="AZ234" s="79" t="e" vm="1">
        <f t="shared" si="64"/>
        <v>#VALUE!</v>
      </c>
    </row>
    <row r="235" spans="1:52" ht="148.15">
      <c r="A235" s="59" t="s">
        <v>290</v>
      </c>
      <c r="B235" s="59" t="str">
        <f>[4]Sayfa1!$G231</f>
        <v>3882(11)</v>
      </c>
      <c r="C235" s="184" t="str">
        <f>[4]Sayfa1!$H231</f>
        <v>MA</v>
      </c>
      <c r="D235" s="24">
        <f>[4]Sayfa1!$N231</f>
        <v>11200</v>
      </c>
      <c r="E235" s="24" t="str">
        <f>[4]Sayfa1!$B231</f>
        <v>BOZ-KAY5+6-FF-230</v>
      </c>
      <c r="F235" s="60">
        <f>[4]Sayfa1!$E231</f>
        <v>45493</v>
      </c>
      <c r="G235" s="61">
        <f>[4]Sayfa1!$F231</f>
        <v>45493.554166666669</v>
      </c>
      <c r="H235" s="59" t="str">
        <f>[4]Sayfa1!$I231</f>
        <v>Hat/Line</v>
      </c>
      <c r="I235" s="62" t="str">
        <f>IF([4]Sayfa1!$K231="SSH","Notified by Bozankaya","Notified by Customer")</f>
        <v>Notified by Customer</v>
      </c>
      <c r="J235" s="59" t="e">
        <f>VLOOKUP([4]Sayfa1!$AU231,#REF!,2,FALSE)</f>
        <v>#REF!</v>
      </c>
      <c r="K235" s="59">
        <f>[4]Sayfa1!$AC231</f>
        <v>0</v>
      </c>
      <c r="L235" s="63" t="str">
        <f t="shared" si="52"/>
        <v>KAY_5+182-BOZ-KAY5+6-FF-230</v>
      </c>
      <c r="M235" s="64" t="str">
        <f>[4]Sayfa1!$L231</f>
        <v>Araçda frenleme ve ivme kaybı olduğu makinist tarafından bildiriliyor</v>
      </c>
      <c r="N235" s="33" t="str">
        <f>[4]Sayfa1!$J231</f>
        <v>B-Hız veya güç azalması</v>
      </c>
      <c r="O235" s="33" t="str">
        <f>[4]Sayfa1!$P231</f>
        <v>B(Servisten çekmeye etki eden arızalar)</v>
      </c>
      <c r="P235" s="33" t="str">
        <f>[4]Sayfa1!$Q231</f>
        <v>N.A(Yaralanma yok)</v>
      </c>
      <c r="Q235" s="65" t="str" cm="1">
        <f t="array" ref="Q235">_xlfn.IFS([4]Sayfa1!$R231="Bozankaya","Bozankaya",[4]Sayfa1!$R231="İşletme","Customer",[4]Sayfa1!$R231="Tedarikçi","Equipment Supplier")</f>
        <v>Equipment Supplier</v>
      </c>
      <c r="R235" s="66" t="str">
        <f>[4]Sayfa1!$M231</f>
        <v>Medcom firması tarafından yazılım yüklendi</v>
      </c>
      <c r="S235" s="36" t="str">
        <f>[4]Sayfa1!$S231</f>
        <v>Medcom</v>
      </c>
      <c r="T235" s="67">
        <f>[4]Sayfa1!$Z231</f>
        <v>0</v>
      </c>
      <c r="U235" s="68">
        <f>[4]Sayfa1!$AN231</f>
        <v>2</v>
      </c>
      <c r="V235" s="60">
        <f>[4]Sayfa1!$T231</f>
        <v>45530</v>
      </c>
      <c r="W235" s="61">
        <f>[4]Sayfa1!$U231</f>
        <v>45530.481921296298</v>
      </c>
      <c r="X235" s="69">
        <f t="shared" si="53"/>
        <v>45530.481921296298</v>
      </c>
      <c r="Y235" s="70">
        <f>[4]Sayfa1!$AQ231</f>
        <v>45530</v>
      </c>
      <c r="Z235" s="61">
        <f>[4]Sayfa1!$AR231</f>
        <v>45530.75</v>
      </c>
      <c r="AA235" s="69">
        <f t="shared" si="54"/>
        <v>45530.75</v>
      </c>
      <c r="AB235" s="71">
        <f t="shared" si="55"/>
        <v>6.4338888888596557</v>
      </c>
      <c r="AC235" s="60">
        <f t="shared" si="56"/>
        <v>45530</v>
      </c>
      <c r="AD235" s="61">
        <f t="shared" si="57"/>
        <v>45530.75</v>
      </c>
      <c r="AE235" s="69">
        <f t="shared" si="58"/>
        <v>45530.75</v>
      </c>
      <c r="AF235" s="36" t="str">
        <f>[4]Sayfa1!$AP231</f>
        <v>(II) Birden fazla karşılaşılan arıza</v>
      </c>
      <c r="AG235" s="33" t="str">
        <f>IF([4]Sayfa1!$J231="C-Uyarı, sürüş devamlılığı","Bu Arıza Aracın Servise Verilmesine Engel Değil","Bu Arıza Aracın Servise Verilmesine Engel")</f>
        <v>Bu Arıza Aracın Servise Verilmesine Engel</v>
      </c>
      <c r="AH235" s="41" t="str">
        <f>[4]Sayfa1!$AB231</f>
        <v>Yazılım güncelleme</v>
      </c>
      <c r="AI235" s="60"/>
      <c r="AJ235" s="60"/>
      <c r="AK235" s="69">
        <f t="shared" si="59"/>
        <v>0</v>
      </c>
      <c r="AL235" s="71">
        <f t="shared" si="60"/>
        <v>386.03333333157934</v>
      </c>
      <c r="AM235" s="71">
        <f t="shared" si="61"/>
        <v>386.03333333157934</v>
      </c>
      <c r="AN235" s="72">
        <f t="shared" si="62"/>
        <v>0</v>
      </c>
      <c r="AO235" s="73" t="str">
        <f>[4]Sayfa1!$X231</f>
        <v>E110-7659</v>
      </c>
      <c r="AP235" s="72">
        <f>[4]Sayfa1!$Y231</f>
        <v>1</v>
      </c>
      <c r="AQ235" s="184" t="str">
        <f>[4]Sayfa1!$V231</f>
        <v>MEDCOM SP. Z O.O.</v>
      </c>
      <c r="AR235" s="74" t="str">
        <f>[4]Sayfa1!$W231</f>
        <v>MEDCOM SICAKLIK SENSÖRÜ</v>
      </c>
      <c r="AS235" s="74">
        <f>[4]Sayfa1!$AD231</f>
        <v>0</v>
      </c>
      <c r="AT235" s="60" t="str">
        <f>[4]Sayfa1!$AE231</f>
        <v/>
      </c>
      <c r="AU235" s="60" t="str">
        <f>[4]Sayfa1!$AH231</f>
        <v/>
      </c>
      <c r="AV235" s="75">
        <v>230</v>
      </c>
      <c r="AW235" s="76">
        <f t="shared" si="63"/>
        <v>141.54555555491243</v>
      </c>
      <c r="AX235" s="77" t="str">
        <f>[4]Sayfa1!$A231</f>
        <v>6e8ac733</v>
      </c>
      <c r="AY235" s="78" t="s">
        <v>114</v>
      </c>
      <c r="AZ235" s="79" t="e" vm="1">
        <f t="shared" si="64"/>
        <v>#VALUE!</v>
      </c>
    </row>
    <row r="236" spans="1:52" ht="148.15">
      <c r="A236" s="59" t="s">
        <v>291</v>
      </c>
      <c r="B236" s="59" t="str">
        <f>[4]Sayfa1!$G232</f>
        <v>3874(3)</v>
      </c>
      <c r="C236" s="184" t="str">
        <f>[4]Sayfa1!$H232</f>
        <v>MB</v>
      </c>
      <c r="D236" s="24">
        <f>[4]Sayfa1!$N232</f>
        <v>80036</v>
      </c>
      <c r="E236" s="24" t="str">
        <f>[4]Sayfa1!$B232</f>
        <v>BOZ-KAY5+6-FF-231</v>
      </c>
      <c r="F236" s="60">
        <f>[4]Sayfa1!$E232</f>
        <v>45495</v>
      </c>
      <c r="G236" s="61">
        <f>[4]Sayfa1!$F232</f>
        <v>45495.512499999997</v>
      </c>
      <c r="H236" s="59" t="str">
        <f>[4]Sayfa1!$I232</f>
        <v>Hat/Line</v>
      </c>
      <c r="I236" s="62" t="str">
        <f>IF([4]Sayfa1!$K232="SSH","Notified by Bozankaya","Notified by Customer")</f>
        <v>Notified by Customer</v>
      </c>
      <c r="J236" s="59" t="e">
        <f>VLOOKUP([4]Sayfa1!$AU232,#REF!,2,FALSE)</f>
        <v>#REF!</v>
      </c>
      <c r="K236" s="59">
        <f>[4]Sayfa1!$AC232</f>
        <v>0</v>
      </c>
      <c r="L236" s="63" t="str">
        <f t="shared" si="52"/>
        <v>KAY_5+183-BOZ-KAY5+6-FF-231</v>
      </c>
      <c r="M236" s="64" t="str">
        <f>[4]Sayfa1!$L232</f>
        <v>IMU Ekranın parlaklık ayarı yetersiz</v>
      </c>
      <c r="N236" s="33" t="str">
        <f>[4]Sayfa1!$J232</f>
        <v>C-Uyarı, sürüş devamlılığı</v>
      </c>
      <c r="O236" s="33" t="str">
        <f>[4]Sayfa1!$P232</f>
        <v>C(Sisteme etki etmeyen arıza)</v>
      </c>
      <c r="P236" s="33" t="str">
        <f>[4]Sayfa1!$Q232</f>
        <v>N.A(Yaralanma yok)</v>
      </c>
      <c r="Q236" s="65" t="str" cm="1">
        <f t="array" ref="Q236">_xlfn.IFS([4]Sayfa1!$R232="Bozankaya","Bozankaya",[4]Sayfa1!$R232="İşletme","Customer",[4]Sayfa1!$R232="Tedarikçi","Equipment Supplier")</f>
        <v>Equipment Supplier</v>
      </c>
      <c r="R236" s="66" t="str">
        <f>[4]Sayfa1!$M232</f>
        <v>Kontrol edildi .Sorun görülmedi</v>
      </c>
      <c r="S236" s="36" t="str">
        <f>[4]Sayfa1!$S232</f>
        <v>Atak</v>
      </c>
      <c r="T236" s="67">
        <f>[4]Sayfa1!$Z232</f>
        <v>0</v>
      </c>
      <c r="U236" s="68">
        <f>[4]Sayfa1!$AN232</f>
        <v>0</v>
      </c>
      <c r="V236" s="60">
        <f>[4]Sayfa1!$T232</f>
        <v>45530</v>
      </c>
      <c r="W236" s="61">
        <f>[4]Sayfa1!$U232</f>
        <v>45530.4612037037</v>
      </c>
      <c r="X236" s="69">
        <f t="shared" si="53"/>
        <v>45530.4612037037</v>
      </c>
      <c r="Y236" s="70" t="str">
        <f>[4]Sayfa1!$AQ232</f>
        <v/>
      </c>
      <c r="Z236" s="61">
        <f>[4]Sayfa1!$AR232</f>
        <v>0</v>
      </c>
      <c r="AA236" s="69">
        <f t="shared" si="54"/>
        <v>0</v>
      </c>
      <c r="AB236" s="71" t="e">
        <f t="shared" si="55"/>
        <v>#VALUE!</v>
      </c>
      <c r="AC236" s="60" t="str">
        <f t="shared" si="56"/>
        <v/>
      </c>
      <c r="AD236" s="61">
        <f t="shared" si="57"/>
        <v>0</v>
      </c>
      <c r="AE236" s="69">
        <f t="shared" si="58"/>
        <v>0</v>
      </c>
      <c r="AF236" s="36" t="str">
        <f>[4]Sayfa1!$AP232</f>
        <v>(I) İlk defa karşılaşılan arıza</v>
      </c>
      <c r="AG236" s="33" t="str">
        <f>IF([4]Sayfa1!$J232="C-Uyarı, sürüş devamlılığı","Bu Arıza Aracın Servise Verilmesine Engel Değil","Bu Arıza Aracın Servise Verilmesine Engel")</f>
        <v>Bu Arıza Aracın Servise Verilmesine Engel Değil</v>
      </c>
      <c r="AH236" s="41">
        <f>[4]Sayfa1!$AB232</f>
        <v>0</v>
      </c>
      <c r="AI236" s="60"/>
      <c r="AJ236" s="60"/>
      <c r="AK236" s="69">
        <f t="shared" si="59"/>
        <v>0</v>
      </c>
      <c r="AL236" s="71" t="e">
        <f t="shared" si="60"/>
        <v>#VALUE!</v>
      </c>
      <c r="AM236" s="71" t="e">
        <f t="shared" si="61"/>
        <v>#VALUE!</v>
      </c>
      <c r="AN236" s="72">
        <f t="shared" si="62"/>
        <v>0</v>
      </c>
      <c r="AO236" s="73" t="str">
        <f>[4]Sayfa1!$X232</f>
        <v>E810-7145</v>
      </c>
      <c r="AP236" s="72">
        <f>[4]Sayfa1!$Y232</f>
        <v>0</v>
      </c>
      <c r="AQ236" s="184" t="str">
        <f>[4]Sayfa1!$V232</f>
        <v>ATAK ULAŞIM SAN.TİC.LTD.ŞTİ.</v>
      </c>
      <c r="AR236" s="74" t="str">
        <f>[4]Sayfa1!$W232</f>
        <v>st300</v>
      </c>
      <c r="AS236" s="74">
        <f>[4]Sayfa1!$AD232</f>
        <v>0</v>
      </c>
      <c r="AT236" s="60" t="str">
        <f>[4]Sayfa1!$AE232</f>
        <v/>
      </c>
      <c r="AU236" s="60" t="str">
        <f>[4]Sayfa1!$AH232</f>
        <v/>
      </c>
      <c r="AV236" s="75">
        <v>231</v>
      </c>
      <c r="AW236" s="76" t="e">
        <f t="shared" si="63"/>
        <v>#VALUE!</v>
      </c>
      <c r="AX236" s="77" t="str">
        <f>[4]Sayfa1!$A232</f>
        <v>f2f8d644</v>
      </c>
      <c r="AY236" s="78" t="s">
        <v>114</v>
      </c>
      <c r="AZ236" s="79" t="e" vm="1">
        <f t="shared" si="64"/>
        <v>#VALUE!</v>
      </c>
    </row>
    <row r="237" spans="1:52" ht="148.15">
      <c r="A237" s="59" t="s">
        <v>292</v>
      </c>
      <c r="B237" s="59" t="str">
        <f>[4]Sayfa1!$G233</f>
        <v>3880(9)</v>
      </c>
      <c r="C237" s="184" t="str">
        <f>[4]Sayfa1!$H233</f>
        <v>MA</v>
      </c>
      <c r="D237" s="24">
        <f>[4]Sayfa1!$N233</f>
        <v>32198</v>
      </c>
      <c r="E237" s="24" t="str">
        <f>[4]Sayfa1!$B233</f>
        <v>BOZ-KAY5+6-FF-232</v>
      </c>
      <c r="F237" s="60">
        <f>[4]Sayfa1!$E233</f>
        <v>45495</v>
      </c>
      <c r="G237" s="61">
        <f>[4]Sayfa1!$F233</f>
        <v>45495.515277777777</v>
      </c>
      <c r="H237" s="59" t="str">
        <f>[4]Sayfa1!$I233</f>
        <v>Hat/Line</v>
      </c>
      <c r="I237" s="62" t="str">
        <f>IF([4]Sayfa1!$K233="SSH","Notified by Bozankaya","Notified by Customer")</f>
        <v>Notified by Customer</v>
      </c>
      <c r="J237" s="59" t="e">
        <f>VLOOKUP([4]Sayfa1!$AU233,#REF!,2,FALSE)</f>
        <v>#REF!</v>
      </c>
      <c r="K237" s="59">
        <f>[4]Sayfa1!$AC233</f>
        <v>0</v>
      </c>
      <c r="L237" s="63" t="str">
        <f t="shared" si="52"/>
        <v>KAY_5+184-BOZ-KAY5+6-FF-232</v>
      </c>
      <c r="M237" s="64" t="str">
        <f>[4]Sayfa1!$L233</f>
        <v>aracın frenlemesi ve ivmelenmesi yetersiz</v>
      </c>
      <c r="N237" s="33" t="str">
        <f>[4]Sayfa1!$J233</f>
        <v>B-Hız veya güç azalması</v>
      </c>
      <c r="O237" s="33" t="str">
        <f>[4]Sayfa1!$P233</f>
        <v>B(Servisten çekmeye etki eden arızalar)</v>
      </c>
      <c r="P237" s="33" t="str">
        <f>[4]Sayfa1!$Q233</f>
        <v>N.A(Yaralanma yok)</v>
      </c>
      <c r="Q237" s="65" t="str" cm="1">
        <f t="array" ref="Q237">_xlfn.IFS([4]Sayfa1!$R233="Bozankaya","Bozankaya",[4]Sayfa1!$R233="İşletme","Customer",[4]Sayfa1!$R233="Tedarikçi","Equipment Supplier")</f>
        <v>Equipment Supplier</v>
      </c>
      <c r="R237" s="66" t="str">
        <f>[4]Sayfa1!$M233</f>
        <v>medcom firması yazılım yükledi</v>
      </c>
      <c r="S237" s="36" t="str">
        <f>[4]Sayfa1!$S233</f>
        <v>Medcom</v>
      </c>
      <c r="T237" s="67">
        <f>[4]Sayfa1!$Z233</f>
        <v>0</v>
      </c>
      <c r="U237" s="68">
        <f>[4]Sayfa1!$AN233</f>
        <v>2</v>
      </c>
      <c r="V237" s="60">
        <f>[4]Sayfa1!$T233</f>
        <v>45530</v>
      </c>
      <c r="W237" s="61">
        <f>[4]Sayfa1!$U233</f>
        <v>45530.565717592595</v>
      </c>
      <c r="X237" s="69">
        <f t="shared" si="53"/>
        <v>45530.565717592595</v>
      </c>
      <c r="Y237" s="70">
        <f>[4]Sayfa1!$AQ233</f>
        <v>45530</v>
      </c>
      <c r="Z237" s="61">
        <f>[4]Sayfa1!$AR233</f>
        <v>45530.75</v>
      </c>
      <c r="AA237" s="69">
        <f t="shared" si="54"/>
        <v>45530.75</v>
      </c>
      <c r="AB237" s="71">
        <f t="shared" si="55"/>
        <v>4.4227777777123265</v>
      </c>
      <c r="AC237" s="60">
        <f t="shared" si="56"/>
        <v>45530</v>
      </c>
      <c r="AD237" s="61">
        <f t="shared" si="57"/>
        <v>45530.75</v>
      </c>
      <c r="AE237" s="69">
        <f t="shared" si="58"/>
        <v>45530.75</v>
      </c>
      <c r="AF237" s="36" t="str">
        <f>[4]Sayfa1!$AP233</f>
        <v>(III) Birden fazla aynı araçta karşılaşılan arıza</v>
      </c>
      <c r="AG237" s="33" t="str">
        <f>IF([4]Sayfa1!$J233="C-Uyarı, sürüş devamlılığı","Bu Arıza Aracın Servise Verilmesine Engel Değil","Bu Arıza Aracın Servise Verilmesine Engel")</f>
        <v>Bu Arıza Aracın Servise Verilmesine Engel</v>
      </c>
      <c r="AH237" s="41" t="str">
        <f>[4]Sayfa1!$AB233</f>
        <v>Yazılım güncelleme</v>
      </c>
      <c r="AI237" s="60"/>
      <c r="AJ237" s="60"/>
      <c r="AK237" s="69">
        <f t="shared" si="59"/>
        <v>0</v>
      </c>
      <c r="AL237" s="71">
        <f t="shared" si="60"/>
        <v>265.36666666273959</v>
      </c>
      <c r="AM237" s="71">
        <f t="shared" si="61"/>
        <v>265.36666666273959</v>
      </c>
      <c r="AN237" s="72">
        <f t="shared" si="62"/>
        <v>0</v>
      </c>
      <c r="AO237" s="73" t="str">
        <f>[4]Sayfa1!$X233</f>
        <v>E110-7659</v>
      </c>
      <c r="AP237" s="72">
        <f>[4]Sayfa1!$Y233</f>
        <v>1</v>
      </c>
      <c r="AQ237" s="184" t="str">
        <f>[4]Sayfa1!$V233</f>
        <v>MEDCOM SP. Z O.O.</v>
      </c>
      <c r="AR237" s="74" t="str">
        <f>[4]Sayfa1!$W233</f>
        <v>MEDCOM SICAKLIK SENSÖRÜ</v>
      </c>
      <c r="AS237" s="74">
        <f>[4]Sayfa1!$AD233</f>
        <v>0</v>
      </c>
      <c r="AT237" s="60" t="str">
        <f>[4]Sayfa1!$AE233</f>
        <v/>
      </c>
      <c r="AU237" s="60" t="str">
        <f>[4]Sayfa1!$AH233</f>
        <v/>
      </c>
      <c r="AV237" s="75">
        <v>232</v>
      </c>
      <c r="AW237" s="76">
        <f t="shared" si="63"/>
        <v>97.301111109671183</v>
      </c>
      <c r="AX237" s="77" t="str">
        <f>[4]Sayfa1!$A233</f>
        <v>432fc9a3</v>
      </c>
      <c r="AY237" s="78" t="s">
        <v>114</v>
      </c>
      <c r="AZ237" s="79" t="e" vm="1">
        <f t="shared" si="64"/>
        <v>#VALUE!</v>
      </c>
    </row>
    <row r="238" spans="1:52" ht="148.15">
      <c r="A238" s="59" t="s">
        <v>293</v>
      </c>
      <c r="B238" s="59" t="str">
        <f>[4]Sayfa1!$G234</f>
        <v>3879(8)</v>
      </c>
      <c r="C238" s="184" t="str">
        <f>[4]Sayfa1!$H234</f>
        <v>MA</v>
      </c>
      <c r="D238" s="24">
        <f>[4]Sayfa1!$N234</f>
        <v>37361</v>
      </c>
      <c r="E238" s="24" t="str">
        <f>[4]Sayfa1!$B234</f>
        <v>BOZ-KAY5+6-FF-233</v>
      </c>
      <c r="F238" s="60">
        <f>[4]Sayfa1!$E234</f>
        <v>45495</v>
      </c>
      <c r="G238" s="61">
        <f>[4]Sayfa1!$F234</f>
        <v>45495.570833333331</v>
      </c>
      <c r="H238" s="59" t="str">
        <f>[4]Sayfa1!$I234</f>
        <v>Hat/Line</v>
      </c>
      <c r="I238" s="62" t="str">
        <f>IF([4]Sayfa1!$K234="SSH","Notified by Bozankaya","Notified by Customer")</f>
        <v>Notified by Customer</v>
      </c>
      <c r="J238" s="59" t="e">
        <f>VLOOKUP([4]Sayfa1!$AU234,#REF!,2,FALSE)</f>
        <v>#REF!</v>
      </c>
      <c r="K238" s="59">
        <f>[4]Sayfa1!$AC234</f>
        <v>0</v>
      </c>
      <c r="L238" s="63" t="str">
        <f t="shared" si="52"/>
        <v>KAY_5+185-BOZ-KAY5+6-FF-233</v>
      </c>
      <c r="M238" s="64" t="str">
        <f>[4]Sayfa1!$L234</f>
        <v>Aracın frenlemesi ve ivmelenmesi yetersiz</v>
      </c>
      <c r="N238" s="33" t="str">
        <f>[4]Sayfa1!$J234</f>
        <v>B-Hız veya güç azalması</v>
      </c>
      <c r="O238" s="33" t="str">
        <f>[4]Sayfa1!$P234</f>
        <v>B(Servisten çekmeye etki eden arızalar)</v>
      </c>
      <c r="P238" s="33" t="str">
        <f>[4]Sayfa1!$Q234</f>
        <v>N.A(Yaralanma yok)</v>
      </c>
      <c r="Q238" s="65" t="str" cm="1">
        <f t="array" ref="Q238">_xlfn.IFS([4]Sayfa1!$R234="Bozankaya","Bozankaya",[4]Sayfa1!$R234="İşletme","Customer",[4]Sayfa1!$R234="Tedarikçi","Equipment Supplier")</f>
        <v>Equipment Supplier</v>
      </c>
      <c r="R238" s="66" t="str">
        <f>[4]Sayfa1!$M234</f>
        <v>Medcom yazılım yükledi</v>
      </c>
      <c r="S238" s="36" t="str">
        <f>[4]Sayfa1!$S234</f>
        <v>Medcom</v>
      </c>
      <c r="T238" s="67">
        <f>[4]Sayfa1!$Z234</f>
        <v>0</v>
      </c>
      <c r="U238" s="68">
        <f>[4]Sayfa1!$AN234</f>
        <v>2</v>
      </c>
      <c r="V238" s="60">
        <f>[4]Sayfa1!$T234</f>
        <v>45530</v>
      </c>
      <c r="W238" s="61">
        <f>[4]Sayfa1!$U234</f>
        <v>45530.471261574072</v>
      </c>
      <c r="X238" s="69">
        <f t="shared" si="53"/>
        <v>45530.471261574072</v>
      </c>
      <c r="Y238" s="70">
        <f>[4]Sayfa1!$AQ234</f>
        <v>45530</v>
      </c>
      <c r="Z238" s="61">
        <f>[4]Sayfa1!$AR234</f>
        <v>45530.75</v>
      </c>
      <c r="AA238" s="69">
        <f t="shared" si="54"/>
        <v>45530.75</v>
      </c>
      <c r="AB238" s="71">
        <f t="shared" si="55"/>
        <v>6.689722222276032</v>
      </c>
      <c r="AC238" s="60">
        <f t="shared" si="56"/>
        <v>45530</v>
      </c>
      <c r="AD238" s="61">
        <f t="shared" si="57"/>
        <v>45530.75</v>
      </c>
      <c r="AE238" s="69">
        <f t="shared" si="58"/>
        <v>45530.75</v>
      </c>
      <c r="AF238" s="36" t="str">
        <f>[4]Sayfa1!$AP234</f>
        <v>(II) Birden fazla karşılaşılan arıza</v>
      </c>
      <c r="AG238" s="33" t="str">
        <f>IF([4]Sayfa1!$J234="C-Uyarı, sürüş devamlılığı","Bu Arıza Aracın Servise Verilmesine Engel Değil","Bu Arıza Aracın Servise Verilmesine Engel")</f>
        <v>Bu Arıza Aracın Servise Verilmesine Engel</v>
      </c>
      <c r="AH238" s="41" t="str">
        <f>[4]Sayfa1!$AB234</f>
        <v>Yazılım güncelleme</v>
      </c>
      <c r="AI238" s="60"/>
      <c r="AJ238" s="60"/>
      <c r="AK238" s="69">
        <f t="shared" si="59"/>
        <v>0</v>
      </c>
      <c r="AL238" s="71">
        <f t="shared" si="60"/>
        <v>401.38333333656192</v>
      </c>
      <c r="AM238" s="71">
        <f t="shared" si="61"/>
        <v>401.38333333656192</v>
      </c>
      <c r="AN238" s="72">
        <f t="shared" si="62"/>
        <v>0</v>
      </c>
      <c r="AO238" s="73" t="str">
        <f>[4]Sayfa1!$X234</f>
        <v>E110-7659</v>
      </c>
      <c r="AP238" s="72">
        <f>[4]Sayfa1!$Y234</f>
        <v>1</v>
      </c>
      <c r="AQ238" s="184" t="str">
        <f>[4]Sayfa1!$V234</f>
        <v>MEDCOM SP. Z O.O.</v>
      </c>
      <c r="AR238" s="74" t="str">
        <f>[4]Sayfa1!$W234</f>
        <v>MEDCOM SICAKLIK SENSÖRÜ</v>
      </c>
      <c r="AS238" s="74">
        <f>[4]Sayfa1!$AD234</f>
        <v>0</v>
      </c>
      <c r="AT238" s="60" t="str">
        <f>[4]Sayfa1!$AE234</f>
        <v/>
      </c>
      <c r="AU238" s="60" t="str">
        <f>[4]Sayfa1!$AH234</f>
        <v/>
      </c>
      <c r="AV238" s="75">
        <v>233</v>
      </c>
      <c r="AW238" s="76">
        <f t="shared" si="63"/>
        <v>147.1738888900727</v>
      </c>
      <c r="AX238" s="77" t="str">
        <f>[4]Sayfa1!$A234</f>
        <v>cb481425</v>
      </c>
      <c r="AY238" s="78" t="s">
        <v>114</v>
      </c>
      <c r="AZ238" s="79" t="e" vm="1">
        <f t="shared" si="64"/>
        <v>#VALUE!</v>
      </c>
    </row>
    <row r="239" spans="1:52" ht="148.15">
      <c r="A239" s="59" t="s">
        <v>294</v>
      </c>
      <c r="B239" s="59" t="str">
        <f>[4]Sayfa1!$G235</f>
        <v>3874(3)</v>
      </c>
      <c r="C239" s="184" t="str">
        <f>[4]Sayfa1!$H235</f>
        <v>MA</v>
      </c>
      <c r="D239" s="24">
        <f>[4]Sayfa1!$N235</f>
        <v>80100</v>
      </c>
      <c r="E239" s="24" t="str">
        <f>[4]Sayfa1!$B235</f>
        <v>BOZ-KAY5+6-FF-234</v>
      </c>
      <c r="F239" s="60">
        <f>[4]Sayfa1!$E235</f>
        <v>45496</v>
      </c>
      <c r="G239" s="61">
        <f>[4]Sayfa1!$F235</f>
        <v>45496.436805555553</v>
      </c>
      <c r="H239" s="59" t="str">
        <f>[4]Sayfa1!$I235</f>
        <v>Hat/Line</v>
      </c>
      <c r="I239" s="62" t="str">
        <f>IF([4]Sayfa1!$K235="SSH","Notified by Bozankaya","Notified by Customer")</f>
        <v>Notified by Customer</v>
      </c>
      <c r="J239" s="59" t="e">
        <f>VLOOKUP([4]Sayfa1!$AU235,#REF!,2,FALSE)</f>
        <v>#REF!</v>
      </c>
      <c r="K239" s="59">
        <f>[4]Sayfa1!$AC235</f>
        <v>0</v>
      </c>
      <c r="L239" s="63" t="str">
        <f t="shared" si="52"/>
        <v>KAY_5+186-BOZ-KAY5+6-FF-234</v>
      </c>
      <c r="M239" s="64" t="str">
        <f>[4]Sayfa1!$L235</f>
        <v>2 nolu kapı üstü yolcu bilgilendirme çalışmıyor</v>
      </c>
      <c r="N239" s="33" t="str">
        <f>[4]Sayfa1!$J235</f>
        <v>C-Uyarı, sürüş devamlılığı</v>
      </c>
      <c r="O239" s="33" t="str">
        <f>[4]Sayfa1!$P235</f>
        <v>C(Sisteme etki etmeyen arıza)</v>
      </c>
      <c r="P239" s="33" t="str">
        <f>[4]Sayfa1!$Q235</f>
        <v>N.A(Yaralanma yok)</v>
      </c>
      <c r="Q239" s="65" t="str" cm="1">
        <f t="array" ref="Q239">_xlfn.IFS([4]Sayfa1!$R235="Bozankaya","Bozankaya",[4]Sayfa1!$R235="İşletme","Customer",[4]Sayfa1!$R235="Tedarikçi","Equipment Supplier")</f>
        <v>Equipment Supplier</v>
      </c>
      <c r="R239" s="66" t="str">
        <f>[4]Sayfa1!$M235</f>
        <v>Kontrol edildi sorun görülmedi</v>
      </c>
      <c r="S239" s="36" t="str">
        <f>[4]Sayfa1!$S235</f>
        <v>Atak</v>
      </c>
      <c r="T239" s="67">
        <f>[4]Sayfa1!$Z235</f>
        <v>0</v>
      </c>
      <c r="U239" s="68">
        <f>[4]Sayfa1!$AN235</f>
        <v>2</v>
      </c>
      <c r="V239" s="60">
        <f>[4]Sayfa1!$T235</f>
        <v>45530</v>
      </c>
      <c r="W239" s="61">
        <f>[4]Sayfa1!$U235</f>
        <v>45530.466064814813</v>
      </c>
      <c r="X239" s="69">
        <f t="shared" si="53"/>
        <v>45530.466064814813</v>
      </c>
      <c r="Y239" s="70">
        <f>[4]Sayfa1!$AQ235</f>
        <v>45530</v>
      </c>
      <c r="Z239" s="61">
        <f>[4]Sayfa1!$AR235</f>
        <v>45530.5625</v>
      </c>
      <c r="AA239" s="69">
        <f t="shared" si="54"/>
        <v>45530.5625</v>
      </c>
      <c r="AB239" s="71">
        <f t="shared" si="55"/>
        <v>2.314444444491528</v>
      </c>
      <c r="AC239" s="60">
        <f t="shared" si="56"/>
        <v>45530</v>
      </c>
      <c r="AD239" s="61">
        <f t="shared" si="57"/>
        <v>45530.5625</v>
      </c>
      <c r="AE239" s="69">
        <f t="shared" si="58"/>
        <v>45530.5625</v>
      </c>
      <c r="AF239" s="36" t="str">
        <f>[4]Sayfa1!$AP235</f>
        <v>(III) Birden fazla aynı araçta karşılaşılan arıza</v>
      </c>
      <c r="AG239" s="33" t="str">
        <f>IF([4]Sayfa1!$J235="C-Uyarı, sürüş devamlılığı","Bu Arıza Aracın Servise Verilmesine Engel Değil","Bu Arıza Aracın Servise Verilmesine Engel")</f>
        <v>Bu Arıza Aracın Servise Verilmesine Engel Değil</v>
      </c>
      <c r="AH239" s="41" t="str">
        <f>[4]Sayfa1!$AB235</f>
        <v>Ekipman değiştirilecek</v>
      </c>
      <c r="AI239" s="60"/>
      <c r="AJ239" s="60"/>
      <c r="AK239" s="69">
        <f t="shared" si="59"/>
        <v>0</v>
      </c>
      <c r="AL239" s="71">
        <f t="shared" si="60"/>
        <v>138.86666666949168</v>
      </c>
      <c r="AM239" s="71">
        <f t="shared" si="61"/>
        <v>138.86666666949168</v>
      </c>
      <c r="AN239" s="72">
        <f t="shared" si="62"/>
        <v>0</v>
      </c>
      <c r="AO239" s="73" t="str">
        <f>[4]Sayfa1!$X235</f>
        <v>E410-7003</v>
      </c>
      <c r="AP239" s="72">
        <f>[4]Sayfa1!$Y235</f>
        <v>1</v>
      </c>
      <c r="AQ239" s="184" t="str">
        <f>[4]Sayfa1!$V235</f>
        <v>ATAK ULAŞIM SAN.TİC.LTD.ŞTİ.</v>
      </c>
      <c r="AR239" s="74" t="str">
        <f>[4]Sayfa1!$W235</f>
        <v>STRETCH LCD EKRAN</v>
      </c>
      <c r="AS239" s="74">
        <f>[4]Sayfa1!$AD235</f>
        <v>0</v>
      </c>
      <c r="AT239" s="60" t="str">
        <f>[4]Sayfa1!$AE235</f>
        <v/>
      </c>
      <c r="AU239" s="60" t="str">
        <f>[4]Sayfa1!$AH235</f>
        <v/>
      </c>
      <c r="AV239" s="75">
        <v>234</v>
      </c>
      <c r="AW239" s="76">
        <f t="shared" si="63"/>
        <v>50.917777778813615</v>
      </c>
      <c r="AX239" s="77" t="str">
        <f>[4]Sayfa1!$A235</f>
        <v>448d5714</v>
      </c>
      <c r="AY239" s="78" t="s">
        <v>114</v>
      </c>
      <c r="AZ239" s="79" t="e" vm="1">
        <f t="shared" si="64"/>
        <v>#VALUE!</v>
      </c>
    </row>
    <row r="240" spans="1:52" ht="148.15">
      <c r="A240" s="59" t="s">
        <v>295</v>
      </c>
      <c r="B240" s="59" t="str">
        <f>[4]Sayfa1!$G236</f>
        <v>3874(3)</v>
      </c>
      <c r="C240" s="184" t="str">
        <f>[4]Sayfa1!$H236</f>
        <v>MA</v>
      </c>
      <c r="D240" s="24">
        <f>[4]Sayfa1!$N236</f>
        <v>80100</v>
      </c>
      <c r="E240" s="24" t="str">
        <f>[4]Sayfa1!$B236</f>
        <v>BOZ-KAY5+6-FF-235</v>
      </c>
      <c r="F240" s="60">
        <f>[4]Sayfa1!$E236</f>
        <v>45496</v>
      </c>
      <c r="G240" s="61">
        <f>[4]Sayfa1!$F236</f>
        <v>45496.439583333333</v>
      </c>
      <c r="H240" s="59" t="str">
        <f>[4]Sayfa1!$I236</f>
        <v>Hat/Line</v>
      </c>
      <c r="I240" s="62" t="str">
        <f>IF([4]Sayfa1!$K236="SSH","Notified by Bozankaya","Notified by Customer")</f>
        <v>Notified by Customer</v>
      </c>
      <c r="J240" s="59" t="e">
        <f>VLOOKUP([4]Sayfa1!$AU236,#REF!,2,FALSE)</f>
        <v>#REF!</v>
      </c>
      <c r="K240" s="59">
        <f>[4]Sayfa1!$AC236</f>
        <v>0</v>
      </c>
      <c r="L240" s="63" t="str">
        <f t="shared" si="52"/>
        <v>KAY_5+187-BOZ-KAY5+6-FF-235</v>
      </c>
      <c r="M240" s="64" t="str">
        <f>[4]Sayfa1!$L236</f>
        <v>5 nolu kapı üstü yolcu bilgilendirme sistemi çalışmıyor</v>
      </c>
      <c r="N240" s="33" t="str">
        <f>[4]Sayfa1!$J236</f>
        <v>C-Uyarı, sürüş devamlılığı</v>
      </c>
      <c r="O240" s="33" t="str">
        <f>[4]Sayfa1!$P236</f>
        <v>C(Sisteme etki etmeyen arıza)</v>
      </c>
      <c r="P240" s="33" t="str">
        <f>[4]Sayfa1!$Q236</f>
        <v>N.A(Yaralanma yok)</v>
      </c>
      <c r="Q240" s="65" t="str" cm="1">
        <f t="array" ref="Q240">_xlfn.IFS([4]Sayfa1!$R236="Bozankaya","Bozankaya",[4]Sayfa1!$R236="İşletme","Customer",[4]Sayfa1!$R236="Tedarikçi","Equipment Supplier")</f>
        <v>Equipment Supplier</v>
      </c>
      <c r="R240" s="66" t="str">
        <f>[4]Sayfa1!$M236</f>
        <v>Kontrol edildi sorun görülmedi</v>
      </c>
      <c r="S240" s="36" t="str">
        <f>[4]Sayfa1!$S236</f>
        <v>Atak</v>
      </c>
      <c r="T240" s="67">
        <f>[4]Sayfa1!$Z236</f>
        <v>0</v>
      </c>
      <c r="U240" s="68">
        <f>[4]Sayfa1!$AN236</f>
        <v>1</v>
      </c>
      <c r="V240" s="60">
        <f>[4]Sayfa1!$T236</f>
        <v>45530</v>
      </c>
      <c r="W240" s="61">
        <f>[4]Sayfa1!$U236</f>
        <v>45530.468831018516</v>
      </c>
      <c r="X240" s="69">
        <f t="shared" si="53"/>
        <v>45530.468831018516</v>
      </c>
      <c r="Y240" s="70">
        <f>[4]Sayfa1!$AQ236</f>
        <v>45530</v>
      </c>
      <c r="Z240" s="61">
        <f>[4]Sayfa1!$AR236</f>
        <v>45530.5625</v>
      </c>
      <c r="AA240" s="69">
        <f t="shared" si="54"/>
        <v>45530.5625</v>
      </c>
      <c r="AB240" s="71">
        <f t="shared" si="55"/>
        <v>2.2480555556248873</v>
      </c>
      <c r="AC240" s="60">
        <f t="shared" si="56"/>
        <v>45530</v>
      </c>
      <c r="AD240" s="61">
        <f t="shared" si="57"/>
        <v>45530.5625</v>
      </c>
      <c r="AE240" s="69">
        <f t="shared" si="58"/>
        <v>45530.5625</v>
      </c>
      <c r="AF240" s="36" t="str">
        <f>[4]Sayfa1!$AP236</f>
        <v>(III) Birden fazla aynı araçta karşılaşılan arıza</v>
      </c>
      <c r="AG240" s="33" t="str">
        <f>IF([4]Sayfa1!$J236="C-Uyarı, sürüş devamlılığı","Bu Arıza Aracın Servise Verilmesine Engel Değil","Bu Arıza Aracın Servise Verilmesine Engel")</f>
        <v>Bu Arıza Aracın Servise Verilmesine Engel Değil</v>
      </c>
      <c r="AH240" s="41" t="str">
        <f>[4]Sayfa1!$AB236</f>
        <v>Arıza çözülecek</v>
      </c>
      <c r="AI240" s="60"/>
      <c r="AJ240" s="60"/>
      <c r="AK240" s="69">
        <f t="shared" si="59"/>
        <v>0</v>
      </c>
      <c r="AL240" s="71">
        <f t="shared" si="60"/>
        <v>134.88333333749324</v>
      </c>
      <c r="AM240" s="71">
        <f t="shared" si="61"/>
        <v>134.88333333749324</v>
      </c>
      <c r="AN240" s="72">
        <f t="shared" si="62"/>
        <v>0</v>
      </c>
      <c r="AO240" s="73" t="str">
        <f>[4]Sayfa1!$X236</f>
        <v>E410-7003</v>
      </c>
      <c r="AP240" s="72">
        <f>[4]Sayfa1!$Y236</f>
        <v>1</v>
      </c>
      <c r="AQ240" s="184" t="str">
        <f>[4]Sayfa1!$V236</f>
        <v>ATAK ULAŞIM SAN.TİC.LTD.ŞTİ.</v>
      </c>
      <c r="AR240" s="74" t="str">
        <f>[4]Sayfa1!$W236</f>
        <v>STRETCH LCD EKRAN</v>
      </c>
      <c r="AS240" s="74">
        <f>[4]Sayfa1!$AD236</f>
        <v>0</v>
      </c>
      <c r="AT240" s="60" t="str">
        <f>[4]Sayfa1!$AE236</f>
        <v/>
      </c>
      <c r="AU240" s="60" t="str">
        <f>[4]Sayfa1!$AH236</f>
        <v/>
      </c>
      <c r="AV240" s="75">
        <v>235</v>
      </c>
      <c r="AW240" s="76">
        <f t="shared" si="63"/>
        <v>24.728611111873761</v>
      </c>
      <c r="AX240" s="77" t="str">
        <f>[4]Sayfa1!$A236</f>
        <v>3d68d5a3</v>
      </c>
      <c r="AY240" s="78" t="s">
        <v>114</v>
      </c>
      <c r="AZ240" s="79" t="e" vm="1">
        <f t="shared" si="64"/>
        <v>#VALUE!</v>
      </c>
    </row>
    <row r="241" spans="1:52" ht="160.15">
      <c r="A241" s="59" t="s">
        <v>296</v>
      </c>
      <c r="B241" s="59" t="str">
        <f>[4]Sayfa1!$G237</f>
        <v>3878(7)</v>
      </c>
      <c r="C241" s="184" t="str">
        <f>[4]Sayfa1!$H237</f>
        <v>RA</v>
      </c>
      <c r="D241" s="24">
        <f>[4]Sayfa1!$N237</f>
        <v>53600</v>
      </c>
      <c r="E241" s="24" t="str">
        <f>[4]Sayfa1!$B237</f>
        <v>BOZ-KAY5+6-FF-236</v>
      </c>
      <c r="F241" s="60">
        <f>[4]Sayfa1!$E237</f>
        <v>45496</v>
      </c>
      <c r="G241" s="61">
        <f>[4]Sayfa1!$F237</f>
        <v>45496.442361111112</v>
      </c>
      <c r="H241" s="59" t="str">
        <f>[4]Sayfa1!$I237</f>
        <v>Hat/Line</v>
      </c>
      <c r="I241" s="62" t="str">
        <f>IF([4]Sayfa1!$K237="SSH","Notified by Bozankaya","Notified by Customer")</f>
        <v>Notified by Customer</v>
      </c>
      <c r="J241" s="59" t="e">
        <f>VLOOKUP([4]Sayfa1!$AU237,#REF!,2,FALSE)</f>
        <v>#REF!</v>
      </c>
      <c r="K241" s="59">
        <f>[4]Sayfa1!$AC237</f>
        <v>0</v>
      </c>
      <c r="L241" s="63" t="str">
        <f t="shared" si="52"/>
        <v>KAY_5+188-BOZ-KAY5+6-FF-236</v>
      </c>
      <c r="M241" s="64" t="str">
        <f>[4]Sayfa1!$L237</f>
        <v>Araç içi yolcu bilgilendirme kapı üstü ekranlar çalışmıyor</v>
      </c>
      <c r="N241" s="33" t="str">
        <f>[4]Sayfa1!$J237</f>
        <v>C-Uyarı, sürüş devamlılığı</v>
      </c>
      <c r="O241" s="33" t="str">
        <f>[4]Sayfa1!$P237</f>
        <v>C(Sisteme etki etmeyen arıza)</v>
      </c>
      <c r="P241" s="33" t="str">
        <f>[4]Sayfa1!$Q237</f>
        <v>N.A(Yaralanma yok)</v>
      </c>
      <c r="Q241" s="65" t="str" cm="1">
        <f t="array" ref="Q241">_xlfn.IFS([4]Sayfa1!$R237="Bozankaya","Bozankaya",[4]Sayfa1!$R237="İşletme","Customer",[4]Sayfa1!$R237="Tedarikçi","Equipment Supplier")</f>
        <v>Equipment Supplier</v>
      </c>
      <c r="R241" s="66" t="str">
        <f>[4]Sayfa1!$M237</f>
        <v>Kontrol edildi sorun görülmedi</v>
      </c>
      <c r="S241" s="36" t="str">
        <f>[4]Sayfa1!$S237</f>
        <v>Atak</v>
      </c>
      <c r="T241" s="67">
        <f>[4]Sayfa1!$Z237</f>
        <v>0</v>
      </c>
      <c r="U241" s="68">
        <f>[4]Sayfa1!$AN237</f>
        <v>1</v>
      </c>
      <c r="V241" s="60">
        <f>[4]Sayfa1!$T237</f>
        <v>45530</v>
      </c>
      <c r="W241" s="61">
        <f>[4]Sayfa1!$U237</f>
        <v>45530.449606481481</v>
      </c>
      <c r="X241" s="69">
        <f t="shared" si="53"/>
        <v>45530.449606481481</v>
      </c>
      <c r="Y241" s="70">
        <f>[4]Sayfa1!$AQ237</f>
        <v>45530</v>
      </c>
      <c r="Z241" s="61">
        <f>[4]Sayfa1!$AR237</f>
        <v>45530.5625</v>
      </c>
      <c r="AA241" s="69">
        <f t="shared" si="54"/>
        <v>45530.5625</v>
      </c>
      <c r="AB241" s="71">
        <f t="shared" si="55"/>
        <v>2.7094444444519468</v>
      </c>
      <c r="AC241" s="60">
        <f t="shared" si="56"/>
        <v>45530</v>
      </c>
      <c r="AD241" s="61">
        <f t="shared" si="57"/>
        <v>45530.5625</v>
      </c>
      <c r="AE241" s="69">
        <f t="shared" si="58"/>
        <v>45530.5625</v>
      </c>
      <c r="AF241" s="36" t="str">
        <f>[4]Sayfa1!$AP237</f>
        <v>(III) Birden fazla aynı araçta karşılaşılan arıza</v>
      </c>
      <c r="AG241" s="33" t="str">
        <f>IF([4]Sayfa1!$J237="C-Uyarı, sürüş devamlılığı","Bu Arıza Aracın Servise Verilmesine Engel Değil","Bu Arıza Aracın Servise Verilmesine Engel")</f>
        <v>Bu Arıza Aracın Servise Verilmesine Engel Değil</v>
      </c>
      <c r="AH241" s="41" t="str">
        <f>[4]Sayfa1!$AB237</f>
        <v>Arıza çözülecek</v>
      </c>
      <c r="AI241" s="60"/>
      <c r="AJ241" s="60"/>
      <c r="AK241" s="69">
        <f t="shared" si="59"/>
        <v>0</v>
      </c>
      <c r="AL241" s="71">
        <f t="shared" si="60"/>
        <v>162.56666666711681</v>
      </c>
      <c r="AM241" s="71">
        <f t="shared" si="61"/>
        <v>162.56666666711681</v>
      </c>
      <c r="AN241" s="72">
        <f t="shared" si="62"/>
        <v>0</v>
      </c>
      <c r="AO241" s="73" t="str">
        <f>[4]Sayfa1!$X237</f>
        <v>E410-7003</v>
      </c>
      <c r="AP241" s="72">
        <f>[4]Sayfa1!$Y237</f>
        <v>1</v>
      </c>
      <c r="AQ241" s="184" t="str">
        <f>[4]Sayfa1!$V237</f>
        <v>ATAK ULAŞIM SAN.TİC.LTD.ŞTİ.</v>
      </c>
      <c r="AR241" s="74" t="str">
        <f>[4]Sayfa1!$W237</f>
        <v>STRETCH LCD EKRAN</v>
      </c>
      <c r="AS241" s="74">
        <f>[4]Sayfa1!$AD237</f>
        <v>0</v>
      </c>
      <c r="AT241" s="60" t="str">
        <f>[4]Sayfa1!$AE237</f>
        <v/>
      </c>
      <c r="AU241" s="60" t="str">
        <f>[4]Sayfa1!$AH237</f>
        <v/>
      </c>
      <c r="AV241" s="75">
        <v>236</v>
      </c>
      <c r="AW241" s="76">
        <f t="shared" si="63"/>
        <v>29.803888888971414</v>
      </c>
      <c r="AX241" s="77" t="str">
        <f>[4]Sayfa1!$A237</f>
        <v>cbe41e05</v>
      </c>
      <c r="AY241" s="78" t="s">
        <v>114</v>
      </c>
      <c r="AZ241" s="79" t="e" vm="1">
        <f t="shared" si="64"/>
        <v>#VALUE!</v>
      </c>
    </row>
    <row r="242" spans="1:52" ht="226.9">
      <c r="A242" s="59" t="s">
        <v>297</v>
      </c>
      <c r="B242" s="59" t="str">
        <f>[4]Sayfa1!$G238</f>
        <v>3880(9)</v>
      </c>
      <c r="C242" s="184" t="str">
        <f>[4]Sayfa1!$H238</f>
        <v>RA</v>
      </c>
      <c r="D242" s="24">
        <f>[4]Sayfa1!$N238</f>
        <v>32250</v>
      </c>
      <c r="E242" s="24" t="str">
        <f>[4]Sayfa1!$B238</f>
        <v>BOZ-KAY5+6-FF-237</v>
      </c>
      <c r="F242" s="60">
        <f>[4]Sayfa1!$E238</f>
        <v>45496</v>
      </c>
      <c r="G242" s="61">
        <f>[4]Sayfa1!$F238</f>
        <v>45496.443749999999</v>
      </c>
      <c r="H242" s="59" t="str">
        <f>[4]Sayfa1!$I238</f>
        <v>Hat/Line</v>
      </c>
      <c r="I242" s="62" t="str">
        <f>IF([4]Sayfa1!$K238="SSH","Notified by Bozankaya","Notified by Customer")</f>
        <v>Notified by Customer</v>
      </c>
      <c r="J242" s="59" t="e">
        <f>VLOOKUP([4]Sayfa1!$AU238,#REF!,2,FALSE)</f>
        <v>#REF!</v>
      </c>
      <c r="K242" s="59">
        <f>[4]Sayfa1!$AC238</f>
        <v>0</v>
      </c>
      <c r="L242" s="63" t="str">
        <f t="shared" si="52"/>
        <v>KAY_5+189-BOZ-KAY5+6-FF-237</v>
      </c>
      <c r="M242" s="64" t="str">
        <f>[4]Sayfa1!$L238</f>
        <v>6 nolu kapı üstü yolcu bilgilendirme sistemi çalışmıyor</v>
      </c>
      <c r="N242" s="33" t="str">
        <f>[4]Sayfa1!$J238</f>
        <v>C-Uyarı, sürüş devamlılığı</v>
      </c>
      <c r="O242" s="33" t="str">
        <f>[4]Sayfa1!$P238</f>
        <v>B(Servisten çekmeye etki eden arızalar)</v>
      </c>
      <c r="P242" s="33" t="str">
        <f>[4]Sayfa1!$Q238</f>
        <v>N.A(Yaralanma yok)</v>
      </c>
      <c r="Q242" s="65" t="str" cm="1">
        <f t="array" ref="Q242">_xlfn.IFS([4]Sayfa1!$R238="Bozankaya","Bozankaya",[4]Sayfa1!$R238="İşletme","Customer",[4]Sayfa1!$R238="Tedarikçi","Equipment Supplier")</f>
        <v>Equipment Supplier</v>
      </c>
      <c r="R242" s="66" t="str">
        <f>[4]Sayfa1!$M238</f>
        <v>kontrol edildi.sorun görülmedi</v>
      </c>
      <c r="S242" s="36" t="str">
        <f>[4]Sayfa1!$S238</f>
        <v>Atak</v>
      </c>
      <c r="T242" s="67">
        <f>[4]Sayfa1!$Z238</f>
        <v>0</v>
      </c>
      <c r="U242" s="68">
        <f>[4]Sayfa1!$AN238</f>
        <v>1</v>
      </c>
      <c r="V242" s="60">
        <f>[4]Sayfa1!$T238</f>
        <v>45496</v>
      </c>
      <c r="W242" s="61">
        <f>[4]Sayfa1!$U238</f>
        <v>45496.458333333336</v>
      </c>
      <c r="X242" s="69">
        <f t="shared" si="53"/>
        <v>45496.458333333336</v>
      </c>
      <c r="Y242" s="70">
        <f>[4]Sayfa1!$AQ238</f>
        <v>45496</v>
      </c>
      <c r="Z242" s="61">
        <f>[4]Sayfa1!$AR238</f>
        <v>45496.479166666664</v>
      </c>
      <c r="AA242" s="69">
        <f t="shared" si="54"/>
        <v>45496.479166666664</v>
      </c>
      <c r="AB242" s="71">
        <f t="shared" si="55"/>
        <v>0</v>
      </c>
      <c r="AC242" s="60">
        <f t="shared" si="56"/>
        <v>45496</v>
      </c>
      <c r="AD242" s="61">
        <f t="shared" si="57"/>
        <v>45496.479166666664</v>
      </c>
      <c r="AE242" s="69">
        <f t="shared" si="58"/>
        <v>45496.479166666664</v>
      </c>
      <c r="AF242" s="36" t="str">
        <f>[4]Sayfa1!$AP238</f>
        <v>(III) Birden fazla aynı araçta karşılaşılan arıza</v>
      </c>
      <c r="AG242" s="33" t="str">
        <f>IF([4]Sayfa1!$J238="C-Uyarı, sürüş devamlılığı","Bu Arıza Aracın Servise Verilmesine Engel Değil","Bu Arıza Aracın Servise Verilmesine Engel")</f>
        <v>Bu Arıza Aracın Servise Verilmesine Engel Değil</v>
      </c>
      <c r="AH242" s="41" t="str">
        <f>[4]Sayfa1!$AB238</f>
        <v>Arıza çözülecek</v>
      </c>
      <c r="AI242" s="60"/>
      <c r="AJ242" s="60"/>
      <c r="AK242" s="69">
        <f t="shared" si="59"/>
        <v>0</v>
      </c>
      <c r="AL242" s="71">
        <f t="shared" si="60"/>
        <v>0</v>
      </c>
      <c r="AM242" s="71">
        <f t="shared" si="61"/>
        <v>0</v>
      </c>
      <c r="AN242" s="72">
        <f t="shared" si="62"/>
        <v>0</v>
      </c>
      <c r="AO242" s="73" t="str">
        <f>[4]Sayfa1!$X238</f>
        <v>E410-7003</v>
      </c>
      <c r="AP242" s="72">
        <f>[4]Sayfa1!$Y238</f>
        <v>1</v>
      </c>
      <c r="AQ242" s="184" t="str">
        <f>[4]Sayfa1!$V238</f>
        <v>ATAK ULAŞIM SAN.TİC.LTD.ŞTİ.</v>
      </c>
      <c r="AR242" s="74" t="str">
        <f>[4]Sayfa1!$W238</f>
        <v>STRETCH LCD EKRAN</v>
      </c>
      <c r="AS242" s="74">
        <f>[4]Sayfa1!$AD238</f>
        <v>0</v>
      </c>
      <c r="AT242" s="60" t="str">
        <f>[4]Sayfa1!$AE238</f>
        <v/>
      </c>
      <c r="AU242" s="60" t="str">
        <f>[4]Sayfa1!$AH238</f>
        <v/>
      </c>
      <c r="AV242" s="75">
        <v>237</v>
      </c>
      <c r="AW242" s="76">
        <f t="shared" si="63"/>
        <v>0</v>
      </c>
      <c r="AX242" s="77" t="str">
        <f>[4]Sayfa1!$A238</f>
        <v>2d212823</v>
      </c>
      <c r="AY242" s="78" t="s">
        <v>114</v>
      </c>
      <c r="AZ242" s="79" t="e" vm="1">
        <f t="shared" si="64"/>
        <v>#VALUE!</v>
      </c>
    </row>
    <row r="243" spans="1:52" ht="148.15">
      <c r="A243" s="59" t="s">
        <v>298</v>
      </c>
      <c r="B243" s="59" t="str">
        <f>[4]Sayfa1!$G239</f>
        <v>3880(9)</v>
      </c>
      <c r="C243" s="184" t="str">
        <f>[4]Sayfa1!$H239</f>
        <v>MA</v>
      </c>
      <c r="D243" s="24">
        <f>[4]Sayfa1!$N239</f>
        <v>32250</v>
      </c>
      <c r="E243" s="24" t="str">
        <f>[4]Sayfa1!$B239</f>
        <v>BOZ-KAY5+6-FF-238</v>
      </c>
      <c r="F243" s="60">
        <f>[4]Sayfa1!$E239</f>
        <v>45496</v>
      </c>
      <c r="G243" s="61">
        <f>[4]Sayfa1!$F239</f>
        <v>45496.445138888892</v>
      </c>
      <c r="H243" s="59" t="str">
        <f>[4]Sayfa1!$I239</f>
        <v>Hat/Line</v>
      </c>
      <c r="I243" s="62" t="str">
        <f>IF([4]Sayfa1!$K239="SSH","Notified by Bozankaya","Notified by Customer")</f>
        <v>Notified by Customer</v>
      </c>
      <c r="J243" s="59" t="e">
        <f>VLOOKUP([4]Sayfa1!$AU239,#REF!,2,FALSE)</f>
        <v>#REF!</v>
      </c>
      <c r="K243" s="59">
        <f>[4]Sayfa1!$AC239</f>
        <v>0</v>
      </c>
      <c r="L243" s="63" t="str">
        <f t="shared" si="52"/>
        <v>KAY_5+190-BOZ-KAY5+6-FF-238</v>
      </c>
      <c r="M243" s="64" t="str">
        <f>[4]Sayfa1!$L239</f>
        <v>2 nolu kapı üstü yolcu bilgilendirme sistemi çalışmıyor</v>
      </c>
      <c r="N243" s="33" t="str">
        <f>[4]Sayfa1!$J239</f>
        <v>C-Uyarı, sürüş devamlılığı</v>
      </c>
      <c r="O243" s="33" t="str">
        <f>[4]Sayfa1!$P239</f>
        <v>B(Servisten çekmeye etki eden arızalar)</v>
      </c>
      <c r="P243" s="33" t="str">
        <f>[4]Sayfa1!$Q239</f>
        <v>N.A(Yaralanma yok)</v>
      </c>
      <c r="Q243" s="65" t="str" cm="1">
        <f t="array" ref="Q243">_xlfn.IFS([4]Sayfa1!$R239="Bozankaya","Bozankaya",[4]Sayfa1!$R239="İşletme","Customer",[4]Sayfa1!$R239="Tedarikçi","Equipment Supplier")</f>
        <v>Equipment Supplier</v>
      </c>
      <c r="R243" s="66" t="str">
        <f>[4]Sayfa1!$M239</f>
        <v>Kontrol edildi.Sorun görülmedi</v>
      </c>
      <c r="S243" s="36" t="str">
        <f>[4]Sayfa1!$S239</f>
        <v>Atak</v>
      </c>
      <c r="T243" s="67">
        <f>[4]Sayfa1!$Z239</f>
        <v>0</v>
      </c>
      <c r="U243" s="68">
        <f>[4]Sayfa1!$AN239</f>
        <v>1</v>
      </c>
      <c r="V243" s="60">
        <f>[4]Sayfa1!$T239</f>
        <v>45496</v>
      </c>
      <c r="W243" s="61">
        <f>[4]Sayfa1!$U239</f>
        <v>45496.458333333336</v>
      </c>
      <c r="X243" s="69">
        <f t="shared" si="53"/>
        <v>45496.458333333336</v>
      </c>
      <c r="Y243" s="70">
        <f>[4]Sayfa1!$AQ239</f>
        <v>45496</v>
      </c>
      <c r="Z243" s="61">
        <f>[4]Sayfa1!$AR239</f>
        <v>45496.479166666664</v>
      </c>
      <c r="AA243" s="69">
        <f t="shared" si="54"/>
        <v>45496.479166666664</v>
      </c>
      <c r="AB243" s="71">
        <f t="shared" si="55"/>
        <v>0</v>
      </c>
      <c r="AC243" s="60">
        <f t="shared" si="56"/>
        <v>45496</v>
      </c>
      <c r="AD243" s="61">
        <f t="shared" si="57"/>
        <v>45496.479166666664</v>
      </c>
      <c r="AE243" s="69">
        <f t="shared" si="58"/>
        <v>45496.479166666664</v>
      </c>
      <c r="AF243" s="36" t="str">
        <f>[4]Sayfa1!$AP239</f>
        <v>(III) Birden fazla aynı araçta karşılaşılan arıza</v>
      </c>
      <c r="AG243" s="33" t="str">
        <f>IF([4]Sayfa1!$J239="C-Uyarı, sürüş devamlılığı","Bu Arıza Aracın Servise Verilmesine Engel Değil","Bu Arıza Aracın Servise Verilmesine Engel")</f>
        <v>Bu Arıza Aracın Servise Verilmesine Engel Değil</v>
      </c>
      <c r="AH243" s="41" t="str">
        <f>[4]Sayfa1!$AB239</f>
        <v>Arıza çözülecek</v>
      </c>
      <c r="AI243" s="60"/>
      <c r="AJ243" s="60"/>
      <c r="AK243" s="69">
        <f t="shared" si="59"/>
        <v>0</v>
      </c>
      <c r="AL243" s="71">
        <f t="shared" si="60"/>
        <v>0</v>
      </c>
      <c r="AM243" s="71">
        <f t="shared" si="61"/>
        <v>0</v>
      </c>
      <c r="AN243" s="72">
        <f t="shared" si="62"/>
        <v>0</v>
      </c>
      <c r="AO243" s="73" t="str">
        <f>[4]Sayfa1!$X239</f>
        <v>E410-7003</v>
      </c>
      <c r="AP243" s="72">
        <f>[4]Sayfa1!$Y239</f>
        <v>1</v>
      </c>
      <c r="AQ243" s="184" t="str">
        <f>[4]Sayfa1!$V239</f>
        <v>ATAK ULAŞIM SAN.TİC.LTD.ŞTİ.</v>
      </c>
      <c r="AR243" s="74" t="str">
        <f>[4]Sayfa1!$W239</f>
        <v>STRETCH LCD EKRAN</v>
      </c>
      <c r="AS243" s="74">
        <f>[4]Sayfa1!$AD239</f>
        <v>0</v>
      </c>
      <c r="AT243" s="60" t="str">
        <f>[4]Sayfa1!$AE239</f>
        <v/>
      </c>
      <c r="AU243" s="60" t="str">
        <f>[4]Sayfa1!$AH239</f>
        <v/>
      </c>
      <c r="AV243" s="75">
        <v>238</v>
      </c>
      <c r="AW243" s="76">
        <f t="shared" si="63"/>
        <v>0</v>
      </c>
      <c r="AX243" s="77" t="str">
        <f>[4]Sayfa1!$A239</f>
        <v>b958c561</v>
      </c>
      <c r="AY243" s="78" t="s">
        <v>114</v>
      </c>
      <c r="AZ243" s="79" t="e" vm="1">
        <f t="shared" si="64"/>
        <v>#VALUE!</v>
      </c>
    </row>
    <row r="244" spans="1:52" ht="148.15">
      <c r="A244" s="59" t="s">
        <v>299</v>
      </c>
      <c r="B244" s="59" t="str">
        <f>[4]Sayfa1!$G240</f>
        <v>3882(11)</v>
      </c>
      <c r="C244" s="184" t="str">
        <f>[4]Sayfa1!$H240</f>
        <v>RA</v>
      </c>
      <c r="D244" s="24">
        <f>[4]Sayfa1!$N240</f>
        <v>11700</v>
      </c>
      <c r="E244" s="24" t="str">
        <f>[4]Sayfa1!$B240</f>
        <v>BOZ-KAY5+6-FF-239</v>
      </c>
      <c r="F244" s="60">
        <f>[4]Sayfa1!$E240</f>
        <v>45496</v>
      </c>
      <c r="G244" s="61">
        <f>[4]Sayfa1!$F240</f>
        <v>45496.446527777778</v>
      </c>
      <c r="H244" s="59" t="str">
        <f>[4]Sayfa1!$I240</f>
        <v>Hat/Line</v>
      </c>
      <c r="I244" s="62" t="str">
        <f>IF([4]Sayfa1!$K240="SSH","Notified by Bozankaya","Notified by Customer")</f>
        <v>Notified by Customer</v>
      </c>
      <c r="J244" s="59" t="e">
        <f>VLOOKUP([4]Sayfa1!$AU240,#REF!,2,FALSE)</f>
        <v>#REF!</v>
      </c>
      <c r="K244" s="59">
        <f>[4]Sayfa1!$AC240</f>
        <v>0</v>
      </c>
      <c r="L244" s="63" t="str">
        <f t="shared" si="52"/>
        <v>KAY_5+191-BOZ-KAY5+6-FF-239</v>
      </c>
      <c r="M244" s="64" t="str">
        <f>[4]Sayfa1!$L240</f>
        <v>Araç içi orta ekranlar ve kapı üstü ekranlar çalışmıyor</v>
      </c>
      <c r="N244" s="33" t="str">
        <f>[4]Sayfa1!$J240</f>
        <v>C-Uyarı, sürüş devamlılığı</v>
      </c>
      <c r="O244" s="33" t="str">
        <f>[4]Sayfa1!$P240</f>
        <v>C(Sisteme etki etmeyen arıza)</v>
      </c>
      <c r="P244" s="33" t="str">
        <f>[4]Sayfa1!$Q240</f>
        <v>N.A(Yaralanma yok)</v>
      </c>
      <c r="Q244" s="65" t="str" cm="1">
        <f t="array" ref="Q244">_xlfn.IFS([4]Sayfa1!$R240="Bozankaya","Bozankaya",[4]Sayfa1!$R240="İşletme","Customer",[4]Sayfa1!$R240="Tedarikçi","Equipment Supplier")</f>
        <v>Equipment Supplier</v>
      </c>
      <c r="R244" s="66" t="str">
        <f>[4]Sayfa1!$M240</f>
        <v>Kontrol edildi.Sorun görülmedi</v>
      </c>
      <c r="S244" s="36" t="str">
        <f>[4]Sayfa1!$S240</f>
        <v>Atak</v>
      </c>
      <c r="T244" s="67">
        <f>[4]Sayfa1!$Z240</f>
        <v>0</v>
      </c>
      <c r="U244" s="68">
        <f>[4]Sayfa1!$AN240</f>
        <v>1</v>
      </c>
      <c r="V244" s="60">
        <f>[4]Sayfa1!$T240</f>
        <v>45496</v>
      </c>
      <c r="W244" s="61">
        <f>[4]Sayfa1!$U240</f>
        <v>45496.541666666664</v>
      </c>
      <c r="X244" s="69">
        <f t="shared" si="53"/>
        <v>45496.541666666664</v>
      </c>
      <c r="Y244" s="70">
        <f>[4]Sayfa1!$AQ240</f>
        <v>45496</v>
      </c>
      <c r="Z244" s="61">
        <f>[4]Sayfa1!$AR240</f>
        <v>45496.583333333336</v>
      </c>
      <c r="AA244" s="69">
        <f t="shared" si="54"/>
        <v>45496.583333333336</v>
      </c>
      <c r="AB244" s="71">
        <f t="shared" si="55"/>
        <v>0</v>
      </c>
      <c r="AC244" s="60">
        <f t="shared" si="56"/>
        <v>45496</v>
      </c>
      <c r="AD244" s="61">
        <f t="shared" si="57"/>
        <v>45496.583333333336</v>
      </c>
      <c r="AE244" s="69">
        <f t="shared" si="58"/>
        <v>45496.583333333336</v>
      </c>
      <c r="AF244" s="36" t="str">
        <f>[4]Sayfa1!$AP240</f>
        <v>(III) Birden fazla aynı araçta karşılaşılan arıza</v>
      </c>
      <c r="AG244" s="33" t="str">
        <f>IF([4]Sayfa1!$J240="C-Uyarı, sürüş devamlılığı","Bu Arıza Aracın Servise Verilmesine Engel Değil","Bu Arıza Aracın Servise Verilmesine Engel")</f>
        <v>Bu Arıza Aracın Servise Verilmesine Engel Değil</v>
      </c>
      <c r="AH244" s="41" t="str">
        <f>[4]Sayfa1!$AB240</f>
        <v>Arıza çözülecek</v>
      </c>
      <c r="AI244" s="60"/>
      <c r="AJ244" s="60"/>
      <c r="AK244" s="69">
        <f t="shared" si="59"/>
        <v>0</v>
      </c>
      <c r="AL244" s="71">
        <f t="shared" si="60"/>
        <v>0</v>
      </c>
      <c r="AM244" s="71">
        <f t="shared" si="61"/>
        <v>0</v>
      </c>
      <c r="AN244" s="72">
        <f t="shared" si="62"/>
        <v>0</v>
      </c>
      <c r="AO244" s="73" t="str">
        <f>[4]Sayfa1!$X240</f>
        <v>E410-7003</v>
      </c>
      <c r="AP244" s="72">
        <f>[4]Sayfa1!$Y240</f>
        <v>1</v>
      </c>
      <c r="AQ244" s="184" t="str">
        <f>[4]Sayfa1!$V240</f>
        <v>ATAK ULAŞIM SAN.TİC.LTD.ŞTİ.</v>
      </c>
      <c r="AR244" s="74" t="str">
        <f>[4]Sayfa1!$W240</f>
        <v>STRETCH LCD EKRAN</v>
      </c>
      <c r="AS244" s="74">
        <f>[4]Sayfa1!$AD240</f>
        <v>0</v>
      </c>
      <c r="AT244" s="60" t="str">
        <f>[4]Sayfa1!$AE240</f>
        <v/>
      </c>
      <c r="AU244" s="60" t="str">
        <f>[4]Sayfa1!$AH240</f>
        <v/>
      </c>
      <c r="AV244" s="75">
        <v>239</v>
      </c>
      <c r="AW244" s="76">
        <f t="shared" si="63"/>
        <v>0</v>
      </c>
      <c r="AX244" s="77" t="str">
        <f>[4]Sayfa1!$A240</f>
        <v>386f5610</v>
      </c>
      <c r="AY244" s="78" t="s">
        <v>114</v>
      </c>
      <c r="AZ244" s="79" t="e" vm="1">
        <f t="shared" si="64"/>
        <v>#VALUE!</v>
      </c>
    </row>
    <row r="245" spans="1:52" ht="186.6">
      <c r="A245" s="59" t="s">
        <v>300</v>
      </c>
      <c r="B245" s="59" t="str">
        <f>[4]Sayfa1!$G241</f>
        <v>3872(1)</v>
      </c>
      <c r="C245" s="184" t="str">
        <f>[4]Sayfa1!$H241</f>
        <v>MA</v>
      </c>
      <c r="D245" s="24">
        <f>[4]Sayfa1!$N241</f>
        <v>74500</v>
      </c>
      <c r="E245" s="24" t="str">
        <f>[4]Sayfa1!$B241</f>
        <v>BOZ-KAY5+6-FF-240</v>
      </c>
      <c r="F245" s="60">
        <f>[4]Sayfa1!$E241</f>
        <v>45496</v>
      </c>
      <c r="G245" s="61">
        <f>[4]Sayfa1!$F241</f>
        <v>45496.539583333331</v>
      </c>
      <c r="H245" s="59" t="str">
        <f>[4]Sayfa1!$I241</f>
        <v>Hat/Line</v>
      </c>
      <c r="I245" s="62" t="str">
        <f>IF([4]Sayfa1!$K241="SSH","Notified by Bozankaya","Notified by Customer")</f>
        <v>Notified by Customer</v>
      </c>
      <c r="J245" s="59" t="e">
        <f>VLOOKUP([4]Sayfa1!$AU241,#REF!,2,FALSE)</f>
        <v>#REF!</v>
      </c>
      <c r="K245" s="59">
        <f>[4]Sayfa1!$AC241</f>
        <v>0</v>
      </c>
      <c r="L245" s="63" t="str">
        <f t="shared" si="52"/>
        <v>KAY_5+192-BOZ-KAY5+6-FF-240</v>
      </c>
      <c r="M245" s="64" t="str">
        <f>[4]Sayfa1!$L241</f>
        <v>fren boşluyor</v>
      </c>
      <c r="N245" s="33" t="str">
        <f>[4]Sayfa1!$J241</f>
        <v>B-Hız veya güç azalması</v>
      </c>
      <c r="O245" s="33" t="str">
        <f>[4]Sayfa1!$P241</f>
        <v>B(Servisten çekmeye etki eden arızalar)</v>
      </c>
      <c r="P245" s="33" t="str">
        <f>[4]Sayfa1!$Q241</f>
        <v>N.A(Yaralanma yok)</v>
      </c>
      <c r="Q245" s="65" t="str" cm="1">
        <f t="array" ref="Q245">_xlfn.IFS([4]Sayfa1!$R241="Bozankaya","Bozankaya",[4]Sayfa1!$R241="İşletme","Customer",[4]Sayfa1!$R241="Tedarikçi","Equipment Supplier")</f>
        <v>Equipment Supplier</v>
      </c>
      <c r="R245" s="66" t="str">
        <f>[4]Sayfa1!$M241</f>
        <v>medcom firması inverter yazılımı yükledi.Test yapıldı .Sorun görülmedi</v>
      </c>
      <c r="S245" s="36" t="str">
        <f>[4]Sayfa1!$S241</f>
        <v>Medcom</v>
      </c>
      <c r="T245" s="67">
        <f>[4]Sayfa1!$Z241</f>
        <v>0</v>
      </c>
      <c r="U245" s="68">
        <f>[4]Sayfa1!$AN241</f>
        <v>1</v>
      </c>
      <c r="V245" s="60">
        <f>[4]Sayfa1!$T241</f>
        <v>45530</v>
      </c>
      <c r="W245" s="61">
        <f>[4]Sayfa1!$U241</f>
        <v>45530.574120370373</v>
      </c>
      <c r="X245" s="69">
        <f t="shared" si="53"/>
        <v>45530.574120370373</v>
      </c>
      <c r="Y245" s="70">
        <f>[4]Sayfa1!$AQ241</f>
        <v>45530</v>
      </c>
      <c r="Z245" s="61">
        <f>[4]Sayfa1!$AR241</f>
        <v>45530.75</v>
      </c>
      <c r="AA245" s="69">
        <f t="shared" si="54"/>
        <v>45530.75</v>
      </c>
      <c r="AB245" s="71">
        <f t="shared" si="55"/>
        <v>4.2211111110518686</v>
      </c>
      <c r="AC245" s="60">
        <f t="shared" si="56"/>
        <v>45530</v>
      </c>
      <c r="AD245" s="61">
        <f t="shared" si="57"/>
        <v>45530.75</v>
      </c>
      <c r="AE245" s="69">
        <f t="shared" si="58"/>
        <v>45530.75</v>
      </c>
      <c r="AF245" s="36" t="str">
        <f>[4]Sayfa1!$AP241</f>
        <v>(II) Birden fazla karşılaşılan arıza</v>
      </c>
      <c r="AG245" s="33" t="str">
        <f>IF([4]Sayfa1!$J241="C-Uyarı, sürüş devamlılığı","Bu Arıza Aracın Servise Verilmesine Engel Değil","Bu Arıza Aracın Servise Verilmesine Engel")</f>
        <v>Bu Arıza Aracın Servise Verilmesine Engel</v>
      </c>
      <c r="AH245" s="41" t="str">
        <f>[4]Sayfa1!$AB241</f>
        <v>Yazılım güncelleme</v>
      </c>
      <c r="AI245" s="60"/>
      <c r="AJ245" s="60"/>
      <c r="AK245" s="69">
        <f t="shared" si="59"/>
        <v>0</v>
      </c>
      <c r="AL245" s="71">
        <f t="shared" si="60"/>
        <v>253.26666666311212</v>
      </c>
      <c r="AM245" s="71">
        <f t="shared" si="61"/>
        <v>253.26666666311212</v>
      </c>
      <c r="AN245" s="72">
        <f t="shared" si="62"/>
        <v>0</v>
      </c>
      <c r="AO245" s="73" t="str">
        <f>[4]Sayfa1!$X241</f>
        <v>E110-7659</v>
      </c>
      <c r="AP245" s="72">
        <f>[4]Sayfa1!$Y241</f>
        <v>0</v>
      </c>
      <c r="AQ245" s="184" t="str">
        <f>[4]Sayfa1!$V241</f>
        <v>MEDCOM SP. Z O.O.</v>
      </c>
      <c r="AR245" s="74" t="str">
        <f>[4]Sayfa1!$W241</f>
        <v>MEDCOM SICAKLIK SENSÖRÜ</v>
      </c>
      <c r="AS245" s="74">
        <f>[4]Sayfa1!$AD241</f>
        <v>0</v>
      </c>
      <c r="AT245" s="60" t="str">
        <f>[4]Sayfa1!$AE241</f>
        <v/>
      </c>
      <c r="AU245" s="60" t="str">
        <f>[4]Sayfa1!$AH241</f>
        <v/>
      </c>
      <c r="AV245" s="75">
        <v>240</v>
      </c>
      <c r="AW245" s="76">
        <f t="shared" si="63"/>
        <v>46.432222221570555</v>
      </c>
      <c r="AX245" s="77" t="str">
        <f>[4]Sayfa1!$A241</f>
        <v>e9a97fa1</v>
      </c>
      <c r="AY245" s="78" t="s">
        <v>114</v>
      </c>
      <c r="AZ245" s="79" t="e" vm="1">
        <f t="shared" si="64"/>
        <v>#VALUE!</v>
      </c>
    </row>
    <row r="246" spans="1:52" ht="148.15">
      <c r="A246" s="59" t="s">
        <v>301</v>
      </c>
      <c r="B246" s="59" t="str">
        <f>[4]Sayfa1!$G242</f>
        <v>3879(8)</v>
      </c>
      <c r="C246" s="184" t="str">
        <f>[4]Sayfa1!$H242</f>
        <v>MA</v>
      </c>
      <c r="D246" s="24">
        <f>[4]Sayfa1!$N242</f>
        <v>37800</v>
      </c>
      <c r="E246" s="24" t="str">
        <f>[4]Sayfa1!$B242</f>
        <v>BOZ-KAY5+6-FF-241</v>
      </c>
      <c r="F246" s="60">
        <f>[4]Sayfa1!$E242</f>
        <v>45496</v>
      </c>
      <c r="G246" s="61">
        <f>[4]Sayfa1!$F242</f>
        <v>45496.543055555558</v>
      </c>
      <c r="H246" s="59" t="str">
        <f>[4]Sayfa1!$I242</f>
        <v>Hat/Line</v>
      </c>
      <c r="I246" s="62" t="str">
        <f>IF([4]Sayfa1!$K242="SSH","Notified by Bozankaya","Notified by Customer")</f>
        <v>Notified by Customer</v>
      </c>
      <c r="J246" s="59" t="e">
        <f>VLOOKUP([4]Sayfa1!$AU242,#REF!,2,FALSE)</f>
        <v>#REF!</v>
      </c>
      <c r="K246" s="59">
        <f>[4]Sayfa1!$AC242</f>
        <v>0</v>
      </c>
      <c r="L246" s="63" t="str">
        <f t="shared" si="52"/>
        <v>KAY_5+193-BOZ-KAY5+6-FF-241</v>
      </c>
      <c r="M246" s="64" t="str">
        <f>[4]Sayfa1!$L242</f>
        <v>AYNA KAMERA YAN DÖNMÜŞ</v>
      </c>
      <c r="N246" s="33" t="str">
        <f>[4]Sayfa1!$J242</f>
        <v>A-Sürüşü engeller</v>
      </c>
      <c r="O246" s="33" t="str">
        <f>[4]Sayfa1!$P242</f>
        <v>B(Servisten çekmeye etki eden arızalar)</v>
      </c>
      <c r="P246" s="33" t="str">
        <f>[4]Sayfa1!$Q242</f>
        <v>N.A(Yaralanma yok)</v>
      </c>
      <c r="Q246" s="65" t="str" cm="1">
        <f t="array" ref="Q246">_xlfn.IFS([4]Sayfa1!$R242="Bozankaya","Bozankaya",[4]Sayfa1!$R242="İşletme","Customer",[4]Sayfa1!$R242="Tedarikçi","Equipment Supplier")</f>
        <v>Bozankaya</v>
      </c>
      <c r="R246" s="66" t="str">
        <f>[4]Sayfa1!$M242</f>
        <v>KAMERA EKRANI ARKA KISIMLARI GEVŞEMİŞ SIKILANDI</v>
      </c>
      <c r="S246" s="36" t="str">
        <f>[4]Sayfa1!$S242</f>
        <v>Üretim</v>
      </c>
      <c r="T246" s="67">
        <f>[4]Sayfa1!$Z242</f>
        <v>0</v>
      </c>
      <c r="U246" s="68">
        <f>[4]Sayfa1!$AN242</f>
        <v>1</v>
      </c>
      <c r="V246" s="60">
        <f>[4]Sayfa1!$T242</f>
        <v>45496</v>
      </c>
      <c r="W246" s="61">
        <f>[4]Sayfa1!$U242</f>
        <v>45496.548611111109</v>
      </c>
      <c r="X246" s="69">
        <f t="shared" si="53"/>
        <v>45496.548611111109</v>
      </c>
      <c r="Y246" s="70">
        <f>[4]Sayfa1!$AQ242</f>
        <v>45496</v>
      </c>
      <c r="Z246" s="61">
        <f>[4]Sayfa1!$AR242</f>
        <v>45496.583333333336</v>
      </c>
      <c r="AA246" s="69">
        <f t="shared" si="54"/>
        <v>45496.583333333336</v>
      </c>
      <c r="AB246" s="71">
        <f t="shared" si="55"/>
        <v>0</v>
      </c>
      <c r="AC246" s="60">
        <f t="shared" si="56"/>
        <v>45496</v>
      </c>
      <c r="AD246" s="61">
        <f t="shared" si="57"/>
        <v>45496.583333333336</v>
      </c>
      <c r="AE246" s="69">
        <f t="shared" si="58"/>
        <v>45496.583333333336</v>
      </c>
      <c r="AF246" s="36" t="str">
        <f>[4]Sayfa1!$AP242</f>
        <v>(II) Birden fazla karşılaşılan arıza</v>
      </c>
      <c r="AG246" s="33" t="str">
        <f>IF([4]Sayfa1!$J242="C-Uyarı, sürüş devamlılığı","Bu Arıza Aracın Servise Verilmesine Engel Değil","Bu Arıza Aracın Servise Verilmesine Engel")</f>
        <v>Bu Arıza Aracın Servise Verilmesine Engel</v>
      </c>
      <c r="AH246" s="41">
        <f>[4]Sayfa1!$AB242</f>
        <v>0</v>
      </c>
      <c r="AI246" s="60"/>
      <c r="AJ246" s="60"/>
      <c r="AK246" s="69">
        <f t="shared" si="59"/>
        <v>0</v>
      </c>
      <c r="AL246" s="71">
        <f t="shared" si="60"/>
        <v>0</v>
      </c>
      <c r="AM246" s="71">
        <f t="shared" si="61"/>
        <v>0</v>
      </c>
      <c r="AN246" s="72">
        <f t="shared" si="62"/>
        <v>0</v>
      </c>
      <c r="AO246" s="73" t="str">
        <f>[4]Sayfa1!$X242</f>
        <v>E810-7151</v>
      </c>
      <c r="AP246" s="72">
        <f>[4]Sayfa1!$Y242</f>
        <v>1</v>
      </c>
      <c r="AQ246" s="184" t="str">
        <f>[4]Sayfa1!$V242</f>
        <v>STONKAM CO ., LTD</v>
      </c>
      <c r="AR246" s="74" t="str">
        <f>[4]Sayfa1!$W242</f>
        <v>AYNA EKRAN</v>
      </c>
      <c r="AS246" s="74">
        <f>[4]Sayfa1!$AD242</f>
        <v>0</v>
      </c>
      <c r="AT246" s="60" t="str">
        <f>[4]Sayfa1!$AE242</f>
        <v/>
      </c>
      <c r="AU246" s="60" t="str">
        <f>[4]Sayfa1!$AH242</f>
        <v/>
      </c>
      <c r="AV246" s="75">
        <v>241</v>
      </c>
      <c r="AW246" s="76">
        <f t="shared" si="63"/>
        <v>0</v>
      </c>
      <c r="AX246" s="77" t="str">
        <f>[4]Sayfa1!$A242</f>
        <v>ee8a025e</v>
      </c>
      <c r="AY246" s="78" t="s">
        <v>114</v>
      </c>
      <c r="AZ246" s="79" t="e" vm="1">
        <f t="shared" si="64"/>
        <v>#VALUE!</v>
      </c>
    </row>
    <row r="247" spans="1:52" ht="148.15">
      <c r="A247" s="59" t="s">
        <v>302</v>
      </c>
      <c r="B247" s="59" t="str">
        <f>[4]Sayfa1!$G243</f>
        <v>3874(3)</v>
      </c>
      <c r="C247" s="184" t="str">
        <f>[4]Sayfa1!$H243</f>
        <v>MA</v>
      </c>
      <c r="D247" s="24">
        <f>[4]Sayfa1!$N243</f>
        <v>80100</v>
      </c>
      <c r="E247" s="24" t="str">
        <f>[4]Sayfa1!$B243</f>
        <v>BOZ-KAY5+6-FF-242</v>
      </c>
      <c r="F247" s="60">
        <f>[4]Sayfa1!$E243</f>
        <v>45496</v>
      </c>
      <c r="G247" s="61">
        <f>[4]Sayfa1!$F243</f>
        <v>45496.701388888891</v>
      </c>
      <c r="H247" s="59" t="str">
        <f>[4]Sayfa1!$I243</f>
        <v>Hat/Line</v>
      </c>
      <c r="I247" s="62" t="str">
        <f>IF([4]Sayfa1!$K243="SSH","Notified by Bozankaya","Notified by Customer")</f>
        <v>Notified by Customer</v>
      </c>
      <c r="J247" s="59" t="e">
        <f>VLOOKUP([4]Sayfa1!$AU243,#REF!,2,FALSE)</f>
        <v>#REF!</v>
      </c>
      <c r="K247" s="59">
        <f>[4]Sayfa1!$AC243</f>
        <v>0</v>
      </c>
      <c r="L247" s="63" t="str">
        <f t="shared" si="52"/>
        <v>KAY_5+194-BOZ-KAY5+6-FF-242</v>
      </c>
      <c r="M247" s="64" t="str">
        <f>[4]Sayfa1!$L243</f>
        <v>3874 nolu araç fren mesafesi uzuyor ivme kaybı var</v>
      </c>
      <c r="N247" s="33" t="str">
        <f>[4]Sayfa1!$J243</f>
        <v>C-Uyarı, sürüş devamlılığı</v>
      </c>
      <c r="O247" s="33" t="str">
        <f>[4]Sayfa1!$P243</f>
        <v>B(Servisten çekmeye etki eden arızalar)</v>
      </c>
      <c r="P247" s="33" t="str">
        <f>[4]Sayfa1!$Q243</f>
        <v>N.A(Yaralanma yok)</v>
      </c>
      <c r="Q247" s="65" t="str" cm="1">
        <f t="array" ref="Q247">_xlfn.IFS([4]Sayfa1!$R243="Bozankaya","Bozankaya",[4]Sayfa1!$R243="İşletme","Customer",[4]Sayfa1!$R243="Tedarikçi","Equipment Supplier")</f>
        <v>Equipment Supplier</v>
      </c>
      <c r="R247" s="66" t="str">
        <f>[4]Sayfa1!$M243</f>
        <v>Medcom firması yazılım ve test yaptı.Arıza giderildi</v>
      </c>
      <c r="S247" s="36" t="str">
        <f>[4]Sayfa1!$S243</f>
        <v>Medcom</v>
      </c>
      <c r="T247" s="67">
        <f>[4]Sayfa1!$Z243</f>
        <v>0</v>
      </c>
      <c r="U247" s="68">
        <f>[4]Sayfa1!$AN243</f>
        <v>0</v>
      </c>
      <c r="V247" s="60">
        <f>[4]Sayfa1!$T243</f>
        <v>45530</v>
      </c>
      <c r="W247" s="61">
        <f>[4]Sayfa1!$U243</f>
        <v>45530.452164351853</v>
      </c>
      <c r="X247" s="69">
        <f t="shared" si="53"/>
        <v>45530.452164351853</v>
      </c>
      <c r="Y247" s="70" t="str">
        <f>[4]Sayfa1!$AQ243</f>
        <v/>
      </c>
      <c r="Z247" s="61">
        <f>[4]Sayfa1!$AR243</f>
        <v>0</v>
      </c>
      <c r="AA247" s="69">
        <f t="shared" si="54"/>
        <v>0</v>
      </c>
      <c r="AB247" s="71" t="e">
        <f t="shared" si="55"/>
        <v>#VALUE!</v>
      </c>
      <c r="AC247" s="60" t="str">
        <f t="shared" si="56"/>
        <v/>
      </c>
      <c r="AD247" s="61">
        <f t="shared" si="57"/>
        <v>0</v>
      </c>
      <c r="AE247" s="69">
        <f t="shared" si="58"/>
        <v>0</v>
      </c>
      <c r="AF247" s="36" t="str">
        <f>[4]Sayfa1!$AP243</f>
        <v>(I) İlk defa karşılaşılan arıza</v>
      </c>
      <c r="AG247" s="33" t="str">
        <f>IF([4]Sayfa1!$J243="C-Uyarı, sürüş devamlılığı","Bu Arıza Aracın Servise Verilmesine Engel Değil","Bu Arıza Aracın Servise Verilmesine Engel")</f>
        <v>Bu Arıza Aracın Servise Verilmesine Engel Değil</v>
      </c>
      <c r="AH247" s="41">
        <f>[4]Sayfa1!$AB243</f>
        <v>0</v>
      </c>
      <c r="AI247" s="60"/>
      <c r="AJ247" s="60"/>
      <c r="AK247" s="69">
        <f t="shared" si="59"/>
        <v>0</v>
      </c>
      <c r="AL247" s="71" t="e">
        <f t="shared" si="60"/>
        <v>#VALUE!</v>
      </c>
      <c r="AM247" s="71" t="e">
        <f t="shared" si="61"/>
        <v>#VALUE!</v>
      </c>
      <c r="AN247" s="72">
        <f t="shared" si="62"/>
        <v>0</v>
      </c>
      <c r="AO247" s="73">
        <f>[4]Sayfa1!$X243</f>
        <v>0</v>
      </c>
      <c r="AP247" s="72">
        <f>[4]Sayfa1!$Y243</f>
        <v>0</v>
      </c>
      <c r="AQ247" s="184" t="str">
        <f>[4]Sayfa1!$V243</f>
        <v>MEDCOM SP. Z O.O.</v>
      </c>
      <c r="AR247" s="74">
        <f>[4]Sayfa1!$W243</f>
        <v>0</v>
      </c>
      <c r="AS247" s="74">
        <f>[4]Sayfa1!$AD243</f>
        <v>0</v>
      </c>
      <c r="AT247" s="60" t="str">
        <f>[4]Sayfa1!$AE243</f>
        <v/>
      </c>
      <c r="AU247" s="60" t="str">
        <f>[4]Sayfa1!$AH243</f>
        <v/>
      </c>
      <c r="AV247" s="75">
        <v>242</v>
      </c>
      <c r="AW247" s="76" t="e">
        <f t="shared" si="63"/>
        <v>#VALUE!</v>
      </c>
      <c r="AX247" s="77" t="str">
        <f>[4]Sayfa1!$A243</f>
        <v>e4317486</v>
      </c>
      <c r="AY247" s="78" t="s">
        <v>114</v>
      </c>
      <c r="AZ247" s="79" t="e" vm="1">
        <f t="shared" si="64"/>
        <v>#VALUE!</v>
      </c>
    </row>
    <row r="248" spans="1:52" ht="148.15">
      <c r="A248" s="59" t="s">
        <v>303</v>
      </c>
      <c r="B248" s="59" t="str">
        <f>[4]Sayfa1!$G244</f>
        <v>3874(3)</v>
      </c>
      <c r="C248" s="184" t="str">
        <f>[4]Sayfa1!$H244</f>
        <v>MA</v>
      </c>
      <c r="D248" s="24">
        <f>[4]Sayfa1!$N244</f>
        <v>80200</v>
      </c>
      <c r="E248" s="24" t="str">
        <f>[4]Sayfa1!$B244</f>
        <v>BOZ-KAY5+6-FF-243</v>
      </c>
      <c r="F248" s="60">
        <f>[4]Sayfa1!$E244</f>
        <v>45497</v>
      </c>
      <c r="G248" s="61">
        <f>[4]Sayfa1!$F244</f>
        <v>45497.4</v>
      </c>
      <c r="H248" s="59" t="str">
        <f>[4]Sayfa1!$I244</f>
        <v>Hat/Line</v>
      </c>
      <c r="I248" s="62" t="str">
        <f>IF([4]Sayfa1!$K244="SSH","Notified by Bozankaya","Notified by Customer")</f>
        <v>Notified by Customer</v>
      </c>
      <c r="J248" s="59" t="e">
        <f>VLOOKUP([4]Sayfa1!$AU244,#REF!,2,FALSE)</f>
        <v>#REF!</v>
      </c>
      <c r="K248" s="59">
        <f>[4]Sayfa1!$AC244</f>
        <v>0</v>
      </c>
      <c r="L248" s="63" t="str">
        <f t="shared" si="52"/>
        <v>KAY_5+195-BOZ-KAY5+6-FF-243</v>
      </c>
      <c r="M248" s="64" t="str">
        <f>[4]Sayfa1!$L244</f>
        <v>Kapı üzeri ekran aktif değil</v>
      </c>
      <c r="N248" s="33" t="str">
        <f>[4]Sayfa1!$J244</f>
        <v>C-Uyarı, sürüş devamlılığı</v>
      </c>
      <c r="O248" s="33" t="str">
        <f>[4]Sayfa1!$P244</f>
        <v>C(Sisteme etki etmeyen arıza)</v>
      </c>
      <c r="P248" s="33" t="str">
        <f>[4]Sayfa1!$Q244</f>
        <v>N.A(Yaralanma yok)</v>
      </c>
      <c r="Q248" s="65" t="str" cm="1">
        <f t="array" ref="Q248">_xlfn.IFS([4]Sayfa1!$R244="Bozankaya","Bozankaya",[4]Sayfa1!$R244="İşletme","Customer",[4]Sayfa1!$R244="Tedarikçi","Equipment Supplier")</f>
        <v>Equipment Supplier</v>
      </c>
      <c r="R248" s="66" t="str">
        <f>[4]Sayfa1!$M244</f>
        <v>Kontrol edildi sorun görülmedi</v>
      </c>
      <c r="S248" s="36" t="str">
        <f>[4]Sayfa1!$S244</f>
        <v>Atak</v>
      </c>
      <c r="T248" s="67">
        <f>[4]Sayfa1!$Z244</f>
        <v>0</v>
      </c>
      <c r="U248" s="68">
        <f>[4]Sayfa1!$AN244</f>
        <v>0</v>
      </c>
      <c r="V248" s="60">
        <f>[4]Sayfa1!$T244</f>
        <v>45530</v>
      </c>
      <c r="W248" s="61">
        <f>[4]Sayfa1!$U244</f>
        <v>45530.457106481481</v>
      </c>
      <c r="X248" s="69">
        <f t="shared" si="53"/>
        <v>45530.457106481481</v>
      </c>
      <c r="Y248" s="70" t="str">
        <f>[4]Sayfa1!$AQ244</f>
        <v/>
      </c>
      <c r="Z248" s="61">
        <f>[4]Sayfa1!$AR244</f>
        <v>0</v>
      </c>
      <c r="AA248" s="69">
        <f t="shared" si="54"/>
        <v>0</v>
      </c>
      <c r="AB248" s="71" t="e">
        <f t="shared" si="55"/>
        <v>#VALUE!</v>
      </c>
      <c r="AC248" s="60" t="str">
        <f t="shared" si="56"/>
        <v/>
      </c>
      <c r="AD248" s="61">
        <f t="shared" si="57"/>
        <v>0</v>
      </c>
      <c r="AE248" s="69">
        <f t="shared" si="58"/>
        <v>0</v>
      </c>
      <c r="AF248" s="36" t="str">
        <f>[4]Sayfa1!$AP244</f>
        <v>(III) Birden fazla aynı araçta karşılaşılan arıza</v>
      </c>
      <c r="AG248" s="33" t="str">
        <f>IF([4]Sayfa1!$J244="C-Uyarı, sürüş devamlılığı","Bu Arıza Aracın Servise Verilmesine Engel Değil","Bu Arıza Aracın Servise Verilmesine Engel")</f>
        <v>Bu Arıza Aracın Servise Verilmesine Engel Değil</v>
      </c>
      <c r="AH248" s="41">
        <f>[4]Sayfa1!$AB244</f>
        <v>0</v>
      </c>
      <c r="AI248" s="60"/>
      <c r="AJ248" s="60"/>
      <c r="AK248" s="69">
        <f t="shared" si="59"/>
        <v>0</v>
      </c>
      <c r="AL248" s="71" t="e">
        <f t="shared" si="60"/>
        <v>#VALUE!</v>
      </c>
      <c r="AM248" s="71" t="e">
        <f t="shared" si="61"/>
        <v>#VALUE!</v>
      </c>
      <c r="AN248" s="72">
        <f t="shared" si="62"/>
        <v>0</v>
      </c>
      <c r="AO248" s="73" t="str">
        <f>[4]Sayfa1!$X244</f>
        <v>E410-7003</v>
      </c>
      <c r="AP248" s="72">
        <f>[4]Sayfa1!$Y244</f>
        <v>0</v>
      </c>
      <c r="AQ248" s="184" t="str">
        <f>[4]Sayfa1!$V244</f>
        <v>ATAK ULAŞIM SAN.TİC.LTD.ŞTİ.</v>
      </c>
      <c r="AR248" s="74" t="str">
        <f>[4]Sayfa1!$W244</f>
        <v>STRETCH LCD EKRAN</v>
      </c>
      <c r="AS248" s="74">
        <f>[4]Sayfa1!$AD244</f>
        <v>0</v>
      </c>
      <c r="AT248" s="60" t="str">
        <f>[4]Sayfa1!$AE244</f>
        <v/>
      </c>
      <c r="AU248" s="60" t="str">
        <f>[4]Sayfa1!$AH244</f>
        <v/>
      </c>
      <c r="AV248" s="75">
        <v>243</v>
      </c>
      <c r="AW248" s="76" t="e">
        <f t="shared" si="63"/>
        <v>#VALUE!</v>
      </c>
      <c r="AX248" s="77" t="str">
        <f>[4]Sayfa1!$A244</f>
        <v>f048c5a1</v>
      </c>
      <c r="AY248" s="78" t="s">
        <v>114</v>
      </c>
      <c r="AZ248" s="79" t="e" vm="1">
        <f t="shared" si="64"/>
        <v>#VALUE!</v>
      </c>
    </row>
    <row r="249" spans="1:52" ht="148.15">
      <c r="A249" s="59" t="s">
        <v>304</v>
      </c>
      <c r="B249" s="59" t="str">
        <f>[4]Sayfa1!$G245</f>
        <v>3880(9)</v>
      </c>
      <c r="C249" s="184" t="str">
        <f>[4]Sayfa1!$H245</f>
        <v>RA</v>
      </c>
      <c r="D249" s="24">
        <f>[4]Sayfa1!$N245</f>
        <v>32300</v>
      </c>
      <c r="E249" s="24" t="str">
        <f>[4]Sayfa1!$B245</f>
        <v>BOZ-KAY5+6-FF-244</v>
      </c>
      <c r="F249" s="60">
        <f>[4]Sayfa1!$E245</f>
        <v>45497</v>
      </c>
      <c r="G249" s="61">
        <f>[4]Sayfa1!$F245</f>
        <v>45497.556250000001</v>
      </c>
      <c r="H249" s="59" t="str">
        <f>[4]Sayfa1!$I245</f>
        <v>Hat/Line</v>
      </c>
      <c r="I249" s="62" t="str">
        <f>IF([4]Sayfa1!$K245="SSH","Notified by Bozankaya","Notified by Customer")</f>
        <v>Notified by Customer</v>
      </c>
      <c r="J249" s="59" t="e">
        <f>VLOOKUP([4]Sayfa1!$AU245,#REF!,2,FALSE)</f>
        <v>#REF!</v>
      </c>
      <c r="K249" s="59">
        <f>[4]Sayfa1!$AC245</f>
        <v>0</v>
      </c>
      <c r="L249" s="63" t="str">
        <f t="shared" si="52"/>
        <v>KAY_5+196-BOZ-KAY5+6-FF-244</v>
      </c>
      <c r="M249" s="64" t="str">
        <f>[4]Sayfa1!$L245</f>
        <v>yolcu bölümü sıcak yolcu şikayeti</v>
      </c>
      <c r="N249" s="33" t="str">
        <f>[4]Sayfa1!$J245</f>
        <v>C-Uyarı, sürüş devamlılığı</v>
      </c>
      <c r="O249" s="33" t="str">
        <f>[4]Sayfa1!$P245</f>
        <v>B(Servisten çekmeye etki eden arızalar)</v>
      </c>
      <c r="P249" s="33" t="str">
        <f>[4]Sayfa1!$Q245</f>
        <v>N.A(Yaralanma yok)</v>
      </c>
      <c r="Q249" s="65" t="str" cm="1">
        <f t="array" ref="Q249">_xlfn.IFS([4]Sayfa1!$R245="Bozankaya","Bozankaya",[4]Sayfa1!$R245="İşletme","Customer",[4]Sayfa1!$R245="Tedarikçi","Equipment Supplier")</f>
        <v>Equipment Supplier</v>
      </c>
      <c r="R249" s="66" t="str">
        <f>[4]Sayfa1!$M245</f>
        <v>kontrol edildi.sorun görülmedi</v>
      </c>
      <c r="S249" s="36" t="str">
        <f>[4]Sayfa1!$S245</f>
        <v>Eltesan</v>
      </c>
      <c r="T249" s="67">
        <f>[4]Sayfa1!$Z245</f>
        <v>0</v>
      </c>
      <c r="U249" s="68">
        <f>[4]Sayfa1!$AN245</f>
        <v>1</v>
      </c>
      <c r="V249" s="60">
        <f>[4]Sayfa1!$T245</f>
        <v>45497</v>
      </c>
      <c r="W249" s="61">
        <f>[4]Sayfa1!$U245</f>
        <v>45497.583333333336</v>
      </c>
      <c r="X249" s="69">
        <f t="shared" si="53"/>
        <v>45497.583333333336</v>
      </c>
      <c r="Y249" s="70">
        <f>[4]Sayfa1!$AQ245</f>
        <v>45497</v>
      </c>
      <c r="Z249" s="61">
        <f>[4]Sayfa1!$AR245</f>
        <v>45497.666666666664</v>
      </c>
      <c r="AA249" s="69">
        <f t="shared" si="54"/>
        <v>45497.666666666664</v>
      </c>
      <c r="AB249" s="71">
        <f t="shared" si="55"/>
        <v>0</v>
      </c>
      <c r="AC249" s="60">
        <f t="shared" si="56"/>
        <v>45497</v>
      </c>
      <c r="AD249" s="61">
        <f t="shared" si="57"/>
        <v>45497.666666666664</v>
      </c>
      <c r="AE249" s="69">
        <f t="shared" si="58"/>
        <v>45497.666666666664</v>
      </c>
      <c r="AF249" s="36" t="str">
        <f>[4]Sayfa1!$AP245</f>
        <v>(III) Birden fazla aynı araçta karşılaşılan arıza</v>
      </c>
      <c r="AG249" s="33" t="str">
        <f>IF([4]Sayfa1!$J245="C-Uyarı, sürüş devamlılığı","Bu Arıza Aracın Servise Verilmesine Engel Değil","Bu Arıza Aracın Servise Verilmesine Engel")</f>
        <v>Bu Arıza Aracın Servise Verilmesine Engel Değil</v>
      </c>
      <c r="AH249" s="41" t="str">
        <f>[4]Sayfa1!$AB245</f>
        <v>Arıza çözülecek</v>
      </c>
      <c r="AI249" s="60"/>
      <c r="AJ249" s="60"/>
      <c r="AK249" s="69">
        <f t="shared" si="59"/>
        <v>0</v>
      </c>
      <c r="AL249" s="71">
        <f t="shared" si="60"/>
        <v>0</v>
      </c>
      <c r="AM249" s="71">
        <f t="shared" si="61"/>
        <v>0</v>
      </c>
      <c r="AN249" s="72">
        <f t="shared" si="62"/>
        <v>0</v>
      </c>
      <c r="AO249" s="73" t="str">
        <f>[4]Sayfa1!$X245</f>
        <v>H500-7240</v>
      </c>
      <c r="AP249" s="72">
        <f>[4]Sayfa1!$Y245</f>
        <v>0</v>
      </c>
      <c r="AQ249" s="184" t="str">
        <f>[4]Sayfa1!$V245</f>
        <v>ELTESAN ELEKTRO MEKANİK SOĞUTMA SAN</v>
      </c>
      <c r="AR249" s="74" t="str">
        <f>[4]Sayfa1!$W245</f>
        <v>KLIMA UNITESİ /Eltesan/Hispacold 41,5 kW</v>
      </c>
      <c r="AS249" s="74">
        <f>[4]Sayfa1!$AD245</f>
        <v>0</v>
      </c>
      <c r="AT249" s="60" t="str">
        <f>[4]Sayfa1!$AE245</f>
        <v/>
      </c>
      <c r="AU249" s="60" t="str">
        <f>[4]Sayfa1!$AH245</f>
        <v/>
      </c>
      <c r="AV249" s="75">
        <v>244</v>
      </c>
      <c r="AW249" s="76">
        <f t="shared" si="63"/>
        <v>0</v>
      </c>
      <c r="AX249" s="77" t="str">
        <f>[4]Sayfa1!$A245</f>
        <v>cd819855</v>
      </c>
      <c r="AY249" s="78" t="s">
        <v>114</v>
      </c>
      <c r="AZ249" s="79" t="e" vm="1">
        <f t="shared" si="64"/>
        <v>#VALUE!</v>
      </c>
    </row>
    <row r="250" spans="1:52" ht="165.6">
      <c r="A250" s="59" t="s">
        <v>305</v>
      </c>
      <c r="B250" s="59" t="str">
        <f>[4]Sayfa1!$G246</f>
        <v>3880(9)</v>
      </c>
      <c r="C250" s="184" t="str">
        <f>[4]Sayfa1!$H246</f>
        <v>MA</v>
      </c>
      <c r="D250" s="24">
        <f>[4]Sayfa1!$N246</f>
        <v>32500</v>
      </c>
      <c r="E250" s="24" t="str">
        <f>[4]Sayfa1!$B246</f>
        <v>BOZ-KAY5+6-FF-245</v>
      </c>
      <c r="F250" s="60">
        <f>[4]Sayfa1!$E246</f>
        <v>45498</v>
      </c>
      <c r="G250" s="61">
        <f>[4]Sayfa1!$F246</f>
        <v>45498.808333333334</v>
      </c>
      <c r="H250" s="59" t="str">
        <f>[4]Sayfa1!$I246</f>
        <v>Hat/Line</v>
      </c>
      <c r="I250" s="62" t="str">
        <f>IF([4]Sayfa1!$K246="SSH","Notified by Bozankaya","Notified by Customer")</f>
        <v>Notified by Customer</v>
      </c>
      <c r="J250" s="59" t="e">
        <f>VLOOKUP([4]Sayfa1!$AU246,#REF!,2,FALSE)</f>
        <v>#REF!</v>
      </c>
      <c r="K250" s="59">
        <f>[4]Sayfa1!$AC246</f>
        <v>0</v>
      </c>
      <c r="L250" s="63" t="str">
        <f t="shared" si="52"/>
        <v>KAY_5+197-BOZ-KAY5+6-FF-245</v>
      </c>
      <c r="M250" s="64" t="str">
        <f>[4]Sayfa1!$L246</f>
        <v>3880-79 nolu araçlarda fren ve ivme kaybı mevcut</v>
      </c>
      <c r="N250" s="33" t="str">
        <f>[4]Sayfa1!$J246</f>
        <v>B-Hız veya güç azalması</v>
      </c>
      <c r="O250" s="33" t="str">
        <f>[4]Sayfa1!$P246</f>
        <v>B(Servisten çekmeye etki eden arızalar)</v>
      </c>
      <c r="P250" s="33" t="str">
        <f>[4]Sayfa1!$Q246</f>
        <v>N.A(Yaralanma yok)</v>
      </c>
      <c r="Q250" s="65" t="str" cm="1">
        <f t="array" ref="Q250">_xlfn.IFS([4]Sayfa1!$R246="Bozankaya","Bozankaya",[4]Sayfa1!$R246="İşletme","Customer",[4]Sayfa1!$R246="Tedarikçi","Equipment Supplier")</f>
        <v>Equipment Supplier</v>
      </c>
      <c r="R250" s="66" t="str">
        <f>[4]Sayfa1!$M246</f>
        <v>medcom firması yazılım yükledi</v>
      </c>
      <c r="S250" s="36" t="str">
        <f>[4]Sayfa1!$S246</f>
        <v>Medcom</v>
      </c>
      <c r="T250" s="67">
        <f>[4]Sayfa1!$Z246</f>
        <v>0</v>
      </c>
      <c r="U250" s="68">
        <f>[4]Sayfa1!$AN246</f>
        <v>2</v>
      </c>
      <c r="V250" s="60">
        <f>[4]Sayfa1!$T246</f>
        <v>45530</v>
      </c>
      <c r="W250" s="61">
        <f>[4]Sayfa1!$U246</f>
        <v>45530.560578703706</v>
      </c>
      <c r="X250" s="69">
        <f t="shared" si="53"/>
        <v>45530.560578703706</v>
      </c>
      <c r="Y250" s="70">
        <f>[4]Sayfa1!$AQ246</f>
        <v>45530</v>
      </c>
      <c r="Z250" s="61">
        <f>[4]Sayfa1!$AR246</f>
        <v>45530.75</v>
      </c>
      <c r="AA250" s="69">
        <f t="shared" si="54"/>
        <v>45530.75</v>
      </c>
      <c r="AB250" s="71">
        <f t="shared" si="55"/>
        <v>4.5461111110635102</v>
      </c>
      <c r="AC250" s="60">
        <f t="shared" si="56"/>
        <v>45530</v>
      </c>
      <c r="AD250" s="61">
        <f t="shared" si="57"/>
        <v>45530.75</v>
      </c>
      <c r="AE250" s="69">
        <f t="shared" si="58"/>
        <v>45530.75</v>
      </c>
      <c r="AF250" s="36" t="str">
        <f>[4]Sayfa1!$AP246</f>
        <v>(II) Birden fazla karşılaşılan arıza</v>
      </c>
      <c r="AG250" s="33" t="str">
        <f>IF([4]Sayfa1!$J246="C-Uyarı, sürüş devamlılığı","Bu Arıza Aracın Servise Verilmesine Engel Değil","Bu Arıza Aracın Servise Verilmesine Engel")</f>
        <v>Bu Arıza Aracın Servise Verilmesine Engel</v>
      </c>
      <c r="AH250" s="41" t="str">
        <f>[4]Sayfa1!$AB246</f>
        <v>Yazılım güncelleme</v>
      </c>
      <c r="AI250" s="60"/>
      <c r="AJ250" s="60"/>
      <c r="AK250" s="69">
        <f t="shared" si="59"/>
        <v>0</v>
      </c>
      <c r="AL250" s="71">
        <f t="shared" si="60"/>
        <v>272.76666666381061</v>
      </c>
      <c r="AM250" s="71">
        <f t="shared" si="61"/>
        <v>272.76666666381061</v>
      </c>
      <c r="AN250" s="72">
        <f t="shared" si="62"/>
        <v>0</v>
      </c>
      <c r="AO250" s="73" t="str">
        <f>[4]Sayfa1!$X246</f>
        <v>E110-7659</v>
      </c>
      <c r="AP250" s="72">
        <f>[4]Sayfa1!$Y246</f>
        <v>1</v>
      </c>
      <c r="AQ250" s="184" t="str">
        <f>[4]Sayfa1!$V246</f>
        <v>MEDCOM SP. Z O.O.</v>
      </c>
      <c r="AR250" s="74" t="str">
        <f>[4]Sayfa1!$W246</f>
        <v>MEDCOM SICAKLIK SENSÖRÜ</v>
      </c>
      <c r="AS250" s="74">
        <f>[4]Sayfa1!$AD246</f>
        <v>0</v>
      </c>
      <c r="AT250" s="60" t="str">
        <f>[4]Sayfa1!$AE246</f>
        <v/>
      </c>
      <c r="AU250" s="60" t="str">
        <f>[4]Sayfa1!$AH246</f>
        <v/>
      </c>
      <c r="AV250" s="75">
        <v>245</v>
      </c>
      <c r="AW250" s="76">
        <f t="shared" si="63"/>
        <v>100.01444444339722</v>
      </c>
      <c r="AX250" s="77" t="str">
        <f>[4]Sayfa1!$A246</f>
        <v>6e7e8448</v>
      </c>
      <c r="AY250" s="78" t="s">
        <v>114</v>
      </c>
      <c r="AZ250" s="79" t="e" vm="1">
        <f t="shared" si="64"/>
        <v>#VALUE!</v>
      </c>
    </row>
    <row r="251" spans="1:52" ht="186.6">
      <c r="A251" s="59" t="s">
        <v>306</v>
      </c>
      <c r="B251" s="59" t="str">
        <f>[4]Sayfa1!$G247</f>
        <v>3876(5)</v>
      </c>
      <c r="C251" s="184" t="str">
        <f>[4]Sayfa1!$H247</f>
        <v>MA</v>
      </c>
      <c r="D251" s="24">
        <f>[4]Sayfa1!$N247</f>
        <v>75100</v>
      </c>
      <c r="E251" s="24" t="str">
        <f>[4]Sayfa1!$B247</f>
        <v>BOZ-KAY5+6-FF-246</v>
      </c>
      <c r="F251" s="60">
        <f>[4]Sayfa1!$E247</f>
        <v>45498</v>
      </c>
      <c r="G251" s="61">
        <f>[4]Sayfa1!$F247</f>
        <v>45498.836805555555</v>
      </c>
      <c r="H251" s="59" t="str">
        <f>[4]Sayfa1!$I247</f>
        <v>Hat/Line</v>
      </c>
      <c r="I251" s="62" t="str">
        <f>IF([4]Sayfa1!$K247="SSH","Notified by Bozankaya","Notified by Customer")</f>
        <v>Notified by Customer</v>
      </c>
      <c r="J251" s="59" t="e">
        <f>VLOOKUP([4]Sayfa1!$AU247,#REF!,2,FALSE)</f>
        <v>#REF!</v>
      </c>
      <c r="K251" s="59">
        <f>[4]Sayfa1!$AC247</f>
        <v>0</v>
      </c>
      <c r="L251" s="63" t="str">
        <f t="shared" si="52"/>
        <v>KAY_5+198-BOZ-KAY5+6-FF-246</v>
      </c>
      <c r="M251" s="64" t="str">
        <f>[4]Sayfa1!$L247</f>
        <v>Araçta ivme ve fren kaybı var</v>
      </c>
      <c r="N251" s="33" t="str">
        <f>[4]Sayfa1!$J247</f>
        <v>B-Hız veya güç azalması</v>
      </c>
      <c r="O251" s="33" t="str">
        <f>[4]Sayfa1!$P247</f>
        <v>B(Servisten çekmeye etki eden arızalar)</v>
      </c>
      <c r="P251" s="33" t="str">
        <f>[4]Sayfa1!$Q247</f>
        <v>N.A(Yaralanma yok)</v>
      </c>
      <c r="Q251" s="65" t="str" cm="1">
        <f t="array" ref="Q251">_xlfn.IFS([4]Sayfa1!$R247="Bozankaya","Bozankaya",[4]Sayfa1!$R247="İşletme","Customer",[4]Sayfa1!$R247="Tedarikçi","Equipment Supplier")</f>
        <v>Equipment Supplier</v>
      </c>
      <c r="R251" s="66" t="str">
        <f>[4]Sayfa1!$M247</f>
        <v>Medcom yazılım yükledi  sorun giderildi</v>
      </c>
      <c r="S251" s="36" t="str">
        <f>[4]Sayfa1!$S247</f>
        <v>Medcom</v>
      </c>
      <c r="T251" s="67">
        <f>[4]Sayfa1!$Z247</f>
        <v>0</v>
      </c>
      <c r="U251" s="68">
        <f>[4]Sayfa1!$AN247</f>
        <v>0</v>
      </c>
      <c r="V251" s="60">
        <f>[4]Sayfa1!$T247</f>
        <v>45530</v>
      </c>
      <c r="W251" s="61">
        <f>[4]Sayfa1!$U247</f>
        <v>45530.475451388891</v>
      </c>
      <c r="X251" s="69">
        <f t="shared" si="53"/>
        <v>45530.475451388891</v>
      </c>
      <c r="Y251" s="70" t="str">
        <f>[4]Sayfa1!$AQ247</f>
        <v/>
      </c>
      <c r="Z251" s="61">
        <f>[4]Sayfa1!$AR247</f>
        <v>0</v>
      </c>
      <c r="AA251" s="69">
        <f t="shared" si="54"/>
        <v>0</v>
      </c>
      <c r="AB251" s="71" t="e">
        <f t="shared" si="55"/>
        <v>#VALUE!</v>
      </c>
      <c r="AC251" s="60" t="str">
        <f t="shared" si="56"/>
        <v/>
      </c>
      <c r="AD251" s="61">
        <f t="shared" si="57"/>
        <v>0</v>
      </c>
      <c r="AE251" s="69">
        <f t="shared" si="58"/>
        <v>0</v>
      </c>
      <c r="AF251" s="36" t="str">
        <f>[4]Sayfa1!$AP247</f>
        <v>(II) Birden fazla karşılaşılan arıza</v>
      </c>
      <c r="AG251" s="33" t="str">
        <f>IF([4]Sayfa1!$J247="C-Uyarı, sürüş devamlılığı","Bu Arıza Aracın Servise Verilmesine Engel Değil","Bu Arıza Aracın Servise Verilmesine Engel")</f>
        <v>Bu Arıza Aracın Servise Verilmesine Engel</v>
      </c>
      <c r="AH251" s="41">
        <f>[4]Sayfa1!$AB247</f>
        <v>0</v>
      </c>
      <c r="AI251" s="60"/>
      <c r="AJ251" s="60"/>
      <c r="AK251" s="69">
        <f t="shared" si="59"/>
        <v>0</v>
      </c>
      <c r="AL251" s="71" t="e">
        <f t="shared" si="60"/>
        <v>#VALUE!</v>
      </c>
      <c r="AM251" s="71" t="e">
        <f t="shared" si="61"/>
        <v>#VALUE!</v>
      </c>
      <c r="AN251" s="72">
        <f t="shared" si="62"/>
        <v>0</v>
      </c>
      <c r="AO251" s="73">
        <f>[4]Sayfa1!$X247</f>
        <v>0</v>
      </c>
      <c r="AP251" s="72">
        <f>[4]Sayfa1!$Y247</f>
        <v>0</v>
      </c>
      <c r="AQ251" s="184" t="str">
        <f>[4]Sayfa1!$V247</f>
        <v>MEDCOM SP. Z O.O.</v>
      </c>
      <c r="AR251" s="74">
        <f>[4]Sayfa1!$W247</f>
        <v>0</v>
      </c>
      <c r="AS251" s="74">
        <f>[4]Sayfa1!$AD247</f>
        <v>0</v>
      </c>
      <c r="AT251" s="60" t="str">
        <f>[4]Sayfa1!$AE247</f>
        <v/>
      </c>
      <c r="AU251" s="60" t="str">
        <f>[4]Sayfa1!$AH247</f>
        <v/>
      </c>
      <c r="AV251" s="75">
        <v>246</v>
      </c>
      <c r="AW251" s="76" t="e">
        <f t="shared" si="63"/>
        <v>#VALUE!</v>
      </c>
      <c r="AX251" s="77" t="str">
        <f>[4]Sayfa1!$A247</f>
        <v>c3e3e0fd</v>
      </c>
      <c r="AY251" s="78" t="s">
        <v>114</v>
      </c>
      <c r="AZ251" s="79" t="e" vm="1">
        <f t="shared" si="64"/>
        <v>#VALUE!</v>
      </c>
    </row>
    <row r="252" spans="1:52" ht="148.15">
      <c r="A252" s="59" t="s">
        <v>307</v>
      </c>
      <c r="B252" s="59" t="str">
        <f>[4]Sayfa1!$G248</f>
        <v>3879(8)</v>
      </c>
      <c r="C252" s="184" t="str">
        <f>[4]Sayfa1!$H248</f>
        <v>MA</v>
      </c>
      <c r="D252" s="24">
        <f>[4]Sayfa1!$N248</f>
        <v>38000</v>
      </c>
      <c r="E252" s="24" t="str">
        <f>[4]Sayfa1!$B248</f>
        <v>BOZ-KAY5+6-FF-247</v>
      </c>
      <c r="F252" s="60">
        <f>[4]Sayfa1!$E248</f>
        <v>45498</v>
      </c>
      <c r="G252" s="61">
        <f>[4]Sayfa1!$F248</f>
        <v>45498.837500000001</v>
      </c>
      <c r="H252" s="59" t="str">
        <f>[4]Sayfa1!$I248</f>
        <v>Hat/Line</v>
      </c>
      <c r="I252" s="62" t="str">
        <f>IF([4]Sayfa1!$K248="SSH","Notified by Bozankaya","Notified by Customer")</f>
        <v>Notified by Customer</v>
      </c>
      <c r="J252" s="59" t="e">
        <f>VLOOKUP([4]Sayfa1!$AU248,#REF!,2,FALSE)</f>
        <v>#REF!</v>
      </c>
      <c r="K252" s="59">
        <f>[4]Sayfa1!$AC248</f>
        <v>0</v>
      </c>
      <c r="L252" s="63" t="str">
        <f t="shared" ref="L252:L314" si="65">A252&amp;"-"&amp;E252</f>
        <v>KAY_5+199-BOZ-KAY5+6-FF-247</v>
      </c>
      <c r="M252" s="64" t="str">
        <f>[4]Sayfa1!$L248</f>
        <v>Araçta ivme ve fren kaybı var</v>
      </c>
      <c r="N252" s="33" t="str">
        <f>[4]Sayfa1!$J248</f>
        <v>B-Hız veya güç azalması</v>
      </c>
      <c r="O252" s="33" t="str">
        <f>[4]Sayfa1!$P248</f>
        <v>B(Servisten çekmeye etki eden arızalar)</v>
      </c>
      <c r="P252" s="33" t="str">
        <f>[4]Sayfa1!$Q248</f>
        <v>N.A(Yaralanma yok)</v>
      </c>
      <c r="Q252" s="65" t="str" cm="1">
        <f t="array" ref="Q252">_xlfn.IFS([4]Sayfa1!$R248="Bozankaya","Bozankaya",[4]Sayfa1!$R248="İşletme","Customer",[4]Sayfa1!$R248="Tedarikçi","Equipment Supplier")</f>
        <v>Equipment Supplier</v>
      </c>
      <c r="R252" s="66" t="str">
        <f>[4]Sayfa1!$M248</f>
        <v>Medcom yazılım yükledi</v>
      </c>
      <c r="S252" s="36" t="str">
        <f>[4]Sayfa1!$S248</f>
        <v>Medcom</v>
      </c>
      <c r="T252" s="67">
        <f>[4]Sayfa1!$Z248</f>
        <v>0</v>
      </c>
      <c r="U252" s="68">
        <f>[4]Sayfa1!$AN248</f>
        <v>2</v>
      </c>
      <c r="V252" s="60">
        <f>[4]Sayfa1!$T248</f>
        <v>45530</v>
      </c>
      <c r="W252" s="61">
        <f>[4]Sayfa1!$U248</f>
        <v>45530.473854166667</v>
      </c>
      <c r="X252" s="69">
        <f t="shared" ref="X252:X314" si="66">W252</f>
        <v>45530.473854166667</v>
      </c>
      <c r="Y252" s="70">
        <f>[4]Sayfa1!$AQ248</f>
        <v>45530</v>
      </c>
      <c r="Z252" s="61">
        <f>[4]Sayfa1!$AR248</f>
        <v>45530.75</v>
      </c>
      <c r="AA252" s="69">
        <f t="shared" ref="AA252:AA314" si="67">Z252</f>
        <v>45530.75</v>
      </c>
      <c r="AB252" s="71">
        <f t="shared" ref="AB252:AB314" si="68">IF(Y252-F252&gt;0,(AA252-X252)*24,IF(OR(AND(G252&gt;AR$1,G252&lt;AS$1),AND(G252&gt;AT$1,G252&lt;AU$1)),(AA252-X252)*24,0))</f>
        <v>6.6275000000023283</v>
      </c>
      <c r="AC252" s="60">
        <f t="shared" ref="AC252:AC314" si="69">Y252</f>
        <v>45530</v>
      </c>
      <c r="AD252" s="61">
        <f t="shared" ref="AD252:AD314" si="70">Z252</f>
        <v>45530.75</v>
      </c>
      <c r="AE252" s="69">
        <f t="shared" ref="AE252:AE314" si="71">AD252</f>
        <v>45530.75</v>
      </c>
      <c r="AF252" s="36" t="str">
        <f>[4]Sayfa1!$AP248</f>
        <v>(II) Birden fazla karşılaşılan arıza</v>
      </c>
      <c r="AG252" s="33" t="str">
        <f>IF([4]Sayfa1!$J248="C-Uyarı, sürüş devamlılığı","Bu Arıza Aracın Servise Verilmesine Engel Değil","Bu Arıza Aracın Servise Verilmesine Engel")</f>
        <v>Bu Arıza Aracın Servise Verilmesine Engel</v>
      </c>
      <c r="AH252" s="41" t="str">
        <f>[4]Sayfa1!$AB248</f>
        <v>Yazılım güncelleme</v>
      </c>
      <c r="AI252" s="60"/>
      <c r="AJ252" s="60"/>
      <c r="AK252" s="69">
        <f t="shared" ref="AK252:AK314" si="72">AI252+AJ252</f>
        <v>0</v>
      </c>
      <c r="AL252" s="71">
        <f t="shared" ref="AL252:AL314" si="73">IF(AND(N252&lt;&gt;"D:Arıza Değil",AG252="Bu Arıza Aracın Servise Verilmesine Engel Değil"),IF(Y252-F252&gt;0,(AA252-X252)*24,IF(OR(AND(G252&gt;AR$1,G252&lt;AS$1),AND(G252&gt;AT$1,G252&lt;AU$1)),(AK252-X252)*24,0))*60,AM252)</f>
        <v>397.6500000001397</v>
      </c>
      <c r="AM252" s="71">
        <f t="shared" ref="AM252:AM314" si="74">IF(N252&lt;&gt;"D:Arıza Değil",AB252*60,0)</f>
        <v>397.6500000001397</v>
      </c>
      <c r="AN252" s="72">
        <f t="shared" ref="AN252:AN314" si="75">K252</f>
        <v>0</v>
      </c>
      <c r="AO252" s="73" t="str">
        <f>[4]Sayfa1!$X248</f>
        <v>E110-7659</v>
      </c>
      <c r="AP252" s="72">
        <f>[4]Sayfa1!$Y248</f>
        <v>1</v>
      </c>
      <c r="AQ252" s="184" t="str">
        <f>[4]Sayfa1!$V248</f>
        <v>MEDCOM SP. Z O.O.</v>
      </c>
      <c r="AR252" s="74" t="str">
        <f>[4]Sayfa1!$W248</f>
        <v>MEDCOM SICAKLIK SENSÖRÜ</v>
      </c>
      <c r="AS252" s="74">
        <f>[4]Sayfa1!$AD248</f>
        <v>0</v>
      </c>
      <c r="AT252" s="60" t="str">
        <f>[4]Sayfa1!$AE248</f>
        <v/>
      </c>
      <c r="AU252" s="60" t="str">
        <f>[4]Sayfa1!$AH248</f>
        <v/>
      </c>
      <c r="AV252" s="75">
        <v>247</v>
      </c>
      <c r="AW252" s="76">
        <f t="shared" ref="AW252:AW314" si="76">U252*AB252*AZ$1</f>
        <v>145.80500000005122</v>
      </c>
      <c r="AX252" s="77" t="str">
        <f>[4]Sayfa1!$A248</f>
        <v>3cfc5fc4</v>
      </c>
      <c r="AY252" s="78" t="s">
        <v>114</v>
      </c>
      <c r="AZ252" s="79" t="e" vm="1">
        <f t="shared" ref="AZ252:AZ314" si="77">_xlfn.IMAGE(AY252)</f>
        <v>#VALUE!</v>
      </c>
    </row>
    <row r="253" spans="1:52" ht="148.15">
      <c r="A253" s="59" t="s">
        <v>308</v>
      </c>
      <c r="B253" s="59" t="str">
        <f>[4]Sayfa1!$G249</f>
        <v>3872(1)</v>
      </c>
      <c r="C253" s="184" t="str">
        <f>[4]Sayfa1!$H249</f>
        <v>RA</v>
      </c>
      <c r="D253" s="24">
        <f>[4]Sayfa1!$N249</f>
        <v>75100</v>
      </c>
      <c r="E253" s="24" t="str">
        <f>[4]Sayfa1!$B249</f>
        <v>BOZ-KAY5+6-FF-248</v>
      </c>
      <c r="F253" s="60">
        <f>[4]Sayfa1!$E249</f>
        <v>45499</v>
      </c>
      <c r="G253" s="61">
        <f>[4]Sayfa1!$F249</f>
        <v>45499.726388888892</v>
      </c>
      <c r="H253" s="59" t="str">
        <f>[4]Sayfa1!$I249</f>
        <v>Hat/Line</v>
      </c>
      <c r="I253" s="62" t="str">
        <f>IF([4]Sayfa1!$K249="SSH","Notified by Bozankaya","Notified by Customer")</f>
        <v>Notified by Customer</v>
      </c>
      <c r="J253" s="59" t="e">
        <f>VLOOKUP([4]Sayfa1!$AU249,#REF!,2,FALSE)</f>
        <v>#REF!</v>
      </c>
      <c r="K253" s="59">
        <f>[4]Sayfa1!$AC249</f>
        <v>0</v>
      </c>
      <c r="L253" s="63" t="str">
        <f t="shared" si="65"/>
        <v>KAY_5+200-BOZ-KAY5+6-FF-248</v>
      </c>
      <c r="M253" s="64" t="str">
        <f>[4]Sayfa1!$L249</f>
        <v>Saha denetimi kapı üstü ekranlar göstermiyor</v>
      </c>
      <c r="N253" s="33" t="str">
        <f>[4]Sayfa1!$J249</f>
        <v>C-Uyarı, sürüş devamlılığı</v>
      </c>
      <c r="O253" s="33" t="str">
        <f>[4]Sayfa1!$P249</f>
        <v>C(Sisteme etki etmeyen arıza)</v>
      </c>
      <c r="P253" s="33" t="str">
        <f>[4]Sayfa1!$Q249</f>
        <v>N.A(Yaralanma yok)</v>
      </c>
      <c r="Q253" s="65" t="str" cm="1">
        <f t="array" ref="Q253">_xlfn.IFS([4]Sayfa1!$R249="Bozankaya","Bozankaya",[4]Sayfa1!$R249="İşletme","Customer",[4]Sayfa1!$R249="Tedarikçi","Equipment Supplier")</f>
        <v>Equipment Supplier</v>
      </c>
      <c r="R253" s="66" t="str">
        <f>[4]Sayfa1!$M249</f>
        <v>Kontrol edildi sorun görülmedi</v>
      </c>
      <c r="S253" s="36" t="str">
        <f>[4]Sayfa1!$S249</f>
        <v>Atak</v>
      </c>
      <c r="T253" s="67">
        <f>[4]Sayfa1!$Z249</f>
        <v>0</v>
      </c>
      <c r="U253" s="68">
        <f>[4]Sayfa1!$AN249</f>
        <v>1</v>
      </c>
      <c r="V253" s="60">
        <f>[4]Sayfa1!$T249</f>
        <v>45530</v>
      </c>
      <c r="W253" s="61">
        <f>[4]Sayfa1!$U249</f>
        <v>45530.569374999999</v>
      </c>
      <c r="X253" s="69">
        <f t="shared" si="66"/>
        <v>45530.569374999999</v>
      </c>
      <c r="Y253" s="70">
        <f>[4]Sayfa1!$AQ249</f>
        <v>45530</v>
      </c>
      <c r="Z253" s="61">
        <f>[4]Sayfa1!$AR249</f>
        <v>45530.75</v>
      </c>
      <c r="AA253" s="69">
        <f t="shared" si="67"/>
        <v>45530.75</v>
      </c>
      <c r="AB253" s="71">
        <f t="shared" si="68"/>
        <v>4.3350000000209548</v>
      </c>
      <c r="AC253" s="60">
        <f t="shared" si="69"/>
        <v>45530</v>
      </c>
      <c r="AD253" s="61">
        <f t="shared" si="70"/>
        <v>45530.75</v>
      </c>
      <c r="AE253" s="69">
        <f t="shared" si="71"/>
        <v>45530.75</v>
      </c>
      <c r="AF253" s="36" t="str">
        <f>[4]Sayfa1!$AP249</f>
        <v>(III) Birden fazla aynı araçta karşılaşılan arıza</v>
      </c>
      <c r="AG253" s="33" t="str">
        <f>IF([4]Sayfa1!$J249="C-Uyarı, sürüş devamlılığı","Bu Arıza Aracın Servise Verilmesine Engel Değil","Bu Arıza Aracın Servise Verilmesine Engel")</f>
        <v>Bu Arıza Aracın Servise Verilmesine Engel Değil</v>
      </c>
      <c r="AH253" s="41" t="str">
        <f>[4]Sayfa1!$AB249</f>
        <v>Arıza çözülecek</v>
      </c>
      <c r="AI253" s="60"/>
      <c r="AJ253" s="60"/>
      <c r="AK253" s="69">
        <f t="shared" si="72"/>
        <v>0</v>
      </c>
      <c r="AL253" s="71">
        <f t="shared" si="73"/>
        <v>260.10000000125729</v>
      </c>
      <c r="AM253" s="71">
        <f t="shared" si="74"/>
        <v>260.10000000125729</v>
      </c>
      <c r="AN253" s="72">
        <f t="shared" si="75"/>
        <v>0</v>
      </c>
      <c r="AO253" s="73" t="str">
        <f>[4]Sayfa1!$X249</f>
        <v>E410-7003</v>
      </c>
      <c r="AP253" s="72">
        <f>[4]Sayfa1!$Y249</f>
        <v>1</v>
      </c>
      <c r="AQ253" s="184" t="str">
        <f>[4]Sayfa1!$V249</f>
        <v>ATAK ULAŞIM SAN.TİC.LTD.ŞTİ.</v>
      </c>
      <c r="AR253" s="74" t="str">
        <f>[4]Sayfa1!$W249</f>
        <v>STRETCH LCD EKRAN</v>
      </c>
      <c r="AS253" s="74">
        <f>[4]Sayfa1!$AD249</f>
        <v>0</v>
      </c>
      <c r="AT253" s="60" t="str">
        <f>[4]Sayfa1!$AE249</f>
        <v/>
      </c>
      <c r="AU253" s="60" t="str">
        <f>[4]Sayfa1!$AH249</f>
        <v/>
      </c>
      <c r="AV253" s="75">
        <v>248</v>
      </c>
      <c r="AW253" s="76">
        <f t="shared" si="76"/>
        <v>47.685000000230502</v>
      </c>
      <c r="AX253" s="77" t="str">
        <f>[4]Sayfa1!$A249</f>
        <v>b8810483</v>
      </c>
      <c r="AY253" s="78" t="s">
        <v>114</v>
      </c>
      <c r="AZ253" s="79" t="e" vm="1">
        <f t="shared" si="77"/>
        <v>#VALUE!</v>
      </c>
    </row>
    <row r="254" spans="1:52" ht="293.25" customHeight="1">
      <c r="A254" s="59" t="s">
        <v>309</v>
      </c>
      <c r="B254" s="59" t="str">
        <f>[4]Sayfa1!$G250</f>
        <v>3874(3)</v>
      </c>
      <c r="C254" s="184" t="str">
        <f>[4]Sayfa1!$H250</f>
        <v>MB</v>
      </c>
      <c r="D254" s="24">
        <f>[4]Sayfa1!$N250</f>
        <v>83222</v>
      </c>
      <c r="E254" s="24" t="str">
        <f>[4]Sayfa1!$B250</f>
        <v>BOZ-KAY5+6-FF-249</v>
      </c>
      <c r="F254" s="60">
        <f>[4]Sayfa1!$E250</f>
        <v>45513</v>
      </c>
      <c r="G254" s="61">
        <f>[4]Sayfa1!$F250</f>
        <v>45513.090914351851</v>
      </c>
      <c r="H254" s="59" t="str">
        <f>[4]Sayfa1!$I250</f>
        <v>Hat/Line</v>
      </c>
      <c r="I254" s="62" t="str">
        <f>IF([4]Sayfa1!$K250="SSH","Notified by Bozankaya","Notified by Customer")</f>
        <v>Notified by Customer</v>
      </c>
      <c r="J254" s="59" t="e">
        <f>VLOOKUP([4]Sayfa1!$AU250,#REF!,2,FALSE)</f>
        <v>#REF!</v>
      </c>
      <c r="K254" s="59">
        <f>[4]Sayfa1!$AC250</f>
        <v>0</v>
      </c>
      <c r="L254" s="63" t="str">
        <f t="shared" si="65"/>
        <v>KAY_5+201-BOZ-KAY5+6-FF-249</v>
      </c>
      <c r="M254" s="64" t="str">
        <f>[4]Sayfa1!$L250</f>
        <v>SİLECEK TAKILMA YAPIYOR</v>
      </c>
      <c r="N254" s="33" t="str">
        <f>[4]Sayfa1!$J250</f>
        <v>A-Sürüşü engeller</v>
      </c>
      <c r="O254" s="33" t="str">
        <f>[4]Sayfa1!$P250</f>
        <v>B(Servisten çekmeye etki eden arızalar)</v>
      </c>
      <c r="P254" s="33" t="str">
        <f>[4]Sayfa1!$Q250</f>
        <v>N.A(Yaralanma yok)</v>
      </c>
      <c r="Q254" s="65" t="str" cm="1">
        <f t="array" ref="Q254">_xlfn.IFS([4]Sayfa1!$R250="Bozankaya","Bozankaya",[4]Sayfa1!$R250="İşletme","Customer",[4]Sayfa1!$R250="Tedarikçi","Equipment Supplier")</f>
        <v>Bozankaya</v>
      </c>
      <c r="R254" s="66" t="str">
        <f>[4]Sayfa1!$M250</f>
        <v>AYARI YAPILDI.</v>
      </c>
      <c r="S254" s="36" t="str">
        <f>[4]Sayfa1!$S250</f>
        <v>Tasarım</v>
      </c>
      <c r="T254" s="67">
        <f>[4]Sayfa1!$Z250</f>
        <v>0</v>
      </c>
      <c r="U254" s="68">
        <f>[4]Sayfa1!$AN250</f>
        <v>1</v>
      </c>
      <c r="V254" s="60">
        <f>[4]Sayfa1!$T250</f>
        <v>45513</v>
      </c>
      <c r="W254" s="61">
        <f>[4]Sayfa1!$U250</f>
        <v>45513.333333333336</v>
      </c>
      <c r="X254" s="69">
        <f t="shared" si="66"/>
        <v>45513.333333333336</v>
      </c>
      <c r="Y254" s="70">
        <f>[4]Sayfa1!$AQ250</f>
        <v>45513</v>
      </c>
      <c r="Z254" s="61">
        <f>[4]Sayfa1!$AR250</f>
        <v>45513.416666666664</v>
      </c>
      <c r="AA254" s="69">
        <f t="shared" si="67"/>
        <v>45513.416666666664</v>
      </c>
      <c r="AB254" s="71">
        <f t="shared" si="68"/>
        <v>0</v>
      </c>
      <c r="AC254" s="60">
        <f t="shared" si="69"/>
        <v>45513</v>
      </c>
      <c r="AD254" s="61">
        <f t="shared" si="70"/>
        <v>45513.416666666664</v>
      </c>
      <c r="AE254" s="69">
        <f t="shared" si="71"/>
        <v>45513.416666666664</v>
      </c>
      <c r="AF254" s="36" t="str">
        <f>[4]Sayfa1!$AP250</f>
        <v>(III) Birden fazla aynı araçta karşılaşılan arıza</v>
      </c>
      <c r="AG254" s="33" t="str">
        <f>IF([4]Sayfa1!$J250="C-Uyarı, sürüş devamlılığı","Bu Arıza Aracın Servise Verilmesine Engel Değil","Bu Arıza Aracın Servise Verilmesine Engel")</f>
        <v>Bu Arıza Aracın Servise Verilmesine Engel</v>
      </c>
      <c r="AH254" s="41" t="str">
        <f>[4]Sayfa1!$AB250</f>
        <v>Tamir edilecek</v>
      </c>
      <c r="AI254" s="60"/>
      <c r="AJ254" s="60"/>
      <c r="AK254" s="69">
        <f t="shared" si="72"/>
        <v>0</v>
      </c>
      <c r="AL254" s="71">
        <f t="shared" si="73"/>
        <v>0</v>
      </c>
      <c r="AM254" s="71">
        <f t="shared" si="74"/>
        <v>0</v>
      </c>
      <c r="AN254" s="72">
        <f t="shared" si="75"/>
        <v>0</v>
      </c>
      <c r="AO254" s="73" t="str">
        <f>[4]Sayfa1!$X250</f>
        <v>M100-7069</v>
      </c>
      <c r="AP254" s="72">
        <f>[4]Sayfa1!$Y250</f>
        <v>0</v>
      </c>
      <c r="AQ254" s="184" t="str">
        <f>[4]Sayfa1!$V250</f>
        <v>DENİZLER OTOMOTİV SAN. VE TİC.LTD.Ş</v>
      </c>
      <c r="AR254" s="74" t="str">
        <f>[4]Sayfa1!$W250</f>
        <v>SILECEK KOL KOMPLESI ANA KOL+YARDIMCI KO</v>
      </c>
      <c r="AS254" s="74">
        <f>[4]Sayfa1!$AD250</f>
        <v>0</v>
      </c>
      <c r="AT254" s="60" t="str">
        <f>[4]Sayfa1!$AE250</f>
        <v/>
      </c>
      <c r="AU254" s="60">
        <f>[4]Sayfa1!$AH250</f>
        <v>0</v>
      </c>
      <c r="AV254" s="75">
        <v>249</v>
      </c>
      <c r="AW254" s="76">
        <f t="shared" si="76"/>
        <v>0</v>
      </c>
      <c r="AX254" s="77" t="str">
        <f>[4]Sayfa1!$A250</f>
        <v>2b7ab4fe</v>
      </c>
      <c r="AY254" s="78" t="s">
        <v>114</v>
      </c>
      <c r="AZ254" s="79" t="e" vm="1">
        <f t="shared" si="77"/>
        <v>#VALUE!</v>
      </c>
    </row>
    <row r="255" spans="1:52" ht="148.15">
      <c r="A255" s="59" t="s">
        <v>310</v>
      </c>
      <c r="B255" s="59" t="str">
        <f>[4]Sayfa1!$G251</f>
        <v>3873(2)</v>
      </c>
      <c r="C255" s="184" t="str">
        <f>[4]Sayfa1!$H251</f>
        <v>RB</v>
      </c>
      <c r="D255" s="24">
        <f>[4]Sayfa1!$N251</f>
        <v>85417</v>
      </c>
      <c r="E255" s="24" t="str">
        <f>[4]Sayfa1!$B251</f>
        <v>BOZ-KAY5+6-FF-250</v>
      </c>
      <c r="F255" s="60">
        <f>[4]Sayfa1!$E251</f>
        <v>45513</v>
      </c>
      <c r="G255" s="61">
        <f>[4]Sayfa1!$F251</f>
        <v>45513.333333333336</v>
      </c>
      <c r="H255" s="59" t="str">
        <f>[4]Sayfa1!$I251</f>
        <v>Hat/Line</v>
      </c>
      <c r="I255" s="62" t="str">
        <f>IF([4]Sayfa1!$K251="SSH","Notified by Bozankaya","Notified by Customer")</f>
        <v>Notified by Customer</v>
      </c>
      <c r="J255" s="59" t="e">
        <f>VLOOKUP([4]Sayfa1!$AU251,#REF!,2,FALSE)</f>
        <v>#REF!</v>
      </c>
      <c r="K255" s="59">
        <f>[4]Sayfa1!$AC251</f>
        <v>0</v>
      </c>
      <c r="L255" s="63" t="str">
        <f t="shared" si="65"/>
        <v>KAY_5+202-BOZ-KAY5+6-FF-250</v>
      </c>
      <c r="M255" s="64" t="str">
        <f>[4]Sayfa1!$L251</f>
        <v>Orta Karkas Ekran çalışmıyor, ekrana görüntü gelmiyor</v>
      </c>
      <c r="N255" s="33" t="str">
        <f>[4]Sayfa1!$J251</f>
        <v>C-Uyarı, sürüş devamlılığı</v>
      </c>
      <c r="O255" s="33" t="str">
        <f>[4]Sayfa1!$P251</f>
        <v>B(Servisten çekmeye etki eden arızalar)</v>
      </c>
      <c r="P255" s="33" t="str">
        <f>[4]Sayfa1!$Q251</f>
        <v>N.A(Yaralanma yok)</v>
      </c>
      <c r="Q255" s="65" t="str" cm="1">
        <f t="array" ref="Q255">_xlfn.IFS([4]Sayfa1!$R251="Bozankaya","Bozankaya",[4]Sayfa1!$R251="İşletme","Customer",[4]Sayfa1!$R251="Tedarikçi","Equipment Supplier")</f>
        <v>Equipment Supplier</v>
      </c>
      <c r="R255" s="66" t="str">
        <f>[4]Sayfa1!$M251</f>
        <v>Ekran değişimi yapıldı</v>
      </c>
      <c r="S255" s="36" t="str">
        <f>[4]Sayfa1!$S251</f>
        <v>Atak</v>
      </c>
      <c r="T255" s="67">
        <f>[4]Sayfa1!$Z251</f>
        <v>202201110001</v>
      </c>
      <c r="U255" s="68">
        <f>[4]Sayfa1!$AN251</f>
        <v>2</v>
      </c>
      <c r="V255" s="60">
        <f>[4]Sayfa1!$T251</f>
        <v>45513</v>
      </c>
      <c r="W255" s="61">
        <f>[4]Sayfa1!$U251</f>
        <v>45513.333333333336</v>
      </c>
      <c r="X255" s="69">
        <f t="shared" si="66"/>
        <v>45513.333333333336</v>
      </c>
      <c r="Y255" s="70" t="str">
        <f>[4]Sayfa1!$AQ251</f>
        <v/>
      </c>
      <c r="Z255" s="61">
        <f>[4]Sayfa1!$AR251</f>
        <v>0</v>
      </c>
      <c r="AA255" s="69">
        <f t="shared" si="67"/>
        <v>0</v>
      </c>
      <c r="AB255" s="71" t="e">
        <f t="shared" si="68"/>
        <v>#VALUE!</v>
      </c>
      <c r="AC255" s="60" t="str">
        <f t="shared" si="69"/>
        <v/>
      </c>
      <c r="AD255" s="61">
        <f t="shared" si="70"/>
        <v>0</v>
      </c>
      <c r="AE255" s="69">
        <f t="shared" si="71"/>
        <v>0</v>
      </c>
      <c r="AF255" s="36" t="str">
        <f>[4]Sayfa1!$AP251</f>
        <v>(III) Birden fazla aynı araçta karşılaşılan arıza</v>
      </c>
      <c r="AG255" s="33" t="str">
        <f>IF([4]Sayfa1!$J251="C-Uyarı, sürüş devamlılığı","Bu Arıza Aracın Servise Verilmesine Engel Değil","Bu Arıza Aracın Servise Verilmesine Engel")</f>
        <v>Bu Arıza Aracın Servise Verilmesine Engel Değil</v>
      </c>
      <c r="AH255" s="41" t="str">
        <f>[4]Sayfa1!$AB251</f>
        <v>Ekipman değiştirilecek</v>
      </c>
      <c r="AI255" s="60"/>
      <c r="AJ255" s="60"/>
      <c r="AK255" s="69">
        <f t="shared" si="72"/>
        <v>0</v>
      </c>
      <c r="AL255" s="71" t="e">
        <f t="shared" si="73"/>
        <v>#VALUE!</v>
      </c>
      <c r="AM255" s="71" t="e">
        <f t="shared" si="74"/>
        <v>#VALUE!</v>
      </c>
      <c r="AN255" s="72">
        <f t="shared" si="75"/>
        <v>0</v>
      </c>
      <c r="AO255" s="73" t="str">
        <f>[4]Sayfa1!$X251</f>
        <v>E840-7120</v>
      </c>
      <c r="AP255" s="72">
        <f>[4]Sayfa1!$Y251</f>
        <v>0</v>
      </c>
      <c r="AQ255" s="184" t="str">
        <f>[4]Sayfa1!$V251</f>
        <v>ATAK ULAŞIM SAN.TİC.LTD.ŞTİ.</v>
      </c>
      <c r="AR255" s="74" t="str">
        <f>[4]Sayfa1!$W251</f>
        <v>28.6" EKRAN</v>
      </c>
      <c r="AS255" s="74">
        <f>[4]Sayfa1!$AD251</f>
        <v>0</v>
      </c>
      <c r="AT255" s="60" t="str">
        <f>[4]Sayfa1!$AE251</f>
        <v/>
      </c>
      <c r="AU255" s="60" t="str">
        <f>[4]Sayfa1!$AH251</f>
        <v/>
      </c>
      <c r="AV255" s="75">
        <v>250</v>
      </c>
      <c r="AW255" s="76" t="e">
        <f t="shared" si="76"/>
        <v>#VALUE!</v>
      </c>
      <c r="AX255" s="77" t="str">
        <f>[4]Sayfa1!$A251</f>
        <v>1334f718</v>
      </c>
      <c r="AY255" s="78" t="s">
        <v>114</v>
      </c>
      <c r="AZ255" s="79" t="e" vm="1">
        <f t="shared" si="77"/>
        <v>#VALUE!</v>
      </c>
    </row>
    <row r="256" spans="1:52" ht="151.9">
      <c r="A256" s="59" t="s">
        <v>311</v>
      </c>
      <c r="B256" s="59" t="str">
        <f>[4]Sayfa1!$G252</f>
        <v>3873(2)</v>
      </c>
      <c r="C256" s="184" t="str">
        <f>[4]Sayfa1!$H252</f>
        <v>RA</v>
      </c>
      <c r="D256" s="24">
        <f>[4]Sayfa1!$N252</f>
        <v>85417</v>
      </c>
      <c r="E256" s="24" t="str">
        <f>[4]Sayfa1!$B252</f>
        <v>BOZ-KAY5+6-FF-251</v>
      </c>
      <c r="F256" s="60">
        <f>[4]Sayfa1!$E252</f>
        <v>45513</v>
      </c>
      <c r="G256" s="61">
        <f>[4]Sayfa1!$F252</f>
        <v>45513.458333333336</v>
      </c>
      <c r="H256" s="59" t="str">
        <f>[4]Sayfa1!$I252</f>
        <v>Hat/Line</v>
      </c>
      <c r="I256" s="62" t="str">
        <f>IF([4]Sayfa1!$K252="SSH","Notified by Bozankaya","Notified by Customer")</f>
        <v>Notified by Customer</v>
      </c>
      <c r="J256" s="59" t="e">
        <f>VLOOKUP([4]Sayfa1!$AU252,#REF!,2,FALSE)</f>
        <v>#REF!</v>
      </c>
      <c r="K256" s="59">
        <f>[4]Sayfa1!$AC252</f>
        <v>0</v>
      </c>
      <c r="L256" s="63" t="str">
        <f t="shared" si="65"/>
        <v>KAY_5+203-BOZ-KAY5+6-FF-251</v>
      </c>
      <c r="M256" s="64" t="str">
        <f>[4]Sayfa1!$L252</f>
        <v>Orta karkas ekrana görüntü gelmiyor ekranda çizgi şeklinde pixel pixel oluyor</v>
      </c>
      <c r="N256" s="33" t="str">
        <f>[4]Sayfa1!$J252</f>
        <v>C-Uyarı, sürüş devamlılığı</v>
      </c>
      <c r="O256" s="33" t="str">
        <f>[4]Sayfa1!$P252</f>
        <v>C(Sisteme etki etmeyen arıza)</v>
      </c>
      <c r="P256" s="33" t="str">
        <f>[4]Sayfa1!$Q252</f>
        <v>N.A(Yaralanma yok)</v>
      </c>
      <c r="Q256" s="65" t="str" cm="1">
        <f t="array" ref="Q256">_xlfn.IFS([4]Sayfa1!$R252="Bozankaya","Bozankaya",[4]Sayfa1!$R252="İşletme","Customer",[4]Sayfa1!$R252="Tedarikçi","Equipment Supplier")</f>
        <v>Equipment Supplier</v>
      </c>
      <c r="R256" s="66" t="str">
        <f>[4]Sayfa1!$M252</f>
        <v>Ekran değişimi yapıldı</v>
      </c>
      <c r="S256" s="36" t="str">
        <f>[4]Sayfa1!$S252</f>
        <v>Atak</v>
      </c>
      <c r="T256" s="67">
        <f>[4]Sayfa1!$Z252</f>
        <v>202201110003</v>
      </c>
      <c r="U256" s="68">
        <f>[4]Sayfa1!$AN252</f>
        <v>2</v>
      </c>
      <c r="V256" s="60">
        <f>[4]Sayfa1!$T252</f>
        <v>45513</v>
      </c>
      <c r="W256" s="61">
        <f>[4]Sayfa1!$U252</f>
        <v>45513.458333333336</v>
      </c>
      <c r="X256" s="69">
        <f t="shared" si="66"/>
        <v>45513.458333333336</v>
      </c>
      <c r="Y256" s="70" t="str">
        <f>[4]Sayfa1!$AQ252</f>
        <v/>
      </c>
      <c r="Z256" s="61">
        <f>[4]Sayfa1!$AR252</f>
        <v>0</v>
      </c>
      <c r="AA256" s="69">
        <f t="shared" si="67"/>
        <v>0</v>
      </c>
      <c r="AB256" s="71" t="e">
        <f t="shared" si="68"/>
        <v>#VALUE!</v>
      </c>
      <c r="AC256" s="60" t="str">
        <f t="shared" si="69"/>
        <v/>
      </c>
      <c r="AD256" s="61">
        <f t="shared" si="70"/>
        <v>0</v>
      </c>
      <c r="AE256" s="69">
        <f t="shared" si="71"/>
        <v>0</v>
      </c>
      <c r="AF256" s="36" t="str">
        <f>[4]Sayfa1!$AP252</f>
        <v>(III) Birden fazla aynı araçta karşılaşılan arıza</v>
      </c>
      <c r="AG256" s="33" t="str">
        <f>IF([4]Sayfa1!$J252="C-Uyarı, sürüş devamlılığı","Bu Arıza Aracın Servise Verilmesine Engel Değil","Bu Arıza Aracın Servise Verilmesine Engel")</f>
        <v>Bu Arıza Aracın Servise Verilmesine Engel Değil</v>
      </c>
      <c r="AH256" s="41" t="str">
        <f>[4]Sayfa1!$AB252</f>
        <v>Ekipman değiştirilecek</v>
      </c>
      <c r="AI256" s="60"/>
      <c r="AJ256" s="60"/>
      <c r="AK256" s="69">
        <f t="shared" si="72"/>
        <v>0</v>
      </c>
      <c r="AL256" s="71" t="e">
        <f t="shared" si="73"/>
        <v>#VALUE!</v>
      </c>
      <c r="AM256" s="71" t="e">
        <f t="shared" si="74"/>
        <v>#VALUE!</v>
      </c>
      <c r="AN256" s="72">
        <f t="shared" si="75"/>
        <v>0</v>
      </c>
      <c r="AO256" s="73" t="str">
        <f>[4]Sayfa1!$X252</f>
        <v>E840-7120</v>
      </c>
      <c r="AP256" s="72">
        <f>[4]Sayfa1!$Y252</f>
        <v>1</v>
      </c>
      <c r="AQ256" s="184" t="str">
        <f>[4]Sayfa1!$V252</f>
        <v>ATAK ULAŞIM SAN.TİC.LTD.ŞTİ.</v>
      </c>
      <c r="AR256" s="74" t="str">
        <f>[4]Sayfa1!$W252</f>
        <v>28.6" EKRAN</v>
      </c>
      <c r="AS256" s="74">
        <f>[4]Sayfa1!$AD252</f>
        <v>0</v>
      </c>
      <c r="AT256" s="60" t="str">
        <f>[4]Sayfa1!$AE252</f>
        <v/>
      </c>
      <c r="AU256" s="60" t="str">
        <f>[4]Sayfa1!$AH252</f>
        <v/>
      </c>
      <c r="AV256" s="75">
        <v>251</v>
      </c>
      <c r="AW256" s="76" t="e">
        <f t="shared" si="76"/>
        <v>#VALUE!</v>
      </c>
      <c r="AX256" s="77" t="str">
        <f>[4]Sayfa1!$A252</f>
        <v>c6819b04</v>
      </c>
      <c r="AY256" s="78" t="s">
        <v>114</v>
      </c>
      <c r="AZ256" s="79" t="e" vm="1">
        <f t="shared" si="77"/>
        <v>#VALUE!</v>
      </c>
    </row>
    <row r="257" spans="1:52" ht="148.15">
      <c r="A257" s="59" t="s">
        <v>312</v>
      </c>
      <c r="B257" s="59" t="str">
        <f>[4]Sayfa1!$G253</f>
        <v>3873(2)</v>
      </c>
      <c r="C257" s="184" t="str">
        <f>[4]Sayfa1!$H253</f>
        <v>MA</v>
      </c>
      <c r="D257" s="24">
        <f>[4]Sayfa1!$N253</f>
        <v>85417</v>
      </c>
      <c r="E257" s="24" t="str">
        <f>[4]Sayfa1!$B253</f>
        <v>BOZ-KAY5+6-FF-252</v>
      </c>
      <c r="F257" s="60">
        <f>[4]Sayfa1!$E253</f>
        <v>45513</v>
      </c>
      <c r="G257" s="61">
        <f>[4]Sayfa1!$F253</f>
        <v>45513.611805555556</v>
      </c>
      <c r="H257" s="59" t="str">
        <f>[4]Sayfa1!$I253</f>
        <v>Hat/Line</v>
      </c>
      <c r="I257" s="62" t="str">
        <f>IF([4]Sayfa1!$K253="SSH","Notified by Bozankaya","Notified by Customer")</f>
        <v>Notified by Customer</v>
      </c>
      <c r="J257" s="59" t="e">
        <f>VLOOKUP([4]Sayfa1!$AU253,#REF!,2,FALSE)</f>
        <v>#REF!</v>
      </c>
      <c r="K257" s="59">
        <f>[4]Sayfa1!$AC253</f>
        <v>0</v>
      </c>
      <c r="L257" s="63" t="str">
        <f t="shared" si="65"/>
        <v>KAY_5+204-BOZ-KAY5+6-FF-252</v>
      </c>
      <c r="M257" s="64" t="str">
        <f>[4]Sayfa1!$L253</f>
        <v>Silecek kolu kırılmış</v>
      </c>
      <c r="N257" s="33" t="str">
        <f>[4]Sayfa1!$J253</f>
        <v>A-Sürüşü engeller</v>
      </c>
      <c r="O257" s="33" t="str">
        <f>[4]Sayfa1!$P253</f>
        <v>B(Servisten çekmeye etki eden arızalar)</v>
      </c>
      <c r="P257" s="33" t="str">
        <f>[4]Sayfa1!$Q253</f>
        <v>N.A(Yaralanma yok)</v>
      </c>
      <c r="Q257" s="65" t="str" cm="1">
        <f t="array" ref="Q257">_xlfn.IFS([4]Sayfa1!$R253="Bozankaya","Bozankaya",[4]Sayfa1!$R253="İşletme","Customer",[4]Sayfa1!$R253="Tedarikçi","Equipment Supplier")</f>
        <v>Equipment Supplier</v>
      </c>
      <c r="R257" s="66" t="str">
        <f>[4]Sayfa1!$M253</f>
        <v>Silecek değişimi yapıldı</v>
      </c>
      <c r="S257" s="36" t="str">
        <f>[4]Sayfa1!$S253</f>
        <v>Bozankaya</v>
      </c>
      <c r="T257" s="67" t="str">
        <f>[4]Sayfa1!$Z253</f>
        <v>-</v>
      </c>
      <c r="U257" s="68">
        <f>[4]Sayfa1!$AN253</f>
        <v>0</v>
      </c>
      <c r="V257" s="60">
        <f>[4]Sayfa1!$T253</f>
        <v>45513</v>
      </c>
      <c r="W257" s="61">
        <f>[4]Sayfa1!$U253</f>
        <v>45513.612500000003</v>
      </c>
      <c r="X257" s="69">
        <f t="shared" si="66"/>
        <v>45513.612500000003</v>
      </c>
      <c r="Y257" s="70" t="str">
        <f>[4]Sayfa1!$AQ253</f>
        <v/>
      </c>
      <c r="Z257" s="61">
        <f>[4]Sayfa1!$AR253</f>
        <v>0</v>
      </c>
      <c r="AA257" s="69">
        <f t="shared" si="67"/>
        <v>0</v>
      </c>
      <c r="AB257" s="71" t="e">
        <f t="shared" si="68"/>
        <v>#VALUE!</v>
      </c>
      <c r="AC257" s="60" t="str">
        <f t="shared" si="69"/>
        <v/>
      </c>
      <c r="AD257" s="61">
        <f t="shared" si="70"/>
        <v>0</v>
      </c>
      <c r="AE257" s="69">
        <f t="shared" si="71"/>
        <v>0</v>
      </c>
      <c r="AF257" s="36" t="str">
        <f>[4]Sayfa1!$AP253</f>
        <v>(I) İlk defa karşılaşılan arıza</v>
      </c>
      <c r="AG257" s="33" t="str">
        <f>IF([4]Sayfa1!$J253="C-Uyarı, sürüş devamlılığı","Bu Arıza Aracın Servise Verilmesine Engel Değil","Bu Arıza Aracın Servise Verilmesine Engel")</f>
        <v>Bu Arıza Aracın Servise Verilmesine Engel</v>
      </c>
      <c r="AH257" s="41" t="str">
        <f>[4]Sayfa1!$AB253</f>
        <v>Ekipman değiştirilecek</v>
      </c>
      <c r="AI257" s="60"/>
      <c r="AJ257" s="60"/>
      <c r="AK257" s="69">
        <f t="shared" si="72"/>
        <v>0</v>
      </c>
      <c r="AL257" s="71" t="e">
        <f t="shared" si="73"/>
        <v>#VALUE!</v>
      </c>
      <c r="AM257" s="71" t="e">
        <f t="shared" si="74"/>
        <v>#VALUE!</v>
      </c>
      <c r="AN257" s="72">
        <f t="shared" si="75"/>
        <v>0</v>
      </c>
      <c r="AO257" s="73" t="str">
        <f>[4]Sayfa1!$X253</f>
        <v>M100-7069</v>
      </c>
      <c r="AP257" s="72">
        <f>[4]Sayfa1!$Y253</f>
        <v>1</v>
      </c>
      <c r="AQ257" s="184" t="str">
        <f>[4]Sayfa1!$V253</f>
        <v>Bozankaya</v>
      </c>
      <c r="AR257" s="74" t="str">
        <f>[4]Sayfa1!$W253</f>
        <v>SİLECEK</v>
      </c>
      <c r="AS257" s="74">
        <f>[4]Sayfa1!$AD253</f>
        <v>0</v>
      </c>
      <c r="AT257" s="60" t="str">
        <f>[4]Sayfa1!$AE253</f>
        <v/>
      </c>
      <c r="AU257" s="60" t="str">
        <f>[4]Sayfa1!$AH253</f>
        <v/>
      </c>
      <c r="AV257" s="75">
        <v>252</v>
      </c>
      <c r="AW257" s="76" t="e">
        <f t="shared" si="76"/>
        <v>#VALUE!</v>
      </c>
      <c r="AX257" s="77" t="str">
        <f>[4]Sayfa1!$A253</f>
        <v>c395b060</v>
      </c>
      <c r="AY257" s="78" t="s">
        <v>114</v>
      </c>
      <c r="AZ257" s="79" t="e" vm="1">
        <f t="shared" si="77"/>
        <v>#VALUE!</v>
      </c>
    </row>
    <row r="258" spans="1:52" ht="148.15">
      <c r="A258" s="59" t="s">
        <v>313</v>
      </c>
      <c r="B258" s="59" t="str">
        <f>[4]Sayfa1!$G254</f>
        <v>3873(2)</v>
      </c>
      <c r="C258" s="184" t="str">
        <f>[4]Sayfa1!$H254</f>
        <v>RB</v>
      </c>
      <c r="D258" s="24">
        <f>[4]Sayfa1!$N254</f>
        <v>85417</v>
      </c>
      <c r="E258" s="24" t="str">
        <f>[4]Sayfa1!$B254</f>
        <v>BOZ-KAY5+6-FF-253</v>
      </c>
      <c r="F258" s="60">
        <f>[4]Sayfa1!$E254</f>
        <v>45513</v>
      </c>
      <c r="G258" s="61">
        <f>[4]Sayfa1!$F254</f>
        <v>45513.625694444447</v>
      </c>
      <c r="H258" s="59" t="str">
        <f>[4]Sayfa1!$I254</f>
        <v>Hat/Line</v>
      </c>
      <c r="I258" s="62" t="str">
        <f>IF([4]Sayfa1!$K254="SSH","Notified by Bozankaya","Notified by Customer")</f>
        <v>Notified by Customer</v>
      </c>
      <c r="J258" s="59" t="e">
        <f>VLOOKUP([4]Sayfa1!$AU254,#REF!,2,FALSE)</f>
        <v>#REF!</v>
      </c>
      <c r="K258" s="59">
        <f>[4]Sayfa1!$AC254</f>
        <v>0</v>
      </c>
      <c r="L258" s="63" t="str">
        <f t="shared" si="65"/>
        <v>KAY_5+205-BOZ-KAY5+6-FF-253</v>
      </c>
      <c r="M258" s="64" t="str">
        <f>[4]Sayfa1!$L254</f>
        <v>Orta karkas ekranda pembeleşme var görüntü gelmiyor</v>
      </c>
      <c r="N258" s="33" t="str">
        <f>[4]Sayfa1!$J254</f>
        <v>C-Uyarı, sürüş devamlılığı</v>
      </c>
      <c r="O258" s="33" t="str">
        <f>[4]Sayfa1!$P254</f>
        <v>C(Sisteme etki etmeyen arıza)</v>
      </c>
      <c r="P258" s="33" t="str">
        <f>[4]Sayfa1!$Q254</f>
        <v>N.A(Yaralanma yok)</v>
      </c>
      <c r="Q258" s="65" t="str" cm="1">
        <f t="array" ref="Q258">_xlfn.IFS([4]Sayfa1!$R254="Bozankaya","Bozankaya",[4]Sayfa1!$R254="İşletme","Customer",[4]Sayfa1!$R254="Tedarikçi","Equipment Supplier")</f>
        <v>Equipment Supplier</v>
      </c>
      <c r="R258" s="66" t="str">
        <f>[4]Sayfa1!$M254</f>
        <v>Ekran değişimi yapıldı</v>
      </c>
      <c r="S258" s="36" t="str">
        <f>[4]Sayfa1!$S254</f>
        <v>Atak</v>
      </c>
      <c r="T258" s="67" t="str">
        <f>[4]Sayfa1!$Z254</f>
        <v>-</v>
      </c>
      <c r="U258" s="68">
        <f>[4]Sayfa1!$AN254</f>
        <v>2</v>
      </c>
      <c r="V258" s="60">
        <f>[4]Sayfa1!$T254</f>
        <v>45513</v>
      </c>
      <c r="W258" s="61">
        <f>[4]Sayfa1!$U254</f>
        <v>45513.626388888886</v>
      </c>
      <c r="X258" s="69">
        <f t="shared" si="66"/>
        <v>45513.626388888886</v>
      </c>
      <c r="Y258" s="70" t="str">
        <f>[4]Sayfa1!$AQ254</f>
        <v/>
      </c>
      <c r="Z258" s="61">
        <f>[4]Sayfa1!$AR254</f>
        <v>0</v>
      </c>
      <c r="AA258" s="69">
        <f t="shared" si="67"/>
        <v>0</v>
      </c>
      <c r="AB258" s="71" t="e">
        <f t="shared" si="68"/>
        <v>#VALUE!</v>
      </c>
      <c r="AC258" s="60" t="str">
        <f t="shared" si="69"/>
        <v/>
      </c>
      <c r="AD258" s="61">
        <f t="shared" si="70"/>
        <v>0</v>
      </c>
      <c r="AE258" s="69">
        <f t="shared" si="71"/>
        <v>0</v>
      </c>
      <c r="AF258" s="36" t="str">
        <f>[4]Sayfa1!$AP254</f>
        <v>(III) Birden fazla aynı araçta karşılaşılan arıza</v>
      </c>
      <c r="AG258" s="33" t="str">
        <f>IF([4]Sayfa1!$J254="C-Uyarı, sürüş devamlılığı","Bu Arıza Aracın Servise Verilmesine Engel Değil","Bu Arıza Aracın Servise Verilmesine Engel")</f>
        <v>Bu Arıza Aracın Servise Verilmesine Engel Değil</v>
      </c>
      <c r="AH258" s="41" t="str">
        <f>[4]Sayfa1!$AB254</f>
        <v>Ekipman değiştirilecek</v>
      </c>
      <c r="AI258" s="60"/>
      <c r="AJ258" s="60"/>
      <c r="AK258" s="69">
        <f t="shared" si="72"/>
        <v>0</v>
      </c>
      <c r="AL258" s="71" t="e">
        <f t="shared" si="73"/>
        <v>#VALUE!</v>
      </c>
      <c r="AM258" s="71" t="e">
        <f t="shared" si="74"/>
        <v>#VALUE!</v>
      </c>
      <c r="AN258" s="72">
        <f t="shared" si="75"/>
        <v>0</v>
      </c>
      <c r="AO258" s="73" t="str">
        <f>[4]Sayfa1!$X254</f>
        <v>E840-7120</v>
      </c>
      <c r="AP258" s="72">
        <f>[4]Sayfa1!$Y254</f>
        <v>1</v>
      </c>
      <c r="AQ258" s="184" t="str">
        <f>[4]Sayfa1!$V254</f>
        <v>ATAK ULAŞIM SAN.TİC.LTD.ŞTİ.</v>
      </c>
      <c r="AR258" s="74" t="str">
        <f>[4]Sayfa1!$W254</f>
        <v>28.6" EKRAN</v>
      </c>
      <c r="AS258" s="74">
        <f>[4]Sayfa1!$AD254</f>
        <v>0</v>
      </c>
      <c r="AT258" s="60" t="str">
        <f>[4]Sayfa1!$AE254</f>
        <v/>
      </c>
      <c r="AU258" s="60" t="str">
        <f>[4]Sayfa1!$AH254</f>
        <v/>
      </c>
      <c r="AV258" s="75">
        <v>253</v>
      </c>
      <c r="AW258" s="76" t="e">
        <f t="shared" si="76"/>
        <v>#VALUE!</v>
      </c>
      <c r="AX258" s="77" t="str">
        <f>[4]Sayfa1!$A254</f>
        <v>97b2537c</v>
      </c>
      <c r="AY258" s="78" t="s">
        <v>114</v>
      </c>
      <c r="AZ258" s="79" t="e" vm="1">
        <f t="shared" si="77"/>
        <v>#VALUE!</v>
      </c>
    </row>
    <row r="259" spans="1:52" ht="148.15">
      <c r="A259" s="59" t="s">
        <v>314</v>
      </c>
      <c r="B259" s="59" t="str">
        <f>[4]Sayfa1!$G255</f>
        <v>3877(6)</v>
      </c>
      <c r="C259" s="184" t="str">
        <f>[4]Sayfa1!$H255</f>
        <v>P</v>
      </c>
      <c r="D259" s="24">
        <f>[4]Sayfa1!$N255</f>
        <v>54200</v>
      </c>
      <c r="E259" s="24" t="str">
        <f>[4]Sayfa1!$B255</f>
        <v>BOZ-KAY5+6-FF-254</v>
      </c>
      <c r="F259" s="60">
        <f>[4]Sayfa1!$E255</f>
        <v>45513</v>
      </c>
      <c r="G259" s="61">
        <f>[4]Sayfa1!$F255</f>
        <v>45513.838194444441</v>
      </c>
      <c r="H259" s="59" t="str">
        <f>[4]Sayfa1!$I255</f>
        <v>Hat/Line</v>
      </c>
      <c r="I259" s="62" t="str">
        <f>IF([4]Sayfa1!$K255="SSH","Notified by Bozankaya","Notified by Customer")</f>
        <v>Notified by Customer</v>
      </c>
      <c r="J259" s="59" t="e">
        <f>VLOOKUP([4]Sayfa1!$AU255,#REF!,2,FALSE)</f>
        <v>#REF!</v>
      </c>
      <c r="K259" s="59">
        <f>[4]Sayfa1!$AC255</f>
        <v>0</v>
      </c>
      <c r="L259" s="63" t="str">
        <f t="shared" si="65"/>
        <v>KAY_5+206-BOZ-KAY5+6-FF-254</v>
      </c>
      <c r="M259" s="64" t="str">
        <f>[4]Sayfa1!$L255</f>
        <v>TREYLER BOJİ HPU ÇALIŞMIYOR(FB09 Error Motor)</v>
      </c>
      <c r="N259" s="33" t="str">
        <f>[4]Sayfa1!$J255</f>
        <v>A-Sürüşü engeller</v>
      </c>
      <c r="O259" s="33" t="str">
        <f>[4]Sayfa1!$P255</f>
        <v>A(Hareket etmeyi engelleyen arıza)</v>
      </c>
      <c r="P259" s="33" t="str">
        <f>[4]Sayfa1!$Q255</f>
        <v>N.A(Yaralanma yok)</v>
      </c>
      <c r="Q259" s="65" t="str" cm="1">
        <f t="array" ref="Q259">_xlfn.IFS([4]Sayfa1!$R255="Bozankaya","Bozankaya",[4]Sayfa1!$R255="İşletme","Customer",[4]Sayfa1!$R255="Tedarikçi","Equipment Supplier")</f>
        <v>Equipment Supplier</v>
      </c>
      <c r="R259" s="66" t="str">
        <f>[4]Sayfa1!$M255</f>
        <v>HPU değişimi yapıldı</v>
      </c>
      <c r="S259" s="36" t="str">
        <f>[4]Sayfa1!$S255</f>
        <v>Knorr</v>
      </c>
      <c r="T259" s="67">
        <f>[4]Sayfa1!$Z255</f>
        <v>10075474</v>
      </c>
      <c r="U259" s="68">
        <f>[4]Sayfa1!$AN255</f>
        <v>2</v>
      </c>
      <c r="V259" s="60">
        <f>[4]Sayfa1!$T255</f>
        <v>45514</v>
      </c>
      <c r="W259" s="61">
        <f>[4]Sayfa1!$U255</f>
        <v>45514.333333333336</v>
      </c>
      <c r="X259" s="69">
        <f t="shared" si="66"/>
        <v>45514.333333333336</v>
      </c>
      <c r="Y259" s="70">
        <f>[4]Sayfa1!$AQ255</f>
        <v>45514</v>
      </c>
      <c r="Z259" s="61">
        <f>[4]Sayfa1!$AR255</f>
        <v>45514.625</v>
      </c>
      <c r="AA259" s="69">
        <f t="shared" si="67"/>
        <v>45514.625</v>
      </c>
      <c r="AB259" s="71">
        <f t="shared" si="68"/>
        <v>6.9999999999417923</v>
      </c>
      <c r="AC259" s="60">
        <f t="shared" si="69"/>
        <v>45514</v>
      </c>
      <c r="AD259" s="61">
        <f t="shared" si="70"/>
        <v>45514.625</v>
      </c>
      <c r="AE259" s="69">
        <f t="shared" si="71"/>
        <v>45514.625</v>
      </c>
      <c r="AF259" s="36" t="str">
        <f>[4]Sayfa1!$AP255</f>
        <v>(III) Birden fazla aynı araçta karşılaşılan arıza</v>
      </c>
      <c r="AG259" s="33" t="str">
        <f>IF([4]Sayfa1!$J255="C-Uyarı, sürüş devamlılığı","Bu Arıza Aracın Servise Verilmesine Engel Değil","Bu Arıza Aracın Servise Verilmesine Engel")</f>
        <v>Bu Arıza Aracın Servise Verilmesine Engel</v>
      </c>
      <c r="AH259" s="41" t="str">
        <f>[4]Sayfa1!$AB255</f>
        <v>Ekipman değiştirilecek</v>
      </c>
      <c r="AI259" s="60"/>
      <c r="AJ259" s="60"/>
      <c r="AK259" s="69">
        <f t="shared" si="72"/>
        <v>0</v>
      </c>
      <c r="AL259" s="71">
        <f t="shared" si="73"/>
        <v>419.99999999650754</v>
      </c>
      <c r="AM259" s="71">
        <f t="shared" si="74"/>
        <v>419.99999999650754</v>
      </c>
      <c r="AN259" s="72">
        <f t="shared" si="75"/>
        <v>0</v>
      </c>
      <c r="AO259" s="73" t="str">
        <f>[4]Sayfa1!$X255</f>
        <v>S306-7002</v>
      </c>
      <c r="AP259" s="72">
        <f>[4]Sayfa1!$Y255</f>
        <v>1</v>
      </c>
      <c r="AQ259" s="184" t="str">
        <f>[4]Sayfa1!$V255</f>
        <v>HANNING &amp; KAHL GMBH &amp; CO.KG</v>
      </c>
      <c r="AR259" s="74" t="str">
        <f>[4]Sayfa1!$W255</f>
        <v>XHidrolik Ünite HZY-K140-PR</v>
      </c>
      <c r="AS259" s="74">
        <f>[4]Sayfa1!$AD255</f>
        <v>0</v>
      </c>
      <c r="AT259" s="60" t="str">
        <f>[4]Sayfa1!$AE255</f>
        <v/>
      </c>
      <c r="AU259" s="60" t="str">
        <f>[4]Sayfa1!$AH255</f>
        <v/>
      </c>
      <c r="AV259" s="75">
        <v>254</v>
      </c>
      <c r="AW259" s="76">
        <f t="shared" si="76"/>
        <v>153.99999999871943</v>
      </c>
      <c r="AX259" s="77" t="str">
        <f>[4]Sayfa1!$A255</f>
        <v>738f0cd9</v>
      </c>
      <c r="AY259" s="78" t="s">
        <v>114</v>
      </c>
      <c r="AZ259" s="79" t="e" vm="1">
        <f t="shared" si="77"/>
        <v>#VALUE!</v>
      </c>
    </row>
    <row r="260" spans="1:52" ht="148.15">
      <c r="A260" s="59" t="s">
        <v>315</v>
      </c>
      <c r="B260" s="59" t="str">
        <f>[4]Sayfa1!$G256</f>
        <v>3872(1)</v>
      </c>
      <c r="C260" s="184" t="str">
        <f>[4]Sayfa1!$H256</f>
        <v>MA</v>
      </c>
      <c r="D260" s="24">
        <f>[4]Sayfa1!$N256</f>
        <v>76998</v>
      </c>
      <c r="E260" s="24" t="str">
        <f>[4]Sayfa1!$B256</f>
        <v>BOZ-KAY5+6-FF-255</v>
      </c>
      <c r="F260" s="60">
        <f>[4]Sayfa1!$E256</f>
        <v>45516</v>
      </c>
      <c r="G260" s="61">
        <f>[4]Sayfa1!$F256</f>
        <v>45516.298611111109</v>
      </c>
      <c r="H260" s="59" t="str">
        <f>[4]Sayfa1!$I256</f>
        <v>Hat/Line</v>
      </c>
      <c r="I260" s="62" t="str">
        <f>IF([4]Sayfa1!$K256="SSH","Notified by Bozankaya","Notified by Customer")</f>
        <v>Notified by Customer</v>
      </c>
      <c r="J260" s="59" t="e">
        <f>VLOOKUP([4]Sayfa1!$AU256,#REF!,2,FALSE)</f>
        <v>#REF!</v>
      </c>
      <c r="K260" s="59">
        <f>[4]Sayfa1!$AC256</f>
        <v>0</v>
      </c>
      <c r="L260" s="63" t="str">
        <f t="shared" si="65"/>
        <v>KAY_5+207-BOZ-KAY5+6-FF-255</v>
      </c>
      <c r="M260" s="64" t="str">
        <f>[4]Sayfa1!$L256</f>
        <v>02 nolu kapı arızalı açılıp kapanmıyor</v>
      </c>
      <c r="N260" s="33" t="str">
        <f>[4]Sayfa1!$J256</f>
        <v>C-Uyarı, sürüş devamlılığı</v>
      </c>
      <c r="O260" s="33" t="str">
        <f>[4]Sayfa1!$P256</f>
        <v>B(Servisten çekmeye etki eden arızalar)</v>
      </c>
      <c r="P260" s="33" t="str">
        <f>[4]Sayfa1!$Q256</f>
        <v>N.A(Yaralanma yok)</v>
      </c>
      <c r="Q260" s="65" t="str" cm="1">
        <f t="array" ref="Q260">_xlfn.IFS([4]Sayfa1!$R256="Bozankaya","Bozankaya",[4]Sayfa1!$R256="İşletme","Customer",[4]Sayfa1!$R256="Tedarikçi","Equipment Supplier")</f>
        <v>Equipment Supplier</v>
      </c>
      <c r="R260" s="66" t="str">
        <f>[4]Sayfa1!$M256</f>
        <v>Kapı izolesi kaldırıldı.Testi yapıldı.Sorun görülmedi</v>
      </c>
      <c r="S260" s="36" t="str">
        <f>[4]Sayfa1!$S256</f>
        <v>IFE</v>
      </c>
      <c r="T260" s="67">
        <f>[4]Sayfa1!$Z256</f>
        <v>0</v>
      </c>
      <c r="U260" s="68">
        <f>[4]Sayfa1!$AN256</f>
        <v>0</v>
      </c>
      <c r="V260" s="60">
        <f>[4]Sayfa1!$T256</f>
        <v>45538</v>
      </c>
      <c r="W260" s="61">
        <f>[4]Sayfa1!$U256</f>
        <v>45538.39335648148</v>
      </c>
      <c r="X260" s="69">
        <f t="shared" si="66"/>
        <v>45538.39335648148</v>
      </c>
      <c r="Y260" s="70" t="str">
        <f>[4]Sayfa1!$AQ256</f>
        <v/>
      </c>
      <c r="Z260" s="61">
        <f>[4]Sayfa1!$AR256</f>
        <v>0</v>
      </c>
      <c r="AA260" s="69">
        <f t="shared" si="67"/>
        <v>0</v>
      </c>
      <c r="AB260" s="71" t="e">
        <f t="shared" si="68"/>
        <v>#VALUE!</v>
      </c>
      <c r="AC260" s="60" t="str">
        <f t="shared" si="69"/>
        <v/>
      </c>
      <c r="AD260" s="61">
        <f t="shared" si="70"/>
        <v>0</v>
      </c>
      <c r="AE260" s="69">
        <f t="shared" si="71"/>
        <v>0</v>
      </c>
      <c r="AF260" s="36" t="str">
        <f>[4]Sayfa1!$AP256</f>
        <v>(III) Birden fazla aynı araçta karşılaşılan arıza</v>
      </c>
      <c r="AG260" s="33" t="str">
        <f>IF([4]Sayfa1!$J256="C-Uyarı, sürüş devamlılığı","Bu Arıza Aracın Servise Verilmesine Engel Değil","Bu Arıza Aracın Servise Verilmesine Engel")</f>
        <v>Bu Arıza Aracın Servise Verilmesine Engel Değil</v>
      </c>
      <c r="AH260" s="41" t="str">
        <f>[4]Sayfa1!$AB256</f>
        <v>Arıza çözülecek</v>
      </c>
      <c r="AI260" s="60"/>
      <c r="AJ260" s="60"/>
      <c r="AK260" s="69">
        <f t="shared" si="72"/>
        <v>0</v>
      </c>
      <c r="AL260" s="71" t="e">
        <f t="shared" si="73"/>
        <v>#VALUE!</v>
      </c>
      <c r="AM260" s="71" t="e">
        <f t="shared" si="74"/>
        <v>#VALUE!</v>
      </c>
      <c r="AN260" s="72">
        <f t="shared" si="75"/>
        <v>0</v>
      </c>
      <c r="AO260" s="73" t="str">
        <f>[4]Sayfa1!$X256</f>
        <v>M110-7085</v>
      </c>
      <c r="AP260" s="72">
        <f>[4]Sayfa1!$Y256</f>
        <v>0</v>
      </c>
      <c r="AQ260" s="184" t="str">
        <f>[4]Sayfa1!$V256</f>
        <v>KNORR-BREMSE GMBH DİVİSİON IFE AUTO</v>
      </c>
      <c r="AR260" s="74" t="str">
        <f>[4]Sayfa1!$W256</f>
        <v>TEKLİ KAPI</v>
      </c>
      <c r="AS260" s="74">
        <f>[4]Sayfa1!$AD256</f>
        <v>0</v>
      </c>
      <c r="AT260" s="60" t="str">
        <f>[4]Sayfa1!$AE256</f>
        <v/>
      </c>
      <c r="AU260" s="60" t="str">
        <f>[4]Sayfa1!$AH256</f>
        <v/>
      </c>
      <c r="AV260" s="75">
        <v>255</v>
      </c>
      <c r="AW260" s="76" t="e">
        <f t="shared" si="76"/>
        <v>#VALUE!</v>
      </c>
      <c r="AX260" s="77" t="str">
        <f>[4]Sayfa1!$A256</f>
        <v>e353fcef</v>
      </c>
      <c r="AY260" s="78" t="s">
        <v>114</v>
      </c>
      <c r="AZ260" s="79" t="e" vm="1">
        <f t="shared" si="77"/>
        <v>#VALUE!</v>
      </c>
    </row>
    <row r="261" spans="1:52" ht="211.15">
      <c r="A261" s="59" t="s">
        <v>316</v>
      </c>
      <c r="B261" s="59" t="str">
        <f>[4]Sayfa1!$G257</f>
        <v>3875(4)</v>
      </c>
      <c r="C261" s="184" t="str">
        <f>[4]Sayfa1!$H257</f>
        <v>MA</v>
      </c>
      <c r="D261" s="24">
        <f>[4]Sayfa1!$N257</f>
        <v>54912</v>
      </c>
      <c r="E261" s="24" t="str">
        <f>[4]Sayfa1!$B257</f>
        <v>BOZ-KAY5+6-FF-256</v>
      </c>
      <c r="F261" s="60">
        <f>[4]Sayfa1!$E257</f>
        <v>45517</v>
      </c>
      <c r="G261" s="61">
        <f>[4]Sayfa1!$F257</f>
        <v>45517.387499999997</v>
      </c>
      <c r="H261" s="59" t="str">
        <f>[4]Sayfa1!$I257</f>
        <v>Depo/Depot</v>
      </c>
      <c r="I261" s="62" t="str">
        <f>IF([4]Sayfa1!$K257="SSH","Notified by Bozankaya","Notified by Customer")</f>
        <v>Notified by Customer</v>
      </c>
      <c r="J261" s="59" t="e">
        <f>VLOOKUP([4]Sayfa1!$AU257,#REF!,2,FALSE)</f>
        <v>#REF!</v>
      </c>
      <c r="K261" s="59">
        <f>[4]Sayfa1!$AC257</f>
        <v>0</v>
      </c>
      <c r="L261" s="63" t="str">
        <f t="shared" si="65"/>
        <v>KAY_5+208-BOZ-KAY5+6-FF-256</v>
      </c>
      <c r="M261" s="64" t="str">
        <f>[4]Sayfa1!$L257</f>
        <v>Makinist koltuğu fonksiyon butonu düşmüş</v>
      </c>
      <c r="N261" s="33" t="str">
        <f>[4]Sayfa1!$J257</f>
        <v>C-Uyarı, sürüş devamlılığı</v>
      </c>
      <c r="O261" s="33" t="str">
        <f>[4]Sayfa1!$P257</f>
        <v>C(Sisteme etki etmeyen arıza)</v>
      </c>
      <c r="P261" s="33" t="str">
        <f>[4]Sayfa1!$Q257</f>
        <v>N.A(Yaralanma yok)</v>
      </c>
      <c r="Q261" s="65" t="str" cm="1">
        <f t="array" ref="Q261">_xlfn.IFS([4]Sayfa1!$R257="Bozankaya","Bozankaya",[4]Sayfa1!$R257="İşletme","Customer",[4]Sayfa1!$R257="Tedarikçi","Equipment Supplier")</f>
        <v>Bozankaya</v>
      </c>
      <c r="R261" s="66">
        <f>[4]Sayfa1!$M257</f>
        <v>0</v>
      </c>
      <c r="S261" s="36" t="str">
        <f>[4]Sayfa1!$S257</f>
        <v>Tasarım</v>
      </c>
      <c r="T261" s="67">
        <f>[4]Sayfa1!$Z257</f>
        <v>0</v>
      </c>
      <c r="U261" s="68">
        <f>[4]Sayfa1!$AN257</f>
        <v>0</v>
      </c>
      <c r="V261" s="60">
        <f>[4]Sayfa1!$T257</f>
        <v>45517</v>
      </c>
      <c r="W261" s="61">
        <f>[4]Sayfa1!$U257</f>
        <v>45517.402083333334</v>
      </c>
      <c r="X261" s="69">
        <f t="shared" si="66"/>
        <v>45517.402083333334</v>
      </c>
      <c r="Y261" s="70" t="str">
        <f>[4]Sayfa1!$AQ257</f>
        <v/>
      </c>
      <c r="Z261" s="61">
        <f>[4]Sayfa1!$AR257</f>
        <v>0</v>
      </c>
      <c r="AA261" s="69">
        <f t="shared" si="67"/>
        <v>0</v>
      </c>
      <c r="AB261" s="71" t="e">
        <f t="shared" si="68"/>
        <v>#VALUE!</v>
      </c>
      <c r="AC261" s="60" t="str">
        <f t="shared" si="69"/>
        <v/>
      </c>
      <c r="AD261" s="61">
        <f t="shared" si="70"/>
        <v>0</v>
      </c>
      <c r="AE261" s="69">
        <f t="shared" si="71"/>
        <v>0</v>
      </c>
      <c r="AF261" s="36" t="str">
        <f>[4]Sayfa1!$AP257</f>
        <v>(I) İlk defa karşılaşılan arıza</v>
      </c>
      <c r="AG261" s="33" t="str">
        <f>IF([4]Sayfa1!$J257="C-Uyarı, sürüş devamlılığı","Bu Arıza Aracın Servise Verilmesine Engel Değil","Bu Arıza Aracın Servise Verilmesine Engel")</f>
        <v>Bu Arıza Aracın Servise Verilmesine Engel Değil</v>
      </c>
      <c r="AH261" s="41" t="str">
        <f>[4]Sayfa1!$AB257</f>
        <v>Ekipman değiştirilecek</v>
      </c>
      <c r="AI261" s="60"/>
      <c r="AJ261" s="60"/>
      <c r="AK261" s="69">
        <f t="shared" si="72"/>
        <v>0</v>
      </c>
      <c r="AL261" s="71" t="e">
        <f t="shared" si="73"/>
        <v>#VALUE!</v>
      </c>
      <c r="AM261" s="71" t="e">
        <f t="shared" si="74"/>
        <v>#VALUE!</v>
      </c>
      <c r="AN261" s="72">
        <f t="shared" si="75"/>
        <v>0</v>
      </c>
      <c r="AO261" s="73" t="str">
        <f>[4]Sayfa1!$X257</f>
        <v>T155-7113</v>
      </c>
      <c r="AP261" s="72">
        <f>[4]Sayfa1!$Y257</f>
        <v>1</v>
      </c>
      <c r="AQ261" s="184" t="str">
        <f>[4]Sayfa1!$V257</f>
        <v>Bozankaya</v>
      </c>
      <c r="AR261" s="74" t="str">
        <f>[4]Sayfa1!$W257</f>
        <v>Makinist koltuğu fonksiyon butonu</v>
      </c>
      <c r="AS261" s="74">
        <f>[4]Sayfa1!$AD257</f>
        <v>0</v>
      </c>
      <c r="AT261" s="60" t="str">
        <f>[4]Sayfa1!$AE257</f>
        <v/>
      </c>
      <c r="AU261" s="60" t="str">
        <f>[4]Sayfa1!$AH257</f>
        <v/>
      </c>
      <c r="AV261" s="75">
        <v>256</v>
      </c>
      <c r="AW261" s="76" t="e">
        <f t="shared" si="76"/>
        <v>#VALUE!</v>
      </c>
      <c r="AX261" s="77" t="str">
        <f>[4]Sayfa1!$A257</f>
        <v>74858ee1</v>
      </c>
      <c r="AY261" s="78" t="s">
        <v>114</v>
      </c>
      <c r="AZ261" s="79" t="e" vm="1">
        <f t="shared" si="77"/>
        <v>#VALUE!</v>
      </c>
    </row>
    <row r="262" spans="1:52" ht="248.45">
      <c r="A262" s="59" t="s">
        <v>317</v>
      </c>
      <c r="B262" s="59" t="str">
        <f>[4]Sayfa1!$G258</f>
        <v>3882(11)</v>
      </c>
      <c r="C262" s="184" t="str">
        <f>[4]Sayfa1!$H258</f>
        <v>RA</v>
      </c>
      <c r="D262" s="24">
        <f>[4]Sayfa1!$N258</f>
        <v>13900</v>
      </c>
      <c r="E262" s="24" t="str">
        <f>[4]Sayfa1!$B258</f>
        <v>BOZ-KAY5+6-FF-257</v>
      </c>
      <c r="F262" s="60">
        <f>[4]Sayfa1!$E258</f>
        <v>45517</v>
      </c>
      <c r="G262" s="61">
        <f>[4]Sayfa1!$F258</f>
        <v>45517.599999999999</v>
      </c>
      <c r="H262" s="59" t="str">
        <f>[4]Sayfa1!$I258</f>
        <v>Hat/Line</v>
      </c>
      <c r="I262" s="62" t="str">
        <f>IF([4]Sayfa1!$K258="SSH","Notified by Bozankaya","Notified by Customer")</f>
        <v>Notified by Customer</v>
      </c>
      <c r="J262" s="59" t="e">
        <f>VLOOKUP([4]Sayfa1!$AU258,#REF!,2,FALSE)</f>
        <v>#REF!</v>
      </c>
      <c r="K262" s="59">
        <f>[4]Sayfa1!$AC258</f>
        <v>0</v>
      </c>
      <c r="L262" s="63" t="str">
        <f t="shared" si="65"/>
        <v>KAY_5+209-BOZ-KAY5+6-FF-257</v>
      </c>
      <c r="M262" s="64" t="str">
        <f>[4]Sayfa1!$L258</f>
        <v>13/08/2024 Tarihinde gerçekleştirilen saha denetiminde 3882 nolu araçta kapı üstü bilgilendirmenin aktif olmadığı tespit edilmiştir</v>
      </c>
      <c r="N262" s="33" t="str">
        <f>[4]Sayfa1!$J258</f>
        <v>C-Uyarı, sürüş devamlılığı</v>
      </c>
      <c r="O262" s="33" t="str">
        <f>[4]Sayfa1!$P258</f>
        <v>C(Sisteme etki etmeyen arıza)</v>
      </c>
      <c r="P262" s="33" t="str">
        <f>[4]Sayfa1!$Q258</f>
        <v>N.A(Yaralanma yok)</v>
      </c>
      <c r="Q262" s="65" t="str" cm="1">
        <f t="array" ref="Q262">_xlfn.IFS([4]Sayfa1!$R258="Bozankaya","Bozankaya",[4]Sayfa1!$R258="İşletme","Customer",[4]Sayfa1!$R258="Tedarikçi","Equipment Supplier")</f>
        <v>Equipment Supplier</v>
      </c>
      <c r="R262" s="66" t="str">
        <f>[4]Sayfa1!$M258</f>
        <v>kontrol edildi sorun görülmedi</v>
      </c>
      <c r="S262" s="36" t="str">
        <f>[4]Sayfa1!$S258</f>
        <v>Atak</v>
      </c>
      <c r="T262" s="67">
        <f>[4]Sayfa1!$Z258</f>
        <v>0</v>
      </c>
      <c r="U262" s="68">
        <f>[4]Sayfa1!$AN258</f>
        <v>0</v>
      </c>
      <c r="V262" s="60">
        <f>[4]Sayfa1!$T258</f>
        <v>45517</v>
      </c>
      <c r="W262" s="61">
        <f>[4]Sayfa1!$U258</f>
        <v>45517.666666666664</v>
      </c>
      <c r="X262" s="69">
        <f t="shared" si="66"/>
        <v>45517.666666666664</v>
      </c>
      <c r="Y262" s="70" t="str">
        <f>[4]Sayfa1!$AQ258</f>
        <v/>
      </c>
      <c r="Z262" s="61">
        <f>[4]Sayfa1!$AR258</f>
        <v>0</v>
      </c>
      <c r="AA262" s="69">
        <f t="shared" si="67"/>
        <v>0</v>
      </c>
      <c r="AB262" s="71" t="e">
        <f t="shared" si="68"/>
        <v>#VALUE!</v>
      </c>
      <c r="AC262" s="60" t="str">
        <f t="shared" si="69"/>
        <v/>
      </c>
      <c r="AD262" s="61">
        <f t="shared" si="70"/>
        <v>0</v>
      </c>
      <c r="AE262" s="69">
        <f t="shared" si="71"/>
        <v>0</v>
      </c>
      <c r="AF262" s="36" t="str">
        <f>[4]Sayfa1!$AP258</f>
        <v>(III) Birden fazla aynı araçta karşılaşılan arıza</v>
      </c>
      <c r="AG262" s="33" t="str">
        <f>IF([4]Sayfa1!$J258="C-Uyarı, sürüş devamlılığı","Bu Arıza Aracın Servise Verilmesine Engel Değil","Bu Arıza Aracın Servise Verilmesine Engel")</f>
        <v>Bu Arıza Aracın Servise Verilmesine Engel Değil</v>
      </c>
      <c r="AH262" s="41">
        <f>[4]Sayfa1!$AB258</f>
        <v>0</v>
      </c>
      <c r="AI262" s="60"/>
      <c r="AJ262" s="60"/>
      <c r="AK262" s="69">
        <f t="shared" si="72"/>
        <v>0</v>
      </c>
      <c r="AL262" s="71" t="e">
        <f t="shared" si="73"/>
        <v>#VALUE!</v>
      </c>
      <c r="AM262" s="71" t="e">
        <f t="shared" si="74"/>
        <v>#VALUE!</v>
      </c>
      <c r="AN262" s="72">
        <f t="shared" si="75"/>
        <v>0</v>
      </c>
      <c r="AO262" s="73">
        <f>[4]Sayfa1!$X258</f>
        <v>0</v>
      </c>
      <c r="AP262" s="72">
        <f>[4]Sayfa1!$Y258</f>
        <v>0</v>
      </c>
      <c r="AQ262" s="184" t="str">
        <f>[4]Sayfa1!$V258</f>
        <v>ATAK ULAŞIM SAN.TİC.LTD.ŞTİ.</v>
      </c>
      <c r="AR262" s="74" t="str">
        <f>[4]Sayfa1!$W258</f>
        <v>STRETCH LCD EKRAN</v>
      </c>
      <c r="AS262" s="74">
        <f>[4]Sayfa1!$AD258</f>
        <v>0</v>
      </c>
      <c r="AT262" s="60" t="str">
        <f>[4]Sayfa1!$AE258</f>
        <v/>
      </c>
      <c r="AU262" s="60" t="str">
        <f>[4]Sayfa1!$AH258</f>
        <v/>
      </c>
      <c r="AV262" s="75">
        <v>257</v>
      </c>
      <c r="AW262" s="76" t="e">
        <f t="shared" si="76"/>
        <v>#VALUE!</v>
      </c>
      <c r="AX262" s="77" t="str">
        <f>[4]Sayfa1!$A258</f>
        <v>64dfb836</v>
      </c>
      <c r="AY262" s="78" t="s">
        <v>114</v>
      </c>
      <c r="AZ262" s="79" t="e" vm="1">
        <f t="shared" si="77"/>
        <v>#VALUE!</v>
      </c>
    </row>
    <row r="263" spans="1:52" ht="148.15">
      <c r="A263" s="59" t="s">
        <v>318</v>
      </c>
      <c r="B263" s="59" t="str">
        <f>[4]Sayfa1!$G259</f>
        <v>3872(1)</v>
      </c>
      <c r="C263" s="184" t="str">
        <f>[4]Sayfa1!$H259</f>
        <v>MA</v>
      </c>
      <c r="D263" s="24">
        <f>[4]Sayfa1!$N259</f>
        <v>77200</v>
      </c>
      <c r="E263" s="24" t="str">
        <f>[4]Sayfa1!$B259</f>
        <v>BOZ-KAY5+6-FF-258</v>
      </c>
      <c r="F263" s="60">
        <f>[4]Sayfa1!$E259</f>
        <v>45517</v>
      </c>
      <c r="G263" s="61">
        <f>[4]Sayfa1!$F259</f>
        <v>45517.807638888888</v>
      </c>
      <c r="H263" s="59" t="str">
        <f>[4]Sayfa1!$I259</f>
        <v>Hat/Line</v>
      </c>
      <c r="I263" s="62" t="str">
        <f>IF([4]Sayfa1!$K259="SSH","Notified by Bozankaya","Notified by Customer")</f>
        <v>Notified by Customer</v>
      </c>
      <c r="J263" s="59" t="e">
        <f>VLOOKUP([4]Sayfa1!$AU259,#REF!,2,FALSE)</f>
        <v>#REF!</v>
      </c>
      <c r="K263" s="59">
        <f>[4]Sayfa1!$AC259</f>
        <v>0</v>
      </c>
      <c r="L263" s="63" t="str">
        <f t="shared" si="65"/>
        <v>KAY_5+210-BOZ-KAY5+6-FF-258</v>
      </c>
      <c r="M263" s="64" t="str">
        <f>[4]Sayfa1!$L259</f>
        <v>ayna kameralar çalışmıyor</v>
      </c>
      <c r="N263" s="33" t="str">
        <f>[4]Sayfa1!$J259</f>
        <v>C-Uyarı, sürüş devamlılığı</v>
      </c>
      <c r="O263" s="33" t="str">
        <f>[4]Sayfa1!$P259</f>
        <v>C(Sisteme etki etmeyen arıza)</v>
      </c>
      <c r="P263" s="33" t="str">
        <f>[4]Sayfa1!$Q259</f>
        <v>N.A(Yaralanma yok)</v>
      </c>
      <c r="Q263" s="65" t="str" cm="1">
        <f t="array" ref="Q263">_xlfn.IFS([4]Sayfa1!$R259="Bozankaya","Bozankaya",[4]Sayfa1!$R259="İşletme","Customer",[4]Sayfa1!$R259="Tedarikçi","Equipment Supplier")</f>
        <v>Equipment Supplier</v>
      </c>
      <c r="R263" s="66" t="str">
        <f>[4]Sayfa1!$M259</f>
        <v>Araç numaraları yanlış girilmiş düzeltildi</v>
      </c>
      <c r="S263" s="36" t="str">
        <f>[4]Sayfa1!$S259</f>
        <v>NSC</v>
      </c>
      <c r="T263" s="67">
        <f>[4]Sayfa1!$Z259</f>
        <v>0</v>
      </c>
      <c r="U263" s="68">
        <f>[4]Sayfa1!$AN259</f>
        <v>0</v>
      </c>
      <c r="V263" s="60">
        <f>[4]Sayfa1!$T259</f>
        <v>45518</v>
      </c>
      <c r="W263" s="61">
        <f>[4]Sayfa1!$U259</f>
        <v>45518.587210648147</v>
      </c>
      <c r="X263" s="69">
        <f t="shared" si="66"/>
        <v>45518.587210648147</v>
      </c>
      <c r="Y263" s="70" t="str">
        <f>[4]Sayfa1!$AQ259</f>
        <v/>
      </c>
      <c r="Z263" s="61">
        <f>[4]Sayfa1!$AR259</f>
        <v>0</v>
      </c>
      <c r="AA263" s="69">
        <f t="shared" si="67"/>
        <v>0</v>
      </c>
      <c r="AB263" s="71" t="e">
        <f t="shared" si="68"/>
        <v>#VALUE!</v>
      </c>
      <c r="AC263" s="60" t="str">
        <f t="shared" si="69"/>
        <v/>
      </c>
      <c r="AD263" s="61">
        <f t="shared" si="70"/>
        <v>0</v>
      </c>
      <c r="AE263" s="69">
        <f t="shared" si="71"/>
        <v>0</v>
      </c>
      <c r="AF263" s="36" t="str">
        <f>[4]Sayfa1!$AP259</f>
        <v>(II) Birden fazla karşılaşılan arıza</v>
      </c>
      <c r="AG263" s="33" t="str">
        <f>IF([4]Sayfa1!$J259="C-Uyarı, sürüş devamlılığı","Bu Arıza Aracın Servise Verilmesine Engel Değil","Bu Arıza Aracın Servise Verilmesine Engel")</f>
        <v>Bu Arıza Aracın Servise Verilmesine Engel Değil</v>
      </c>
      <c r="AH263" s="41">
        <f>[4]Sayfa1!$AB259</f>
        <v>0</v>
      </c>
      <c r="AI263" s="60"/>
      <c r="AJ263" s="60"/>
      <c r="AK263" s="69">
        <f t="shared" si="72"/>
        <v>0</v>
      </c>
      <c r="AL263" s="71" t="e">
        <f t="shared" si="73"/>
        <v>#VALUE!</v>
      </c>
      <c r="AM263" s="71" t="e">
        <f t="shared" si="74"/>
        <v>#VALUE!</v>
      </c>
      <c r="AN263" s="72">
        <f t="shared" si="75"/>
        <v>0</v>
      </c>
      <c r="AO263" s="73" t="str">
        <f>[4]Sayfa1!$X259</f>
        <v>E810-7145</v>
      </c>
      <c r="AP263" s="72">
        <f>[4]Sayfa1!$Y259</f>
        <v>0</v>
      </c>
      <c r="AQ263" s="184" t="str">
        <f>[4]Sayfa1!$V259</f>
        <v>Bozankaya</v>
      </c>
      <c r="AR263" s="74" t="str">
        <f>[4]Sayfa1!$W259</f>
        <v>CCTV EKRANI</v>
      </c>
      <c r="AS263" s="74">
        <f>[4]Sayfa1!$AD259</f>
        <v>0</v>
      </c>
      <c r="AT263" s="60" t="str">
        <f>[4]Sayfa1!$AE259</f>
        <v/>
      </c>
      <c r="AU263" s="60" t="str">
        <f>[4]Sayfa1!$AH259</f>
        <v/>
      </c>
      <c r="AV263" s="75">
        <v>258</v>
      </c>
      <c r="AW263" s="76" t="e">
        <f t="shared" si="76"/>
        <v>#VALUE!</v>
      </c>
      <c r="AX263" s="77" t="str">
        <f>[4]Sayfa1!$A259</f>
        <v>d4a5f505</v>
      </c>
      <c r="AY263" s="78" t="s">
        <v>114</v>
      </c>
      <c r="AZ263" s="79" t="e" vm="1">
        <f t="shared" si="77"/>
        <v>#VALUE!</v>
      </c>
    </row>
    <row r="264" spans="1:52" ht="211.15">
      <c r="A264" s="59" t="s">
        <v>319</v>
      </c>
      <c r="B264" s="59" t="str">
        <f>[4]Sayfa1!$G260</f>
        <v>3873(2)</v>
      </c>
      <c r="C264" s="184" t="str">
        <f>[4]Sayfa1!$H260</f>
        <v>MA</v>
      </c>
      <c r="D264" s="24">
        <f>[4]Sayfa1!$N260</f>
        <v>86500</v>
      </c>
      <c r="E264" s="24" t="str">
        <f>[4]Sayfa1!$B260</f>
        <v>BOZ-KAY5+6-FF-259</v>
      </c>
      <c r="F264" s="60">
        <f>[4]Sayfa1!$E260</f>
        <v>45517</v>
      </c>
      <c r="G264" s="61">
        <f>[4]Sayfa1!$F260</f>
        <v>45517.808333333334</v>
      </c>
      <c r="H264" s="59" t="str">
        <f>[4]Sayfa1!$I260</f>
        <v>Hat/Line</v>
      </c>
      <c r="I264" s="62" t="str">
        <f>IF([4]Sayfa1!$K260="SSH","Notified by Bozankaya","Notified by Customer")</f>
        <v>Notified by Customer</v>
      </c>
      <c r="J264" s="59" t="e">
        <f>VLOOKUP([4]Sayfa1!$AU260,#REF!,2,FALSE)</f>
        <v>#REF!</v>
      </c>
      <c r="K264" s="59">
        <f>[4]Sayfa1!$AC260</f>
        <v>0</v>
      </c>
      <c r="L264" s="63" t="str">
        <f t="shared" si="65"/>
        <v>KAY_5+211-BOZ-KAY5+6-FF-259</v>
      </c>
      <c r="M264" s="64" t="str">
        <f>[4]Sayfa1!$L260</f>
        <v>Ayna kameralar çalışmıyor</v>
      </c>
      <c r="N264" s="33" t="str">
        <f>[4]Sayfa1!$J260</f>
        <v>C-Uyarı, sürüş devamlılığı</v>
      </c>
      <c r="O264" s="33" t="str">
        <f>[4]Sayfa1!$P260</f>
        <v>C(Sisteme etki etmeyen arıza)</v>
      </c>
      <c r="P264" s="33" t="str">
        <f>[4]Sayfa1!$Q260</f>
        <v>N.A(Yaralanma yok)</v>
      </c>
      <c r="Q264" s="65" t="str" cm="1">
        <f t="array" ref="Q264">_xlfn.IFS([4]Sayfa1!$R260="Bozankaya","Bozankaya",[4]Sayfa1!$R260="İşletme","Customer",[4]Sayfa1!$R260="Tedarikçi","Equipment Supplier")</f>
        <v>Equipment Supplier</v>
      </c>
      <c r="R264" s="66" t="str">
        <f>[4]Sayfa1!$M260</f>
        <v>Araç numaraları yanlış girilmiş düzeltildi</v>
      </c>
      <c r="S264" s="36" t="str">
        <f>[4]Sayfa1!$S260</f>
        <v>NSC</v>
      </c>
      <c r="T264" s="67">
        <f>[4]Sayfa1!$Z260</f>
        <v>0</v>
      </c>
      <c r="U264" s="68">
        <f>[4]Sayfa1!$AN260</f>
        <v>0</v>
      </c>
      <c r="V264" s="60">
        <f>[4]Sayfa1!$T260</f>
        <v>45518</v>
      </c>
      <c r="W264" s="61">
        <f>[4]Sayfa1!$U260</f>
        <v>45518.590671296297</v>
      </c>
      <c r="X264" s="69">
        <f t="shared" si="66"/>
        <v>45518.590671296297</v>
      </c>
      <c r="Y264" s="70" t="str">
        <f>[4]Sayfa1!$AQ260</f>
        <v/>
      </c>
      <c r="Z264" s="61">
        <f>[4]Sayfa1!$AR260</f>
        <v>0</v>
      </c>
      <c r="AA264" s="69">
        <f t="shared" si="67"/>
        <v>0</v>
      </c>
      <c r="AB264" s="71" t="e">
        <f t="shared" si="68"/>
        <v>#VALUE!</v>
      </c>
      <c r="AC264" s="60" t="str">
        <f t="shared" si="69"/>
        <v/>
      </c>
      <c r="AD264" s="61">
        <f t="shared" si="70"/>
        <v>0</v>
      </c>
      <c r="AE264" s="69">
        <f t="shared" si="71"/>
        <v>0</v>
      </c>
      <c r="AF264" s="36" t="str">
        <f>[4]Sayfa1!$AP260</f>
        <v>(I) İlk defa karşılaşılan arıza</v>
      </c>
      <c r="AG264" s="33" t="str">
        <f>IF([4]Sayfa1!$J260="C-Uyarı, sürüş devamlılığı","Bu Arıza Aracın Servise Verilmesine Engel Değil","Bu Arıza Aracın Servise Verilmesine Engel")</f>
        <v>Bu Arıza Aracın Servise Verilmesine Engel Değil</v>
      </c>
      <c r="AH264" s="41">
        <f>[4]Sayfa1!$AB260</f>
        <v>0</v>
      </c>
      <c r="AI264" s="60"/>
      <c r="AJ264" s="60"/>
      <c r="AK264" s="69">
        <f t="shared" si="72"/>
        <v>0</v>
      </c>
      <c r="AL264" s="71" t="e">
        <f t="shared" si="73"/>
        <v>#VALUE!</v>
      </c>
      <c r="AM264" s="71" t="e">
        <f t="shared" si="74"/>
        <v>#VALUE!</v>
      </c>
      <c r="AN264" s="72">
        <f t="shared" si="75"/>
        <v>0</v>
      </c>
      <c r="AO264" s="73" t="str">
        <f>[4]Sayfa1!$X260</f>
        <v>E810-7145</v>
      </c>
      <c r="AP264" s="72">
        <f>[4]Sayfa1!$Y260</f>
        <v>0</v>
      </c>
      <c r="AQ264" s="184" t="str">
        <f>[4]Sayfa1!$V260</f>
        <v>Bozankaya</v>
      </c>
      <c r="AR264" s="74" t="str">
        <f>[4]Sayfa1!$W260</f>
        <v>CCTV EKRANI</v>
      </c>
      <c r="AS264" s="74">
        <f>[4]Sayfa1!$AD260</f>
        <v>0</v>
      </c>
      <c r="AT264" s="60" t="str">
        <f>[4]Sayfa1!$AE260</f>
        <v/>
      </c>
      <c r="AU264" s="60" t="str">
        <f>[4]Sayfa1!$AH260</f>
        <v/>
      </c>
      <c r="AV264" s="75">
        <v>259</v>
      </c>
      <c r="AW264" s="76" t="e">
        <f t="shared" si="76"/>
        <v>#VALUE!</v>
      </c>
      <c r="AX264" s="77" t="str">
        <f>[4]Sayfa1!$A260</f>
        <v>9a13166f</v>
      </c>
      <c r="AY264" s="78" t="s">
        <v>114</v>
      </c>
      <c r="AZ264" s="79" t="e" vm="1">
        <f t="shared" si="77"/>
        <v>#VALUE!</v>
      </c>
    </row>
    <row r="265" spans="1:52" ht="193.15">
      <c r="A265" s="59" t="s">
        <v>320</v>
      </c>
      <c r="B265" s="59" t="str">
        <f>[4]Sayfa1!$G261</f>
        <v>3873(2)</v>
      </c>
      <c r="C265" s="184" t="str">
        <f>[4]Sayfa1!$H261</f>
        <v>RA</v>
      </c>
      <c r="D265" s="24">
        <f>[4]Sayfa1!$N261</f>
        <v>86500</v>
      </c>
      <c r="E265" s="24" t="str">
        <f>[4]Sayfa1!$B261</f>
        <v>BOZ-KAY5+6-FF-260</v>
      </c>
      <c r="F265" s="60">
        <f>[4]Sayfa1!$E261</f>
        <v>45517</v>
      </c>
      <c r="G265" s="61">
        <f>[4]Sayfa1!$F261</f>
        <v>45517.80972222222</v>
      </c>
      <c r="H265" s="59" t="str">
        <f>[4]Sayfa1!$I261</f>
        <v>Hat/Line</v>
      </c>
      <c r="I265" s="62" t="str">
        <f>IF([4]Sayfa1!$K261="SSH","Notified by Bozankaya","Notified by Customer")</f>
        <v>Notified by Customer</v>
      </c>
      <c r="J265" s="59" t="e">
        <f>VLOOKUP([4]Sayfa1!$AU261,#REF!,2,FALSE)</f>
        <v>#REF!</v>
      </c>
      <c r="K265" s="59">
        <f>[4]Sayfa1!$AC261</f>
        <v>0</v>
      </c>
      <c r="L265" s="63" t="str">
        <f t="shared" si="65"/>
        <v>KAY_5+212-BOZ-KAY5+6-FF-260</v>
      </c>
      <c r="M265" s="64" t="str">
        <f>[4]Sayfa1!$L261</f>
        <v>Araç içerisindeki engelli butonlarına basıldığında kabin içerisine yüksek sesli uyarı veriyor</v>
      </c>
      <c r="N265" s="33" t="str">
        <f>[4]Sayfa1!$J261</f>
        <v>C-Uyarı, sürüş devamlılığı</v>
      </c>
      <c r="O265" s="33" t="str">
        <f>[4]Sayfa1!$P261</f>
        <v>C(Sisteme etki etmeyen arıza)</v>
      </c>
      <c r="P265" s="33" t="str">
        <f>[4]Sayfa1!$Q261</f>
        <v>N.A(Yaralanma yok)</v>
      </c>
      <c r="Q265" s="65" t="str" cm="1">
        <f t="array" ref="Q265">_xlfn.IFS([4]Sayfa1!$R261="Bozankaya","Bozankaya",[4]Sayfa1!$R261="İşletme","Customer",[4]Sayfa1!$R261="Tedarikçi","Equipment Supplier")</f>
        <v>Equipment Supplier</v>
      </c>
      <c r="R265" s="66" t="str">
        <f>[4]Sayfa1!$M261</f>
        <v>Engelli buzzer kablosu tcms modulünden söküldü</v>
      </c>
      <c r="S265" s="36" t="str">
        <f>[4]Sayfa1!$S261</f>
        <v>Bozankaya</v>
      </c>
      <c r="T265" s="67">
        <f>[4]Sayfa1!$Z261</f>
        <v>0</v>
      </c>
      <c r="U265" s="68">
        <f>[4]Sayfa1!$AN261</f>
        <v>0</v>
      </c>
      <c r="V265" s="60">
        <f>[4]Sayfa1!$T261</f>
        <v>45530</v>
      </c>
      <c r="W265" s="61">
        <f>[4]Sayfa1!$U261</f>
        <v>45530.578680555554</v>
      </c>
      <c r="X265" s="69">
        <f t="shared" si="66"/>
        <v>45530.578680555554</v>
      </c>
      <c r="Y265" s="70" t="str">
        <f>[4]Sayfa1!$AQ261</f>
        <v/>
      </c>
      <c r="Z265" s="61">
        <f>[4]Sayfa1!$AR261</f>
        <v>0</v>
      </c>
      <c r="AA265" s="69">
        <f t="shared" si="67"/>
        <v>0</v>
      </c>
      <c r="AB265" s="71" t="e">
        <f t="shared" si="68"/>
        <v>#VALUE!</v>
      </c>
      <c r="AC265" s="60" t="str">
        <f t="shared" si="69"/>
        <v/>
      </c>
      <c r="AD265" s="61">
        <f t="shared" si="70"/>
        <v>0</v>
      </c>
      <c r="AE265" s="69">
        <f t="shared" si="71"/>
        <v>0</v>
      </c>
      <c r="AF265" s="36" t="str">
        <f>[4]Sayfa1!$AP261</f>
        <v>(I) İlk defa karşılaşılan arıza</v>
      </c>
      <c r="AG265" s="33" t="str">
        <f>IF([4]Sayfa1!$J261="C-Uyarı, sürüş devamlılığı","Bu Arıza Aracın Servise Verilmesine Engel Değil","Bu Arıza Aracın Servise Verilmesine Engel")</f>
        <v>Bu Arıza Aracın Servise Verilmesine Engel Değil</v>
      </c>
      <c r="AH265" s="41">
        <f>[4]Sayfa1!$AB261</f>
        <v>0</v>
      </c>
      <c r="AI265" s="60"/>
      <c r="AJ265" s="60"/>
      <c r="AK265" s="69">
        <f t="shared" si="72"/>
        <v>0</v>
      </c>
      <c r="AL265" s="71" t="e">
        <f t="shared" si="73"/>
        <v>#VALUE!</v>
      </c>
      <c r="AM265" s="71" t="e">
        <f t="shared" si="74"/>
        <v>#VALUE!</v>
      </c>
      <c r="AN265" s="72">
        <f t="shared" si="75"/>
        <v>0</v>
      </c>
      <c r="AO265" s="73">
        <f>[4]Sayfa1!$X261</f>
        <v>0</v>
      </c>
      <c r="AP265" s="72">
        <f>[4]Sayfa1!$Y261</f>
        <v>0</v>
      </c>
      <c r="AQ265" s="184" t="str">
        <f>[4]Sayfa1!$V261</f>
        <v>Bozankaya</v>
      </c>
      <c r="AR265" s="74">
        <f>[4]Sayfa1!$W261</f>
        <v>0</v>
      </c>
      <c r="AS265" s="74">
        <f>[4]Sayfa1!$AD261</f>
        <v>0</v>
      </c>
      <c r="AT265" s="60" t="str">
        <f>[4]Sayfa1!$AE261</f>
        <v/>
      </c>
      <c r="AU265" s="60" t="str">
        <f>[4]Sayfa1!$AH261</f>
        <v/>
      </c>
      <c r="AV265" s="75">
        <v>260</v>
      </c>
      <c r="AW265" s="76" t="e">
        <f t="shared" si="76"/>
        <v>#VALUE!</v>
      </c>
      <c r="AX265" s="77" t="str">
        <f>[4]Sayfa1!$A261</f>
        <v>9822226f</v>
      </c>
      <c r="AY265" s="78" t="s">
        <v>114</v>
      </c>
      <c r="AZ265" s="79" t="e" vm="1">
        <f t="shared" si="77"/>
        <v>#VALUE!</v>
      </c>
    </row>
    <row r="266" spans="1:52" ht="148.15">
      <c r="A266" s="59" t="s">
        <v>321</v>
      </c>
      <c r="B266" s="59" t="str">
        <f>[4]Sayfa1!$G262</f>
        <v>3874(3)</v>
      </c>
      <c r="C266" s="184" t="str">
        <f>[4]Sayfa1!$H262</f>
        <v>RB</v>
      </c>
      <c r="D266" s="24">
        <f>[4]Sayfa1!$N262</f>
        <v>82744</v>
      </c>
      <c r="E266" s="24" t="str">
        <f>[4]Sayfa1!$B262</f>
        <v>BOZ-KAY5+6-FF-261</v>
      </c>
      <c r="F266" s="60">
        <f>[4]Sayfa1!$E262</f>
        <v>45519</v>
      </c>
      <c r="G266" s="61">
        <f>[4]Sayfa1!$F262</f>
        <v>45519.566666666666</v>
      </c>
      <c r="H266" s="59" t="str">
        <f>[4]Sayfa1!$I262</f>
        <v>Depo/Depot</v>
      </c>
      <c r="I266" s="62" t="str">
        <f>IF([4]Sayfa1!$K262="SSH","Notified by Bozankaya","Notified by Customer")</f>
        <v>Notified by Bozankaya</v>
      </c>
      <c r="J266" s="59" t="e">
        <f>VLOOKUP([4]Sayfa1!$AU262,#REF!,2,FALSE)</f>
        <v>#REF!</v>
      </c>
      <c r="K266" s="59">
        <f>[4]Sayfa1!$AC262</f>
        <v>0</v>
      </c>
      <c r="L266" s="63" t="str">
        <f t="shared" si="65"/>
        <v>KAY_5+213-BOZ-KAY5+6-FF-261</v>
      </c>
      <c r="M266" s="64" t="str">
        <f>[4]Sayfa1!$L262</f>
        <v>Kapı üstü ekran görüntüsü yeşil mavi kırmızı oluyor sürekli</v>
      </c>
      <c r="N266" s="33" t="str">
        <f>[4]Sayfa1!$J262</f>
        <v>C-Uyarı, sürüş devamlılığı</v>
      </c>
      <c r="O266" s="33" t="str">
        <f>[4]Sayfa1!$P262</f>
        <v>C(Sisteme etki etmeyen arıza)</v>
      </c>
      <c r="P266" s="33" t="str">
        <f>[4]Sayfa1!$Q262</f>
        <v>N.A(Yaralanma yok)</v>
      </c>
      <c r="Q266" s="65" t="str" cm="1">
        <f t="array" ref="Q266">_xlfn.IFS([4]Sayfa1!$R262="Bozankaya","Bozankaya",[4]Sayfa1!$R262="İşletme","Customer",[4]Sayfa1!$R262="Tedarikçi","Equipment Supplier")</f>
        <v>Equipment Supplier</v>
      </c>
      <c r="R266" s="66" t="str">
        <f>[4]Sayfa1!$M262</f>
        <v>Ekran değişimi yapıldı</v>
      </c>
      <c r="S266" s="36" t="str">
        <f>[4]Sayfa1!$S262</f>
        <v>Atak</v>
      </c>
      <c r="T266" s="67">
        <f>[4]Sayfa1!$Z262</f>
        <v>202313020046</v>
      </c>
      <c r="U266" s="68">
        <f>[4]Sayfa1!$AN262</f>
        <v>0</v>
      </c>
      <c r="V266" s="60">
        <f>[4]Sayfa1!$T262</f>
        <v>45519</v>
      </c>
      <c r="W266" s="61">
        <f>[4]Sayfa1!$U262</f>
        <v>45519.569444444445</v>
      </c>
      <c r="X266" s="69">
        <f t="shared" si="66"/>
        <v>45519.569444444445</v>
      </c>
      <c r="Y266" s="70" t="str">
        <f>[4]Sayfa1!$AQ262</f>
        <v/>
      </c>
      <c r="Z266" s="61">
        <f>[4]Sayfa1!$AR262</f>
        <v>0</v>
      </c>
      <c r="AA266" s="69">
        <f t="shared" si="67"/>
        <v>0</v>
      </c>
      <c r="AB266" s="71" t="e">
        <f t="shared" si="68"/>
        <v>#VALUE!</v>
      </c>
      <c r="AC266" s="60" t="str">
        <f t="shared" si="69"/>
        <v/>
      </c>
      <c r="AD266" s="61">
        <f t="shared" si="70"/>
        <v>0</v>
      </c>
      <c r="AE266" s="69">
        <f t="shared" si="71"/>
        <v>0</v>
      </c>
      <c r="AF266" s="36" t="str">
        <f>[4]Sayfa1!$AP262</f>
        <v>(III) Birden fazla aynı araçta karşılaşılan arıza</v>
      </c>
      <c r="AG266" s="33" t="str">
        <f>IF([4]Sayfa1!$J262="C-Uyarı, sürüş devamlılığı","Bu Arıza Aracın Servise Verilmesine Engel Değil","Bu Arıza Aracın Servise Verilmesine Engel")</f>
        <v>Bu Arıza Aracın Servise Verilmesine Engel Değil</v>
      </c>
      <c r="AH266" s="41" t="str">
        <f>[4]Sayfa1!$AB262</f>
        <v>Ekipman değiştirilecek</v>
      </c>
      <c r="AI266" s="60"/>
      <c r="AJ266" s="60"/>
      <c r="AK266" s="69">
        <f t="shared" si="72"/>
        <v>0</v>
      </c>
      <c r="AL266" s="71" t="e">
        <f t="shared" si="73"/>
        <v>#VALUE!</v>
      </c>
      <c r="AM266" s="71" t="e">
        <f t="shared" si="74"/>
        <v>#VALUE!</v>
      </c>
      <c r="AN266" s="72">
        <f t="shared" si="75"/>
        <v>0</v>
      </c>
      <c r="AO266" s="73">
        <f>[4]Sayfa1!$X262</f>
        <v>0</v>
      </c>
      <c r="AP266" s="72">
        <f>[4]Sayfa1!$Y262</f>
        <v>1</v>
      </c>
      <c r="AQ266" s="184" t="str">
        <f>[4]Sayfa1!$V262</f>
        <v>ATAK ULAŞIM SAN.TİC.LTD.ŞTİ.</v>
      </c>
      <c r="AR266" s="74" t="str">
        <f>[4]Sayfa1!$W262</f>
        <v>Kapı üstü ekran</v>
      </c>
      <c r="AS266" s="74">
        <f>[4]Sayfa1!$AD262</f>
        <v>0</v>
      </c>
      <c r="AT266" s="60" t="str">
        <f>[4]Sayfa1!$AE262</f>
        <v/>
      </c>
      <c r="AU266" s="60" t="str">
        <f>[4]Sayfa1!$AH262</f>
        <v/>
      </c>
      <c r="AV266" s="75">
        <v>261</v>
      </c>
      <c r="AW266" s="76" t="e">
        <f t="shared" si="76"/>
        <v>#VALUE!</v>
      </c>
      <c r="AX266" s="77" t="str">
        <f>[4]Sayfa1!$A262</f>
        <v>8dbec0fc</v>
      </c>
      <c r="AY266" s="78" t="s">
        <v>114</v>
      </c>
      <c r="AZ266" s="79" t="e" vm="1">
        <f t="shared" si="77"/>
        <v>#VALUE!</v>
      </c>
    </row>
    <row r="267" spans="1:52" ht="186.6">
      <c r="A267" s="59" t="s">
        <v>322</v>
      </c>
      <c r="B267" s="59" t="str">
        <f>[4]Sayfa1!$G263</f>
        <v>3874(3)</v>
      </c>
      <c r="C267" s="184" t="str">
        <f>[4]Sayfa1!$H263</f>
        <v>MA</v>
      </c>
      <c r="D267" s="24">
        <f>[4]Sayfa1!$N263</f>
        <v>82744</v>
      </c>
      <c r="E267" s="24" t="str">
        <f>[4]Sayfa1!$B263</f>
        <v>BOZ-KAY5+6-FF-262</v>
      </c>
      <c r="F267" s="60">
        <f>[4]Sayfa1!$E263</f>
        <v>45519</v>
      </c>
      <c r="G267" s="61">
        <f>[4]Sayfa1!$F263</f>
        <v>45519.718055555553</v>
      </c>
      <c r="H267" s="59" t="str">
        <f>[4]Sayfa1!$I263</f>
        <v>Depo/Depot</v>
      </c>
      <c r="I267" s="62" t="str">
        <f>IF([4]Sayfa1!$K263="SSH","Notified by Bozankaya","Notified by Customer")</f>
        <v>Notified by Customer</v>
      </c>
      <c r="J267" s="59" t="e">
        <f>VLOOKUP([4]Sayfa1!$AU263,#REF!,2,FALSE)</f>
        <v>#REF!</v>
      </c>
      <c r="K267" s="59">
        <f>[4]Sayfa1!$AC263</f>
        <v>0</v>
      </c>
      <c r="L267" s="63" t="str">
        <f t="shared" si="65"/>
        <v>KAY_5+214-BOZ-KAY5+6-FF-262</v>
      </c>
      <c r="M267" s="64" t="str">
        <f>[4]Sayfa1!$L263</f>
        <v>2 numaralı kapı buzzeri sesi kesik kesik geliyor</v>
      </c>
      <c r="N267" s="33" t="str">
        <f>[4]Sayfa1!$J263</f>
        <v>C-Uyarı, sürüş devamlılığı</v>
      </c>
      <c r="O267" s="33" t="str">
        <f>[4]Sayfa1!$P263</f>
        <v>C(Sisteme etki etmeyen arıza)</v>
      </c>
      <c r="P267" s="33" t="str">
        <f>[4]Sayfa1!$Q263</f>
        <v>N.A(Yaralanma yok)</v>
      </c>
      <c r="Q267" s="65" t="str" cm="1">
        <f t="array" ref="Q267">_xlfn.IFS([4]Sayfa1!$R263="Bozankaya","Bozankaya",[4]Sayfa1!$R263="İşletme","Customer",[4]Sayfa1!$R263="Tedarikçi","Equipment Supplier")</f>
        <v>Bozankaya</v>
      </c>
      <c r="R267" s="66" t="str">
        <f>[4]Sayfa1!$M263</f>
        <v>Kapı buzzer değişimi yapıldı</v>
      </c>
      <c r="S267" s="36" t="str">
        <f>[4]Sayfa1!$S263</f>
        <v>Tasarım</v>
      </c>
      <c r="T267" s="67" t="str">
        <f>[4]Sayfa1!$Z263</f>
        <v>20505/263999</v>
      </c>
      <c r="U267" s="68">
        <f>[4]Sayfa1!$AN263</f>
        <v>1</v>
      </c>
      <c r="V267" s="60">
        <f>[4]Sayfa1!$T263</f>
        <v>45519</v>
      </c>
      <c r="W267" s="61">
        <f>[4]Sayfa1!$U263</f>
        <v>45519.719444444447</v>
      </c>
      <c r="X267" s="69">
        <f t="shared" si="66"/>
        <v>45519.719444444447</v>
      </c>
      <c r="Y267" s="70">
        <f>[4]Sayfa1!$AQ263</f>
        <v>45519</v>
      </c>
      <c r="Z267" s="61">
        <f>[4]Sayfa1!$AR263</f>
        <v>45519.770833333336</v>
      </c>
      <c r="AA267" s="69">
        <f t="shared" si="67"/>
        <v>45519.770833333336</v>
      </c>
      <c r="AB267" s="71">
        <f t="shared" si="68"/>
        <v>0</v>
      </c>
      <c r="AC267" s="60">
        <f t="shared" si="69"/>
        <v>45519</v>
      </c>
      <c r="AD267" s="61">
        <f t="shared" si="70"/>
        <v>45519.770833333336</v>
      </c>
      <c r="AE267" s="69">
        <f t="shared" si="71"/>
        <v>45519.770833333336</v>
      </c>
      <c r="AF267" s="36" t="str">
        <f>[4]Sayfa1!$AP263</f>
        <v>(I) İlk defa karşılaşılan arıza</v>
      </c>
      <c r="AG267" s="33" t="str">
        <f>IF([4]Sayfa1!$J263="C-Uyarı, sürüş devamlılığı","Bu Arıza Aracın Servise Verilmesine Engel Değil","Bu Arıza Aracın Servise Verilmesine Engel")</f>
        <v>Bu Arıza Aracın Servise Verilmesine Engel Değil</v>
      </c>
      <c r="AH267" s="41" t="str">
        <f>[4]Sayfa1!$AB263</f>
        <v>Ekipman değiştirilecek</v>
      </c>
      <c r="AI267" s="60"/>
      <c r="AJ267" s="60"/>
      <c r="AK267" s="69">
        <f t="shared" si="72"/>
        <v>0</v>
      </c>
      <c r="AL267" s="71">
        <f t="shared" si="73"/>
        <v>0</v>
      </c>
      <c r="AM267" s="71">
        <f t="shared" si="74"/>
        <v>0</v>
      </c>
      <c r="AN267" s="72">
        <f t="shared" si="75"/>
        <v>0</v>
      </c>
      <c r="AO267" s="73" t="str">
        <f>[4]Sayfa1!$X263</f>
        <v>M110-7057</v>
      </c>
      <c r="AP267" s="72">
        <f>[4]Sayfa1!$Y263</f>
        <v>1</v>
      </c>
      <c r="AQ267" s="184" t="str">
        <f>[4]Sayfa1!$V263</f>
        <v>TURCK OTOMASYON TİC. LTD.ŞTİ.</v>
      </c>
      <c r="AR267" s="74" t="str">
        <f>[4]Sayfa1!$W263</f>
        <v>SESLI UYARI CIHAZI</v>
      </c>
      <c r="AS267" s="74">
        <f>[4]Sayfa1!$AD263</f>
        <v>0</v>
      </c>
      <c r="AT267" s="60" t="str">
        <f>[4]Sayfa1!$AE263</f>
        <v/>
      </c>
      <c r="AU267" s="60" t="str">
        <f>[4]Sayfa1!$AH263</f>
        <v/>
      </c>
      <c r="AV267" s="75">
        <v>262</v>
      </c>
      <c r="AW267" s="76">
        <f t="shared" si="76"/>
        <v>0</v>
      </c>
      <c r="AX267" s="77" t="str">
        <f>[4]Sayfa1!$A263</f>
        <v>5cfa2df1</v>
      </c>
      <c r="AY267" s="78" t="s">
        <v>114</v>
      </c>
      <c r="AZ267" s="79" t="e" vm="1">
        <f t="shared" si="77"/>
        <v>#VALUE!</v>
      </c>
    </row>
    <row r="268" spans="1:52" ht="226.9">
      <c r="A268" s="59" t="s">
        <v>323</v>
      </c>
      <c r="B268" s="59" t="str">
        <f>[4]Sayfa1!$G264</f>
        <v>3874(3)</v>
      </c>
      <c r="C268" s="184" t="str">
        <f>[4]Sayfa1!$H264</f>
        <v>RB</v>
      </c>
      <c r="D268" s="24">
        <f>[4]Sayfa1!$N264</f>
        <v>82744</v>
      </c>
      <c r="E268" s="24" t="str">
        <f>[4]Sayfa1!$B264</f>
        <v>BOZ-KAY5+6-FF-263</v>
      </c>
      <c r="F268" s="60">
        <f>[4]Sayfa1!$E264</f>
        <v>45519</v>
      </c>
      <c r="G268" s="61">
        <f>[4]Sayfa1!$F264</f>
        <v>45519.722916666666</v>
      </c>
      <c r="H268" s="59" t="str">
        <f>[4]Sayfa1!$I264</f>
        <v>Depo/Depot</v>
      </c>
      <c r="I268" s="62" t="str">
        <f>IF([4]Sayfa1!$K264="SSH","Notified by Bozankaya","Notified by Customer")</f>
        <v>Notified by Customer</v>
      </c>
      <c r="J268" s="59" t="e">
        <f>VLOOKUP([4]Sayfa1!$AU264,#REF!,2,FALSE)</f>
        <v>#REF!</v>
      </c>
      <c r="K268" s="59">
        <f>[4]Sayfa1!$AC264</f>
        <v>0</v>
      </c>
      <c r="L268" s="63" t="str">
        <f t="shared" si="65"/>
        <v>KAY_5+215-BOZ-KAY5+6-FF-263</v>
      </c>
      <c r="M268" s="64" t="str">
        <f>[4]Sayfa1!$L264</f>
        <v>7 numaralı kapı buzzer sesi az geliyor</v>
      </c>
      <c r="N268" s="33" t="str">
        <f>[4]Sayfa1!$J264</f>
        <v>C-Uyarı, sürüş devamlılığı</v>
      </c>
      <c r="O268" s="33" t="str">
        <f>[4]Sayfa1!$P264</f>
        <v>C(Sisteme etki etmeyen arıza)</v>
      </c>
      <c r="P268" s="33" t="str">
        <f>[4]Sayfa1!$Q264</f>
        <v>N.A(Yaralanma yok)</v>
      </c>
      <c r="Q268" s="65" t="str" cm="1">
        <f t="array" ref="Q268">_xlfn.IFS([4]Sayfa1!$R264="Bozankaya","Bozankaya",[4]Sayfa1!$R264="İşletme","Customer",[4]Sayfa1!$R264="Tedarikçi","Equipment Supplier")</f>
        <v>Equipment Supplier</v>
      </c>
      <c r="R268" s="66" t="str">
        <f>[4]Sayfa1!$M264</f>
        <v>Kapı buzzer değişimi yapıldı</v>
      </c>
      <c r="S268" s="36" t="str">
        <f>[4]Sayfa1!$S264</f>
        <v>TSL</v>
      </c>
      <c r="T268" s="67" t="str">
        <f>[4]Sayfa1!$Z264</f>
        <v>22343/305445</v>
      </c>
      <c r="U268" s="68">
        <f>[4]Sayfa1!$AN264</f>
        <v>1</v>
      </c>
      <c r="V268" s="60">
        <f>[4]Sayfa1!$T264</f>
        <v>45519</v>
      </c>
      <c r="W268" s="61">
        <f>[4]Sayfa1!$U264</f>
        <v>45519.724305555559</v>
      </c>
      <c r="X268" s="69">
        <f t="shared" si="66"/>
        <v>45519.724305555559</v>
      </c>
      <c r="Y268" s="70">
        <f>[4]Sayfa1!$AQ264</f>
        <v>45519</v>
      </c>
      <c r="Z268" s="61">
        <f>[4]Sayfa1!$AR264</f>
        <v>45519.770833333336</v>
      </c>
      <c r="AA268" s="69">
        <f t="shared" si="67"/>
        <v>45519.770833333336</v>
      </c>
      <c r="AB268" s="71">
        <f t="shared" si="68"/>
        <v>0</v>
      </c>
      <c r="AC268" s="60">
        <f t="shared" si="69"/>
        <v>45519</v>
      </c>
      <c r="AD268" s="61">
        <f t="shared" si="70"/>
        <v>45519.770833333336</v>
      </c>
      <c r="AE268" s="69">
        <f t="shared" si="71"/>
        <v>45519.770833333336</v>
      </c>
      <c r="AF268" s="36" t="str">
        <f>[4]Sayfa1!$AP264</f>
        <v>(III) Birden fazla aynı araçta karşılaşılan arıza</v>
      </c>
      <c r="AG268" s="33" t="str">
        <f>IF([4]Sayfa1!$J264="C-Uyarı, sürüş devamlılığı","Bu Arıza Aracın Servise Verilmesine Engel Değil","Bu Arıza Aracın Servise Verilmesine Engel")</f>
        <v>Bu Arıza Aracın Servise Verilmesine Engel Değil</v>
      </c>
      <c r="AH268" s="41" t="str">
        <f>[4]Sayfa1!$AB264</f>
        <v>Ekipman değiştirilecek</v>
      </c>
      <c r="AI268" s="60"/>
      <c r="AJ268" s="60"/>
      <c r="AK268" s="69">
        <f t="shared" si="72"/>
        <v>0</v>
      </c>
      <c r="AL268" s="71">
        <f t="shared" si="73"/>
        <v>0</v>
      </c>
      <c r="AM268" s="71">
        <f t="shared" si="74"/>
        <v>0</v>
      </c>
      <c r="AN268" s="72">
        <f t="shared" si="75"/>
        <v>0</v>
      </c>
      <c r="AO268" s="73" t="str">
        <f>[4]Sayfa1!$X264</f>
        <v>M110-7057</v>
      </c>
      <c r="AP268" s="72">
        <f>[4]Sayfa1!$Y264</f>
        <v>1</v>
      </c>
      <c r="AQ268" s="184" t="str">
        <f>[4]Sayfa1!$V264</f>
        <v>TURCK OTOMASYON TİC. LTD.ŞTİ.</v>
      </c>
      <c r="AR268" s="74" t="str">
        <f>[4]Sayfa1!$W264</f>
        <v>SESLI UYARI CIHAZI</v>
      </c>
      <c r="AS268" s="74">
        <f>[4]Sayfa1!$AD264</f>
        <v>0</v>
      </c>
      <c r="AT268" s="60" t="str">
        <f>[4]Sayfa1!$AE264</f>
        <v/>
      </c>
      <c r="AU268" s="60" t="str">
        <f>[4]Sayfa1!$AH264</f>
        <v/>
      </c>
      <c r="AV268" s="75">
        <v>263</v>
      </c>
      <c r="AW268" s="76">
        <f t="shared" si="76"/>
        <v>0</v>
      </c>
      <c r="AX268" s="77" t="str">
        <f>[4]Sayfa1!$A264</f>
        <v>782d61ca</v>
      </c>
      <c r="AY268" s="78" t="s">
        <v>114</v>
      </c>
      <c r="AZ268" s="79" t="e" vm="1">
        <f t="shared" si="77"/>
        <v>#VALUE!</v>
      </c>
    </row>
    <row r="269" spans="1:52" ht="148.15">
      <c r="A269" s="59" t="s">
        <v>324</v>
      </c>
      <c r="B269" s="59" t="str">
        <f>[4]Sayfa1!$G265</f>
        <v>3874(3)</v>
      </c>
      <c r="C269" s="184" t="str">
        <f>[4]Sayfa1!$H265</f>
        <v>RA</v>
      </c>
      <c r="D269" s="24">
        <f>[4]Sayfa1!$N265</f>
        <v>82744</v>
      </c>
      <c r="E269" s="24" t="str">
        <f>[4]Sayfa1!$B265</f>
        <v>BOZ-KAY5+6-FF-264</v>
      </c>
      <c r="F269" s="60">
        <f>[4]Sayfa1!$E265</f>
        <v>45520</v>
      </c>
      <c r="G269" s="61">
        <f>[4]Sayfa1!$F265</f>
        <v>45520.344444444447</v>
      </c>
      <c r="H269" s="59" t="str">
        <f>[4]Sayfa1!$I265</f>
        <v>Hat/Line</v>
      </c>
      <c r="I269" s="62" t="str">
        <f>IF([4]Sayfa1!$K265="SSH","Notified by Bozankaya","Notified by Customer")</f>
        <v>Notified by Customer</v>
      </c>
      <c r="J269" s="59" t="e">
        <f>VLOOKUP([4]Sayfa1!$AU265,#REF!,2,FALSE)</f>
        <v>#REF!</v>
      </c>
      <c r="K269" s="59">
        <f>[4]Sayfa1!$AC265</f>
        <v>0</v>
      </c>
      <c r="L269" s="63" t="str">
        <f t="shared" si="65"/>
        <v>KAY_5+216-BOZ-KAY5+6-FF-264</v>
      </c>
      <c r="M269" s="64" t="str">
        <f>[4]Sayfa1!$L265</f>
        <v>6 numaralı kapı flash code 3 hatası veriyor</v>
      </c>
      <c r="N269" s="33" t="str">
        <f>[4]Sayfa1!$J265</f>
        <v>A-Sürüşü engeller</v>
      </c>
      <c r="O269" s="33" t="str">
        <f>[4]Sayfa1!$P265</f>
        <v>B(Servisten çekmeye etki eden arızalar)</v>
      </c>
      <c r="P269" s="33" t="str">
        <f>[4]Sayfa1!$Q265</f>
        <v>N.A(Yaralanma yok)</v>
      </c>
      <c r="Q269" s="65" t="str" cm="1">
        <f t="array" ref="Q269">_xlfn.IFS([4]Sayfa1!$R265="Bozankaya","Bozankaya",[4]Sayfa1!$R265="İşletme","Customer",[4]Sayfa1!$R265="Tedarikçi","Equipment Supplier")</f>
        <v>Equipment Supplier</v>
      </c>
      <c r="R269" s="66" t="str">
        <f>[4]Sayfa1!$M265</f>
        <v>Aracın DCU ve S2 switch değişimi yapıldı arıza devam etmektedir</v>
      </c>
      <c r="S269" s="36" t="str">
        <f>[4]Sayfa1!$S265</f>
        <v>IFE</v>
      </c>
      <c r="T269" s="67">
        <f>[4]Sayfa1!$Z265</f>
        <v>463353040002</v>
      </c>
      <c r="U269" s="68">
        <f>[4]Sayfa1!$AN265</f>
        <v>1</v>
      </c>
      <c r="V269" s="60">
        <f>[4]Sayfa1!$T265</f>
        <v>45520</v>
      </c>
      <c r="W269" s="61">
        <f>[4]Sayfa1!$U265</f>
        <v>45520.345833333333</v>
      </c>
      <c r="X269" s="69">
        <f t="shared" si="66"/>
        <v>45520.345833333333</v>
      </c>
      <c r="Y269" s="70">
        <f>[4]Sayfa1!$AQ265</f>
        <v>45520</v>
      </c>
      <c r="Z269" s="61">
        <f>[4]Sayfa1!$AR265</f>
        <v>45520.75</v>
      </c>
      <c r="AA269" s="69">
        <f t="shared" si="67"/>
        <v>45520.75</v>
      </c>
      <c r="AB269" s="71">
        <f t="shared" si="68"/>
        <v>0</v>
      </c>
      <c r="AC269" s="60">
        <f t="shared" si="69"/>
        <v>45520</v>
      </c>
      <c r="AD269" s="61">
        <f t="shared" si="70"/>
        <v>45520.75</v>
      </c>
      <c r="AE269" s="69">
        <f t="shared" si="71"/>
        <v>45520.75</v>
      </c>
      <c r="AF269" s="36" t="str">
        <f>[4]Sayfa1!$AP265</f>
        <v>(I) İlk defa karşılaşılan arıza</v>
      </c>
      <c r="AG269" s="33" t="str">
        <f>IF([4]Sayfa1!$J265="C-Uyarı, sürüş devamlılığı","Bu Arıza Aracın Servise Verilmesine Engel Değil","Bu Arıza Aracın Servise Verilmesine Engel")</f>
        <v>Bu Arıza Aracın Servise Verilmesine Engel</v>
      </c>
      <c r="AH269" s="41" t="str">
        <f>[4]Sayfa1!$AB265</f>
        <v>Arıza çözülecek</v>
      </c>
      <c r="AI269" s="60"/>
      <c r="AJ269" s="60"/>
      <c r="AK269" s="69">
        <f t="shared" si="72"/>
        <v>0</v>
      </c>
      <c r="AL269" s="71">
        <f t="shared" si="73"/>
        <v>0</v>
      </c>
      <c r="AM269" s="71">
        <f t="shared" si="74"/>
        <v>0</v>
      </c>
      <c r="AN269" s="72">
        <f t="shared" si="75"/>
        <v>0</v>
      </c>
      <c r="AO269" s="73" t="str">
        <f>[4]Sayfa1!$X265</f>
        <v>M110-7082</v>
      </c>
      <c r="AP269" s="72">
        <f>[4]Sayfa1!$Y265</f>
        <v>1</v>
      </c>
      <c r="AQ269" s="184" t="str">
        <f>[4]Sayfa1!$V265</f>
        <v>KNORR-BREMSE GMBH DİVİSİON IFE AUTO</v>
      </c>
      <c r="AR269" s="74" t="str">
        <f>[4]Sayfa1!$W265</f>
        <v>PRM'LI ÇİFTLİ KAPI</v>
      </c>
      <c r="AS269" s="74">
        <f>[4]Sayfa1!$AD265</f>
        <v>0</v>
      </c>
      <c r="AT269" s="60" t="str">
        <f>[4]Sayfa1!$AE265</f>
        <v/>
      </c>
      <c r="AU269" s="60" t="str">
        <f>[4]Sayfa1!$AH265</f>
        <v/>
      </c>
      <c r="AV269" s="75">
        <v>264</v>
      </c>
      <c r="AW269" s="76">
        <f t="shared" si="76"/>
        <v>0</v>
      </c>
      <c r="AX269" s="77" t="str">
        <f>[4]Sayfa1!$A265</f>
        <v>c30fb9ee</v>
      </c>
      <c r="AY269" s="78" t="s">
        <v>114</v>
      </c>
      <c r="AZ269" s="79" t="e" vm="1">
        <f t="shared" si="77"/>
        <v>#VALUE!</v>
      </c>
    </row>
    <row r="270" spans="1:52" ht="148.15">
      <c r="A270" s="59" t="s">
        <v>325</v>
      </c>
      <c r="B270" s="59" t="str">
        <f>[4]Sayfa1!$G266</f>
        <v>3877(6)</v>
      </c>
      <c r="C270" s="184" t="str">
        <f>[4]Sayfa1!$H266</f>
        <v>MA</v>
      </c>
      <c r="D270" s="24">
        <f>[4]Sayfa1!$N266</f>
        <v>54202</v>
      </c>
      <c r="E270" s="24" t="str">
        <f>[4]Sayfa1!$B266</f>
        <v>BOZ-KAY5+6-FF-265</v>
      </c>
      <c r="F270" s="60">
        <f>[4]Sayfa1!$E266</f>
        <v>45524</v>
      </c>
      <c r="G270" s="61">
        <f>[4]Sayfa1!$F266</f>
        <v>45524.465277777781</v>
      </c>
      <c r="H270" s="59" t="str">
        <f>[4]Sayfa1!$I266</f>
        <v>Depo/Depot</v>
      </c>
      <c r="I270" s="62" t="str">
        <f>IF([4]Sayfa1!$K266="SSH","Notified by Bozankaya","Notified by Customer")</f>
        <v>Notified by Customer</v>
      </c>
      <c r="J270" s="59" t="e">
        <f>VLOOKUP([4]Sayfa1!$AU266,#REF!,2,FALSE)</f>
        <v>#REF!</v>
      </c>
      <c r="K270" s="59">
        <f>[4]Sayfa1!$AC266</f>
        <v>0</v>
      </c>
      <c r="L270" s="63" t="str">
        <f t="shared" si="65"/>
        <v>KAY_5+217-BOZ-KAY5+6-FF-265</v>
      </c>
      <c r="M270" s="64" t="str">
        <f>[4]Sayfa1!$L266</f>
        <v>Kuplör dil motoru sürekli çalışıyor</v>
      </c>
      <c r="N270" s="33" t="str">
        <f>[4]Sayfa1!$J266</f>
        <v>C-Uyarı, sürüş devamlılığı</v>
      </c>
      <c r="O270" s="33" t="str">
        <f>[4]Sayfa1!$P266</f>
        <v>B(Servisten çekmeye etki eden arızalar)</v>
      </c>
      <c r="P270" s="33" t="str">
        <f>[4]Sayfa1!$Q266</f>
        <v>N.A(Yaralanma yok)</v>
      </c>
      <c r="Q270" s="65" t="str" cm="1">
        <f t="array" ref="Q270">_xlfn.IFS([4]Sayfa1!$R266="Bozankaya","Bozankaya",[4]Sayfa1!$R266="İşletme","Customer",[4]Sayfa1!$R266="Tedarikçi","Equipment Supplier")</f>
        <v>Equipment Supplier</v>
      </c>
      <c r="R270" s="66">
        <f>[4]Sayfa1!$M266</f>
        <v>0</v>
      </c>
      <c r="S270" s="36" t="str">
        <f>[4]Sayfa1!$S266</f>
        <v>Bozankaya</v>
      </c>
      <c r="T270" s="67">
        <f>[4]Sayfa1!$Z266</f>
        <v>0</v>
      </c>
      <c r="U270" s="68">
        <f>[4]Sayfa1!$AN266</f>
        <v>0</v>
      </c>
      <c r="V270" s="60">
        <f>[4]Sayfa1!$T266</f>
        <v>45524</v>
      </c>
      <c r="W270" s="61">
        <f>[4]Sayfa1!$U266</f>
        <v>45524.470833333333</v>
      </c>
      <c r="X270" s="69">
        <f t="shared" si="66"/>
        <v>45524.470833333333</v>
      </c>
      <c r="Y270" s="70" t="str">
        <f>[4]Sayfa1!$AQ266</f>
        <v/>
      </c>
      <c r="Z270" s="61">
        <f>[4]Sayfa1!$AR266</f>
        <v>0</v>
      </c>
      <c r="AA270" s="69">
        <f t="shared" si="67"/>
        <v>0</v>
      </c>
      <c r="AB270" s="71" t="e">
        <f t="shared" si="68"/>
        <v>#VALUE!</v>
      </c>
      <c r="AC270" s="60" t="str">
        <f t="shared" si="69"/>
        <v/>
      </c>
      <c r="AD270" s="61">
        <f t="shared" si="70"/>
        <v>0</v>
      </c>
      <c r="AE270" s="69">
        <f t="shared" si="71"/>
        <v>0</v>
      </c>
      <c r="AF270" s="36" t="str">
        <f>[4]Sayfa1!$AP266</f>
        <v>(I) İlk defa karşılaşılan arıza</v>
      </c>
      <c r="AG270" s="33" t="str">
        <f>IF([4]Sayfa1!$J266="C-Uyarı, sürüş devamlılığı","Bu Arıza Aracın Servise Verilmesine Engel Değil","Bu Arıza Aracın Servise Verilmesine Engel")</f>
        <v>Bu Arıza Aracın Servise Verilmesine Engel Değil</v>
      </c>
      <c r="AH270" s="41" t="str">
        <f>[4]Sayfa1!$AB266</f>
        <v>Arıza çözülecek</v>
      </c>
      <c r="AI270" s="60"/>
      <c r="AJ270" s="60"/>
      <c r="AK270" s="69">
        <f t="shared" si="72"/>
        <v>0</v>
      </c>
      <c r="AL270" s="71" t="e">
        <f t="shared" si="73"/>
        <v>#VALUE!</v>
      </c>
      <c r="AM270" s="71" t="e">
        <f t="shared" si="74"/>
        <v>#VALUE!</v>
      </c>
      <c r="AN270" s="72">
        <f t="shared" si="75"/>
        <v>0</v>
      </c>
      <c r="AO270" s="73" t="str">
        <f>[4]Sayfa1!$X266</f>
        <v>M350-7062</v>
      </c>
      <c r="AP270" s="72">
        <f>[4]Sayfa1!$Y266</f>
        <v>1</v>
      </c>
      <c r="AQ270" s="184" t="str">
        <f>[4]Sayfa1!$V266</f>
        <v>DELLNER COUPLERC AB</v>
      </c>
      <c r="AR270" s="74" t="str">
        <f>[4]Sayfa1!$W266</f>
        <v>OTOMATIK KUPLÖR DELLNER</v>
      </c>
      <c r="AS270" s="74">
        <f>[4]Sayfa1!$AD266</f>
        <v>0</v>
      </c>
      <c r="AT270" s="60" t="str">
        <f>[4]Sayfa1!$AE266</f>
        <v/>
      </c>
      <c r="AU270" s="60" t="str">
        <f>[4]Sayfa1!$AH266</f>
        <v/>
      </c>
      <c r="AV270" s="75">
        <v>265</v>
      </c>
      <c r="AW270" s="76" t="e">
        <f t="shared" si="76"/>
        <v>#VALUE!</v>
      </c>
      <c r="AX270" s="77" t="str">
        <f>[4]Sayfa1!$A266</f>
        <v>a096bdf4</v>
      </c>
      <c r="AY270" s="78" t="s">
        <v>114</v>
      </c>
      <c r="AZ270" s="79" t="e" vm="1">
        <f t="shared" si="77"/>
        <v>#VALUE!</v>
      </c>
    </row>
    <row r="271" spans="1:52" ht="186.6">
      <c r="A271" s="59" t="s">
        <v>326</v>
      </c>
      <c r="B271" s="59" t="str">
        <f>[4]Sayfa1!$G267</f>
        <v>3877(6)</v>
      </c>
      <c r="C271" s="184" t="str">
        <f>[4]Sayfa1!$H267</f>
        <v>P</v>
      </c>
      <c r="D271" s="24">
        <f>[4]Sayfa1!$N267</f>
        <v>54400</v>
      </c>
      <c r="E271" s="24" t="str">
        <f>[4]Sayfa1!$B267</f>
        <v>BOZ-KAY5+6-FF-266</v>
      </c>
      <c r="F271" s="60">
        <f>[4]Sayfa1!$E267</f>
        <v>45526</v>
      </c>
      <c r="G271" s="61">
        <f>[4]Sayfa1!$F267</f>
        <v>45526.335416666669</v>
      </c>
      <c r="H271" s="59" t="str">
        <f>[4]Sayfa1!$I267</f>
        <v>Hat/Line</v>
      </c>
      <c r="I271" s="62" t="str">
        <f>IF([4]Sayfa1!$K267="SSH","Notified by Bozankaya","Notified by Customer")</f>
        <v>Notified by Customer</v>
      </c>
      <c r="J271" s="59" t="e">
        <f>VLOOKUP([4]Sayfa1!$AU267,#REF!,2,FALSE)</f>
        <v>#REF!</v>
      </c>
      <c r="K271" s="59">
        <f>[4]Sayfa1!$AC267</f>
        <v>0</v>
      </c>
      <c r="L271" s="63" t="str">
        <f t="shared" si="65"/>
        <v>KAY_5+218-BOZ-KAY5+6-FF-266</v>
      </c>
      <c r="M271" s="64" t="str">
        <f>[4]Sayfa1!$L267</f>
        <v>ARAÇ İSTASYONDA RESETLENDİ ARAÇ HSCB KAPATMADI 1 SEFER İPTALİ OLDU.</v>
      </c>
      <c r="N271" s="33" t="str">
        <f>[4]Sayfa1!$J267</f>
        <v>A-Sürüşü engeller</v>
      </c>
      <c r="O271" s="33" t="str">
        <f>[4]Sayfa1!$P267</f>
        <v>B(Servisten çekmeye etki eden arızalar)</v>
      </c>
      <c r="P271" s="33" t="str">
        <f>[4]Sayfa1!$Q267</f>
        <v>N.A(Yaralanma yok)</v>
      </c>
      <c r="Q271" s="65" t="str" cm="1">
        <f t="array" ref="Q271">_xlfn.IFS([4]Sayfa1!$R267="Bozankaya","Bozankaya",[4]Sayfa1!$R267="İşletme","Customer",[4]Sayfa1!$R267="Tedarikçi","Equipment Supplier")</f>
        <v>Bozankaya</v>
      </c>
      <c r="R271" s="66" t="str">
        <f>[4]Sayfa1!$M267</f>
        <v>PANTOGRAF BASKI AYARI YAPILDI. TEST EDİLDİ.</v>
      </c>
      <c r="S271" s="36" t="str">
        <f>[4]Sayfa1!$S267</f>
        <v>Üretim</v>
      </c>
      <c r="T271" s="67">
        <f>[4]Sayfa1!$Z267</f>
        <v>0</v>
      </c>
      <c r="U271" s="68">
        <f>[4]Sayfa1!$AN267</f>
        <v>1</v>
      </c>
      <c r="V271" s="60">
        <f>[4]Sayfa1!$T267</f>
        <v>45526</v>
      </c>
      <c r="W271" s="61">
        <f>[4]Sayfa1!$U267</f>
        <v>45526.596516203703</v>
      </c>
      <c r="X271" s="69">
        <f t="shared" si="66"/>
        <v>45526.596516203703</v>
      </c>
      <c r="Y271" s="70">
        <f>[4]Sayfa1!$AQ267</f>
        <v>45526</v>
      </c>
      <c r="Z271" s="61">
        <f>[4]Sayfa1!$AR267</f>
        <v>45526.6875</v>
      </c>
      <c r="AA271" s="69">
        <f t="shared" si="67"/>
        <v>45526.6875</v>
      </c>
      <c r="AB271" s="71">
        <f t="shared" si="68"/>
        <v>0</v>
      </c>
      <c r="AC271" s="60">
        <f t="shared" si="69"/>
        <v>45526</v>
      </c>
      <c r="AD271" s="61">
        <f t="shared" si="70"/>
        <v>45526.6875</v>
      </c>
      <c r="AE271" s="69">
        <f t="shared" si="71"/>
        <v>45526.6875</v>
      </c>
      <c r="AF271" s="36" t="str">
        <f>[4]Sayfa1!$AP267</f>
        <v>(I) İlk defa karşılaşılan arıza</v>
      </c>
      <c r="AG271" s="33" t="str">
        <f>IF([4]Sayfa1!$J267="C-Uyarı, sürüş devamlılığı","Bu Arıza Aracın Servise Verilmesine Engel Değil","Bu Arıza Aracın Servise Verilmesine Engel")</f>
        <v>Bu Arıza Aracın Servise Verilmesine Engel</v>
      </c>
      <c r="AH271" s="41" t="str">
        <f>[4]Sayfa1!$AB267</f>
        <v>Tamir edilecek</v>
      </c>
      <c r="AI271" s="60"/>
      <c r="AJ271" s="60"/>
      <c r="AK271" s="69">
        <f t="shared" si="72"/>
        <v>0</v>
      </c>
      <c r="AL271" s="71">
        <f t="shared" si="73"/>
        <v>0</v>
      </c>
      <c r="AM271" s="71">
        <f t="shared" si="74"/>
        <v>0</v>
      </c>
      <c r="AN271" s="72">
        <f t="shared" si="75"/>
        <v>0</v>
      </c>
      <c r="AO271" s="73" t="str">
        <f>[4]Sayfa1!$X267</f>
        <v>P710-7019</v>
      </c>
      <c r="AP271" s="72">
        <f>[4]Sayfa1!$Y267</f>
        <v>0</v>
      </c>
      <c r="AQ271" s="184" t="str">
        <f>[4]Sayfa1!$V267</f>
        <v>STEMMANN-POLSKA SP. Z O.O.</v>
      </c>
      <c r="AR271" s="74" t="str">
        <f>[4]Sayfa1!$W267</f>
        <v>PANTOGRAF KOMPLESI</v>
      </c>
      <c r="AS271" s="74">
        <f>[4]Sayfa1!$AD267</f>
        <v>0</v>
      </c>
      <c r="AT271" s="60" t="str">
        <f>[4]Sayfa1!$AE267</f>
        <v/>
      </c>
      <c r="AU271" s="60" t="str">
        <f>[4]Sayfa1!$AH267</f>
        <v/>
      </c>
      <c r="AV271" s="75">
        <v>266</v>
      </c>
      <c r="AW271" s="76">
        <f t="shared" si="76"/>
        <v>0</v>
      </c>
      <c r="AX271" s="77" t="str">
        <f>[4]Sayfa1!$A267</f>
        <v>b79d6c7a</v>
      </c>
      <c r="AY271" s="78" t="s">
        <v>114</v>
      </c>
      <c r="AZ271" s="79" t="e" vm="1">
        <f t="shared" si="77"/>
        <v>#VALUE!</v>
      </c>
    </row>
    <row r="272" spans="1:52" ht="148.15">
      <c r="A272" s="59" t="s">
        <v>327</v>
      </c>
      <c r="B272" s="59" t="str">
        <f>[4]Sayfa1!$G268</f>
        <v>3875(4)</v>
      </c>
      <c r="C272" s="184" t="str">
        <f>[4]Sayfa1!$H268</f>
        <v>MA</v>
      </c>
      <c r="D272" s="24">
        <f>[4]Sayfa1!$N268</f>
        <v>34800</v>
      </c>
      <c r="E272" s="24" t="str">
        <f>[4]Sayfa1!$B268</f>
        <v>BOZ-KAY5+6-FF-267</v>
      </c>
      <c r="F272" s="60">
        <f>[4]Sayfa1!$E268</f>
        <v>45530</v>
      </c>
      <c r="G272" s="61">
        <f>[4]Sayfa1!$F268</f>
        <v>45530.350694444445</v>
      </c>
      <c r="H272" s="59" t="str">
        <f>[4]Sayfa1!$I268</f>
        <v>Depo/Depot</v>
      </c>
      <c r="I272" s="62" t="str">
        <f>IF([4]Sayfa1!$K268="SSH","Notified by Bozankaya","Notified by Customer")</f>
        <v>Notified by Customer</v>
      </c>
      <c r="J272" s="59" t="e">
        <f>VLOOKUP([4]Sayfa1!$AU268,#REF!,2,FALSE)</f>
        <v>#REF!</v>
      </c>
      <c r="K272" s="59">
        <f>[4]Sayfa1!$AC268</f>
        <v>0</v>
      </c>
      <c r="L272" s="63" t="str">
        <f t="shared" si="65"/>
        <v>KAY_5+219-BOZ-KAY5+6-FF-267</v>
      </c>
      <c r="M272" s="64" t="str">
        <f>[4]Sayfa1!$L268</f>
        <v>Aracın NVR arızalı</v>
      </c>
      <c r="N272" s="33" t="str">
        <f>[4]Sayfa1!$J268</f>
        <v>C-Uyarı, sürüş devamlılığı</v>
      </c>
      <c r="O272" s="33" t="str">
        <f>[4]Sayfa1!$P268</f>
        <v>C(Sisteme etki etmeyen arıza)</v>
      </c>
      <c r="P272" s="33" t="str">
        <f>[4]Sayfa1!$Q268</f>
        <v>N.A(Yaralanma yok)</v>
      </c>
      <c r="Q272" s="65" t="str" cm="1">
        <f t="array" ref="Q272">_xlfn.IFS([4]Sayfa1!$R268="Bozankaya","Bozankaya",[4]Sayfa1!$R268="İşletme","Customer",[4]Sayfa1!$R268="Tedarikçi","Equipment Supplier")</f>
        <v>Equipment Supplier</v>
      </c>
      <c r="R272" s="66" t="str">
        <f>[4]Sayfa1!$M268</f>
        <v>Araç NVR resetlendi.Arıza devamlılığı görülmedi</v>
      </c>
      <c r="S272" s="36" t="str">
        <f>[4]Sayfa1!$S268</f>
        <v>NSC</v>
      </c>
      <c r="T272" s="67">
        <f>[4]Sayfa1!$Z268</f>
        <v>0</v>
      </c>
      <c r="U272" s="68">
        <f>[4]Sayfa1!$AN268</f>
        <v>1</v>
      </c>
      <c r="V272" s="60">
        <f>[4]Sayfa1!$T268</f>
        <v>45531</v>
      </c>
      <c r="W272" s="61">
        <f>[4]Sayfa1!$U268</f>
        <v>45531.628865740742</v>
      </c>
      <c r="X272" s="69">
        <f t="shared" si="66"/>
        <v>45531.628865740742</v>
      </c>
      <c r="Y272" s="70">
        <f>[4]Sayfa1!$AQ268</f>
        <v>45531</v>
      </c>
      <c r="Z272" s="61">
        <f>[4]Sayfa1!$AR268</f>
        <v>45531.666666666664</v>
      </c>
      <c r="AA272" s="69">
        <f t="shared" si="67"/>
        <v>45531.666666666664</v>
      </c>
      <c r="AB272" s="71">
        <f t="shared" si="68"/>
        <v>0.90722222212934867</v>
      </c>
      <c r="AC272" s="60">
        <f t="shared" si="69"/>
        <v>45531</v>
      </c>
      <c r="AD272" s="61">
        <f t="shared" si="70"/>
        <v>45531.666666666664</v>
      </c>
      <c r="AE272" s="69">
        <f t="shared" si="71"/>
        <v>45531.666666666664</v>
      </c>
      <c r="AF272" s="36" t="str">
        <f>[4]Sayfa1!$AP268</f>
        <v>(I) İlk defa karşılaşılan arıza</v>
      </c>
      <c r="AG272" s="33" t="str">
        <f>IF([4]Sayfa1!$J268="C-Uyarı, sürüş devamlılığı","Bu Arıza Aracın Servise Verilmesine Engel Değil","Bu Arıza Aracın Servise Verilmesine Engel")</f>
        <v>Bu Arıza Aracın Servise Verilmesine Engel Değil</v>
      </c>
      <c r="AH272" s="41" t="str">
        <f>[4]Sayfa1!$AB268</f>
        <v>Arıza çözülecek</v>
      </c>
      <c r="AI272" s="60"/>
      <c r="AJ272" s="60"/>
      <c r="AK272" s="69">
        <f t="shared" si="72"/>
        <v>0</v>
      </c>
      <c r="AL272" s="71">
        <f t="shared" si="73"/>
        <v>54.43333332776092</v>
      </c>
      <c r="AM272" s="71">
        <f t="shared" si="74"/>
        <v>54.43333332776092</v>
      </c>
      <c r="AN272" s="72">
        <f t="shared" si="75"/>
        <v>0</v>
      </c>
      <c r="AO272" s="73" t="str">
        <f>[4]Sayfa1!$X268</f>
        <v>E810-7002</v>
      </c>
      <c r="AP272" s="72">
        <f>[4]Sayfa1!$Y268</f>
        <v>0</v>
      </c>
      <c r="AQ272" s="184" t="str">
        <f>[4]Sayfa1!$V268</f>
        <v>NSC TEKNOLOJİ ve İNŞAAT LTD.ŞTİ.</v>
      </c>
      <c r="AR272" s="74" t="str">
        <f>[4]Sayfa1!$W268</f>
        <v>XKAYIT CİHAZI(NVR)</v>
      </c>
      <c r="AS272" s="74">
        <f>[4]Sayfa1!$AD268</f>
        <v>0</v>
      </c>
      <c r="AT272" s="60" t="str">
        <f>[4]Sayfa1!$AE268</f>
        <v/>
      </c>
      <c r="AU272" s="60" t="str">
        <f>[4]Sayfa1!$AH268</f>
        <v/>
      </c>
      <c r="AV272" s="75">
        <v>267</v>
      </c>
      <c r="AW272" s="76">
        <f t="shared" si="76"/>
        <v>9.9794444434228353</v>
      </c>
      <c r="AX272" s="77" t="str">
        <f>[4]Sayfa1!$A268</f>
        <v>aea13d2a</v>
      </c>
      <c r="AY272" s="78" t="s">
        <v>114</v>
      </c>
      <c r="AZ272" s="79" t="e" vm="1">
        <f t="shared" si="77"/>
        <v>#VALUE!</v>
      </c>
    </row>
    <row r="273" spans="1:52" ht="198.6">
      <c r="A273" s="59" t="s">
        <v>328</v>
      </c>
      <c r="B273" s="59" t="str">
        <f>[4]Sayfa1!$G269</f>
        <v>3875(4)</v>
      </c>
      <c r="C273" s="184" t="str">
        <f>[4]Sayfa1!$H269</f>
        <v>MA</v>
      </c>
      <c r="D273" s="24">
        <f>[4]Sayfa1!$N269</f>
        <v>57800</v>
      </c>
      <c r="E273" s="24" t="str">
        <f>[4]Sayfa1!$B269</f>
        <v>BOZ-KAY5+6-FF-268</v>
      </c>
      <c r="F273" s="60">
        <f>[4]Sayfa1!$E269</f>
        <v>45530</v>
      </c>
      <c r="G273" s="61">
        <f>[4]Sayfa1!$F269</f>
        <v>45530.770833333336</v>
      </c>
      <c r="H273" s="59" t="str">
        <f>[4]Sayfa1!$I269</f>
        <v>Hat/Line</v>
      </c>
      <c r="I273" s="62" t="str">
        <f>IF([4]Sayfa1!$K269="SSH","Notified by Bozankaya","Notified by Customer")</f>
        <v>Notified by Customer</v>
      </c>
      <c r="J273" s="59" t="e">
        <f>VLOOKUP([4]Sayfa1!$AU269,#REF!,2,FALSE)</f>
        <v>#REF!</v>
      </c>
      <c r="K273" s="59">
        <f>[4]Sayfa1!$AC269</f>
        <v>0</v>
      </c>
      <c r="L273" s="63" t="str">
        <f t="shared" si="65"/>
        <v>KAY_5+220-BOZ-KAY5+6-FF-268</v>
      </c>
      <c r="M273" s="64" t="str">
        <f>[4]Sayfa1!$L269</f>
        <v>KABİN CA KAMERA GÖRÜNTÜLERİ GELMİYOR.</v>
      </c>
      <c r="N273" s="33" t="str">
        <f>[4]Sayfa1!$J269</f>
        <v>A-Sürüşü engeller</v>
      </c>
      <c r="O273" s="33" t="str">
        <f>[4]Sayfa1!$P269</f>
        <v>B(Servisten çekmeye etki eden arızalar)</v>
      </c>
      <c r="P273" s="33" t="str">
        <f>[4]Sayfa1!$Q269</f>
        <v>N.A(Yaralanma yok)</v>
      </c>
      <c r="Q273" s="65" t="str" cm="1">
        <f t="array" ref="Q273">_xlfn.IFS([4]Sayfa1!$R269="Bozankaya","Bozankaya",[4]Sayfa1!$R269="İşletme","Customer",[4]Sayfa1!$R269="Tedarikçi","Equipment Supplier")</f>
        <v>Equipment Supplier</v>
      </c>
      <c r="R273" s="66" t="str">
        <f>[4]Sayfa1!$M269</f>
        <v>PANEL PC DE PROGRAM 5 DEFA ARKA ARKAYA AÇILMIŞ BU NEDENLE DONMA YAPMIŞ DÜZELTİLDİ.</v>
      </c>
      <c r="S273" s="36" t="str">
        <f>[4]Sayfa1!$S269</f>
        <v>NSC</v>
      </c>
      <c r="T273" s="67">
        <f>[4]Sayfa1!$Z269</f>
        <v>0</v>
      </c>
      <c r="U273" s="68">
        <f>[4]Sayfa1!$AN269</f>
        <v>1</v>
      </c>
      <c r="V273" s="60">
        <f>[4]Sayfa1!$T269</f>
        <v>45530</v>
      </c>
      <c r="W273" s="61">
        <f>[4]Sayfa1!$U269</f>
        <v>45530.791666666664</v>
      </c>
      <c r="X273" s="69">
        <f t="shared" si="66"/>
        <v>45530.791666666664</v>
      </c>
      <c r="Y273" s="70">
        <f>[4]Sayfa1!$AQ269</f>
        <v>45530</v>
      </c>
      <c r="Z273" s="61">
        <f>[4]Sayfa1!$AR269</f>
        <v>45530.833333333336</v>
      </c>
      <c r="AA273" s="69">
        <f t="shared" si="67"/>
        <v>45530.833333333336</v>
      </c>
      <c r="AB273" s="71">
        <f t="shared" si="68"/>
        <v>0</v>
      </c>
      <c r="AC273" s="60">
        <f t="shared" si="69"/>
        <v>45530</v>
      </c>
      <c r="AD273" s="61">
        <f t="shared" si="70"/>
        <v>45530.833333333336</v>
      </c>
      <c r="AE273" s="69">
        <f t="shared" si="71"/>
        <v>45530.833333333336</v>
      </c>
      <c r="AF273" s="36" t="str">
        <f>[4]Sayfa1!$AP269</f>
        <v>(III) Birden fazla aynı araçta karşılaşılan arıza</v>
      </c>
      <c r="AG273" s="33" t="str">
        <f>IF([4]Sayfa1!$J269="C-Uyarı, sürüş devamlılığı","Bu Arıza Aracın Servise Verilmesine Engel Değil","Bu Arıza Aracın Servise Verilmesine Engel")</f>
        <v>Bu Arıza Aracın Servise Verilmesine Engel</v>
      </c>
      <c r="AH273" s="41" t="str">
        <f>[4]Sayfa1!$AB269</f>
        <v>Tamir edilecek</v>
      </c>
      <c r="AI273" s="60"/>
      <c r="AJ273" s="60"/>
      <c r="AK273" s="69">
        <f t="shared" si="72"/>
        <v>0</v>
      </c>
      <c r="AL273" s="71">
        <f t="shared" si="73"/>
        <v>0</v>
      </c>
      <c r="AM273" s="71">
        <f t="shared" si="74"/>
        <v>0</v>
      </c>
      <c r="AN273" s="72">
        <f t="shared" si="75"/>
        <v>0</v>
      </c>
      <c r="AO273" s="73" t="str">
        <f>[4]Sayfa1!$X269</f>
        <v>E810-7145</v>
      </c>
      <c r="AP273" s="72">
        <f>[4]Sayfa1!$Y269</f>
        <v>0</v>
      </c>
      <c r="AQ273" s="184" t="str">
        <f>[4]Sayfa1!$V269</f>
        <v>NSC TEKNOLOJİ ve İNŞAAT LTD.ŞTİ.</v>
      </c>
      <c r="AR273" s="74" t="str">
        <f>[4]Sayfa1!$W269</f>
        <v>CCTV EKRANI</v>
      </c>
      <c r="AS273" s="74">
        <f>[4]Sayfa1!$AD269</f>
        <v>0</v>
      </c>
      <c r="AT273" s="60" t="str">
        <f>[4]Sayfa1!$AE269</f>
        <v/>
      </c>
      <c r="AU273" s="60">
        <f>[4]Sayfa1!$AH269</f>
        <v>0</v>
      </c>
      <c r="AV273" s="75">
        <v>268</v>
      </c>
      <c r="AW273" s="76">
        <f t="shared" si="76"/>
        <v>0</v>
      </c>
      <c r="AX273" s="77" t="str">
        <f>[4]Sayfa1!$A269</f>
        <v>89b96f90</v>
      </c>
      <c r="AY273" s="78" t="s">
        <v>114</v>
      </c>
      <c r="AZ273" s="79" t="e" vm="1">
        <f t="shared" si="77"/>
        <v>#VALUE!</v>
      </c>
    </row>
    <row r="274" spans="1:52" ht="148.15">
      <c r="A274" s="59" t="s">
        <v>329</v>
      </c>
      <c r="B274" s="59" t="str">
        <f>[4]Sayfa1!$G270</f>
        <v>3878(7)</v>
      </c>
      <c r="C274" s="184" t="str">
        <f>[4]Sayfa1!$H270</f>
        <v>MA</v>
      </c>
      <c r="D274" s="24">
        <f>[4]Sayfa1!$N270</f>
        <v>15000</v>
      </c>
      <c r="E274" s="24" t="str">
        <f>[4]Sayfa1!$B270</f>
        <v>BOZ-KAY5+6-FF-269</v>
      </c>
      <c r="F274" s="60">
        <f>[4]Sayfa1!$E270</f>
        <v>45531</v>
      </c>
      <c r="G274" s="61">
        <f>[4]Sayfa1!$F270</f>
        <v>45531.437974537039</v>
      </c>
      <c r="H274" s="59" t="str">
        <f>[4]Sayfa1!$I270</f>
        <v>Depo/Depot</v>
      </c>
      <c r="I274" s="62" t="str">
        <f>IF([4]Sayfa1!$K270="SSH","Notified by Bozankaya","Notified by Customer")</f>
        <v>Notified by Customer</v>
      </c>
      <c r="J274" s="59" t="e">
        <f>VLOOKUP([4]Sayfa1!$AU270,#REF!,2,FALSE)</f>
        <v>#REF!</v>
      </c>
      <c r="K274" s="59">
        <f>[4]Sayfa1!$AC270</f>
        <v>0</v>
      </c>
      <c r="L274" s="63" t="str">
        <f t="shared" si="65"/>
        <v>KAY_5+221-BOZ-KAY5+6-FF-269</v>
      </c>
      <c r="M274" s="64" t="str">
        <f>[4]Sayfa1!$L270</f>
        <v>Panel pc ekranları yok</v>
      </c>
      <c r="N274" s="33" t="str">
        <f>[4]Sayfa1!$J270</f>
        <v>C-Uyarı, sürüş devamlılığı</v>
      </c>
      <c r="O274" s="33" t="str">
        <f>[4]Sayfa1!$P270</f>
        <v>C(Sisteme etki etmeyen arıza)</v>
      </c>
      <c r="P274" s="33" t="str">
        <f>[4]Sayfa1!$Q270</f>
        <v>N.A(Yaralanma yok)</v>
      </c>
      <c r="Q274" s="65" t="str" cm="1">
        <f t="array" ref="Q274">_xlfn.IFS([4]Sayfa1!$R270="Bozankaya","Bozankaya",[4]Sayfa1!$R270="İşletme","Customer",[4]Sayfa1!$R270="Tedarikçi","Equipment Supplier")</f>
        <v>Equipment Supplier</v>
      </c>
      <c r="R274" s="66" t="str">
        <f>[4]Sayfa1!$M270</f>
        <v>CA CB Kabinlere panel pc montajı yapılıp ıp ve kabin ayarları yapıldı</v>
      </c>
      <c r="S274" s="36" t="str">
        <f>[4]Sayfa1!$S270</f>
        <v>NSC</v>
      </c>
      <c r="T274" s="67">
        <f>[4]Sayfa1!$Z270</f>
        <v>0</v>
      </c>
      <c r="U274" s="68">
        <f>[4]Sayfa1!$AN270</f>
        <v>1</v>
      </c>
      <c r="V274" s="60">
        <f>[4]Sayfa1!$T270</f>
        <v>45531</v>
      </c>
      <c r="W274" s="61">
        <f>[4]Sayfa1!$U270</f>
        <v>45531.646307870367</v>
      </c>
      <c r="X274" s="69">
        <f t="shared" si="66"/>
        <v>45531.646307870367</v>
      </c>
      <c r="Y274" s="70">
        <f>[4]Sayfa1!$AQ270</f>
        <v>45531</v>
      </c>
      <c r="Z274" s="61">
        <f>[4]Sayfa1!$AR270</f>
        <v>45531.708333333336</v>
      </c>
      <c r="AA274" s="69">
        <f t="shared" si="67"/>
        <v>45531.708333333336</v>
      </c>
      <c r="AB274" s="71">
        <f t="shared" si="68"/>
        <v>0</v>
      </c>
      <c r="AC274" s="60">
        <f t="shared" si="69"/>
        <v>45531</v>
      </c>
      <c r="AD274" s="61">
        <f t="shared" si="70"/>
        <v>45531.708333333336</v>
      </c>
      <c r="AE274" s="69">
        <f t="shared" si="71"/>
        <v>45531.708333333336</v>
      </c>
      <c r="AF274" s="36" t="str">
        <f>[4]Sayfa1!$AP270</f>
        <v>(I) İlk defa karşılaşılan arıza</v>
      </c>
      <c r="AG274" s="33" t="str">
        <f>IF([4]Sayfa1!$J270="C-Uyarı, sürüş devamlılığı","Bu Arıza Aracın Servise Verilmesine Engel Değil","Bu Arıza Aracın Servise Verilmesine Engel")</f>
        <v>Bu Arıza Aracın Servise Verilmesine Engel Değil</v>
      </c>
      <c r="AH274" s="41" t="str">
        <f>[4]Sayfa1!$AB270</f>
        <v>Ekipman Değiştirilecek</v>
      </c>
      <c r="AI274" s="60"/>
      <c r="AJ274" s="60"/>
      <c r="AK274" s="69">
        <f t="shared" si="72"/>
        <v>0</v>
      </c>
      <c r="AL274" s="71">
        <f t="shared" si="73"/>
        <v>0</v>
      </c>
      <c r="AM274" s="71">
        <f t="shared" si="74"/>
        <v>0</v>
      </c>
      <c r="AN274" s="72">
        <f t="shared" si="75"/>
        <v>0</v>
      </c>
      <c r="AO274" s="73" t="str">
        <f>[4]Sayfa1!$X270</f>
        <v>E810-7145</v>
      </c>
      <c r="AP274" s="72">
        <f>[4]Sayfa1!$Y270</f>
        <v>0</v>
      </c>
      <c r="AQ274" s="184" t="str">
        <f>[4]Sayfa1!$V270</f>
        <v>NSC TEKNOLOJİ ve İNŞAAT LTD.ŞTİ.</v>
      </c>
      <c r="AR274" s="74" t="str">
        <f>[4]Sayfa1!$W270</f>
        <v>CCTV EKRANI</v>
      </c>
      <c r="AS274" s="74">
        <f>[4]Sayfa1!$AD270</f>
        <v>0</v>
      </c>
      <c r="AT274" s="60" t="str">
        <f>[4]Sayfa1!$AE270</f>
        <v/>
      </c>
      <c r="AU274" s="60">
        <f>[4]Sayfa1!$AH270</f>
        <v>0</v>
      </c>
      <c r="AV274" s="75">
        <v>269</v>
      </c>
      <c r="AW274" s="76">
        <f t="shared" si="76"/>
        <v>0</v>
      </c>
      <c r="AX274" s="77" t="str">
        <f>[4]Sayfa1!$A270</f>
        <v>f3eb3c3f</v>
      </c>
      <c r="AY274" s="78" t="s">
        <v>114</v>
      </c>
      <c r="AZ274" s="79" t="e" vm="1">
        <f t="shared" si="77"/>
        <v>#VALUE!</v>
      </c>
    </row>
    <row r="275" spans="1:52" ht="148.15">
      <c r="A275" s="59" t="s">
        <v>330</v>
      </c>
      <c r="B275" s="59" t="str">
        <f>[4]Sayfa1!$G271</f>
        <v>3878(7)</v>
      </c>
      <c r="C275" s="184" t="str">
        <f>[4]Sayfa1!$H271</f>
        <v>MA</v>
      </c>
      <c r="D275" s="24">
        <f>[4]Sayfa1!$N271</f>
        <v>59333</v>
      </c>
      <c r="E275" s="24" t="str">
        <f>[4]Sayfa1!$B271</f>
        <v>BOZ-KAY5+6-FF-270</v>
      </c>
      <c r="F275" s="60">
        <f>[4]Sayfa1!$E271</f>
        <v>45532</v>
      </c>
      <c r="G275" s="61">
        <f>[4]Sayfa1!$F271</f>
        <v>45532.672222222223</v>
      </c>
      <c r="H275" s="59" t="str">
        <f>[4]Sayfa1!$I271</f>
        <v>Depo/Depot</v>
      </c>
      <c r="I275" s="62" t="str">
        <f>IF([4]Sayfa1!$K271="SSH","Notified by Bozankaya","Notified by Customer")</f>
        <v>Notified by Bozankaya</v>
      </c>
      <c r="J275" s="59" t="e">
        <f>VLOOKUP([4]Sayfa1!$AU271,#REF!,2,FALSE)</f>
        <v>#REF!</v>
      </c>
      <c r="K275" s="59">
        <f>[4]Sayfa1!$AC271</f>
        <v>0</v>
      </c>
      <c r="L275" s="63" t="str">
        <f t="shared" si="65"/>
        <v>KAY_5+222-BOZ-KAY5+6-FF-270</v>
      </c>
      <c r="M275" s="64" t="str">
        <f>[4]Sayfa1!$L271</f>
        <v>HMI EKRANI PEMBELEŞMEYE BAŞLAMIŞ</v>
      </c>
      <c r="N275" s="33" t="str">
        <f>[4]Sayfa1!$J271</f>
        <v>C-Uyarı, sürüş devamlılığı</v>
      </c>
      <c r="O275" s="33" t="str">
        <f>[4]Sayfa1!$P271</f>
        <v>C(Sisteme etki etmeyen arıza)</v>
      </c>
      <c r="P275" s="33" t="str">
        <f>[4]Sayfa1!$Q271</f>
        <v>N.A(Yaralanma yok)</v>
      </c>
      <c r="Q275" s="65" t="str" cm="1">
        <f t="array" ref="Q275">_xlfn.IFS([4]Sayfa1!$R271="Bozankaya","Bozankaya",[4]Sayfa1!$R271="İşletme","Customer",[4]Sayfa1!$R271="Tedarikçi","Equipment Supplier")</f>
        <v>Equipment Supplier</v>
      </c>
      <c r="R275" s="66">
        <f>[4]Sayfa1!$M271</f>
        <v>0</v>
      </c>
      <c r="S275" s="36" t="str">
        <f>[4]Sayfa1!$S271</f>
        <v>Medcom</v>
      </c>
      <c r="T275" s="67" t="str">
        <f>[4]Sayfa1!$Z271</f>
        <v>605303/1121</v>
      </c>
      <c r="U275" s="68">
        <f>[4]Sayfa1!$AN271</f>
        <v>0</v>
      </c>
      <c r="V275" s="60">
        <f>[4]Sayfa1!$T271</f>
        <v>45532</v>
      </c>
      <c r="W275" s="61">
        <f>[4]Sayfa1!$U271</f>
        <v>45532.677083333336</v>
      </c>
      <c r="X275" s="69">
        <f t="shared" si="66"/>
        <v>45532.677083333336</v>
      </c>
      <c r="Y275" s="70" t="str">
        <f>[4]Sayfa1!$AQ271</f>
        <v/>
      </c>
      <c r="Z275" s="61">
        <f>[4]Sayfa1!$AR271</f>
        <v>0</v>
      </c>
      <c r="AA275" s="69">
        <f t="shared" si="67"/>
        <v>0</v>
      </c>
      <c r="AB275" s="71" t="e">
        <f t="shared" si="68"/>
        <v>#VALUE!</v>
      </c>
      <c r="AC275" s="60" t="str">
        <f t="shared" si="69"/>
        <v/>
      </c>
      <c r="AD275" s="61">
        <f t="shared" si="70"/>
        <v>0</v>
      </c>
      <c r="AE275" s="69">
        <f t="shared" si="71"/>
        <v>0</v>
      </c>
      <c r="AF275" s="36" t="str">
        <f>[4]Sayfa1!$AP271</f>
        <v>(I) İlk defa karşılaşılan arıza</v>
      </c>
      <c r="AG275" s="33" t="str">
        <f>IF([4]Sayfa1!$J271="C-Uyarı, sürüş devamlılığı","Bu Arıza Aracın Servise Verilmesine Engel Değil","Bu Arıza Aracın Servise Verilmesine Engel")</f>
        <v>Bu Arıza Aracın Servise Verilmesine Engel Değil</v>
      </c>
      <c r="AH275" s="41" t="str">
        <f>[4]Sayfa1!$AB271</f>
        <v>Ekipman değiştirilecek</v>
      </c>
      <c r="AI275" s="60"/>
      <c r="AJ275" s="60"/>
      <c r="AK275" s="69">
        <f t="shared" si="72"/>
        <v>0</v>
      </c>
      <c r="AL275" s="71" t="e">
        <f t="shared" si="73"/>
        <v>#VALUE!</v>
      </c>
      <c r="AM275" s="71" t="e">
        <f t="shared" si="74"/>
        <v>#VALUE!</v>
      </c>
      <c r="AN275" s="72">
        <f t="shared" si="75"/>
        <v>0</v>
      </c>
      <c r="AO275" s="73" t="str">
        <f>[4]Sayfa1!$X271</f>
        <v>E300-7058</v>
      </c>
      <c r="AP275" s="72">
        <f>[4]Sayfa1!$Y271</f>
        <v>0</v>
      </c>
      <c r="AQ275" s="184" t="str">
        <f>[4]Sayfa1!$V271</f>
        <v>MEDCOM SP. Z O.O.</v>
      </c>
      <c r="AR275" s="74" t="str">
        <f>[4]Sayfa1!$W271</f>
        <v>INC 90 SMALL TOUCH ONLY</v>
      </c>
      <c r="AS275" s="74">
        <f>[4]Sayfa1!$AD271</f>
        <v>0</v>
      </c>
      <c r="AT275" s="60" t="str">
        <f>[4]Sayfa1!$AE271</f>
        <v/>
      </c>
      <c r="AU275" s="60" t="str">
        <f>[4]Sayfa1!$AH271</f>
        <v/>
      </c>
      <c r="AV275" s="75">
        <v>270</v>
      </c>
      <c r="AW275" s="76" t="e">
        <f t="shared" si="76"/>
        <v>#VALUE!</v>
      </c>
      <c r="AX275" s="77" t="str">
        <f>[4]Sayfa1!$A271</f>
        <v>bc2056fe</v>
      </c>
      <c r="AY275" s="78" t="s">
        <v>114</v>
      </c>
      <c r="AZ275" s="79" t="e" vm="1">
        <f t="shared" si="77"/>
        <v>#VALUE!</v>
      </c>
    </row>
    <row r="276" spans="1:52" ht="165.6">
      <c r="A276" s="59" t="s">
        <v>331</v>
      </c>
      <c r="B276" s="59" t="str">
        <f>[4]Sayfa1!$G272</f>
        <v>3880(9)</v>
      </c>
      <c r="C276" s="184" t="str">
        <f>[4]Sayfa1!$H272</f>
        <v>RA</v>
      </c>
      <c r="D276" s="24">
        <f>[4]Sayfa1!$N272</f>
        <v>40028</v>
      </c>
      <c r="E276" s="24" t="str">
        <f>[4]Sayfa1!$B272</f>
        <v>BOZ-KAY5+6-FF-271</v>
      </c>
      <c r="F276" s="60">
        <f>[4]Sayfa1!$E272</f>
        <v>45539</v>
      </c>
      <c r="G276" s="61">
        <f>[4]Sayfa1!$F272</f>
        <v>45539.612500000003</v>
      </c>
      <c r="H276" s="59" t="str">
        <f>[4]Sayfa1!$I272</f>
        <v>Hat/Line</v>
      </c>
      <c r="I276" s="62" t="str">
        <f>IF([4]Sayfa1!$K272="SSH","Notified by Bozankaya","Notified by Customer")</f>
        <v>Notified by Customer</v>
      </c>
      <c r="J276" s="59" t="e">
        <f>VLOOKUP([4]Sayfa1!$AU272,#REF!,2,FALSE)</f>
        <v>#REF!</v>
      </c>
      <c r="K276" s="59">
        <f>[4]Sayfa1!$AC272</f>
        <v>0</v>
      </c>
      <c r="L276" s="63" t="str">
        <f t="shared" si="65"/>
        <v>KAY_5+223-BOZ-KAY5+6-FF-271</v>
      </c>
      <c r="M276" s="64" t="str">
        <f>[4]Sayfa1!$L272</f>
        <v>YOLCU BÖLÜMÜ SICAK</v>
      </c>
      <c r="N276" s="33" t="str">
        <f>[4]Sayfa1!$J272</f>
        <v>B-Hız veya güç azalması</v>
      </c>
      <c r="O276" s="33" t="str">
        <f>[4]Sayfa1!$P272</f>
        <v>B(Servisten çekmeye etki eden arızalar)</v>
      </c>
      <c r="P276" s="33" t="str">
        <f>[4]Sayfa1!$Q272</f>
        <v>N.A(Yaralanma yok)</v>
      </c>
      <c r="Q276" s="65" t="str" cm="1">
        <f t="array" ref="Q276">_xlfn.IFS([4]Sayfa1!$R272="Bozankaya","Bozankaya",[4]Sayfa1!$R272="İşletme","Customer",[4]Sayfa1!$R272="Tedarikçi","Equipment Supplier")</f>
        <v>Equipment Supplier</v>
      </c>
      <c r="R276" s="66" t="str">
        <f>[4]Sayfa1!$M272</f>
        <v>MASTERCARD RESETLENDİ. PROGRAM ATILDI.KLİMALAR AKTİF.(CA VE RA) ÇALIŞIYOR.</v>
      </c>
      <c r="S276" s="36" t="str">
        <f>[4]Sayfa1!$S272</f>
        <v>Eltesan</v>
      </c>
      <c r="T276" s="67">
        <f>[4]Sayfa1!$Z272</f>
        <v>0</v>
      </c>
      <c r="U276" s="68">
        <f>[4]Sayfa1!$AN272</f>
        <v>1</v>
      </c>
      <c r="V276" s="60">
        <f>[4]Sayfa1!$T272</f>
        <v>45539</v>
      </c>
      <c r="W276" s="61">
        <f>[4]Sayfa1!$U272</f>
        <v>45539.625</v>
      </c>
      <c r="X276" s="69">
        <f t="shared" si="66"/>
        <v>45539.625</v>
      </c>
      <c r="Y276" s="70">
        <f>[4]Sayfa1!$AQ272</f>
        <v>45539</v>
      </c>
      <c r="Z276" s="61">
        <f>[4]Sayfa1!$AR272</f>
        <v>45539.708333333336</v>
      </c>
      <c r="AA276" s="69">
        <f t="shared" si="67"/>
        <v>45539.708333333336</v>
      </c>
      <c r="AB276" s="71">
        <f t="shared" si="68"/>
        <v>0</v>
      </c>
      <c r="AC276" s="60">
        <f t="shared" si="69"/>
        <v>45539</v>
      </c>
      <c r="AD276" s="61">
        <f t="shared" si="70"/>
        <v>45539.708333333336</v>
      </c>
      <c r="AE276" s="69">
        <f t="shared" si="71"/>
        <v>45539.708333333336</v>
      </c>
      <c r="AF276" s="36" t="str">
        <f>[4]Sayfa1!$AP272</f>
        <v>(III) Birden fazla aynı araçta karşılaşılan arıza</v>
      </c>
      <c r="AG276" s="33" t="str">
        <f>IF([4]Sayfa1!$J272="C-Uyarı, sürüş devamlılığı","Bu Arıza Aracın Servise Verilmesine Engel Değil","Bu Arıza Aracın Servise Verilmesine Engel")</f>
        <v>Bu Arıza Aracın Servise Verilmesine Engel</v>
      </c>
      <c r="AH276" s="41" t="str">
        <f>[4]Sayfa1!$AB272</f>
        <v>Yazılım güncelleme</v>
      </c>
      <c r="AI276" s="60"/>
      <c r="AJ276" s="60"/>
      <c r="AK276" s="69">
        <f t="shared" si="72"/>
        <v>0</v>
      </c>
      <c r="AL276" s="71">
        <f t="shared" si="73"/>
        <v>0</v>
      </c>
      <c r="AM276" s="71">
        <f t="shared" si="74"/>
        <v>0</v>
      </c>
      <c r="AN276" s="72">
        <f t="shared" si="75"/>
        <v>0</v>
      </c>
      <c r="AO276" s="73" t="str">
        <f>[4]Sayfa1!$X272</f>
        <v>H500-7240</v>
      </c>
      <c r="AP276" s="72">
        <f>[4]Sayfa1!$Y272</f>
        <v>0</v>
      </c>
      <c r="AQ276" s="184" t="str">
        <f>[4]Sayfa1!$V272</f>
        <v>ELTESAN ELEKTRO MEKANİK SOĞUTMA SAN</v>
      </c>
      <c r="AR276" s="74" t="str">
        <f>[4]Sayfa1!$W272</f>
        <v>KLIMA UNITESİ /Eltesan/Hispacold 41,5 kW</v>
      </c>
      <c r="AS276" s="74">
        <f>[4]Sayfa1!$AD272</f>
        <v>0</v>
      </c>
      <c r="AT276" s="60" t="str">
        <f>[4]Sayfa1!$AE272</f>
        <v/>
      </c>
      <c r="AU276" s="60">
        <f>[4]Sayfa1!$AH272</f>
        <v>0</v>
      </c>
      <c r="AV276" s="75">
        <v>271</v>
      </c>
      <c r="AW276" s="76">
        <f t="shared" si="76"/>
        <v>0</v>
      </c>
      <c r="AX276" s="77" t="str">
        <f>[4]Sayfa1!$A272</f>
        <v>ac577bb9</v>
      </c>
      <c r="AY276" s="78" t="s">
        <v>114</v>
      </c>
      <c r="AZ276" s="79" t="e" vm="1">
        <f t="shared" si="77"/>
        <v>#VALUE!</v>
      </c>
    </row>
    <row r="277" spans="1:52" ht="148.15">
      <c r="A277" s="59" t="s">
        <v>332</v>
      </c>
      <c r="B277" s="59" t="str">
        <f>[4]Sayfa1!$G273</f>
        <v>3876(5)</v>
      </c>
      <c r="C277" s="184" t="str">
        <f>[4]Sayfa1!$H273</f>
        <v>MB</v>
      </c>
      <c r="D277" s="24">
        <f>[4]Sayfa1!$N273</f>
        <v>81850</v>
      </c>
      <c r="E277" s="24" t="str">
        <f>[4]Sayfa1!$B273</f>
        <v>BOZ-KAY5+6-FF-272</v>
      </c>
      <c r="F277" s="60">
        <f>[4]Sayfa1!$E273</f>
        <v>45540</v>
      </c>
      <c r="G277" s="61">
        <f>[4]Sayfa1!$F273</f>
        <v>45540.726388888892</v>
      </c>
      <c r="H277" s="59" t="str">
        <f>[4]Sayfa1!$I273</f>
        <v>Hat/Line</v>
      </c>
      <c r="I277" s="62" t="str">
        <f>IF([4]Sayfa1!$K273="SSH","Notified by Bozankaya","Notified by Customer")</f>
        <v>Notified by Customer</v>
      </c>
      <c r="J277" s="59" t="e">
        <f>VLOOKUP([4]Sayfa1!$AU273,#REF!,2,FALSE)</f>
        <v>#REF!</v>
      </c>
      <c r="K277" s="59">
        <f>[4]Sayfa1!$AC273</f>
        <v>0</v>
      </c>
      <c r="L277" s="63" t="str">
        <f t="shared" si="65"/>
        <v>KAY_5+224-BOZ-KAY5+6-FF-272</v>
      </c>
      <c r="M277" s="64" t="str">
        <f>[4]Sayfa1!$L273</f>
        <v>Analog ayna kamera çalışmıyor ekranda beyaz gözüküyor</v>
      </c>
      <c r="N277" s="33" t="str">
        <f>[4]Sayfa1!$J273</f>
        <v>C-Uyarı, sürüş devamlılığı</v>
      </c>
      <c r="O277" s="33" t="str">
        <f>[4]Sayfa1!$P273</f>
        <v>B(Servisten çekmeye etki eden arızalar)</v>
      </c>
      <c r="P277" s="33" t="str">
        <f>[4]Sayfa1!$Q273</f>
        <v>N.A(Yaralanma yok)</v>
      </c>
      <c r="Q277" s="65" t="str" cm="1">
        <f t="array" ref="Q277">_xlfn.IFS([4]Sayfa1!$R273="Bozankaya","Bozankaya",[4]Sayfa1!$R273="İşletme","Customer",[4]Sayfa1!$R273="Tedarikçi","Equipment Supplier")</f>
        <v>Equipment Supplier</v>
      </c>
      <c r="R277" s="66" t="str">
        <f>[4]Sayfa1!$M273</f>
        <v>Kamera değişimi yapıldı</v>
      </c>
      <c r="S277" s="36" t="str">
        <f>[4]Sayfa1!$S273</f>
        <v>Bozankaya</v>
      </c>
      <c r="T277" s="67">
        <f>[4]Sayfa1!$Z273</f>
        <v>0</v>
      </c>
      <c r="U277" s="68">
        <f>[4]Sayfa1!$AN273</f>
        <v>1</v>
      </c>
      <c r="V277" s="60">
        <f>[4]Sayfa1!$T273</f>
        <v>45540</v>
      </c>
      <c r="W277" s="61">
        <f>[4]Sayfa1!$U273</f>
        <v>45540.727777777778</v>
      </c>
      <c r="X277" s="69">
        <f t="shared" si="66"/>
        <v>45540.727777777778</v>
      </c>
      <c r="Y277" s="70">
        <f>[4]Sayfa1!$AQ273</f>
        <v>45540</v>
      </c>
      <c r="Z277" s="61">
        <f>[4]Sayfa1!$AR273</f>
        <v>45540.770833333336</v>
      </c>
      <c r="AA277" s="69">
        <f t="shared" si="67"/>
        <v>45540.770833333336</v>
      </c>
      <c r="AB277" s="71">
        <f t="shared" si="68"/>
        <v>0</v>
      </c>
      <c r="AC277" s="60">
        <f t="shared" si="69"/>
        <v>45540</v>
      </c>
      <c r="AD277" s="61">
        <f t="shared" si="70"/>
        <v>45540.770833333336</v>
      </c>
      <c r="AE277" s="69">
        <f t="shared" si="71"/>
        <v>45540.770833333336</v>
      </c>
      <c r="AF277" s="36" t="str">
        <f>[4]Sayfa1!$AP273</f>
        <v>(I) İlk defa karşılaşılan arıza</v>
      </c>
      <c r="AG277" s="33" t="str">
        <f>IF([4]Sayfa1!$J273="C-Uyarı, sürüş devamlılığı","Bu Arıza Aracın Servise Verilmesine Engel Değil","Bu Arıza Aracın Servise Verilmesine Engel")</f>
        <v>Bu Arıza Aracın Servise Verilmesine Engel Değil</v>
      </c>
      <c r="AH277" s="41" t="str">
        <f>[4]Sayfa1!$AB273</f>
        <v>Ekipman değiştirilecek</v>
      </c>
      <c r="AI277" s="60"/>
      <c r="AJ277" s="60"/>
      <c r="AK277" s="69">
        <f t="shared" si="72"/>
        <v>0</v>
      </c>
      <c r="AL277" s="71">
        <f t="shared" si="73"/>
        <v>0</v>
      </c>
      <c r="AM277" s="71">
        <f t="shared" si="74"/>
        <v>0</v>
      </c>
      <c r="AN277" s="72">
        <f t="shared" si="75"/>
        <v>0</v>
      </c>
      <c r="AO277" s="73" t="str">
        <f>[4]Sayfa1!$X273</f>
        <v>E810-7150</v>
      </c>
      <c r="AP277" s="72">
        <f>[4]Sayfa1!$Y273</f>
        <v>1</v>
      </c>
      <c r="AQ277" s="184" t="str">
        <f>[4]Sayfa1!$V273</f>
        <v>STONKAM CO ., LTD</v>
      </c>
      <c r="AR277" s="74" t="str">
        <f>[4]Sayfa1!$W273</f>
        <v>AYNA KAMERA</v>
      </c>
      <c r="AS277" s="74">
        <f>[4]Sayfa1!$AD273</f>
        <v>0</v>
      </c>
      <c r="AT277" s="60" t="str">
        <f>[4]Sayfa1!$AE273</f>
        <v/>
      </c>
      <c r="AU277" s="60" t="str">
        <f>[4]Sayfa1!$AH273</f>
        <v/>
      </c>
      <c r="AV277" s="75">
        <v>272</v>
      </c>
      <c r="AW277" s="76">
        <f t="shared" si="76"/>
        <v>0</v>
      </c>
      <c r="AX277" s="77" t="str">
        <f>[4]Sayfa1!$A273</f>
        <v>f90d1c4f</v>
      </c>
      <c r="AY277" s="78" t="s">
        <v>114</v>
      </c>
      <c r="AZ277" s="79" t="e" vm="1">
        <f t="shared" si="77"/>
        <v>#VALUE!</v>
      </c>
    </row>
    <row r="278" spans="1:52" ht="165.6">
      <c r="A278" s="59" t="s">
        <v>333</v>
      </c>
      <c r="B278" s="59" t="str">
        <f>[4]Sayfa1!$G274</f>
        <v>3874(3)</v>
      </c>
      <c r="C278" s="184" t="str">
        <f>[4]Sayfa1!$H274</f>
        <v>MA</v>
      </c>
      <c r="D278" s="24">
        <f>[4]Sayfa1!$N274</f>
        <v>88196</v>
      </c>
      <c r="E278" s="24" t="str">
        <f>[4]Sayfa1!$B274</f>
        <v>BOZ-KAY5+6-FF-273</v>
      </c>
      <c r="F278" s="60">
        <f>[4]Sayfa1!$E274</f>
        <v>45541</v>
      </c>
      <c r="G278" s="61">
        <f>[4]Sayfa1!$F274</f>
        <v>45541.40902777778</v>
      </c>
      <c r="H278" s="59" t="str">
        <f>[4]Sayfa1!$I274</f>
        <v>Hat/Line</v>
      </c>
      <c r="I278" s="62" t="str">
        <f>IF([4]Sayfa1!$K274="SSH","Notified by Bozankaya","Notified by Customer")</f>
        <v>Notified by Customer</v>
      </c>
      <c r="J278" s="59" t="e">
        <f>VLOOKUP([4]Sayfa1!$AU274,#REF!,2,FALSE)</f>
        <v>#REF!</v>
      </c>
      <c r="K278" s="59">
        <f>[4]Sayfa1!$AC274</f>
        <v>0</v>
      </c>
      <c r="L278" s="63" t="str">
        <f t="shared" si="65"/>
        <v>KAY_5+225-BOZ-KAY5+6-FF-273</v>
      </c>
      <c r="M278" s="64" t="str">
        <f>[4]Sayfa1!$L274</f>
        <v>A KABİN SİLECEK ÇALIŞMIYOR.</v>
      </c>
      <c r="N278" s="33" t="str">
        <f>[4]Sayfa1!$J274</f>
        <v>C-Uyarı, sürüş devamlılığı</v>
      </c>
      <c r="O278" s="33" t="str">
        <f>[4]Sayfa1!$P274</f>
        <v>A(Hareket etmeyi engelleyen arıza)</v>
      </c>
      <c r="P278" s="33" t="str">
        <f>[4]Sayfa1!$Q274</f>
        <v>N.A(Yaralanma yok)</v>
      </c>
      <c r="Q278" s="65" t="str" cm="1">
        <f t="array" ref="Q278">_xlfn.IFS([4]Sayfa1!$R274="Bozankaya","Bozankaya",[4]Sayfa1!$R274="İşletme","Customer",[4]Sayfa1!$R274="Tedarikçi","Equipment Supplier")</f>
        <v>Equipment Supplier</v>
      </c>
      <c r="R278" s="66" t="str">
        <f>[4]Sayfa1!$M274</f>
        <v>SİLECEK KOLU GEVŞEDİĞİ İÇİN SİLECEK ÇALIŞMIYORDU. KOL SIKILANDI. SİLECEK ÇALIŞIYOR.</v>
      </c>
      <c r="S278" s="36" t="str">
        <f>[4]Sayfa1!$S274</f>
        <v>Bozankaya</v>
      </c>
      <c r="T278" s="67">
        <f>[4]Sayfa1!$Z274</f>
        <v>0</v>
      </c>
      <c r="U278" s="68">
        <f>[4]Sayfa1!$AN274</f>
        <v>1</v>
      </c>
      <c r="V278" s="60">
        <f>[4]Sayfa1!$T274</f>
        <v>45541</v>
      </c>
      <c r="W278" s="61">
        <f>[4]Sayfa1!$U274</f>
        <v>45541.4375</v>
      </c>
      <c r="X278" s="69">
        <f t="shared" si="66"/>
        <v>45541.4375</v>
      </c>
      <c r="Y278" s="70">
        <f>[4]Sayfa1!$AQ274</f>
        <v>0</v>
      </c>
      <c r="Z278" s="61">
        <f>[4]Sayfa1!$AR274</f>
        <v>45541.5</v>
      </c>
      <c r="AA278" s="69">
        <f t="shared" si="67"/>
        <v>45541.5</v>
      </c>
      <c r="AB278" s="71">
        <f t="shared" si="68"/>
        <v>0</v>
      </c>
      <c r="AC278" s="60">
        <f t="shared" si="69"/>
        <v>0</v>
      </c>
      <c r="AD278" s="61">
        <f t="shared" si="70"/>
        <v>45541.5</v>
      </c>
      <c r="AE278" s="69">
        <f t="shared" si="71"/>
        <v>45541.5</v>
      </c>
      <c r="AF278" s="36" t="str">
        <f>[4]Sayfa1!$AP274</f>
        <v>(III) Birden fazla aynı araçta karşılaşılan arıza</v>
      </c>
      <c r="AG278" s="33" t="str">
        <f>IF([4]Sayfa1!$J274="C-Uyarı, sürüş devamlılığı","Bu Arıza Aracın Servise Verilmesine Engel Değil","Bu Arıza Aracın Servise Verilmesine Engel")</f>
        <v>Bu Arıza Aracın Servise Verilmesine Engel Değil</v>
      </c>
      <c r="AH278" s="41" t="str">
        <f>[4]Sayfa1!$AB274</f>
        <v>Tamir edilecek</v>
      </c>
      <c r="AI278" s="60"/>
      <c r="AJ278" s="60"/>
      <c r="AK278" s="69">
        <f t="shared" si="72"/>
        <v>0</v>
      </c>
      <c r="AL278" s="71">
        <f t="shared" si="73"/>
        <v>0</v>
      </c>
      <c r="AM278" s="71">
        <f t="shared" si="74"/>
        <v>0</v>
      </c>
      <c r="AN278" s="72">
        <f t="shared" si="75"/>
        <v>0</v>
      </c>
      <c r="AO278" s="73" t="str">
        <f>[4]Sayfa1!$X274</f>
        <v>M100-7066</v>
      </c>
      <c r="AP278" s="72">
        <f>[4]Sayfa1!$Y274</f>
        <v>1</v>
      </c>
      <c r="AQ278" s="184" t="str">
        <f>[4]Sayfa1!$V274</f>
        <v>DENİZLER OTOMOTİV SAN. VE TİC.LTD.Ş</v>
      </c>
      <c r="AR278" s="74" t="str">
        <f>[4]Sayfa1!$W274</f>
        <v>SİLECEK MEKANİZMASI Denizler / M.11.2506</v>
      </c>
      <c r="AS278" s="74">
        <f>[4]Sayfa1!$AD274</f>
        <v>0</v>
      </c>
      <c r="AT278" s="60" t="str">
        <f>[4]Sayfa1!$AE274</f>
        <v/>
      </c>
      <c r="AU278" s="60">
        <f>[4]Sayfa1!$AH274</f>
        <v>0</v>
      </c>
      <c r="AV278" s="75">
        <v>273</v>
      </c>
      <c r="AW278" s="76">
        <f t="shared" si="76"/>
        <v>0</v>
      </c>
      <c r="AX278" s="77" t="str">
        <f>[4]Sayfa1!$A274</f>
        <v>fd838d9d</v>
      </c>
      <c r="AY278" s="78" t="s">
        <v>114</v>
      </c>
      <c r="AZ278" s="79" t="e" vm="1">
        <f t="shared" si="77"/>
        <v>#VALUE!</v>
      </c>
    </row>
    <row r="279" spans="1:52" ht="148.15">
      <c r="A279" s="59" t="s">
        <v>334</v>
      </c>
      <c r="B279" s="59" t="str">
        <f>[4]Sayfa1!$G275</f>
        <v>3875(4)</v>
      </c>
      <c r="C279" s="184" t="str">
        <f>[4]Sayfa1!$H275</f>
        <v>RA</v>
      </c>
      <c r="D279" s="24">
        <f>[4]Sayfa1!$N275</f>
        <v>60703</v>
      </c>
      <c r="E279" s="24" t="str">
        <f>[4]Sayfa1!$B275</f>
        <v>BOZ-KAY5+6-FF-274</v>
      </c>
      <c r="F279" s="60">
        <f>[4]Sayfa1!$E275</f>
        <v>45544</v>
      </c>
      <c r="G279" s="61">
        <f>[4]Sayfa1!$F275</f>
        <v>45544.613194444442</v>
      </c>
      <c r="H279" s="59" t="str">
        <f>[4]Sayfa1!$I275</f>
        <v>Hat/Line</v>
      </c>
      <c r="I279" s="62" t="str">
        <f>IF([4]Sayfa1!$K275="SSH","Notified by Bozankaya","Notified by Customer")</f>
        <v>Notified by Customer</v>
      </c>
      <c r="J279" s="59" t="e">
        <f>VLOOKUP([4]Sayfa1!$AU275,#REF!,2,FALSE)</f>
        <v>#REF!</v>
      </c>
      <c r="K279" s="59">
        <f>[4]Sayfa1!$AC275</f>
        <v>0</v>
      </c>
      <c r="L279" s="63" t="str">
        <f t="shared" si="65"/>
        <v>KAY_5+226-BOZ-KAY5+6-FF-274</v>
      </c>
      <c r="M279" s="64" t="str">
        <f>[4]Sayfa1!$L275</f>
        <v>beyaz ekran arızası var</v>
      </c>
      <c r="N279" s="33" t="str">
        <f>[4]Sayfa1!$J275</f>
        <v>C-Uyarı, sürüş devamlılığı</v>
      </c>
      <c r="O279" s="33" t="str">
        <f>[4]Sayfa1!$P275</f>
        <v>C(Sisteme etki etmeyen arıza)</v>
      </c>
      <c r="P279" s="33" t="str">
        <f>[4]Sayfa1!$Q275</f>
        <v>N.A(Yaralanma yok)</v>
      </c>
      <c r="Q279" s="65" t="str" cm="1">
        <f t="array" ref="Q279">_xlfn.IFS([4]Sayfa1!$R275="Bozankaya","Bozankaya",[4]Sayfa1!$R275="İşletme","Customer",[4]Sayfa1!$R275="Tedarikçi","Equipment Supplier")</f>
        <v>Equipment Supplier</v>
      </c>
      <c r="R279" s="66" t="str">
        <f>[4]Sayfa1!$M275</f>
        <v>ekran değişimi yapıldı</v>
      </c>
      <c r="S279" s="36" t="str">
        <f>[4]Sayfa1!$S275</f>
        <v>Atak</v>
      </c>
      <c r="T279" s="67">
        <f>[4]Sayfa1!$Z275</f>
        <v>2022281200036</v>
      </c>
      <c r="U279" s="68">
        <f>[4]Sayfa1!$AN275</f>
        <v>1</v>
      </c>
      <c r="V279" s="60">
        <f>[4]Sayfa1!$T275</f>
        <v>45544</v>
      </c>
      <c r="W279" s="61">
        <f>[4]Sayfa1!$U275</f>
        <v>45544.615706018521</v>
      </c>
      <c r="X279" s="69">
        <f t="shared" si="66"/>
        <v>45544.615706018521</v>
      </c>
      <c r="Y279" s="70">
        <f>[4]Sayfa1!$AQ275</f>
        <v>45544</v>
      </c>
      <c r="Z279" s="61">
        <f>[4]Sayfa1!$AR275</f>
        <v>45544.6875</v>
      </c>
      <c r="AA279" s="69">
        <f t="shared" si="67"/>
        <v>45544.6875</v>
      </c>
      <c r="AB279" s="71">
        <f t="shared" si="68"/>
        <v>0</v>
      </c>
      <c r="AC279" s="60">
        <f t="shared" si="69"/>
        <v>45544</v>
      </c>
      <c r="AD279" s="61">
        <f t="shared" si="70"/>
        <v>45544.6875</v>
      </c>
      <c r="AE279" s="69">
        <f t="shared" si="71"/>
        <v>45544.6875</v>
      </c>
      <c r="AF279" s="36" t="str">
        <f>[4]Sayfa1!$AP275</f>
        <v>(II) Birden fazla karşılaşılan arıza</v>
      </c>
      <c r="AG279" s="33" t="str">
        <f>IF([4]Sayfa1!$J275="C-Uyarı, sürüş devamlılığı","Bu Arıza Aracın Servise Verilmesine Engel Değil","Bu Arıza Aracın Servise Verilmesine Engel")</f>
        <v>Bu Arıza Aracın Servise Verilmesine Engel Değil</v>
      </c>
      <c r="AH279" s="41" t="str">
        <f>[4]Sayfa1!$AB275</f>
        <v>Ekipman değiştirilecek</v>
      </c>
      <c r="AI279" s="60"/>
      <c r="AJ279" s="60"/>
      <c r="AK279" s="69">
        <f t="shared" si="72"/>
        <v>0</v>
      </c>
      <c r="AL279" s="71">
        <f t="shared" si="73"/>
        <v>0</v>
      </c>
      <c r="AM279" s="71">
        <f t="shared" si="74"/>
        <v>0</v>
      </c>
      <c r="AN279" s="72">
        <f t="shared" si="75"/>
        <v>0</v>
      </c>
      <c r="AO279" s="73" t="str">
        <f>[4]Sayfa1!$X275</f>
        <v>E840-7120</v>
      </c>
      <c r="AP279" s="72">
        <f>[4]Sayfa1!$Y275</f>
        <v>1</v>
      </c>
      <c r="AQ279" s="184" t="str">
        <f>[4]Sayfa1!$V275</f>
        <v>ATAK ULAŞIM SAN.TİC.LTD.ŞTİ.</v>
      </c>
      <c r="AR279" s="74" t="str">
        <f>[4]Sayfa1!$W275</f>
        <v>28.6"  EKRAN</v>
      </c>
      <c r="AS279" s="74">
        <f>[4]Sayfa1!$AD275</f>
        <v>0</v>
      </c>
      <c r="AT279" s="60" t="str">
        <f>[4]Sayfa1!$AE275</f>
        <v/>
      </c>
      <c r="AU279" s="60" t="str">
        <f>[4]Sayfa1!$AH275</f>
        <v/>
      </c>
      <c r="AV279" s="75">
        <v>274</v>
      </c>
      <c r="AW279" s="76">
        <f t="shared" si="76"/>
        <v>0</v>
      </c>
      <c r="AX279" s="77" t="str">
        <f>[4]Sayfa1!$A275</f>
        <v>7faf3b56</v>
      </c>
      <c r="AY279" s="78" t="s">
        <v>114</v>
      </c>
      <c r="AZ279" s="79" t="e" vm="1">
        <f t="shared" si="77"/>
        <v>#VALUE!</v>
      </c>
    </row>
    <row r="280" spans="1:52" ht="186.6">
      <c r="A280" s="59" t="s">
        <v>335</v>
      </c>
      <c r="B280" s="59" t="str">
        <f>[4]Sayfa1!$G276</f>
        <v>3875(4)</v>
      </c>
      <c r="C280" s="184" t="str">
        <f>[4]Sayfa1!$H276</f>
        <v>RA</v>
      </c>
      <c r="D280" s="24">
        <f>[4]Sayfa1!$N276</f>
        <v>60703</v>
      </c>
      <c r="E280" s="24" t="str">
        <f>[4]Sayfa1!$B276</f>
        <v>BOZ-KAY5+6-FF-275</v>
      </c>
      <c r="F280" s="60">
        <f>[4]Sayfa1!$E276</f>
        <v>45544</v>
      </c>
      <c r="G280" s="61">
        <f>[4]Sayfa1!$F276</f>
        <v>45544.618055555555</v>
      </c>
      <c r="H280" s="59" t="str">
        <f>[4]Sayfa1!$I276</f>
        <v>Hat/Line</v>
      </c>
      <c r="I280" s="62" t="str">
        <f>IF([4]Sayfa1!$K276="SSH","Notified by Bozankaya","Notified by Customer")</f>
        <v>Notified by Customer</v>
      </c>
      <c r="J280" s="59" t="e">
        <f>VLOOKUP([4]Sayfa1!$AU276,#REF!,2,FALSE)</f>
        <v>#REF!</v>
      </c>
      <c r="K280" s="59">
        <f>[4]Sayfa1!$AC276</f>
        <v>0</v>
      </c>
      <c r="L280" s="63" t="str">
        <f t="shared" si="65"/>
        <v>KAY_5+227-BOZ-KAY5+6-FF-275</v>
      </c>
      <c r="M280" s="64" t="str">
        <f>[4]Sayfa1!$L276</f>
        <v>ekrana görüntü gelmiyor</v>
      </c>
      <c r="N280" s="33" t="str">
        <f>[4]Sayfa1!$J276</f>
        <v>C-Uyarı, sürüş devamlılığı</v>
      </c>
      <c r="O280" s="33" t="str">
        <f>[4]Sayfa1!$P276</f>
        <v>B(Servisten çekmeye etki eden arızalar)</v>
      </c>
      <c r="P280" s="33" t="str">
        <f>[4]Sayfa1!$Q276</f>
        <v>N.A(Yaralanma yok)</v>
      </c>
      <c r="Q280" s="65" t="str" cm="1">
        <f t="array" ref="Q280">_xlfn.IFS([4]Sayfa1!$R276="Bozankaya","Bozankaya",[4]Sayfa1!$R276="İşletme","Customer",[4]Sayfa1!$R276="Tedarikçi","Equipment Supplier")</f>
        <v>Equipment Supplier</v>
      </c>
      <c r="R280" s="66" t="str">
        <f>[4]Sayfa1!$M276</f>
        <v>Ekran değişimi yapıldı</v>
      </c>
      <c r="S280" s="36" t="str">
        <f>[4]Sayfa1!$S276</f>
        <v>Atak</v>
      </c>
      <c r="T280" s="67">
        <f>[4]Sayfa1!$Z276</f>
        <v>2022281300032</v>
      </c>
      <c r="U280" s="68">
        <f>[4]Sayfa1!$AN276</f>
        <v>1</v>
      </c>
      <c r="V280" s="60">
        <f>[4]Sayfa1!$T276</f>
        <v>45544</v>
      </c>
      <c r="W280" s="61">
        <f>[4]Sayfa1!$U276</f>
        <v>45544.619768518518</v>
      </c>
      <c r="X280" s="69">
        <f t="shared" si="66"/>
        <v>45544.619768518518</v>
      </c>
      <c r="Y280" s="70">
        <f>[4]Sayfa1!$AQ276</f>
        <v>45544</v>
      </c>
      <c r="Z280" s="61">
        <f>[4]Sayfa1!$AR276</f>
        <v>45544.666666666664</v>
      </c>
      <c r="AA280" s="69">
        <f t="shared" si="67"/>
        <v>45544.666666666664</v>
      </c>
      <c r="AB280" s="71">
        <f t="shared" si="68"/>
        <v>0</v>
      </c>
      <c r="AC280" s="60">
        <f t="shared" si="69"/>
        <v>45544</v>
      </c>
      <c r="AD280" s="61">
        <f t="shared" si="70"/>
        <v>45544.666666666664</v>
      </c>
      <c r="AE280" s="69">
        <f t="shared" si="71"/>
        <v>45544.666666666664</v>
      </c>
      <c r="AF280" s="36" t="str">
        <f>[4]Sayfa1!$AP276</f>
        <v>(II) Birden fazla karşılaşılan arıza</v>
      </c>
      <c r="AG280" s="33" t="str">
        <f>IF([4]Sayfa1!$J276="C-Uyarı, sürüş devamlılığı","Bu Arıza Aracın Servise Verilmesine Engel Değil","Bu Arıza Aracın Servise Verilmesine Engel")</f>
        <v>Bu Arıza Aracın Servise Verilmesine Engel Değil</v>
      </c>
      <c r="AH280" s="41" t="str">
        <f>[4]Sayfa1!$AB276</f>
        <v>Ekipman değiştirilecek</v>
      </c>
      <c r="AI280" s="60"/>
      <c r="AJ280" s="60"/>
      <c r="AK280" s="69">
        <f t="shared" si="72"/>
        <v>0</v>
      </c>
      <c r="AL280" s="71">
        <f t="shared" si="73"/>
        <v>0</v>
      </c>
      <c r="AM280" s="71">
        <f t="shared" si="74"/>
        <v>0</v>
      </c>
      <c r="AN280" s="72">
        <f t="shared" si="75"/>
        <v>0</v>
      </c>
      <c r="AO280" s="73" t="str">
        <f>[4]Sayfa1!$X276</f>
        <v>E840-7120</v>
      </c>
      <c r="AP280" s="72">
        <f>[4]Sayfa1!$Y276</f>
        <v>1</v>
      </c>
      <c r="AQ280" s="184" t="str">
        <f>[4]Sayfa1!$V276</f>
        <v>ATAK ULAŞIM SAN.TİC.LTD.ŞTİ.</v>
      </c>
      <c r="AR280" s="74" t="str">
        <f>[4]Sayfa1!$W276</f>
        <v>28.6"  EKRAN</v>
      </c>
      <c r="AS280" s="74">
        <f>[4]Sayfa1!$AD276</f>
        <v>0</v>
      </c>
      <c r="AT280" s="60" t="str">
        <f>[4]Sayfa1!$AE276</f>
        <v/>
      </c>
      <c r="AU280" s="60" t="str">
        <f>[4]Sayfa1!$AH276</f>
        <v/>
      </c>
      <c r="AV280" s="75">
        <v>275</v>
      </c>
      <c r="AW280" s="76">
        <f t="shared" si="76"/>
        <v>0</v>
      </c>
      <c r="AX280" s="77" t="str">
        <f>[4]Sayfa1!$A276</f>
        <v>4f999409</v>
      </c>
      <c r="AY280" s="78" t="s">
        <v>114</v>
      </c>
      <c r="AZ280" s="79" t="e" vm="1">
        <f t="shared" si="77"/>
        <v>#VALUE!</v>
      </c>
    </row>
    <row r="281" spans="1:52" ht="148.15">
      <c r="A281" s="59" t="s">
        <v>336</v>
      </c>
      <c r="B281" s="59" t="str">
        <f>[4]Sayfa1!$G277</f>
        <v>3873(2)</v>
      </c>
      <c r="C281" s="184" t="str">
        <f>[4]Sayfa1!$H277</f>
        <v>MB</v>
      </c>
      <c r="D281" s="24">
        <f>[4]Sayfa1!$N277</f>
        <v>92961</v>
      </c>
      <c r="E281" s="24" t="str">
        <f>[4]Sayfa1!$B277</f>
        <v>BOZ-KAY5+6-FF-276</v>
      </c>
      <c r="F281" s="60">
        <f>[4]Sayfa1!$E277</f>
        <v>45544</v>
      </c>
      <c r="G281" s="61">
        <f>[4]Sayfa1!$F277</f>
        <v>45544.773611111108</v>
      </c>
      <c r="H281" s="59" t="str">
        <f>[4]Sayfa1!$I277</f>
        <v>Depo/Depot</v>
      </c>
      <c r="I281" s="62" t="str">
        <f>IF([4]Sayfa1!$K277="SSH","Notified by Bozankaya","Notified by Customer")</f>
        <v>Notified by Bozankaya</v>
      </c>
      <c r="J281" s="59" t="e">
        <f>VLOOKUP([4]Sayfa1!$AU277,#REF!,2,FALSE)</f>
        <v>#REF!</v>
      </c>
      <c r="K281" s="59">
        <f>[4]Sayfa1!$AC277</f>
        <v>0</v>
      </c>
      <c r="L281" s="63" t="str">
        <f t="shared" si="65"/>
        <v>KAY_5+228-BOZ-KAY5+6-FF-276</v>
      </c>
      <c r="M281" s="64" t="str">
        <f>[4]Sayfa1!$L277</f>
        <v>ekrana enerji gelip  gidiyor</v>
      </c>
      <c r="N281" s="33" t="str">
        <f>[4]Sayfa1!$J277</f>
        <v>C-Uyarı, sürüş devamlılığı</v>
      </c>
      <c r="O281" s="33" t="str">
        <f>[4]Sayfa1!$P277</f>
        <v>B(Servisten çekmeye etki eden arızalar)</v>
      </c>
      <c r="P281" s="33" t="str">
        <f>[4]Sayfa1!$Q277</f>
        <v>N.A(Yaralanma yok)</v>
      </c>
      <c r="Q281" s="65" t="str" cm="1">
        <f t="array" ref="Q281">_xlfn.IFS([4]Sayfa1!$R277="Bozankaya","Bozankaya",[4]Sayfa1!$R277="İşletme","Customer",[4]Sayfa1!$R277="Tedarikçi","Equipment Supplier")</f>
        <v>Equipment Supplier</v>
      </c>
      <c r="R281" s="66" t="str">
        <f>[4]Sayfa1!$M277</f>
        <v>ekran değişimi yapıldı</v>
      </c>
      <c r="S281" s="36" t="str">
        <f>[4]Sayfa1!$S277</f>
        <v>NSC</v>
      </c>
      <c r="T281" s="67">
        <f>[4]Sayfa1!$Z277</f>
        <v>20231001014</v>
      </c>
      <c r="U281" s="68">
        <f>[4]Sayfa1!$AN277</f>
        <v>1</v>
      </c>
      <c r="V281" s="60">
        <f>[4]Sayfa1!$T277</f>
        <v>45544</v>
      </c>
      <c r="W281" s="61">
        <f>[4]Sayfa1!$U277</f>
        <v>45544.775381944448</v>
      </c>
      <c r="X281" s="69">
        <f t="shared" si="66"/>
        <v>45544.775381944448</v>
      </c>
      <c r="Y281" s="70">
        <f>[4]Sayfa1!$AQ277</f>
        <v>45544</v>
      </c>
      <c r="Z281" s="61">
        <f>[4]Sayfa1!$AR277</f>
        <v>45544.8125</v>
      </c>
      <c r="AA281" s="69">
        <f t="shared" si="67"/>
        <v>45544.8125</v>
      </c>
      <c r="AB281" s="71">
        <f t="shared" si="68"/>
        <v>0</v>
      </c>
      <c r="AC281" s="60">
        <f t="shared" si="69"/>
        <v>45544</v>
      </c>
      <c r="AD281" s="61">
        <f t="shared" si="70"/>
        <v>45544.8125</v>
      </c>
      <c r="AE281" s="69">
        <f t="shared" si="71"/>
        <v>45544.8125</v>
      </c>
      <c r="AF281" s="36" t="str">
        <f>[4]Sayfa1!$AP277</f>
        <v>(II) Birden fazla karşılaşılan arıza</v>
      </c>
      <c r="AG281" s="33" t="str">
        <f>IF([4]Sayfa1!$J277="C-Uyarı, sürüş devamlılığı","Bu Arıza Aracın Servise Verilmesine Engel Değil","Bu Arıza Aracın Servise Verilmesine Engel")</f>
        <v>Bu Arıza Aracın Servise Verilmesine Engel Değil</v>
      </c>
      <c r="AH281" s="41" t="str">
        <f>[4]Sayfa1!$AB277</f>
        <v>Ekipman değiştirilecek</v>
      </c>
      <c r="AI281" s="60"/>
      <c r="AJ281" s="60"/>
      <c r="AK281" s="69">
        <f t="shared" si="72"/>
        <v>0</v>
      </c>
      <c r="AL281" s="71">
        <f t="shared" si="73"/>
        <v>0</v>
      </c>
      <c r="AM281" s="71">
        <f t="shared" si="74"/>
        <v>0</v>
      </c>
      <c r="AN281" s="72">
        <f t="shared" si="75"/>
        <v>0</v>
      </c>
      <c r="AO281" s="73" t="str">
        <f>[4]Sayfa1!$X277</f>
        <v>E810-7145</v>
      </c>
      <c r="AP281" s="72">
        <f>[4]Sayfa1!$Y277</f>
        <v>1</v>
      </c>
      <c r="AQ281" s="184" t="str">
        <f>[4]Sayfa1!$V277</f>
        <v>NSC TEKNOLOJİ ve İNŞAAT LTD.ŞTİ.</v>
      </c>
      <c r="AR281" s="74" t="str">
        <f>[4]Sayfa1!$W277</f>
        <v>CCTV EKRANI</v>
      </c>
      <c r="AS281" s="74">
        <f>[4]Sayfa1!$AD277</f>
        <v>0</v>
      </c>
      <c r="AT281" s="60" t="str">
        <f>[4]Sayfa1!$AE277</f>
        <v/>
      </c>
      <c r="AU281" s="60" t="str">
        <f>[4]Sayfa1!$AH277</f>
        <v/>
      </c>
      <c r="AV281" s="75">
        <v>276</v>
      </c>
      <c r="AW281" s="76">
        <f t="shared" si="76"/>
        <v>0</v>
      </c>
      <c r="AX281" s="77" t="str">
        <f>[4]Sayfa1!$A277</f>
        <v>9ea93b5d</v>
      </c>
      <c r="AY281" s="78" t="s">
        <v>114</v>
      </c>
      <c r="AZ281" s="79" t="e" vm="1">
        <f t="shared" si="77"/>
        <v>#VALUE!</v>
      </c>
    </row>
    <row r="282" spans="1:52" ht="148.15">
      <c r="A282" s="59" t="s">
        <v>337</v>
      </c>
      <c r="B282" s="59" t="str">
        <f>[4]Sayfa1!$G278</f>
        <v>3881(10)</v>
      </c>
      <c r="C282" s="184" t="str">
        <f>[4]Sayfa1!$H278</f>
        <v>MA</v>
      </c>
      <c r="D282" s="24">
        <f>[4]Sayfa1!$N278</f>
        <v>34850</v>
      </c>
      <c r="E282" s="24" t="str">
        <f>[4]Sayfa1!$B278</f>
        <v>BOZ-KAY5+6-FF-277</v>
      </c>
      <c r="F282" s="60">
        <f>[4]Sayfa1!$E278</f>
        <v>45545</v>
      </c>
      <c r="G282" s="61">
        <f>[4]Sayfa1!$F278</f>
        <v>45545.606944444444</v>
      </c>
      <c r="H282" s="59" t="str">
        <f>[4]Sayfa1!$I278</f>
        <v>Depo/Depot</v>
      </c>
      <c r="I282" s="62" t="str">
        <f>IF([4]Sayfa1!$K278="SSH","Notified by Bozankaya","Notified by Customer")</f>
        <v>Notified by Bozankaya</v>
      </c>
      <c r="J282" s="59" t="e">
        <f>VLOOKUP([4]Sayfa1!$AU278,#REF!,2,FALSE)</f>
        <v>#REF!</v>
      </c>
      <c r="K282" s="59">
        <f>[4]Sayfa1!$AC278</f>
        <v>0</v>
      </c>
      <c r="L282" s="63" t="str">
        <f t="shared" si="65"/>
        <v>KAY_5+229-BOZ-KAY5+6-FF-277</v>
      </c>
      <c r="M282" s="64" t="str">
        <f>[4]Sayfa1!$L278</f>
        <v>indikatör panelinde patlak ledler var</v>
      </c>
      <c r="N282" s="33" t="str">
        <f>[4]Sayfa1!$J278</f>
        <v>C-Uyarı, sürüş devamlılığı</v>
      </c>
      <c r="O282" s="33" t="str">
        <f>[4]Sayfa1!$P278</f>
        <v>C(Sisteme etki etmeyen arıza)</v>
      </c>
      <c r="P282" s="33" t="str">
        <f>[4]Sayfa1!$Q278</f>
        <v>N.A(Yaralanma yok)</v>
      </c>
      <c r="Q282" s="65" t="str" cm="1">
        <f t="array" ref="Q282">_xlfn.IFS([4]Sayfa1!$R278="Bozankaya","Bozankaya",[4]Sayfa1!$R278="İşletme","Customer",[4]Sayfa1!$R278="Tedarikçi","Equipment Supplier")</f>
        <v>Equipment Supplier</v>
      </c>
      <c r="R282" s="66" t="str">
        <f>[4]Sayfa1!$M278</f>
        <v>değişimi yapıldı</v>
      </c>
      <c r="S282" s="36" t="str">
        <f>[4]Sayfa1!$S278</f>
        <v>Atak</v>
      </c>
      <c r="T282" s="67">
        <f>[4]Sayfa1!$Z278</f>
        <v>0</v>
      </c>
      <c r="U282" s="68">
        <f>[4]Sayfa1!$AN278</f>
        <v>1</v>
      </c>
      <c r="V282" s="60">
        <f>[4]Sayfa1!$T278</f>
        <v>45545</v>
      </c>
      <c r="W282" s="61">
        <f>[4]Sayfa1!$U278</f>
        <v>45545.625</v>
      </c>
      <c r="X282" s="69">
        <f t="shared" si="66"/>
        <v>45545.625</v>
      </c>
      <c r="Y282" s="70">
        <f>[4]Sayfa1!$AQ278</f>
        <v>45545</v>
      </c>
      <c r="Z282" s="61">
        <f>[4]Sayfa1!$AR278</f>
        <v>45545.666666666664</v>
      </c>
      <c r="AA282" s="69">
        <f t="shared" si="67"/>
        <v>45545.666666666664</v>
      </c>
      <c r="AB282" s="71">
        <f t="shared" si="68"/>
        <v>0</v>
      </c>
      <c r="AC282" s="60">
        <f t="shared" si="69"/>
        <v>45545</v>
      </c>
      <c r="AD282" s="61">
        <f t="shared" si="70"/>
        <v>45545.666666666664</v>
      </c>
      <c r="AE282" s="69">
        <f t="shared" si="71"/>
        <v>45545.666666666664</v>
      </c>
      <c r="AF282" s="36" t="str">
        <f>[4]Sayfa1!$AP278</f>
        <v>(II) Birden fazla karşılaşılan arıza</v>
      </c>
      <c r="AG282" s="33" t="str">
        <f>IF([4]Sayfa1!$J278="C-Uyarı, sürüş devamlılığı","Bu Arıza Aracın Servise Verilmesine Engel Değil","Bu Arıza Aracın Servise Verilmesine Engel")</f>
        <v>Bu Arıza Aracın Servise Verilmesine Engel Değil</v>
      </c>
      <c r="AH282" s="41" t="str">
        <f>[4]Sayfa1!$AB278</f>
        <v>Ekipman değiştirilecek</v>
      </c>
      <c r="AI282" s="60"/>
      <c r="AJ282" s="60"/>
      <c r="AK282" s="69">
        <f t="shared" si="72"/>
        <v>0</v>
      </c>
      <c r="AL282" s="71">
        <f t="shared" si="73"/>
        <v>0</v>
      </c>
      <c r="AM282" s="71">
        <f t="shared" si="74"/>
        <v>0</v>
      </c>
      <c r="AN282" s="72">
        <f t="shared" si="75"/>
        <v>0</v>
      </c>
      <c r="AO282" s="73" t="str">
        <f>[4]Sayfa1!$X278</f>
        <v>E300-7007</v>
      </c>
      <c r="AP282" s="72">
        <f>[4]Sayfa1!$Y278</f>
        <v>1</v>
      </c>
      <c r="AQ282" s="184" t="str">
        <f>[4]Sayfa1!$V278</f>
        <v>ATAK ULAŞIM SAN.TİC.LTD.ŞTİ.</v>
      </c>
      <c r="AR282" s="74" t="str">
        <f>[4]Sayfa1!$W278</f>
        <v>İNDİKATÖR PANELİ</v>
      </c>
      <c r="AS282" s="74">
        <f>[4]Sayfa1!$AD278</f>
        <v>0</v>
      </c>
      <c r="AT282" s="60" t="str">
        <f>[4]Sayfa1!$AE278</f>
        <v/>
      </c>
      <c r="AU282" s="60" t="str">
        <f>[4]Sayfa1!$AH278</f>
        <v/>
      </c>
      <c r="AV282" s="75">
        <v>277</v>
      </c>
      <c r="AW282" s="76">
        <f t="shared" si="76"/>
        <v>0</v>
      </c>
      <c r="AX282" s="77" t="str">
        <f>[4]Sayfa1!$A278</f>
        <v>f02474c1</v>
      </c>
      <c r="AY282" s="78" t="s">
        <v>114</v>
      </c>
      <c r="AZ282" s="79" t="e" vm="1">
        <f t="shared" si="77"/>
        <v>#VALUE!</v>
      </c>
    </row>
    <row r="283" spans="1:52" ht="86.45">
      <c r="A283" s="59" t="s">
        <v>338</v>
      </c>
      <c r="B283" s="59" t="e">
        <f>[4]Sayfa1!#REF!</f>
        <v>#REF!</v>
      </c>
      <c r="C283" s="184" t="e">
        <f>[4]Sayfa1!#REF!</f>
        <v>#REF!</v>
      </c>
      <c r="D283" s="24" t="e">
        <f>[4]Sayfa1!#REF!</f>
        <v>#REF!</v>
      </c>
      <c r="E283" s="24" t="e">
        <f>[4]Sayfa1!#REF!</f>
        <v>#REF!</v>
      </c>
      <c r="F283" s="60" t="e">
        <f>[4]Sayfa1!#REF!</f>
        <v>#REF!</v>
      </c>
      <c r="G283" s="61" t="e">
        <f>[4]Sayfa1!#REF!</f>
        <v>#REF!</v>
      </c>
      <c r="H283" s="59" t="e">
        <f>[4]Sayfa1!#REF!</f>
        <v>#REF!</v>
      </c>
      <c r="I283" s="62" t="e">
        <f>IF([4]Sayfa1!#REF!="SSH","Notified by Bozankaya","Notified by Customer")</f>
        <v>#REF!</v>
      </c>
      <c r="J283" s="59" t="e">
        <f>VLOOKUP([4]Sayfa1!#REF!,#REF!,2,FALSE)</f>
        <v>#REF!</v>
      </c>
      <c r="K283" s="59" t="e">
        <f>[4]Sayfa1!#REF!</f>
        <v>#REF!</v>
      </c>
      <c r="L283" s="63" t="e">
        <f t="shared" si="65"/>
        <v>#REF!</v>
      </c>
      <c r="M283" s="64" t="e">
        <f>[4]Sayfa1!#REF!</f>
        <v>#REF!</v>
      </c>
      <c r="N283" s="33" t="e">
        <f>[4]Sayfa1!#REF!</f>
        <v>#REF!</v>
      </c>
      <c r="O283" s="33" t="e">
        <f>[4]Sayfa1!#REF!</f>
        <v>#REF!</v>
      </c>
      <c r="P283" s="33" t="e">
        <f>[4]Sayfa1!#REF!</f>
        <v>#REF!</v>
      </c>
      <c r="Q283" s="65" t="e" cm="1">
        <f t="array" ref="Q283">_xlfn.IFS([4]Sayfa1!#REF!="Bozankaya","Bozankaya",[4]Sayfa1!#REF!="İşletme","Customer",[4]Sayfa1!#REF!="Tedarikçi","Equipment Supplier")</f>
        <v>#REF!</v>
      </c>
      <c r="R283" s="66" t="e">
        <f>[4]Sayfa1!#REF!</f>
        <v>#REF!</v>
      </c>
      <c r="S283" s="36" t="e">
        <f>[4]Sayfa1!#REF!</f>
        <v>#REF!</v>
      </c>
      <c r="T283" s="67" t="e">
        <f>[4]Sayfa1!#REF!</f>
        <v>#REF!</v>
      </c>
      <c r="U283" s="68" t="e">
        <f>[4]Sayfa1!#REF!</f>
        <v>#REF!</v>
      </c>
      <c r="V283" s="60" t="e">
        <f>[4]Sayfa1!#REF!</f>
        <v>#REF!</v>
      </c>
      <c r="W283" s="61" t="e">
        <f>[4]Sayfa1!#REF!</f>
        <v>#REF!</v>
      </c>
      <c r="X283" s="69" t="e">
        <f t="shared" si="66"/>
        <v>#REF!</v>
      </c>
      <c r="Y283" s="70" t="e">
        <f>[4]Sayfa1!#REF!</f>
        <v>#REF!</v>
      </c>
      <c r="Z283" s="61" t="e">
        <f>[4]Sayfa1!#REF!</f>
        <v>#REF!</v>
      </c>
      <c r="AA283" s="69" t="e">
        <f t="shared" si="67"/>
        <v>#REF!</v>
      </c>
      <c r="AB283" s="71" t="e">
        <f t="shared" si="68"/>
        <v>#REF!</v>
      </c>
      <c r="AC283" s="60" t="e">
        <f t="shared" si="69"/>
        <v>#REF!</v>
      </c>
      <c r="AD283" s="61" t="e">
        <f t="shared" si="70"/>
        <v>#REF!</v>
      </c>
      <c r="AE283" s="69" t="e">
        <f t="shared" si="71"/>
        <v>#REF!</v>
      </c>
      <c r="AF283" s="36" t="e">
        <f>[4]Sayfa1!#REF!</f>
        <v>#REF!</v>
      </c>
      <c r="AG283" s="33" t="e">
        <f>IF([4]Sayfa1!#REF!="C-Uyarı, sürüş devamlılığı","Bu Arıza Aracın Servise Verilmesine Engel Değil","Bu Arıza Aracın Servise Verilmesine Engel")</f>
        <v>#REF!</v>
      </c>
      <c r="AH283" s="41" t="e">
        <f>[4]Sayfa1!#REF!</f>
        <v>#REF!</v>
      </c>
      <c r="AI283" s="60"/>
      <c r="AJ283" s="60"/>
      <c r="AK283" s="69">
        <f t="shared" si="72"/>
        <v>0</v>
      </c>
      <c r="AL283" s="71" t="e">
        <f t="shared" si="73"/>
        <v>#REF!</v>
      </c>
      <c r="AM283" s="71" t="e">
        <f t="shared" si="74"/>
        <v>#REF!</v>
      </c>
      <c r="AN283" s="72" t="e">
        <f t="shared" si="75"/>
        <v>#REF!</v>
      </c>
      <c r="AO283" s="73" t="e">
        <f>[4]Sayfa1!#REF!</f>
        <v>#REF!</v>
      </c>
      <c r="AP283" s="72" t="e">
        <f>[4]Sayfa1!#REF!</f>
        <v>#REF!</v>
      </c>
      <c r="AQ283" s="184" t="e">
        <f>[4]Sayfa1!#REF!</f>
        <v>#REF!</v>
      </c>
      <c r="AR283" s="74" t="e">
        <f>[4]Sayfa1!#REF!</f>
        <v>#REF!</v>
      </c>
      <c r="AS283" s="74" t="e">
        <f>[4]Sayfa1!#REF!</f>
        <v>#REF!</v>
      </c>
      <c r="AT283" s="60" t="e">
        <f>[4]Sayfa1!#REF!</f>
        <v>#REF!</v>
      </c>
      <c r="AU283" s="60" t="e">
        <f>[4]Sayfa1!#REF!</f>
        <v>#REF!</v>
      </c>
      <c r="AV283" s="75">
        <v>278</v>
      </c>
      <c r="AW283" s="76" t="e">
        <f t="shared" si="76"/>
        <v>#REF!</v>
      </c>
      <c r="AX283" s="77" t="e">
        <f>[4]Sayfa1!#REF!</f>
        <v>#REF!</v>
      </c>
      <c r="AY283" s="78" t="s">
        <v>114</v>
      </c>
      <c r="AZ283" s="79" t="e" vm="1">
        <f t="shared" si="77"/>
        <v>#VALUE!</v>
      </c>
    </row>
    <row r="284" spans="1:52" ht="207">
      <c r="A284" s="59" t="s">
        <v>339</v>
      </c>
      <c r="B284" s="59" t="str">
        <f>[4]Sayfa1!$G280</f>
        <v>3882(11)</v>
      </c>
      <c r="C284" s="184" t="str">
        <f>[4]Sayfa1!$H280</f>
        <v>MA</v>
      </c>
      <c r="D284" s="24">
        <f>[4]Sayfa1!$N280</f>
        <v>22056</v>
      </c>
      <c r="E284" s="24" t="str">
        <f>[4]Sayfa1!$B280</f>
        <v>BOZ-KAY5+6-FF-279</v>
      </c>
      <c r="F284" s="60">
        <f>[4]Sayfa1!$E280</f>
        <v>45546</v>
      </c>
      <c r="G284" s="61">
        <f>[4]Sayfa1!$F280</f>
        <v>45546.45</v>
      </c>
      <c r="H284" s="59" t="str">
        <f>[4]Sayfa1!$I280</f>
        <v>Hat/Line</v>
      </c>
      <c r="I284" s="62" t="str">
        <f>IF([4]Sayfa1!$K280="SSH","Notified by Bozankaya","Notified by Customer")</f>
        <v>Notified by Customer</v>
      </c>
      <c r="J284" s="59" t="e">
        <f>VLOOKUP([4]Sayfa1!$AU280,#REF!,2,FALSE)</f>
        <v>#REF!</v>
      </c>
      <c r="K284" s="59">
        <f>[4]Sayfa1!$AC280</f>
        <v>0</v>
      </c>
      <c r="L284" s="63" t="str">
        <f t="shared" si="65"/>
        <v>KAY_5+231-BOZ-KAY5+6-FF-279</v>
      </c>
      <c r="M284" s="64" t="str">
        <f>[4]Sayfa1!$L280</f>
        <v>ARAÇ TÜM BOJİLER İÇİN FREN ARIZASI VERDİ HSCB KAPATMADI 4 SEFERDE 14 DK TEHİR YAŞANDI</v>
      </c>
      <c r="N284" s="33" t="str">
        <f>[4]Sayfa1!$J280</f>
        <v>A-Sürüşü engeller</v>
      </c>
      <c r="O284" s="33" t="str">
        <f>[4]Sayfa1!$P280</f>
        <v>A(Hareket etmeyi engelleyen arıza)</v>
      </c>
      <c r="P284" s="33" t="str">
        <f>[4]Sayfa1!$Q280</f>
        <v>N.A(Yaralanma yok)</v>
      </c>
      <c r="Q284" s="65" t="str" cm="1">
        <f t="array" ref="Q284">_xlfn.IFS([4]Sayfa1!$R280="Bozankaya","Bozankaya",[4]Sayfa1!$R280="İşletme","Customer",[4]Sayfa1!$R280="Tedarikçi","Equipment Supplier")</f>
        <v>Bozankaya</v>
      </c>
      <c r="R284" s="66" t="str">
        <f>[4]Sayfa1!$M280</f>
        <v>PUSH BUTTON KABLOSU ISINMIŞ YANMIŞ DEĞİŞİMİ YAPILDI</v>
      </c>
      <c r="S284" s="36" t="str">
        <f>[4]Sayfa1!$S280</f>
        <v>Tasarım</v>
      </c>
      <c r="T284" s="67">
        <f>[4]Sayfa1!$Z280</f>
        <v>0</v>
      </c>
      <c r="U284" s="68">
        <f>[4]Sayfa1!$AN280</f>
        <v>1</v>
      </c>
      <c r="V284" s="60">
        <f>[4]Sayfa1!$T280</f>
        <v>45546</v>
      </c>
      <c r="W284" s="61">
        <f>[4]Sayfa1!$U280</f>
        <v>45546.458333333336</v>
      </c>
      <c r="X284" s="69">
        <f t="shared" si="66"/>
        <v>45546.458333333336</v>
      </c>
      <c r="Y284" s="70">
        <f>[4]Sayfa1!$AQ280</f>
        <v>45546</v>
      </c>
      <c r="Z284" s="61">
        <f>[4]Sayfa1!$AR280</f>
        <v>45546.75</v>
      </c>
      <c r="AA284" s="69">
        <f t="shared" si="67"/>
        <v>45546.75</v>
      </c>
      <c r="AB284" s="71">
        <f t="shared" si="68"/>
        <v>0</v>
      </c>
      <c r="AC284" s="60">
        <f t="shared" si="69"/>
        <v>45546</v>
      </c>
      <c r="AD284" s="61">
        <f t="shared" si="70"/>
        <v>45546.75</v>
      </c>
      <c r="AE284" s="69">
        <f t="shared" si="71"/>
        <v>45546.75</v>
      </c>
      <c r="AF284" s="36" t="str">
        <f>[4]Sayfa1!$AP280</f>
        <v>(I) İlk defa karşılaşılan arıza</v>
      </c>
      <c r="AG284" s="33" t="str">
        <f>IF([4]Sayfa1!$J280="C-Uyarı, sürüş devamlılığı","Bu Arıza Aracın Servise Verilmesine Engel Değil","Bu Arıza Aracın Servise Verilmesine Engel")</f>
        <v>Bu Arıza Aracın Servise Verilmesine Engel</v>
      </c>
      <c r="AH284" s="41">
        <f>[4]Sayfa1!$AB280</f>
        <v>0</v>
      </c>
      <c r="AI284" s="60"/>
      <c r="AJ284" s="60"/>
      <c r="AK284" s="69">
        <f t="shared" si="72"/>
        <v>0</v>
      </c>
      <c r="AL284" s="71">
        <f t="shared" si="73"/>
        <v>0</v>
      </c>
      <c r="AM284" s="71">
        <f t="shared" si="74"/>
        <v>0</v>
      </c>
      <c r="AN284" s="72">
        <f t="shared" si="75"/>
        <v>0</v>
      </c>
      <c r="AO284" s="73" t="str">
        <f>[4]Sayfa1!$X280</f>
        <v>D145-7001</v>
      </c>
      <c r="AP284" s="72">
        <f>[4]Sayfa1!$Y280</f>
        <v>1</v>
      </c>
      <c r="AQ284" s="184" t="str">
        <f>[4]Sayfa1!$V280</f>
        <v>GENERAL TEKNİK ELEKTRONİK TESİSAT</v>
      </c>
      <c r="AR284" s="74" t="str">
        <f>[4]Sayfa1!$W280</f>
        <v>IP67 PUSHBUTTON</v>
      </c>
      <c r="AS284" s="74">
        <f>[4]Sayfa1!$AD280</f>
        <v>0</v>
      </c>
      <c r="AT284" s="60" t="str">
        <f>[4]Sayfa1!$AE280</f>
        <v/>
      </c>
      <c r="AU284" s="60" t="str">
        <f>[4]Sayfa1!$AH280</f>
        <v/>
      </c>
      <c r="AV284" s="75">
        <v>279</v>
      </c>
      <c r="AW284" s="76">
        <f t="shared" si="76"/>
        <v>0</v>
      </c>
      <c r="AX284" s="77" t="str">
        <f>[4]Sayfa1!$A280</f>
        <v>6838b596</v>
      </c>
      <c r="AY284" s="78" t="s">
        <v>114</v>
      </c>
      <c r="AZ284" s="79" t="e" vm="1">
        <f t="shared" si="77"/>
        <v>#VALUE!</v>
      </c>
    </row>
    <row r="285" spans="1:52" ht="211.15">
      <c r="A285" s="59" t="s">
        <v>340</v>
      </c>
      <c r="B285" s="59" t="str">
        <f>[4]Sayfa1!$G281</f>
        <v>3880(9)</v>
      </c>
      <c r="C285" s="184" t="str">
        <f>[4]Sayfa1!$H281</f>
        <v>MA</v>
      </c>
      <c r="D285" s="24">
        <f>[4]Sayfa1!$N281</f>
        <v>44912</v>
      </c>
      <c r="E285" s="24" t="str">
        <f>[4]Sayfa1!$B281</f>
        <v>BOZ-KAY5+6-FF-280</v>
      </c>
      <c r="F285" s="60">
        <f>[4]Sayfa1!$E281</f>
        <v>45552</v>
      </c>
      <c r="G285" s="61">
        <f>[4]Sayfa1!$F281</f>
        <v>45552.597418981481</v>
      </c>
      <c r="H285" s="59" t="str">
        <f>[4]Sayfa1!$I281</f>
        <v>Hat/Line</v>
      </c>
      <c r="I285" s="62" t="str">
        <f>IF([4]Sayfa1!$K281="SSH","Notified by Bozankaya","Notified by Customer")</f>
        <v>Notified by Customer</v>
      </c>
      <c r="J285" s="59" t="e">
        <f>VLOOKUP([4]Sayfa1!$AU281,#REF!,2,FALSE)</f>
        <v>#REF!</v>
      </c>
      <c r="K285" s="59">
        <f>[4]Sayfa1!$AC281</f>
        <v>0</v>
      </c>
      <c r="L285" s="63" t="str">
        <f t="shared" si="65"/>
        <v>KAY_5+232-BOZ-KAY5+6-FF-280</v>
      </c>
      <c r="M285" s="64" t="str">
        <f>[4]Sayfa1!$L281</f>
        <v>Kapı üstü ekranda görüntü gözükmüyor.</v>
      </c>
      <c r="N285" s="33" t="str">
        <f>[4]Sayfa1!$J281</f>
        <v>C-Uyarı, sürüş devamlılığı</v>
      </c>
      <c r="O285" s="33" t="str">
        <f>[4]Sayfa1!$P281</f>
        <v>B(Servisten çekmeye etki eden arızalar)</v>
      </c>
      <c r="P285" s="33" t="str">
        <f>[4]Sayfa1!$Q281</f>
        <v>N.A(Yaralanma yok)</v>
      </c>
      <c r="Q285" s="65" t="str" cm="1">
        <f t="array" ref="Q285">_xlfn.IFS([4]Sayfa1!$R281="Bozankaya","Bozankaya",[4]Sayfa1!$R281="İşletme","Customer",[4]Sayfa1!$R281="Tedarikçi","Equipment Supplier")</f>
        <v>Equipment Supplier</v>
      </c>
      <c r="R285" s="66" t="str">
        <f>[4]Sayfa1!$M281</f>
        <v>Değişimi yapıldı.</v>
      </c>
      <c r="S285" s="36" t="str">
        <f>[4]Sayfa1!$S281</f>
        <v>Atak</v>
      </c>
      <c r="T285" s="67">
        <f>[4]Sayfa1!$Z281</f>
        <v>202313020042</v>
      </c>
      <c r="U285" s="68">
        <f>[4]Sayfa1!$AN281</f>
        <v>1</v>
      </c>
      <c r="V285" s="60">
        <f>[4]Sayfa1!$T281</f>
        <v>45552</v>
      </c>
      <c r="W285" s="61">
        <f>[4]Sayfa1!$U281</f>
        <v>45552.604270833333</v>
      </c>
      <c r="X285" s="69">
        <f t="shared" si="66"/>
        <v>45552.604270833333</v>
      </c>
      <c r="Y285" s="70">
        <f>[4]Sayfa1!$AQ281</f>
        <v>45552</v>
      </c>
      <c r="Z285" s="61">
        <f>[4]Sayfa1!$AR281</f>
        <v>45552.708506944444</v>
      </c>
      <c r="AA285" s="69">
        <f t="shared" si="67"/>
        <v>45552.708506944444</v>
      </c>
      <c r="AB285" s="71">
        <f t="shared" si="68"/>
        <v>0</v>
      </c>
      <c r="AC285" s="60">
        <f t="shared" si="69"/>
        <v>45552</v>
      </c>
      <c r="AD285" s="61">
        <f t="shared" si="70"/>
        <v>45552.708506944444</v>
      </c>
      <c r="AE285" s="69">
        <f t="shared" si="71"/>
        <v>45552.708506944444</v>
      </c>
      <c r="AF285" s="36" t="str">
        <f>[4]Sayfa1!$AP281</f>
        <v>(II) Birden fazla karşılaşılan arıza</v>
      </c>
      <c r="AG285" s="33" t="str">
        <f>IF([4]Sayfa1!$J281="C-Uyarı, sürüş devamlılığı","Bu Arıza Aracın Servise Verilmesine Engel Değil","Bu Arıza Aracın Servise Verilmesine Engel")</f>
        <v>Bu Arıza Aracın Servise Verilmesine Engel Değil</v>
      </c>
      <c r="AH285" s="41" t="str">
        <f>[4]Sayfa1!$AB281</f>
        <v>Ekipman değiştirilecek</v>
      </c>
      <c r="AI285" s="60"/>
      <c r="AJ285" s="60"/>
      <c r="AK285" s="69">
        <f t="shared" si="72"/>
        <v>0</v>
      </c>
      <c r="AL285" s="71">
        <f t="shared" si="73"/>
        <v>0</v>
      </c>
      <c r="AM285" s="71">
        <f t="shared" si="74"/>
        <v>0</v>
      </c>
      <c r="AN285" s="72">
        <f t="shared" si="75"/>
        <v>0</v>
      </c>
      <c r="AO285" s="73" t="str">
        <f>[4]Sayfa1!$X281</f>
        <v>E410-7003</v>
      </c>
      <c r="AP285" s="72">
        <f>[4]Sayfa1!$Y281</f>
        <v>1</v>
      </c>
      <c r="AQ285" s="184" t="str">
        <f>[4]Sayfa1!$V281</f>
        <v>ATAK ULAŞIM SAN.TİC.LTD.ŞTİ.</v>
      </c>
      <c r="AR285" s="74" t="str">
        <f>[4]Sayfa1!$W281</f>
        <v>STRETCH LCD EKRAN</v>
      </c>
      <c r="AS285" s="74">
        <f>[4]Sayfa1!$AD281</f>
        <v>0</v>
      </c>
      <c r="AT285" s="60" t="str">
        <f>[4]Sayfa1!$AE281</f>
        <v/>
      </c>
      <c r="AU285" s="60" t="str">
        <f>[4]Sayfa1!$AH281</f>
        <v/>
      </c>
      <c r="AV285" s="75">
        <v>280</v>
      </c>
      <c r="AW285" s="76">
        <f t="shared" si="76"/>
        <v>0</v>
      </c>
      <c r="AX285" s="77" t="str">
        <f>[4]Sayfa1!$A281</f>
        <v>aff66234</v>
      </c>
      <c r="AY285" s="78" t="s">
        <v>114</v>
      </c>
      <c r="AZ285" s="79" t="e" vm="1">
        <f t="shared" si="77"/>
        <v>#VALUE!</v>
      </c>
    </row>
    <row r="286" spans="1:52" ht="148.15">
      <c r="A286" s="59" t="s">
        <v>341</v>
      </c>
      <c r="B286" s="59" t="str">
        <f>[4]Sayfa1!$G282</f>
        <v>3875(4)</v>
      </c>
      <c r="C286" s="184" t="str">
        <f>[4]Sayfa1!$H282</f>
        <v>MB</v>
      </c>
      <c r="D286" s="24">
        <f>[4]Sayfa1!$N282</f>
        <v>63103</v>
      </c>
      <c r="E286" s="24" t="str">
        <f>[4]Sayfa1!$B282</f>
        <v>BOZ-KAY5+6-FF-281</v>
      </c>
      <c r="F286" s="60">
        <f>[4]Sayfa1!$E282</f>
        <v>45553</v>
      </c>
      <c r="G286" s="61">
        <f>[4]Sayfa1!$F282</f>
        <v>45553.947222222225</v>
      </c>
      <c r="H286" s="59" t="str">
        <f>[4]Sayfa1!$I282</f>
        <v>Hat/Line</v>
      </c>
      <c r="I286" s="62" t="str">
        <f>IF([4]Sayfa1!$K282="SSH","Notified by Bozankaya","Notified by Customer")</f>
        <v>Notified by Customer</v>
      </c>
      <c r="J286" s="59" t="e">
        <f>VLOOKUP([4]Sayfa1!$AU282,#REF!,2,FALSE)</f>
        <v>#REF!</v>
      </c>
      <c r="K286" s="59">
        <f>[4]Sayfa1!$AC282</f>
        <v>0</v>
      </c>
      <c r="L286" s="63" t="str">
        <f t="shared" si="65"/>
        <v>KAY_5+233-BOZ-KAY5+6-FF-281</v>
      </c>
      <c r="M286" s="64" t="str">
        <f>[4]Sayfa1!$L282</f>
        <v>SİLECEK ARIZALI MAKİNİST TERS DÖNDÜĞÜNÜ BİLDİRDİ.</v>
      </c>
      <c r="N286" s="33" t="str">
        <f>[4]Sayfa1!$J282</f>
        <v>C-Uyarı, sürüş devamlılığı</v>
      </c>
      <c r="O286" s="33" t="str">
        <f>[4]Sayfa1!$P282</f>
        <v>A(Hareket etmeyi engelleyen arıza)</v>
      </c>
      <c r="P286" s="33" t="str">
        <f>[4]Sayfa1!$Q282</f>
        <v>N.A(Yaralanma yok)</v>
      </c>
      <c r="Q286" s="65" t="str" cm="1">
        <f t="array" ref="Q286">_xlfn.IFS([4]Sayfa1!$R282="Bozankaya","Bozankaya",[4]Sayfa1!$R282="İşletme","Customer",[4]Sayfa1!$R282="Tedarikçi","Equipment Supplier")</f>
        <v>Equipment Supplier</v>
      </c>
      <c r="R286" s="66" t="str">
        <f>[4]Sayfa1!$M282</f>
        <v>SİLECEK DÜZELTİLDİ. AYARLANDI.</v>
      </c>
      <c r="S286" s="36" t="str">
        <f>[4]Sayfa1!$S282</f>
        <v>Bozankaya</v>
      </c>
      <c r="T286" s="67">
        <f>[4]Sayfa1!$Z282</f>
        <v>0</v>
      </c>
      <c r="U286" s="68">
        <f>[4]Sayfa1!$AN282</f>
        <v>1</v>
      </c>
      <c r="V286" s="60">
        <f>[4]Sayfa1!$T282</f>
        <v>45554</v>
      </c>
      <c r="W286" s="61">
        <f>[4]Sayfa1!$U282</f>
        <v>45554.333333333336</v>
      </c>
      <c r="X286" s="69">
        <f t="shared" si="66"/>
        <v>45554.333333333336</v>
      </c>
      <c r="Y286" s="70">
        <f>[4]Sayfa1!$AQ282</f>
        <v>0</v>
      </c>
      <c r="Z286" s="61">
        <f>[4]Sayfa1!$AR282</f>
        <v>45554.416666666664</v>
      </c>
      <c r="AA286" s="69">
        <f t="shared" si="67"/>
        <v>45554.416666666664</v>
      </c>
      <c r="AB286" s="71">
        <f t="shared" si="68"/>
        <v>0</v>
      </c>
      <c r="AC286" s="60">
        <f t="shared" si="69"/>
        <v>0</v>
      </c>
      <c r="AD286" s="61">
        <f t="shared" si="70"/>
        <v>45554.416666666664</v>
      </c>
      <c r="AE286" s="69">
        <f t="shared" si="71"/>
        <v>45554.416666666664</v>
      </c>
      <c r="AF286" s="36" t="str">
        <f>[4]Sayfa1!$AP282</f>
        <v>(III) Birden fazla aynı araçta karşılaşılan arıza</v>
      </c>
      <c r="AG286" s="33" t="str">
        <f>IF([4]Sayfa1!$J282="C-Uyarı, sürüş devamlılığı","Bu Arıza Aracın Servise Verilmesine Engel Değil","Bu Arıza Aracın Servise Verilmesine Engel")</f>
        <v>Bu Arıza Aracın Servise Verilmesine Engel Değil</v>
      </c>
      <c r="AH286" s="41" t="str">
        <f>[4]Sayfa1!$AB282</f>
        <v>Tamir edilecek</v>
      </c>
      <c r="AI286" s="60"/>
      <c r="AJ286" s="60"/>
      <c r="AK286" s="69">
        <f t="shared" si="72"/>
        <v>0</v>
      </c>
      <c r="AL286" s="71">
        <f t="shared" si="73"/>
        <v>0</v>
      </c>
      <c r="AM286" s="71">
        <f t="shared" si="74"/>
        <v>0</v>
      </c>
      <c r="AN286" s="72">
        <f t="shared" si="75"/>
        <v>0</v>
      </c>
      <c r="AO286" s="73" t="str">
        <f>[4]Sayfa1!$X282</f>
        <v>M100-7066</v>
      </c>
      <c r="AP286" s="72">
        <f>[4]Sayfa1!$Y282</f>
        <v>1</v>
      </c>
      <c r="AQ286" s="184" t="str">
        <f>[4]Sayfa1!$V282</f>
        <v>DENİZLER OTOMOTİV SAN. VE TİC.LTD.Ş</v>
      </c>
      <c r="AR286" s="74" t="str">
        <f>[4]Sayfa1!$W282</f>
        <v>SİLECEK MEKANİZMASI Denizler / M.11.2506</v>
      </c>
      <c r="AS286" s="74">
        <f>[4]Sayfa1!$AD282</f>
        <v>0</v>
      </c>
      <c r="AT286" s="60" t="str">
        <f>[4]Sayfa1!$AE282</f>
        <v/>
      </c>
      <c r="AU286" s="60">
        <f>[4]Sayfa1!$AH282</f>
        <v>0</v>
      </c>
      <c r="AV286" s="75">
        <v>281</v>
      </c>
      <c r="AW286" s="76">
        <f t="shared" si="76"/>
        <v>0</v>
      </c>
      <c r="AX286" s="77" t="str">
        <f>[4]Sayfa1!$A282</f>
        <v>6d8965d9</v>
      </c>
      <c r="AY286" s="78" t="s">
        <v>114</v>
      </c>
      <c r="AZ286" s="79" t="e" vm="1">
        <f t="shared" si="77"/>
        <v>#VALUE!</v>
      </c>
    </row>
    <row r="287" spans="1:52" ht="226.9">
      <c r="A287" s="59" t="s">
        <v>342</v>
      </c>
      <c r="B287" s="59" t="str">
        <f>[4]Sayfa1!$G283</f>
        <v>3875(4)</v>
      </c>
      <c r="C287" s="184" t="str">
        <f>[4]Sayfa1!$H283</f>
        <v>MB</v>
      </c>
      <c r="D287" s="24">
        <f>[4]Sayfa1!$N283</f>
        <v>63723</v>
      </c>
      <c r="E287" s="24" t="str">
        <f>[4]Sayfa1!$B283</f>
        <v>BOZ-KAY5+6-FF-282</v>
      </c>
      <c r="F287" s="60">
        <f>[4]Sayfa1!$E283</f>
        <v>45555</v>
      </c>
      <c r="G287" s="61">
        <f>[4]Sayfa1!$F283</f>
        <v>45555.510416666664</v>
      </c>
      <c r="H287" s="59" t="str">
        <f>[4]Sayfa1!$I283</f>
        <v>Hat/Line</v>
      </c>
      <c r="I287" s="62" t="str">
        <f>IF([4]Sayfa1!$K283="SSH","Notified by Bozankaya","Notified by Customer")</f>
        <v>Notified by Customer</v>
      </c>
      <c r="J287" s="59" t="e">
        <f>VLOOKUP([4]Sayfa1!$AU283,#REF!,2,FALSE)</f>
        <v>#REF!</v>
      </c>
      <c r="K287" s="59">
        <f>[4]Sayfa1!$AC283</f>
        <v>0</v>
      </c>
      <c r="L287" s="63" t="str">
        <f t="shared" si="65"/>
        <v>KAY_5+234-BOZ-KAY5+6-FF-282</v>
      </c>
      <c r="M287" s="64" t="str">
        <f>[4]Sayfa1!$L283</f>
        <v>SİLECEK ARIZALI</v>
      </c>
      <c r="N287" s="33" t="str">
        <f>[4]Sayfa1!$J283</f>
        <v>C-Uyarı, sürüş devamlılığı</v>
      </c>
      <c r="O287" s="33" t="str">
        <f>[4]Sayfa1!$P283</f>
        <v>A(Hareket etmeyi engelleyen arıza)</v>
      </c>
      <c r="P287" s="33" t="str">
        <f>[4]Sayfa1!$Q283</f>
        <v>N.A(Yaralanma yok)</v>
      </c>
      <c r="Q287" s="65" t="str" cm="1">
        <f t="array" ref="Q287">_xlfn.IFS([4]Sayfa1!$R283="Bozankaya","Bozankaya",[4]Sayfa1!$R283="İşletme","Customer",[4]Sayfa1!$R283="Tedarikçi","Equipment Supplier")</f>
        <v>Equipment Supplier</v>
      </c>
      <c r="R287" s="66" t="str">
        <f>[4]Sayfa1!$M283</f>
        <v>SİLECEK CİVATASI GEVŞEDİĞİ İÇİN MEKANİZMA BOŞA DÖNÜYORDU CİVATA SIKILANDI.</v>
      </c>
      <c r="S287" s="36" t="str">
        <f>[4]Sayfa1!$S283</f>
        <v>Bozankaya</v>
      </c>
      <c r="T287" s="67">
        <f>[4]Sayfa1!$Z283</f>
        <v>0</v>
      </c>
      <c r="U287" s="68">
        <f>[4]Sayfa1!$AN283</f>
        <v>1</v>
      </c>
      <c r="V287" s="60">
        <f>[4]Sayfa1!$T283</f>
        <v>45555</v>
      </c>
      <c r="W287" s="61">
        <f>[4]Sayfa1!$U283</f>
        <v>45555.541666666664</v>
      </c>
      <c r="X287" s="69">
        <f t="shared" si="66"/>
        <v>45555.541666666664</v>
      </c>
      <c r="Y287" s="70">
        <f>[4]Sayfa1!$AQ283</f>
        <v>0</v>
      </c>
      <c r="Z287" s="61">
        <f>[4]Sayfa1!$AR283</f>
        <v>45555.583333333336</v>
      </c>
      <c r="AA287" s="69">
        <f t="shared" si="67"/>
        <v>45555.583333333336</v>
      </c>
      <c r="AB287" s="71">
        <f t="shared" si="68"/>
        <v>0</v>
      </c>
      <c r="AC287" s="60">
        <f t="shared" si="69"/>
        <v>0</v>
      </c>
      <c r="AD287" s="61">
        <f t="shared" si="70"/>
        <v>45555.583333333336</v>
      </c>
      <c r="AE287" s="69">
        <f t="shared" si="71"/>
        <v>45555.583333333336</v>
      </c>
      <c r="AF287" s="36" t="str">
        <f>[4]Sayfa1!$AP283</f>
        <v>(III) Birden fazla aynı araçta karşılaşılan arıza</v>
      </c>
      <c r="AG287" s="33" t="str">
        <f>IF([4]Sayfa1!$J283="C-Uyarı, sürüş devamlılığı","Bu Arıza Aracın Servise Verilmesine Engel Değil","Bu Arıza Aracın Servise Verilmesine Engel")</f>
        <v>Bu Arıza Aracın Servise Verilmesine Engel Değil</v>
      </c>
      <c r="AH287" s="41" t="str">
        <f>[4]Sayfa1!$AB283</f>
        <v>Tamir edilecek</v>
      </c>
      <c r="AI287" s="60"/>
      <c r="AJ287" s="60"/>
      <c r="AK287" s="69">
        <f t="shared" si="72"/>
        <v>0</v>
      </c>
      <c r="AL287" s="71">
        <f t="shared" si="73"/>
        <v>0</v>
      </c>
      <c r="AM287" s="71">
        <f t="shared" si="74"/>
        <v>0</v>
      </c>
      <c r="AN287" s="72">
        <f t="shared" si="75"/>
        <v>0</v>
      </c>
      <c r="AO287" s="73" t="str">
        <f>[4]Sayfa1!$X283</f>
        <v>M100-7066</v>
      </c>
      <c r="AP287" s="72">
        <f>[4]Sayfa1!$Y283</f>
        <v>1</v>
      </c>
      <c r="AQ287" s="184" t="str">
        <f>[4]Sayfa1!$V283</f>
        <v>DENİZLER OTOMOTİV SAN. VE TİC.LTD.Ş</v>
      </c>
      <c r="AR287" s="74" t="str">
        <f>[4]Sayfa1!$W283</f>
        <v>SİLECEK MEKANİZMASI Denizler / M.11.2506</v>
      </c>
      <c r="AS287" s="74">
        <f>[4]Sayfa1!$AD283</f>
        <v>0</v>
      </c>
      <c r="AT287" s="60" t="str">
        <f>[4]Sayfa1!$AE283</f>
        <v/>
      </c>
      <c r="AU287" s="60">
        <f>[4]Sayfa1!$AH283</f>
        <v>0</v>
      </c>
      <c r="AV287" s="75">
        <v>282</v>
      </c>
      <c r="AW287" s="76">
        <f t="shared" si="76"/>
        <v>0</v>
      </c>
      <c r="AX287" s="77" t="str">
        <f>[4]Sayfa1!$A283</f>
        <v>7b951847</v>
      </c>
      <c r="AY287" s="78" t="s">
        <v>114</v>
      </c>
      <c r="AZ287" s="79" t="e" vm="1">
        <f t="shared" si="77"/>
        <v>#VALUE!</v>
      </c>
    </row>
    <row r="288" spans="1:52" ht="234.6">
      <c r="A288" s="59" t="s">
        <v>343</v>
      </c>
      <c r="B288" s="59" t="str">
        <f>[4]Sayfa1!$G284</f>
        <v>3878(7)</v>
      </c>
      <c r="C288" s="184" t="str">
        <f>[4]Sayfa1!$H284</f>
        <v>MA</v>
      </c>
      <c r="D288" s="24">
        <f>[4]Sayfa1!$N284</f>
        <v>64236</v>
      </c>
      <c r="E288" s="24" t="str">
        <f>[4]Sayfa1!$B284</f>
        <v>BOZ-KAY5+6-FF-283</v>
      </c>
      <c r="F288" s="60">
        <f>[4]Sayfa1!$E284</f>
        <v>45555</v>
      </c>
      <c r="G288" s="61">
        <f>[4]Sayfa1!$F284</f>
        <v>45555.686805555553</v>
      </c>
      <c r="H288" s="59" t="str">
        <f>[4]Sayfa1!$I284</f>
        <v>Hat/Line</v>
      </c>
      <c r="I288" s="62" t="str">
        <f>IF([4]Sayfa1!$K284="SSH","Notified by Bozankaya","Notified by Customer")</f>
        <v>Notified by Customer</v>
      </c>
      <c r="J288" s="59" t="e">
        <f>VLOOKUP([4]Sayfa1!$AU284,#REF!,2,FALSE)</f>
        <v>#REF!</v>
      </c>
      <c r="K288" s="59">
        <f>[4]Sayfa1!$AC284</f>
        <v>0</v>
      </c>
      <c r="L288" s="63" t="str">
        <f t="shared" si="65"/>
        <v>KAY_5+235-BOZ-KAY5+6-FF-283</v>
      </c>
      <c r="M288" s="64" t="str">
        <f>[4]Sayfa1!$L284</f>
        <v>İÇ ANONS SİSTEMİ KURULMASINA RAĞMEN ÇALIŞMADI. TEKRAR KURULDU TERS YÖNDE ANONS YAPTIĞI BİLDİRİLDİ.</v>
      </c>
      <c r="N288" s="33" t="str">
        <f>[4]Sayfa1!$J284</f>
        <v>C-Uyarı, sürüş devamlılığı</v>
      </c>
      <c r="O288" s="33" t="str">
        <f>[4]Sayfa1!$P284</f>
        <v>B(Servisten çekmeye etki eden arızalar)</v>
      </c>
      <c r="P288" s="33" t="str">
        <f>[4]Sayfa1!$Q284</f>
        <v>N.A(Yaralanma yok)</v>
      </c>
      <c r="Q288" s="65" t="str" cm="1">
        <f t="array" ref="Q288">_xlfn.IFS([4]Sayfa1!$R284="Bozankaya","Bozankaya",[4]Sayfa1!$R284="İşletme","Customer",[4]Sayfa1!$R284="Tedarikçi","Equipment Supplier")</f>
        <v>Equipment Supplier</v>
      </c>
      <c r="R288" s="66">
        <f>[4]Sayfa1!$M284</f>
        <v>0</v>
      </c>
      <c r="S288" s="36" t="str">
        <f>[4]Sayfa1!$S284</f>
        <v>Atak</v>
      </c>
      <c r="T288" s="67">
        <f>[4]Sayfa1!$Z284</f>
        <v>0</v>
      </c>
      <c r="U288" s="68">
        <f>[4]Sayfa1!$AN284</f>
        <v>1</v>
      </c>
      <c r="V288" s="60">
        <f>[4]Sayfa1!$T284</f>
        <v>45555</v>
      </c>
      <c r="W288" s="61">
        <f>[4]Sayfa1!$U284</f>
        <v>45555.694444444445</v>
      </c>
      <c r="X288" s="69">
        <f t="shared" si="66"/>
        <v>45555.694444444445</v>
      </c>
      <c r="Y288" s="70">
        <f>[4]Sayfa1!$AQ284</f>
        <v>0</v>
      </c>
      <c r="Z288" s="61">
        <f>[4]Sayfa1!$AR284</f>
        <v>45555.75</v>
      </c>
      <c r="AA288" s="69">
        <f t="shared" si="67"/>
        <v>45555.75</v>
      </c>
      <c r="AB288" s="71">
        <f t="shared" si="68"/>
        <v>0</v>
      </c>
      <c r="AC288" s="60">
        <f t="shared" si="69"/>
        <v>0</v>
      </c>
      <c r="AD288" s="61">
        <f t="shared" si="70"/>
        <v>45555.75</v>
      </c>
      <c r="AE288" s="69">
        <f t="shared" si="71"/>
        <v>45555.75</v>
      </c>
      <c r="AF288" s="36" t="str">
        <f>[4]Sayfa1!$AP284</f>
        <v>(II) Birden fazla karşılaşılan arıza</v>
      </c>
      <c r="AG288" s="33" t="str">
        <f>IF([4]Sayfa1!$J284="C-Uyarı, sürüş devamlılığı","Bu Arıza Aracın Servise Verilmesine Engel Değil","Bu Arıza Aracın Servise Verilmesine Engel")</f>
        <v>Bu Arıza Aracın Servise Verilmesine Engel Değil</v>
      </c>
      <c r="AH288" s="41" t="str">
        <f>[4]Sayfa1!$AB284</f>
        <v>Arıza çözülecek</v>
      </c>
      <c r="AI288" s="60"/>
      <c r="AJ288" s="60"/>
      <c r="AK288" s="69">
        <f t="shared" si="72"/>
        <v>0</v>
      </c>
      <c r="AL288" s="71">
        <f t="shared" si="73"/>
        <v>0</v>
      </c>
      <c r="AM288" s="71">
        <f t="shared" si="74"/>
        <v>0</v>
      </c>
      <c r="AN288" s="72">
        <f t="shared" si="75"/>
        <v>0</v>
      </c>
      <c r="AO288" s="73" t="str">
        <f>[4]Sayfa1!$X284</f>
        <v>E840-7002</v>
      </c>
      <c r="AP288" s="72">
        <f>[4]Sayfa1!$Y284</f>
        <v>1</v>
      </c>
      <c r="AQ288" s="184" t="str">
        <f>[4]Sayfa1!$V284</f>
        <v>ATAK ULAŞIM SAN.TİC.LTD.ŞTİ.</v>
      </c>
      <c r="AR288" s="74" t="str">
        <f>[4]Sayfa1!$W284</f>
        <v>Merkez Ünite AU300 (train bus, vehicle b</v>
      </c>
      <c r="AS288" s="74">
        <f>[4]Sayfa1!$AD284</f>
        <v>0</v>
      </c>
      <c r="AT288" s="60" t="str">
        <f>[4]Sayfa1!$AE284</f>
        <v/>
      </c>
      <c r="AU288" s="60">
        <f>[4]Sayfa1!$AH284</f>
        <v>0</v>
      </c>
      <c r="AV288" s="75">
        <v>283</v>
      </c>
      <c r="AW288" s="76">
        <f t="shared" si="76"/>
        <v>0</v>
      </c>
      <c r="AX288" s="77" t="str">
        <f>[4]Sayfa1!$A284</f>
        <v>bb8c0dd1</v>
      </c>
      <c r="AY288" s="78" t="s">
        <v>114</v>
      </c>
      <c r="AZ288" s="79" t="e" vm="1">
        <f t="shared" si="77"/>
        <v>#VALUE!</v>
      </c>
    </row>
    <row r="289" spans="1:52" ht="148.15">
      <c r="A289" s="59" t="s">
        <v>344</v>
      </c>
      <c r="B289" s="59" t="str">
        <f>[4]Sayfa1!$G285</f>
        <v>3880(9)</v>
      </c>
      <c r="C289" s="184" t="str">
        <f>[4]Sayfa1!$H285</f>
        <v>MA</v>
      </c>
      <c r="D289" s="24">
        <f>[4]Sayfa1!$N285</f>
        <v>46806</v>
      </c>
      <c r="E289" s="24" t="str">
        <f>[4]Sayfa1!$B285</f>
        <v>BOZ-KAY5+6-FF-284</v>
      </c>
      <c r="F289" s="60">
        <f>[4]Sayfa1!$E285</f>
        <v>45559</v>
      </c>
      <c r="G289" s="61">
        <f>[4]Sayfa1!$F285</f>
        <v>45559.481944444444</v>
      </c>
      <c r="H289" s="59" t="str">
        <f>[4]Sayfa1!$I285</f>
        <v>Depo/Depot</v>
      </c>
      <c r="I289" s="62" t="str">
        <f>IF([4]Sayfa1!$K285="SSH","Notified by Bozankaya","Notified by Customer")</f>
        <v>Notified by Bozankaya</v>
      </c>
      <c r="J289" s="59" t="e">
        <f>VLOOKUP([4]Sayfa1!$AU285,#REF!,2,FALSE)</f>
        <v>#REF!</v>
      </c>
      <c r="K289" s="59">
        <f>[4]Sayfa1!$AC285</f>
        <v>0</v>
      </c>
      <c r="L289" s="63" t="str">
        <f t="shared" si="65"/>
        <v>KAY_5+236-BOZ-KAY5+6-FF-284</v>
      </c>
      <c r="M289" s="64" t="str">
        <f>[4]Sayfa1!$L285</f>
        <v>Ekran Mavi renk gösteriyordu</v>
      </c>
      <c r="N289" s="33" t="str">
        <f>[4]Sayfa1!$J285</f>
        <v>C-Uyarı, sürüş devamlılığı</v>
      </c>
      <c r="O289" s="33" t="str">
        <f>[4]Sayfa1!$P285</f>
        <v>C(Sisteme etki etmeyen arıza)</v>
      </c>
      <c r="P289" s="33" t="str">
        <f>[4]Sayfa1!$Q285</f>
        <v>N.A(Yaralanma yok)</v>
      </c>
      <c r="Q289" s="65" t="str" cm="1">
        <f t="array" ref="Q289">_xlfn.IFS([4]Sayfa1!$R285="Bozankaya","Bozankaya",[4]Sayfa1!$R285="İşletme","Customer",[4]Sayfa1!$R285="Tedarikçi","Equipment Supplier")</f>
        <v>Equipment Supplier</v>
      </c>
      <c r="R289" s="66" t="str">
        <f>[4]Sayfa1!$M285</f>
        <v>Ekran değişimi yapıldı</v>
      </c>
      <c r="S289" s="36" t="str">
        <f>[4]Sayfa1!$S285</f>
        <v>Atak</v>
      </c>
      <c r="T289" s="67">
        <f>[4]Sayfa1!$Z285</f>
        <v>202313020084</v>
      </c>
      <c r="U289" s="68">
        <f>[4]Sayfa1!$AN285</f>
        <v>1</v>
      </c>
      <c r="V289" s="60">
        <f>[4]Sayfa1!$T285</f>
        <v>45559</v>
      </c>
      <c r="W289" s="61">
        <f>[4]Sayfa1!$U285</f>
        <v>45559.48333333333</v>
      </c>
      <c r="X289" s="69">
        <f t="shared" si="66"/>
        <v>45559.48333333333</v>
      </c>
      <c r="Y289" s="70">
        <f>[4]Sayfa1!$AQ285</f>
        <v>45559</v>
      </c>
      <c r="Z289" s="61">
        <f>[4]Sayfa1!$AR285</f>
        <v>45559.484722222223</v>
      </c>
      <c r="AA289" s="69">
        <f t="shared" si="67"/>
        <v>45559.484722222223</v>
      </c>
      <c r="AB289" s="71">
        <f t="shared" si="68"/>
        <v>0</v>
      </c>
      <c r="AC289" s="60">
        <f t="shared" si="69"/>
        <v>45559</v>
      </c>
      <c r="AD289" s="61">
        <f t="shared" si="70"/>
        <v>45559.484722222223</v>
      </c>
      <c r="AE289" s="69">
        <f t="shared" si="71"/>
        <v>45559.484722222223</v>
      </c>
      <c r="AF289" s="36" t="str">
        <f>[4]Sayfa1!$AP285</f>
        <v>(III) Birden fazla aynı araçta karşılaşılan arıza</v>
      </c>
      <c r="AG289" s="33" t="str">
        <f>IF([4]Sayfa1!$J285="C-Uyarı, sürüş devamlılığı","Bu Arıza Aracın Servise Verilmesine Engel Değil","Bu Arıza Aracın Servise Verilmesine Engel")</f>
        <v>Bu Arıza Aracın Servise Verilmesine Engel Değil</v>
      </c>
      <c r="AH289" s="41" t="str">
        <f>[4]Sayfa1!$AB285</f>
        <v>Ekipman değiştirilecek</v>
      </c>
      <c r="AI289" s="60"/>
      <c r="AJ289" s="60"/>
      <c r="AK289" s="69">
        <f t="shared" si="72"/>
        <v>0</v>
      </c>
      <c r="AL289" s="71">
        <f t="shared" si="73"/>
        <v>0</v>
      </c>
      <c r="AM289" s="71">
        <f t="shared" si="74"/>
        <v>0</v>
      </c>
      <c r="AN289" s="72">
        <f t="shared" si="75"/>
        <v>0</v>
      </c>
      <c r="AO289" s="73" t="str">
        <f>[4]Sayfa1!$X285</f>
        <v>E410-7003</v>
      </c>
      <c r="AP289" s="72">
        <f>[4]Sayfa1!$Y285</f>
        <v>1</v>
      </c>
      <c r="AQ289" s="184" t="str">
        <f>[4]Sayfa1!$V285</f>
        <v>ATAK ULAŞIM SAN.TİC.LTD.ŞTİ.</v>
      </c>
      <c r="AR289" s="74" t="str">
        <f>[4]Sayfa1!$W285</f>
        <v>STRETCH LCD EKRAN</v>
      </c>
      <c r="AS289" s="74">
        <f>[4]Sayfa1!$AD285</f>
        <v>0</v>
      </c>
      <c r="AT289" s="60" t="str">
        <f>[4]Sayfa1!$AE285</f>
        <v/>
      </c>
      <c r="AU289" s="60">
        <f>[4]Sayfa1!$AH285</f>
        <v>45559</v>
      </c>
      <c r="AV289" s="75">
        <v>284</v>
      </c>
      <c r="AW289" s="76">
        <f t="shared" si="76"/>
        <v>0</v>
      </c>
      <c r="AX289" s="77" t="str">
        <f>[4]Sayfa1!$A285</f>
        <v>1f695cb3</v>
      </c>
      <c r="AY289" s="78" t="s">
        <v>114</v>
      </c>
      <c r="AZ289" s="79" t="e" vm="1">
        <f t="shared" si="77"/>
        <v>#VALUE!</v>
      </c>
    </row>
    <row r="290" spans="1:52" ht="148.15">
      <c r="A290" s="59" t="s">
        <v>345</v>
      </c>
      <c r="B290" s="59" t="str">
        <f>[4]Sayfa1!$G286</f>
        <v>3874(3)</v>
      </c>
      <c r="C290" s="184" t="str">
        <f>[4]Sayfa1!$H286</f>
        <v>P</v>
      </c>
      <c r="D290" s="24">
        <f>[4]Sayfa1!$N286</f>
        <v>4896</v>
      </c>
      <c r="E290" s="24" t="str">
        <f>[4]Sayfa1!$B286</f>
        <v>BOZ-KAY5+6-FF-285</v>
      </c>
      <c r="F290" s="60">
        <f>[4]Sayfa1!$E286</f>
        <v>45559</v>
      </c>
      <c r="G290" s="61">
        <f>[4]Sayfa1!$F286</f>
        <v>45559.669444444444</v>
      </c>
      <c r="H290" s="59" t="str">
        <f>[4]Sayfa1!$I286</f>
        <v>Depo/Depot</v>
      </c>
      <c r="I290" s="62" t="str">
        <f>IF([4]Sayfa1!$K286="SSH","Notified by Bozankaya","Notified by Customer")</f>
        <v>Notified by Customer</v>
      </c>
      <c r="J290" s="59" t="e">
        <f>VLOOKUP([4]Sayfa1!$AU286,#REF!,2,FALSE)</f>
        <v>#REF!</v>
      </c>
      <c r="K290" s="59">
        <f>[4]Sayfa1!$AC286</f>
        <v>0</v>
      </c>
      <c r="L290" s="63" t="str">
        <f t="shared" si="65"/>
        <v>KAY_5+237-BOZ-KAY5+6-FF-285</v>
      </c>
      <c r="M290" s="64" t="str">
        <f>[4]Sayfa1!$L286</f>
        <v>Pantoğraf manuel kaldırma teli kırılmış</v>
      </c>
      <c r="N290" s="33" t="str">
        <f>[4]Sayfa1!$J286</f>
        <v>C-Uyarı, sürüş devamlılığı</v>
      </c>
      <c r="O290" s="33" t="str">
        <f>[4]Sayfa1!$P286</f>
        <v>B(Servisten çekmeye etki eden arızalar)</v>
      </c>
      <c r="P290" s="33" t="str">
        <f>[4]Sayfa1!$Q286</f>
        <v>N.A(Yaralanma yok)</v>
      </c>
      <c r="Q290" s="65" t="str" cm="1">
        <f t="array" ref="Q290">_xlfn.IFS([4]Sayfa1!$R286="Bozankaya","Bozankaya",[4]Sayfa1!$R286="İşletme","Customer",[4]Sayfa1!$R286="Tedarikçi","Equipment Supplier")</f>
        <v>Bozankaya</v>
      </c>
      <c r="R290" s="66" t="str">
        <f>[4]Sayfa1!$M286</f>
        <v>Değişimi yapıldı</v>
      </c>
      <c r="S290" s="36" t="str">
        <f>[4]Sayfa1!$S286</f>
        <v>Üretim</v>
      </c>
      <c r="T290" s="67">
        <f>[4]Sayfa1!$Z286</f>
        <v>0</v>
      </c>
      <c r="U290" s="68">
        <f>[4]Sayfa1!$AN286</f>
        <v>1</v>
      </c>
      <c r="V290" s="60">
        <f>[4]Sayfa1!$T286</f>
        <v>45559</v>
      </c>
      <c r="W290" s="61">
        <f>[4]Sayfa1!$U286</f>
        <v>45559.671527777777</v>
      </c>
      <c r="X290" s="69">
        <f t="shared" si="66"/>
        <v>45559.671527777777</v>
      </c>
      <c r="Y290" s="70">
        <f>[4]Sayfa1!$AQ286</f>
        <v>45559</v>
      </c>
      <c r="Z290" s="61">
        <f>[4]Sayfa1!$AR286</f>
        <v>45559.67224537037</v>
      </c>
      <c r="AA290" s="69">
        <f t="shared" si="67"/>
        <v>45559.67224537037</v>
      </c>
      <c r="AB290" s="71">
        <f t="shared" si="68"/>
        <v>0</v>
      </c>
      <c r="AC290" s="60">
        <f t="shared" si="69"/>
        <v>45559</v>
      </c>
      <c r="AD290" s="61">
        <f t="shared" si="70"/>
        <v>45559.67224537037</v>
      </c>
      <c r="AE290" s="69">
        <f t="shared" si="71"/>
        <v>45559.67224537037</v>
      </c>
      <c r="AF290" s="36" t="str">
        <f>[4]Sayfa1!$AP286</f>
        <v>(I) İlk defa karşılaşılan arıza</v>
      </c>
      <c r="AG290" s="33" t="str">
        <f>IF([4]Sayfa1!$J286="C-Uyarı, sürüş devamlılığı","Bu Arıza Aracın Servise Verilmesine Engel Değil","Bu Arıza Aracın Servise Verilmesine Engel")</f>
        <v>Bu Arıza Aracın Servise Verilmesine Engel Değil</v>
      </c>
      <c r="AH290" s="41" t="str">
        <f>[4]Sayfa1!$AB286</f>
        <v>Ekipman değiştirilecek</v>
      </c>
      <c r="AI290" s="60"/>
      <c r="AJ290" s="60"/>
      <c r="AK290" s="69">
        <f t="shared" si="72"/>
        <v>0</v>
      </c>
      <c r="AL290" s="71">
        <f t="shared" si="73"/>
        <v>0</v>
      </c>
      <c r="AM290" s="71">
        <f t="shared" si="74"/>
        <v>0</v>
      </c>
      <c r="AN290" s="72">
        <f t="shared" si="75"/>
        <v>0</v>
      </c>
      <c r="AO290" s="73" t="str">
        <f>[4]Sayfa1!$X286</f>
        <v>P710-7019</v>
      </c>
      <c r="AP290" s="72">
        <f>[4]Sayfa1!$Y286</f>
        <v>1</v>
      </c>
      <c r="AQ290" s="184" t="str">
        <f>[4]Sayfa1!$V286</f>
        <v>STEMMANN-POLSKA SP. Z O.O.</v>
      </c>
      <c r="AR290" s="74" t="str">
        <f>[4]Sayfa1!$W286</f>
        <v>PANTOGRAF KOMPLESI</v>
      </c>
      <c r="AS290" s="74">
        <f>[4]Sayfa1!$AD286</f>
        <v>0</v>
      </c>
      <c r="AT290" s="60" t="str">
        <f>[4]Sayfa1!$AE286</f>
        <v/>
      </c>
      <c r="AU290" s="60">
        <f>[4]Sayfa1!$AH286</f>
        <v>45559</v>
      </c>
      <c r="AV290" s="75">
        <v>285</v>
      </c>
      <c r="AW290" s="76">
        <f t="shared" si="76"/>
        <v>0</v>
      </c>
      <c r="AX290" s="77" t="str">
        <f>[4]Sayfa1!$A286</f>
        <v>cd015dc3</v>
      </c>
      <c r="AY290" s="78" t="s">
        <v>114</v>
      </c>
      <c r="AZ290" s="79" t="e" vm="1">
        <f t="shared" si="77"/>
        <v>#VALUE!</v>
      </c>
    </row>
    <row r="291" spans="1:52" ht="148.15">
      <c r="A291" s="59" t="s">
        <v>346</v>
      </c>
      <c r="B291" s="59" t="str">
        <f>[4]Sayfa1!$G287</f>
        <v>3872(1)</v>
      </c>
      <c r="C291" s="184" t="str">
        <f>[4]Sayfa1!$H287</f>
        <v>P</v>
      </c>
      <c r="D291" s="24">
        <f>[4]Sayfa1!$N287</f>
        <v>88320</v>
      </c>
      <c r="E291" s="24" t="str">
        <f>[4]Sayfa1!$B287</f>
        <v>BOZ-KAY5+6-FF-286</v>
      </c>
      <c r="F291" s="60">
        <f>[4]Sayfa1!$E287</f>
        <v>45566</v>
      </c>
      <c r="G291" s="61">
        <f>[4]Sayfa1!$F287</f>
        <v>45566.645833333336</v>
      </c>
      <c r="H291" s="59" t="str">
        <f>[4]Sayfa1!$I287</f>
        <v>Hat/Line</v>
      </c>
      <c r="I291" s="62" t="str">
        <f>IF([4]Sayfa1!$K287="SSH","Notified by Bozankaya","Notified by Customer")</f>
        <v>Notified by Customer</v>
      </c>
      <c r="J291" s="59" t="e">
        <f>VLOOKUP([4]Sayfa1!$AU287,#REF!,2,FALSE)</f>
        <v>#REF!</v>
      </c>
      <c r="K291" s="59">
        <f>[4]Sayfa1!$AC287</f>
        <v>0</v>
      </c>
      <c r="L291" s="63" t="str">
        <f t="shared" si="65"/>
        <v>KAY_5+238-BOZ-KAY5+6-FF-286</v>
      </c>
      <c r="M291" s="64" t="str">
        <f>[4]Sayfa1!$L287</f>
        <v>KAPI ÜSTÜ EKRANLAR ÇALIŞMIYOR.</v>
      </c>
      <c r="N291" s="33" t="str">
        <f>[4]Sayfa1!$J287</f>
        <v>C-Uyarı, sürüş devamlılığı</v>
      </c>
      <c r="O291" s="33" t="str">
        <f>[4]Sayfa1!$P287</f>
        <v>B(Servisten çekmeye etki eden arızalar)</v>
      </c>
      <c r="P291" s="33" t="str">
        <f>[4]Sayfa1!$Q287</f>
        <v>N.A(Yaralanma yok)</v>
      </c>
      <c r="Q291" s="65" t="str" cm="1">
        <f t="array" ref="Q291">_xlfn.IFS([4]Sayfa1!$R287="Bozankaya","Bozankaya",[4]Sayfa1!$R287="İşletme","Customer",[4]Sayfa1!$R287="Tedarikçi","Equipment Supplier")</f>
        <v>Equipment Supplier</v>
      </c>
      <c r="R291" s="66" t="str">
        <f>[4]Sayfa1!$M287</f>
        <v>KONTROL EDİLDİ KAPI ÜSTÜ EKRANLAR ÇALIŞIYOR.</v>
      </c>
      <c r="S291" s="36" t="str">
        <f>[4]Sayfa1!$S287</f>
        <v>Atak</v>
      </c>
      <c r="T291" s="67">
        <f>[4]Sayfa1!$Z287</f>
        <v>0</v>
      </c>
      <c r="U291" s="68">
        <f>[4]Sayfa1!$AN287</f>
        <v>1</v>
      </c>
      <c r="V291" s="60">
        <f>[4]Sayfa1!$T287</f>
        <v>45566</v>
      </c>
      <c r="W291" s="61">
        <f>[4]Sayfa1!$U287</f>
        <v>45566.729166666664</v>
      </c>
      <c r="X291" s="69">
        <f t="shared" si="66"/>
        <v>45566.729166666664</v>
      </c>
      <c r="Y291" s="70">
        <f>[4]Sayfa1!$AQ287</f>
        <v>0</v>
      </c>
      <c r="Z291" s="61">
        <f>[4]Sayfa1!$AR287</f>
        <v>45566.75</v>
      </c>
      <c r="AA291" s="69">
        <f t="shared" si="67"/>
        <v>45566.75</v>
      </c>
      <c r="AB291" s="71">
        <f t="shared" si="68"/>
        <v>0</v>
      </c>
      <c r="AC291" s="60">
        <f t="shared" si="69"/>
        <v>0</v>
      </c>
      <c r="AD291" s="61">
        <f t="shared" si="70"/>
        <v>45566.75</v>
      </c>
      <c r="AE291" s="69">
        <f t="shared" si="71"/>
        <v>45566.75</v>
      </c>
      <c r="AF291" s="36" t="str">
        <f>[4]Sayfa1!$AP287</f>
        <v>(III) Birden fazla aynı araçta karşılaşılan arıza</v>
      </c>
      <c r="AG291" s="33" t="str">
        <f>IF([4]Sayfa1!$J287="C-Uyarı, sürüş devamlılığı","Bu Arıza Aracın Servise Verilmesine Engel Değil","Bu Arıza Aracın Servise Verilmesine Engel")</f>
        <v>Bu Arıza Aracın Servise Verilmesine Engel Değil</v>
      </c>
      <c r="AH291" s="41" t="str">
        <f>[4]Sayfa1!$AB287</f>
        <v>Tamir edilecek</v>
      </c>
      <c r="AI291" s="60"/>
      <c r="AJ291" s="60"/>
      <c r="AK291" s="69">
        <f t="shared" si="72"/>
        <v>0</v>
      </c>
      <c r="AL291" s="71">
        <f t="shared" si="73"/>
        <v>0</v>
      </c>
      <c r="AM291" s="71">
        <f t="shared" si="74"/>
        <v>0</v>
      </c>
      <c r="AN291" s="72">
        <f t="shared" si="75"/>
        <v>0</v>
      </c>
      <c r="AO291" s="73" t="str">
        <f>[4]Sayfa1!$X287</f>
        <v>E410-7003</v>
      </c>
      <c r="AP291" s="72">
        <f>[4]Sayfa1!$Y287</f>
        <v>3</v>
      </c>
      <c r="AQ291" s="184" t="str">
        <f>[4]Sayfa1!$V287</f>
        <v>ATAK ULAŞIM SAN.TİC.LTD.ŞTİ.</v>
      </c>
      <c r="AR291" s="74" t="str">
        <f>[4]Sayfa1!$W287</f>
        <v>STRETCH LCD EKRAN</v>
      </c>
      <c r="AS291" s="74">
        <f>[4]Sayfa1!$AD287</f>
        <v>0</v>
      </c>
      <c r="AT291" s="60" t="str">
        <f>[4]Sayfa1!$AE287</f>
        <v/>
      </c>
      <c r="AU291" s="60">
        <f>[4]Sayfa1!$AH287</f>
        <v>0</v>
      </c>
      <c r="AV291" s="75">
        <v>286</v>
      </c>
      <c r="AW291" s="76">
        <f t="shared" si="76"/>
        <v>0</v>
      </c>
      <c r="AX291" s="77" t="str">
        <f>[4]Sayfa1!$A287</f>
        <v>c02e43b8</v>
      </c>
      <c r="AY291" s="78" t="s">
        <v>114</v>
      </c>
      <c r="AZ291" s="79" t="e" vm="1">
        <f t="shared" si="77"/>
        <v>#VALUE!</v>
      </c>
    </row>
    <row r="292" spans="1:52" ht="179.45">
      <c r="A292" s="59" t="s">
        <v>347</v>
      </c>
      <c r="B292" s="59" t="str">
        <f>[4]Sayfa1!$G288</f>
        <v>3872(1)</v>
      </c>
      <c r="C292" s="184" t="str">
        <f>[4]Sayfa1!$H288</f>
        <v>MB</v>
      </c>
      <c r="D292" s="24">
        <f>[4]Sayfa1!$N288</f>
        <v>89542</v>
      </c>
      <c r="E292" s="24" t="str">
        <f>[4]Sayfa1!$B288</f>
        <v>BOZ-KAY5+6-FF-287</v>
      </c>
      <c r="F292" s="60">
        <f>[4]Sayfa1!$E288</f>
        <v>45568</v>
      </c>
      <c r="G292" s="61">
        <f>[4]Sayfa1!$F288</f>
        <v>45568.827777777777</v>
      </c>
      <c r="H292" s="59" t="str">
        <f>[4]Sayfa1!$I288</f>
        <v>Hat/Line</v>
      </c>
      <c r="I292" s="62" t="str">
        <f>IF([4]Sayfa1!$K288="SSH","Notified by Bozankaya","Notified by Customer")</f>
        <v>Notified by Customer</v>
      </c>
      <c r="J292" s="59" t="e">
        <f>VLOOKUP([4]Sayfa1!$AU288,#REF!,2,FALSE)</f>
        <v>#REF!</v>
      </c>
      <c r="K292" s="59">
        <f>[4]Sayfa1!$AC288</f>
        <v>0</v>
      </c>
      <c r="L292" s="63" t="str">
        <f t="shared" si="65"/>
        <v>KAY_5+239-BOZ-KAY5+6-FF-287</v>
      </c>
      <c r="M292" s="64" t="str">
        <f>[4]Sayfa1!$L288</f>
        <v>MB yolcu bölümü aydınlatmaları yanmıyor.</v>
      </c>
      <c r="N292" s="33" t="str">
        <f>[4]Sayfa1!$J288</f>
        <v>C-Uyarı, sürüş devamlılığı</v>
      </c>
      <c r="O292" s="33" t="str">
        <f>[4]Sayfa1!$P288</f>
        <v>C(Sisteme etki etmeyen arıza)</v>
      </c>
      <c r="P292" s="33" t="str">
        <f>[4]Sayfa1!$Q288</f>
        <v>N.A(Yaralanma yok)</v>
      </c>
      <c r="Q292" s="65" t="str" cm="1">
        <f t="array" ref="Q292">_xlfn.IFS([4]Sayfa1!$R288="Bozankaya","Bozankaya",[4]Sayfa1!$R288="İşletme","Customer",[4]Sayfa1!$R288="Tedarikçi","Equipment Supplier")</f>
        <v>Bozankaya</v>
      </c>
      <c r="R292" s="66" t="str">
        <f>[4]Sayfa1!$M288</f>
        <v>UDX-504 konnektörü kısa devre olmuş. Pinler yanmıştı. Pinler ve konnektör kasası değiştirildi. Sorun giderildi.</v>
      </c>
      <c r="S292" s="36" t="str">
        <f>[4]Sayfa1!$S288</f>
        <v>Üretim</v>
      </c>
      <c r="T292" s="67">
        <f>[4]Sayfa1!$Z288</f>
        <v>0</v>
      </c>
      <c r="U292" s="68">
        <f>[4]Sayfa1!$AN288</f>
        <v>1</v>
      </c>
      <c r="V292" s="60">
        <f>[4]Sayfa1!$T288</f>
        <v>45569</v>
      </c>
      <c r="W292" s="61">
        <f>[4]Sayfa1!$U288</f>
        <v>45569.333333333336</v>
      </c>
      <c r="X292" s="69">
        <f t="shared" si="66"/>
        <v>45569.333333333336</v>
      </c>
      <c r="Y292" s="70">
        <f>[4]Sayfa1!$AQ288</f>
        <v>45569</v>
      </c>
      <c r="Z292" s="61">
        <f>[4]Sayfa1!$AR288</f>
        <v>45569.458333333336</v>
      </c>
      <c r="AA292" s="69">
        <f t="shared" si="67"/>
        <v>45569.458333333336</v>
      </c>
      <c r="AB292" s="71">
        <f t="shared" si="68"/>
        <v>3</v>
      </c>
      <c r="AC292" s="60">
        <f t="shared" si="69"/>
        <v>45569</v>
      </c>
      <c r="AD292" s="61">
        <f t="shared" si="70"/>
        <v>45569.458333333336</v>
      </c>
      <c r="AE292" s="69">
        <f t="shared" si="71"/>
        <v>45569.458333333336</v>
      </c>
      <c r="AF292" s="36" t="str">
        <f>[4]Sayfa1!$AP288</f>
        <v>(II) Birden fazla karşılaşılan arıza</v>
      </c>
      <c r="AG292" s="33" t="str">
        <f>IF([4]Sayfa1!$J288="C-Uyarı, sürüş devamlılığı","Bu Arıza Aracın Servise Verilmesine Engel Değil","Bu Arıza Aracın Servise Verilmesine Engel")</f>
        <v>Bu Arıza Aracın Servise Verilmesine Engel Değil</v>
      </c>
      <c r="AH292" s="41" t="str">
        <f>[4]Sayfa1!$AB288</f>
        <v>Tamir edilecek</v>
      </c>
      <c r="AI292" s="60"/>
      <c r="AJ292" s="60"/>
      <c r="AK292" s="69">
        <f t="shared" si="72"/>
        <v>0</v>
      </c>
      <c r="AL292" s="71">
        <f t="shared" si="73"/>
        <v>180</v>
      </c>
      <c r="AM292" s="71">
        <f t="shared" si="74"/>
        <v>180</v>
      </c>
      <c r="AN292" s="72">
        <f t="shared" si="75"/>
        <v>0</v>
      </c>
      <c r="AO292" s="73" t="str">
        <f>[4]Sayfa1!$X288</f>
        <v>E455-7055</v>
      </c>
      <c r="AP292" s="72">
        <f>[4]Sayfa1!$Y288</f>
        <v>0</v>
      </c>
      <c r="AQ292" s="184" t="str">
        <f>[4]Sayfa1!$V288</f>
        <v>ERA ELEKTRONIK SANAYİ VE TİCARET A.</v>
      </c>
      <c r="AR292" s="74" t="str">
        <f>[4]Sayfa1!$W288</f>
        <v>TAVAN AYDINLATMA ARMATÜRÜ SETİ</v>
      </c>
      <c r="AS292" s="74">
        <f>[4]Sayfa1!$AD288</f>
        <v>0</v>
      </c>
      <c r="AT292" s="60" t="str">
        <f>[4]Sayfa1!$AE288</f>
        <v/>
      </c>
      <c r="AU292" s="60">
        <f>[4]Sayfa1!$AH288</f>
        <v>0</v>
      </c>
      <c r="AV292" s="75">
        <v>287</v>
      </c>
      <c r="AW292" s="76">
        <f t="shared" si="76"/>
        <v>33</v>
      </c>
      <c r="AX292" s="77" t="str">
        <f>[4]Sayfa1!$A288</f>
        <v>d5cdf218</v>
      </c>
      <c r="AY292" s="78" t="s">
        <v>114</v>
      </c>
      <c r="AZ292" s="79" t="e" vm="1">
        <f t="shared" si="77"/>
        <v>#VALUE!</v>
      </c>
    </row>
    <row r="293" spans="1:52" ht="148.15">
      <c r="A293" s="59" t="s">
        <v>348</v>
      </c>
      <c r="B293" s="59" t="str">
        <f>[4]Sayfa1!$G289</f>
        <v>3875(4)</v>
      </c>
      <c r="C293" s="184" t="str">
        <f>[4]Sayfa1!$H289</f>
        <v>MB</v>
      </c>
      <c r="D293" s="24">
        <f>[4]Sayfa1!$N289</f>
        <v>67228</v>
      </c>
      <c r="E293" s="24" t="str">
        <f>[4]Sayfa1!$B289</f>
        <v>BOZ-KAY5+6-FF-288</v>
      </c>
      <c r="F293" s="60">
        <f>[4]Sayfa1!$E289</f>
        <v>45569</v>
      </c>
      <c r="G293" s="61">
        <f>[4]Sayfa1!$F289</f>
        <v>45569.438194444447</v>
      </c>
      <c r="H293" s="59" t="str">
        <f>[4]Sayfa1!$I289</f>
        <v>Hat/Line</v>
      </c>
      <c r="I293" s="62" t="str">
        <f>IF([4]Sayfa1!$K289="SSH","Notified by Bozankaya","Notified by Customer")</f>
        <v>Notified by Customer</v>
      </c>
      <c r="J293" s="59" t="e">
        <f>VLOOKUP([4]Sayfa1!$AU289,#REF!,2,FALSE)</f>
        <v>#REF!</v>
      </c>
      <c r="K293" s="59">
        <f>[4]Sayfa1!$AC289</f>
        <v>0</v>
      </c>
      <c r="L293" s="63" t="str">
        <f t="shared" si="65"/>
        <v>KAY_5+240-BOZ-KAY5+6-FF-288</v>
      </c>
      <c r="M293" s="64" t="str">
        <f>[4]Sayfa1!$L289</f>
        <v>MB SOL ASKI TAKOZU ÜRETİM HATASI MEVCUT</v>
      </c>
      <c r="N293" s="33" t="str">
        <f>[4]Sayfa1!$J289</f>
        <v>A-Sürüşü engeller</v>
      </c>
      <c r="O293" s="33" t="str">
        <f>[4]Sayfa1!$P289</f>
        <v>B(Servisten çekmeye etki eden arızalar)</v>
      </c>
      <c r="P293" s="33" t="str">
        <f>[4]Sayfa1!$Q289</f>
        <v>N.A(Yaralanma yok)</v>
      </c>
      <c r="Q293" s="65" t="str" cm="1">
        <f t="array" ref="Q293">_xlfn.IFS([4]Sayfa1!$R289="Bozankaya","Bozankaya",[4]Sayfa1!$R289="İşletme","Customer",[4]Sayfa1!$R289="Tedarikçi","Equipment Supplier")</f>
        <v>Equipment Supplier</v>
      </c>
      <c r="R293" s="66" t="str">
        <f>[4]Sayfa1!$M289</f>
        <v>ASKI TAKOZU DEĞİŞİMİ YAPILDI</v>
      </c>
      <c r="S293" s="36" t="str">
        <f>[4]Sayfa1!$S289</f>
        <v>Bozankaya</v>
      </c>
      <c r="T293" s="67">
        <f>[4]Sayfa1!$Z289</f>
        <v>440011103</v>
      </c>
      <c r="U293" s="68">
        <f>[4]Sayfa1!$AN289</f>
        <v>4</v>
      </c>
      <c r="V293" s="60">
        <f>[4]Sayfa1!$T289</f>
        <v>45569</v>
      </c>
      <c r="W293" s="61">
        <f>[4]Sayfa1!$U289</f>
        <v>45569.439583333333</v>
      </c>
      <c r="X293" s="69">
        <f t="shared" si="66"/>
        <v>45569.439583333333</v>
      </c>
      <c r="Y293" s="70">
        <f>[4]Sayfa1!$AQ289</f>
        <v>45569</v>
      </c>
      <c r="Z293" s="61">
        <f>[4]Sayfa1!$AR289</f>
        <v>45569.75</v>
      </c>
      <c r="AA293" s="69">
        <f t="shared" si="67"/>
        <v>45569.75</v>
      </c>
      <c r="AB293" s="71">
        <f t="shared" si="68"/>
        <v>0</v>
      </c>
      <c r="AC293" s="60">
        <f t="shared" si="69"/>
        <v>45569</v>
      </c>
      <c r="AD293" s="61">
        <f t="shared" si="70"/>
        <v>45569.75</v>
      </c>
      <c r="AE293" s="69">
        <f t="shared" si="71"/>
        <v>45569.75</v>
      </c>
      <c r="AF293" s="36" t="str">
        <f>[4]Sayfa1!$AP289</f>
        <v>(I) İlk defa karşılaşılan arıza</v>
      </c>
      <c r="AG293" s="33" t="str">
        <f>IF([4]Sayfa1!$J289="C-Uyarı, sürüş devamlılığı","Bu Arıza Aracın Servise Verilmesine Engel Değil","Bu Arıza Aracın Servise Verilmesine Engel")</f>
        <v>Bu Arıza Aracın Servise Verilmesine Engel</v>
      </c>
      <c r="AH293" s="41" t="str">
        <f>[4]Sayfa1!$AB289</f>
        <v>Ekipman değiştirilecek</v>
      </c>
      <c r="AI293" s="60"/>
      <c r="AJ293" s="60"/>
      <c r="AK293" s="69">
        <f t="shared" si="72"/>
        <v>0</v>
      </c>
      <c r="AL293" s="71">
        <f t="shared" si="73"/>
        <v>0</v>
      </c>
      <c r="AM293" s="71">
        <f t="shared" si="74"/>
        <v>0</v>
      </c>
      <c r="AN293" s="72">
        <f t="shared" si="75"/>
        <v>0</v>
      </c>
      <c r="AO293" s="73" t="str">
        <f>[4]Sayfa1!$X289</f>
        <v>B120-7050</v>
      </c>
      <c r="AP293" s="72">
        <f>[4]Sayfa1!$Y289</f>
        <v>1</v>
      </c>
      <c r="AQ293" s="184" t="str">
        <f>[4]Sayfa1!$V289</f>
        <v>TMS MARS KAUÇUK ANONİM ŞİRKETİ</v>
      </c>
      <c r="AR293" s="74" t="str">
        <f>[4]Sayfa1!$W289</f>
        <v>ASKI TAKOZU</v>
      </c>
      <c r="AS293" s="74">
        <f>[4]Sayfa1!$AD289</f>
        <v>0</v>
      </c>
      <c r="AT293" s="60" t="str">
        <f>[4]Sayfa1!$AE289</f>
        <v/>
      </c>
      <c r="AU293" s="60" t="str">
        <f>[4]Sayfa1!$AH289</f>
        <v/>
      </c>
      <c r="AV293" s="75">
        <v>288</v>
      </c>
      <c r="AW293" s="76">
        <f t="shared" si="76"/>
        <v>0</v>
      </c>
      <c r="AX293" s="77" t="str">
        <f>[4]Sayfa1!$A289</f>
        <v>dc077c41</v>
      </c>
      <c r="AY293" s="78" t="s">
        <v>114</v>
      </c>
      <c r="AZ293" s="79" t="e" vm="1">
        <f t="shared" si="77"/>
        <v>#VALUE!</v>
      </c>
    </row>
    <row r="294" spans="1:52" ht="211.15">
      <c r="A294" s="59" t="s">
        <v>349</v>
      </c>
      <c r="B294" s="59" t="str">
        <f>[4]Sayfa1!$G290</f>
        <v>3879(8)</v>
      </c>
      <c r="C294" s="184" t="str">
        <f>[4]Sayfa1!$H290</f>
        <v>MA</v>
      </c>
      <c r="D294" s="24">
        <f>[4]Sayfa1!$N290</f>
        <v>55092</v>
      </c>
      <c r="E294" s="24" t="str">
        <f>[4]Sayfa1!$B290</f>
        <v>BOZ-KAY5+6-FF-289</v>
      </c>
      <c r="F294" s="60">
        <f>[4]Sayfa1!$E290</f>
        <v>45569</v>
      </c>
      <c r="G294" s="61">
        <f>[4]Sayfa1!$F290</f>
        <v>45569.569444444445</v>
      </c>
      <c r="H294" s="59" t="str">
        <f>[4]Sayfa1!$I290</f>
        <v>Hat/Line</v>
      </c>
      <c r="I294" s="62" t="str">
        <f>IF([4]Sayfa1!$K290="SSH","Notified by Bozankaya","Notified by Customer")</f>
        <v>Notified by Customer</v>
      </c>
      <c r="J294" s="59" t="e">
        <f>VLOOKUP([4]Sayfa1!$AU290,#REF!,2,FALSE)</f>
        <v>#REF!</v>
      </c>
      <c r="K294" s="59">
        <f>[4]Sayfa1!$AC290</f>
        <v>0</v>
      </c>
      <c r="L294" s="63" t="str">
        <f t="shared" si="65"/>
        <v>KAY_5+241-BOZ-KAY5+6-FF-289</v>
      </c>
      <c r="M294" s="64" t="str">
        <f>[4]Sayfa1!$L290</f>
        <v>CA kabin el zili çalışmıyor bazen kendiliğinden çalışıyor.</v>
      </c>
      <c r="N294" s="33" t="str">
        <f>[4]Sayfa1!$J290</f>
        <v>C-Uyarı, sürüş devamlılığı</v>
      </c>
      <c r="O294" s="33" t="str">
        <f>[4]Sayfa1!$P290</f>
        <v>B(Servisten çekmeye etki eden arızalar)</v>
      </c>
      <c r="P294" s="33" t="str">
        <f>[4]Sayfa1!$Q290</f>
        <v>N.A(Yaralanma yok)</v>
      </c>
      <c r="Q294" s="65" t="str" cm="1">
        <f t="array" ref="Q294">_xlfn.IFS([4]Sayfa1!$R290="Bozankaya","Bozankaya",[4]Sayfa1!$R290="İşletme","Customer",[4]Sayfa1!$R290="Tedarikçi","Equipment Supplier")</f>
        <v>Equipment Supplier</v>
      </c>
      <c r="R294" s="66" t="str">
        <f>[4]Sayfa1!$M290</f>
        <v>Zil çanı değiştirilerek arıza giderildi.</v>
      </c>
      <c r="S294" s="36" t="str">
        <f>[4]Sayfa1!$S290</f>
        <v>Bozankaya</v>
      </c>
      <c r="T294" s="67">
        <f>[4]Sayfa1!$Z290</f>
        <v>0</v>
      </c>
      <c r="U294" s="68">
        <f>[4]Sayfa1!$AN290</f>
        <v>1</v>
      </c>
      <c r="V294" s="60">
        <f>[4]Sayfa1!$T290</f>
        <v>45569</v>
      </c>
      <c r="W294" s="61">
        <f>[4]Sayfa1!$U290</f>
        <v>45569.583333333336</v>
      </c>
      <c r="X294" s="69">
        <f t="shared" si="66"/>
        <v>45569.583333333336</v>
      </c>
      <c r="Y294" s="70">
        <f>[4]Sayfa1!$AQ290</f>
        <v>45569</v>
      </c>
      <c r="Z294" s="61">
        <f>[4]Sayfa1!$AR290</f>
        <v>45569.666666666664</v>
      </c>
      <c r="AA294" s="69">
        <f t="shared" si="67"/>
        <v>45569.666666666664</v>
      </c>
      <c r="AB294" s="71">
        <f t="shared" si="68"/>
        <v>0</v>
      </c>
      <c r="AC294" s="60">
        <f t="shared" si="69"/>
        <v>45569</v>
      </c>
      <c r="AD294" s="61">
        <f t="shared" si="70"/>
        <v>45569.666666666664</v>
      </c>
      <c r="AE294" s="69">
        <f t="shared" si="71"/>
        <v>45569.666666666664</v>
      </c>
      <c r="AF294" s="36" t="str">
        <f>[4]Sayfa1!$AP290</f>
        <v>(I) İlk defa karşılaşılan arıza</v>
      </c>
      <c r="AG294" s="33" t="str">
        <f>IF([4]Sayfa1!$J290="C-Uyarı, sürüş devamlılığı","Bu Arıza Aracın Servise Verilmesine Engel Değil","Bu Arıza Aracın Servise Verilmesine Engel")</f>
        <v>Bu Arıza Aracın Servise Verilmesine Engel Değil</v>
      </c>
      <c r="AH294" s="41" t="str">
        <f>[4]Sayfa1!$AB290</f>
        <v>Ekipman değiştirilecek</v>
      </c>
      <c r="AI294" s="60"/>
      <c r="AJ294" s="60"/>
      <c r="AK294" s="69">
        <f t="shared" si="72"/>
        <v>0</v>
      </c>
      <c r="AL294" s="71">
        <f t="shared" si="73"/>
        <v>0</v>
      </c>
      <c r="AM294" s="71">
        <f t="shared" si="74"/>
        <v>0</v>
      </c>
      <c r="AN294" s="72">
        <f t="shared" si="75"/>
        <v>0</v>
      </c>
      <c r="AO294" s="73" t="str">
        <f>[4]Sayfa1!$X290</f>
        <v>E385-7001</v>
      </c>
      <c r="AP294" s="72">
        <f>[4]Sayfa1!$Y290</f>
        <v>1</v>
      </c>
      <c r="AQ294" s="184" t="str">
        <f>[4]Sayfa1!$V290</f>
        <v>ALFA UNİON, A.S.</v>
      </c>
      <c r="AR294" s="74" t="str">
        <f>[4]Sayfa1!$W290</f>
        <v>ALFA UNION ZIL</v>
      </c>
      <c r="AS294" s="74">
        <f>[4]Sayfa1!$AD290</f>
        <v>0</v>
      </c>
      <c r="AT294" s="60" t="str">
        <f>[4]Sayfa1!$AE290</f>
        <v/>
      </c>
      <c r="AU294" s="60" t="str">
        <f>[4]Sayfa1!$AH290</f>
        <v/>
      </c>
      <c r="AV294" s="75">
        <v>289</v>
      </c>
      <c r="AW294" s="76">
        <f t="shared" si="76"/>
        <v>0</v>
      </c>
      <c r="AX294" s="77" t="str">
        <f>[4]Sayfa1!$A290</f>
        <v>4fd8f06b</v>
      </c>
      <c r="AY294" s="78" t="s">
        <v>114</v>
      </c>
      <c r="AZ294" s="79" t="e" vm="1">
        <f t="shared" si="77"/>
        <v>#VALUE!</v>
      </c>
    </row>
    <row r="295" spans="1:52" ht="148.15">
      <c r="A295" s="59" t="s">
        <v>350</v>
      </c>
      <c r="B295" s="59" t="str">
        <f>[4]Sayfa1!$G291</f>
        <v>3879(8)</v>
      </c>
      <c r="C295" s="184" t="str">
        <f>[4]Sayfa1!$H291</f>
        <v>MA</v>
      </c>
      <c r="D295" s="24">
        <f>[4]Sayfa1!$N291</f>
        <v>54890</v>
      </c>
      <c r="E295" s="24" t="str">
        <f>[4]Sayfa1!$B291</f>
        <v>BOZ-KAY5+6-FF-290</v>
      </c>
      <c r="F295" s="60">
        <f>[4]Sayfa1!$E291</f>
        <v>45569</v>
      </c>
      <c r="G295" s="61">
        <f>[4]Sayfa1!$F291</f>
        <v>45569.697222222225</v>
      </c>
      <c r="H295" s="59" t="str">
        <f>[4]Sayfa1!$I291</f>
        <v>Hat/Line</v>
      </c>
      <c r="I295" s="62" t="str">
        <f>IF([4]Sayfa1!$K291="SSH","Notified by Bozankaya","Notified by Customer")</f>
        <v>Notified by Customer</v>
      </c>
      <c r="J295" s="59" t="e">
        <f>VLOOKUP([4]Sayfa1!$AU291,#REF!,2,FALSE)</f>
        <v>#REF!</v>
      </c>
      <c r="K295" s="59">
        <f>[4]Sayfa1!$AC291</f>
        <v>0</v>
      </c>
      <c r="L295" s="63" t="str">
        <f t="shared" si="65"/>
        <v>KAY_5+242-BOZ-KAY5+6-FF-290</v>
      </c>
      <c r="M295" s="64" t="str">
        <f>[4]Sayfa1!$L291</f>
        <v>Zil kesik kesik çalışıyordu</v>
      </c>
      <c r="N295" s="33" t="str">
        <f>[4]Sayfa1!$J291</f>
        <v>C-Uyarı, sürüş devamlılığı</v>
      </c>
      <c r="O295" s="33" t="str">
        <f>[4]Sayfa1!$P291</f>
        <v>B(Servisten çekmeye etki eden arızalar)</v>
      </c>
      <c r="P295" s="33" t="str">
        <f>[4]Sayfa1!$Q291</f>
        <v>N.A(Yaralanma yok)</v>
      </c>
      <c r="Q295" s="65" t="str" cm="1">
        <f t="array" ref="Q295">_xlfn.IFS([4]Sayfa1!$R291="Bozankaya","Bozankaya",[4]Sayfa1!$R291="İşletme","Customer",[4]Sayfa1!$R291="Tedarikçi","Equipment Supplier")</f>
        <v>Equipment Supplier</v>
      </c>
      <c r="R295" s="66" t="str">
        <f>[4]Sayfa1!$M291</f>
        <v>Zil değişimi yapıldı</v>
      </c>
      <c r="S295" s="36" t="str">
        <f>[4]Sayfa1!$S291</f>
        <v>Bozankaya</v>
      </c>
      <c r="T295" s="67" t="str">
        <f>[4]Sayfa1!$Z291</f>
        <v>21D0473(CSN362255)</v>
      </c>
      <c r="U295" s="68">
        <f>[4]Sayfa1!$AN291</f>
        <v>1</v>
      </c>
      <c r="V295" s="60">
        <f>[4]Sayfa1!$T291</f>
        <v>45569</v>
      </c>
      <c r="W295" s="61">
        <f>[4]Sayfa1!$U291</f>
        <v>45569.698611111111</v>
      </c>
      <c r="X295" s="69">
        <f t="shared" si="66"/>
        <v>45569.698611111111</v>
      </c>
      <c r="Y295" s="70">
        <f>[4]Sayfa1!$AQ291</f>
        <v>45569</v>
      </c>
      <c r="Z295" s="61">
        <f>[4]Sayfa1!$AR291</f>
        <v>45569.705555555556</v>
      </c>
      <c r="AA295" s="69">
        <f t="shared" si="67"/>
        <v>45569.705555555556</v>
      </c>
      <c r="AB295" s="71">
        <f t="shared" si="68"/>
        <v>0</v>
      </c>
      <c r="AC295" s="60">
        <f t="shared" si="69"/>
        <v>45569</v>
      </c>
      <c r="AD295" s="61">
        <f t="shared" si="70"/>
        <v>45569.705555555556</v>
      </c>
      <c r="AE295" s="69">
        <f t="shared" si="71"/>
        <v>45569.705555555556</v>
      </c>
      <c r="AF295" s="36" t="str">
        <f>[4]Sayfa1!$AP291</f>
        <v>(I) İlk defa karşılaşılan arıza</v>
      </c>
      <c r="AG295" s="33" t="str">
        <f>IF([4]Sayfa1!$J291="C-Uyarı, sürüş devamlılığı","Bu Arıza Aracın Servise Verilmesine Engel Değil","Bu Arıza Aracın Servise Verilmesine Engel")</f>
        <v>Bu Arıza Aracın Servise Verilmesine Engel Değil</v>
      </c>
      <c r="AH295" s="41" t="str">
        <f>[4]Sayfa1!$AB291</f>
        <v>Ekipman değiştirilecek</v>
      </c>
      <c r="AI295" s="60"/>
      <c r="AJ295" s="60"/>
      <c r="AK295" s="69">
        <f t="shared" si="72"/>
        <v>0</v>
      </c>
      <c r="AL295" s="71">
        <f t="shared" si="73"/>
        <v>0</v>
      </c>
      <c r="AM295" s="71">
        <f t="shared" si="74"/>
        <v>0</v>
      </c>
      <c r="AN295" s="72">
        <f t="shared" si="75"/>
        <v>0</v>
      </c>
      <c r="AO295" s="73" t="str">
        <f>[4]Sayfa1!$X291</f>
        <v>E385-7001</v>
      </c>
      <c r="AP295" s="72">
        <f>[4]Sayfa1!$Y291</f>
        <v>1</v>
      </c>
      <c r="AQ295" s="184" t="str">
        <f>[4]Sayfa1!$V291</f>
        <v>ALFA UNİON, A.S.</v>
      </c>
      <c r="AR295" s="74" t="str">
        <f>[4]Sayfa1!$W291</f>
        <v>ALFA UNION ZIL</v>
      </c>
      <c r="AS295" s="74">
        <f>[4]Sayfa1!$AD291</f>
        <v>0</v>
      </c>
      <c r="AT295" s="60" t="str">
        <f>[4]Sayfa1!$AE291</f>
        <v/>
      </c>
      <c r="AU295" s="60">
        <f>[4]Sayfa1!$AH291</f>
        <v>45569</v>
      </c>
      <c r="AV295" s="75">
        <v>290</v>
      </c>
      <c r="AW295" s="76">
        <f t="shared" si="76"/>
        <v>0</v>
      </c>
      <c r="AX295" s="77" t="str">
        <f>[4]Sayfa1!$A291</f>
        <v>24f99c45</v>
      </c>
      <c r="AY295" s="78" t="s">
        <v>114</v>
      </c>
      <c r="AZ295" s="79" t="e" vm="1">
        <f t="shared" si="77"/>
        <v>#VALUE!</v>
      </c>
    </row>
    <row r="296" spans="1:52" ht="148.15">
      <c r="A296" s="59" t="s">
        <v>351</v>
      </c>
      <c r="B296" s="59" t="str">
        <f>[4]Sayfa1!$G292</f>
        <v>3880(9)</v>
      </c>
      <c r="C296" s="184" t="str">
        <f>[4]Sayfa1!$H292</f>
        <v>P</v>
      </c>
      <c r="D296" s="24">
        <f>[4]Sayfa1!$N292</f>
        <v>49709</v>
      </c>
      <c r="E296" s="24" t="str">
        <f>[4]Sayfa1!$B292</f>
        <v>BOZ-KAY5+6-FF-291</v>
      </c>
      <c r="F296" s="60">
        <f>[4]Sayfa1!$E292</f>
        <v>45569</v>
      </c>
      <c r="G296" s="61">
        <f>[4]Sayfa1!$F292</f>
        <v>45569.734027777777</v>
      </c>
      <c r="H296" s="59" t="str">
        <f>[4]Sayfa1!$I292</f>
        <v>Hat/Line</v>
      </c>
      <c r="I296" s="62" t="str">
        <f>IF([4]Sayfa1!$K292="SSH","Notified by Bozankaya","Notified by Customer")</f>
        <v>Notified by Customer</v>
      </c>
      <c r="J296" s="59" t="e">
        <f>VLOOKUP([4]Sayfa1!$AU292,#REF!,2,FALSE)</f>
        <v>#REF!</v>
      </c>
      <c r="K296" s="59">
        <f>[4]Sayfa1!$AC292</f>
        <v>0</v>
      </c>
      <c r="L296" s="63" t="str">
        <f t="shared" si="65"/>
        <v>KAY_5+243-BOZ-KAY5+6-FF-291</v>
      </c>
      <c r="M296" s="64" t="str">
        <f>[4]Sayfa1!$L292</f>
        <v>PANTOGRAF KÖMÜRÜ BİR NOKTADA AŞIRI AŞINMA MEVCUT</v>
      </c>
      <c r="N296" s="33" t="str">
        <f>[4]Sayfa1!$J292</f>
        <v>A-Sürüşü engeller</v>
      </c>
      <c r="O296" s="33" t="str">
        <f>[4]Sayfa1!$P292</f>
        <v>B(Servisten çekmeye etki eden arızalar)</v>
      </c>
      <c r="P296" s="33" t="str">
        <f>[4]Sayfa1!$Q292</f>
        <v>N.A(Yaralanma yok)</v>
      </c>
      <c r="Q296" s="65" t="str" cm="1">
        <f t="array" ref="Q296">_xlfn.IFS([4]Sayfa1!$R292="Bozankaya","Bozankaya",[4]Sayfa1!$R292="İşletme","Customer",[4]Sayfa1!$R292="Tedarikçi","Equipment Supplier")</f>
        <v>Customer</v>
      </c>
      <c r="R296" s="66" t="str">
        <f>[4]Sayfa1!$M292</f>
        <v>PANTOGRAF KÖMÜRÜ DEĞİŞİMİ YAPILDI</v>
      </c>
      <c r="S296" s="36" t="str">
        <f>[4]Sayfa1!$S292</f>
        <v>Kayseri Ulaşım</v>
      </c>
      <c r="T296" s="67">
        <f>[4]Sayfa1!$Z292</f>
        <v>27911</v>
      </c>
      <c r="U296" s="68">
        <f>[4]Sayfa1!$AN292</f>
        <v>2</v>
      </c>
      <c r="V296" s="60">
        <f>[4]Sayfa1!$T292</f>
        <v>45570</v>
      </c>
      <c r="W296" s="61">
        <f>[4]Sayfa1!$U292</f>
        <v>45570.625</v>
      </c>
      <c r="X296" s="69">
        <f t="shared" si="66"/>
        <v>45570.625</v>
      </c>
      <c r="Y296" s="70">
        <f>[4]Sayfa1!$AQ292</f>
        <v>45570</v>
      </c>
      <c r="Z296" s="61">
        <f>[4]Sayfa1!$AR292</f>
        <v>45570.625</v>
      </c>
      <c r="AA296" s="69">
        <f t="shared" si="67"/>
        <v>45570.625</v>
      </c>
      <c r="AB296" s="71">
        <f t="shared" si="68"/>
        <v>0</v>
      </c>
      <c r="AC296" s="60">
        <f t="shared" si="69"/>
        <v>45570</v>
      </c>
      <c r="AD296" s="61">
        <f t="shared" si="70"/>
        <v>45570.625</v>
      </c>
      <c r="AE296" s="69">
        <f t="shared" si="71"/>
        <v>45570.625</v>
      </c>
      <c r="AF296" s="36" t="str">
        <f>[4]Sayfa1!$AP292</f>
        <v>(I) İlk defa karşılaşılan arıza</v>
      </c>
      <c r="AG296" s="33" t="str">
        <f>IF([4]Sayfa1!$J292="C-Uyarı, sürüş devamlılığı","Bu Arıza Aracın Servise Verilmesine Engel Değil","Bu Arıza Aracın Servise Verilmesine Engel")</f>
        <v>Bu Arıza Aracın Servise Verilmesine Engel</v>
      </c>
      <c r="AH296" s="41" t="str">
        <f>[4]Sayfa1!$AB292</f>
        <v>Ekipman değiştirilecek</v>
      </c>
      <c r="AI296" s="60"/>
      <c r="AJ296" s="60"/>
      <c r="AK296" s="69">
        <f t="shared" si="72"/>
        <v>0</v>
      </c>
      <c r="AL296" s="71">
        <f t="shared" si="73"/>
        <v>0</v>
      </c>
      <c r="AM296" s="71">
        <f t="shared" si="74"/>
        <v>0</v>
      </c>
      <c r="AN296" s="72">
        <f t="shared" si="75"/>
        <v>0</v>
      </c>
      <c r="AO296" s="73" t="str">
        <f>[4]Sayfa1!$X292</f>
        <v>P710-7019</v>
      </c>
      <c r="AP296" s="72">
        <f>[4]Sayfa1!$Y292</f>
        <v>0</v>
      </c>
      <c r="AQ296" s="184" t="str">
        <f>[4]Sayfa1!$V292</f>
        <v>STEMMANN-POLSKA SP. Z O.O.</v>
      </c>
      <c r="AR296" s="74" t="str">
        <f>[4]Sayfa1!$W292</f>
        <v>PANTOGRAF KOMPLESI</v>
      </c>
      <c r="AS296" s="74">
        <f>[4]Sayfa1!$AD292</f>
        <v>0</v>
      </c>
      <c r="AT296" s="60" t="str">
        <f>[4]Sayfa1!$AE292</f>
        <v/>
      </c>
      <c r="AU296" s="60" t="str">
        <f>[4]Sayfa1!$AH292</f>
        <v/>
      </c>
      <c r="AV296" s="75">
        <v>291</v>
      </c>
      <c r="AW296" s="76">
        <f t="shared" si="76"/>
        <v>0</v>
      </c>
      <c r="AX296" s="77" t="str">
        <f>[4]Sayfa1!$A292</f>
        <v>e8d5b523</v>
      </c>
      <c r="AY296" s="78" t="s">
        <v>114</v>
      </c>
      <c r="AZ296" s="79" t="e" vm="1">
        <f t="shared" si="77"/>
        <v>#VALUE!</v>
      </c>
    </row>
    <row r="297" spans="1:52" ht="220.9">
      <c r="A297" s="59" t="s">
        <v>352</v>
      </c>
      <c r="B297" s="59" t="str">
        <f>[4]Sayfa1!$G293</f>
        <v>3882(11)</v>
      </c>
      <c r="C297" s="184" t="str">
        <f>[4]Sayfa1!$H293</f>
        <v>MB</v>
      </c>
      <c r="D297" s="24">
        <f>[4]Sayfa1!$N293</f>
        <v>27510</v>
      </c>
      <c r="E297" s="24" t="str">
        <f>[4]Sayfa1!$B293</f>
        <v>BOZ-KAY5+6-FF-292</v>
      </c>
      <c r="F297" s="60">
        <f>[4]Sayfa1!$E293</f>
        <v>45570</v>
      </c>
      <c r="G297" s="61">
        <f>[4]Sayfa1!$F293</f>
        <v>45570.640972222223</v>
      </c>
      <c r="H297" s="59" t="str">
        <f>[4]Sayfa1!$I293</f>
        <v>Hat/Line</v>
      </c>
      <c r="I297" s="62" t="str">
        <f>IF([4]Sayfa1!$K293="SSH","Notified by Bozankaya","Notified by Customer")</f>
        <v>Notified by Customer</v>
      </c>
      <c r="J297" s="59" t="e">
        <f>VLOOKUP([4]Sayfa1!$AU293,#REF!,2,FALSE)</f>
        <v>#REF!</v>
      </c>
      <c r="K297" s="59">
        <f>[4]Sayfa1!$AC293</f>
        <v>0</v>
      </c>
      <c r="L297" s="63" t="str">
        <f t="shared" si="65"/>
        <v>KAY_5+244-BOZ-KAY5+6-FF-292</v>
      </c>
      <c r="M297" s="64" t="str">
        <f>[4]Sayfa1!$L293</f>
        <v>3881'DEN KULLANILIRKEN ÇEKİLEN 3882 NUMARALI ARACIN TÜM KAPILARI KIRMIZI RENK ARIZALI GÖRÜNÜYOR.</v>
      </c>
      <c r="N297" s="33" t="str">
        <f>[4]Sayfa1!$J293</f>
        <v>B-Hız veya güç azalması</v>
      </c>
      <c r="O297" s="33" t="str">
        <f>[4]Sayfa1!$P293</f>
        <v>B(Servisten çekmeye etki eden arızalar)</v>
      </c>
      <c r="P297" s="33" t="str">
        <f>[4]Sayfa1!$Q293</f>
        <v>N.A(Yaralanma yok)</v>
      </c>
      <c r="Q297" s="65" t="str" cm="1">
        <f t="array" ref="Q297">_xlfn.IFS([4]Sayfa1!$R293="Bozankaya","Bozankaya",[4]Sayfa1!$R293="İşletme","Customer",[4]Sayfa1!$R293="Tedarikçi","Equipment Supplier")</f>
        <v>Equipment Supplier</v>
      </c>
      <c r="R297" s="66" t="str">
        <f>[4]Sayfa1!$M293</f>
        <v>MASTERCARD'A YENİDEN YAZILIM YÜKLENDİ. SORUN GİDERİLDİ.</v>
      </c>
      <c r="S297" s="36" t="str">
        <f>[4]Sayfa1!$S293</f>
        <v>Eltesan</v>
      </c>
      <c r="T297" s="67" t="str">
        <f>[4]Sayfa1!$Z293</f>
        <v>A2208023</v>
      </c>
      <c r="U297" s="68">
        <f>[4]Sayfa1!$AN293</f>
        <v>1</v>
      </c>
      <c r="V297" s="60">
        <f>[4]Sayfa1!$T293</f>
        <v>45570</v>
      </c>
      <c r="W297" s="61">
        <f>[4]Sayfa1!$U293</f>
        <v>45570.645833333336</v>
      </c>
      <c r="X297" s="69">
        <f t="shared" si="66"/>
        <v>45570.645833333336</v>
      </c>
      <c r="Y297" s="70">
        <f>[4]Sayfa1!$AQ293</f>
        <v>45570</v>
      </c>
      <c r="Z297" s="61">
        <f>[4]Sayfa1!$AR293</f>
        <v>45570.75</v>
      </c>
      <c r="AA297" s="69">
        <f t="shared" si="67"/>
        <v>45570.75</v>
      </c>
      <c r="AB297" s="71">
        <f t="shared" si="68"/>
        <v>0</v>
      </c>
      <c r="AC297" s="60">
        <f t="shared" si="69"/>
        <v>45570</v>
      </c>
      <c r="AD297" s="61">
        <f t="shared" si="70"/>
        <v>45570.75</v>
      </c>
      <c r="AE297" s="69">
        <f t="shared" si="71"/>
        <v>45570.75</v>
      </c>
      <c r="AF297" s="36" t="str">
        <f>[4]Sayfa1!$AP293</f>
        <v>(II) Birden fazla karşılaşılan arıza</v>
      </c>
      <c r="AG297" s="33" t="str">
        <f>IF([4]Sayfa1!$J293="C-Uyarı, sürüş devamlılığı","Bu Arıza Aracın Servise Verilmesine Engel Değil","Bu Arıza Aracın Servise Verilmesine Engel")</f>
        <v>Bu Arıza Aracın Servise Verilmesine Engel</v>
      </c>
      <c r="AH297" s="41" t="str">
        <f>[4]Sayfa1!$AB293</f>
        <v>Yazılım güncelleme</v>
      </c>
      <c r="AI297" s="60"/>
      <c r="AJ297" s="60"/>
      <c r="AK297" s="69">
        <f t="shared" si="72"/>
        <v>0</v>
      </c>
      <c r="AL297" s="71">
        <f t="shared" si="73"/>
        <v>0</v>
      </c>
      <c r="AM297" s="71">
        <f t="shared" si="74"/>
        <v>0</v>
      </c>
      <c r="AN297" s="72">
        <f t="shared" si="75"/>
        <v>0</v>
      </c>
      <c r="AO297" s="73" t="str">
        <f>[4]Sayfa1!$X293</f>
        <v>H500-9751</v>
      </c>
      <c r="AP297" s="72">
        <f>[4]Sayfa1!$Y293</f>
        <v>0</v>
      </c>
      <c r="AQ297" s="184" t="str">
        <f>[4]Sayfa1!$V293</f>
        <v>ELTESAN ELEKTRO MEKANİK SOĞUTMA SAN</v>
      </c>
      <c r="AR297" s="74" t="str">
        <f>[4]Sayfa1!$W293</f>
        <v>MASTER KONTROL ÜNİTESİ</v>
      </c>
      <c r="AS297" s="74">
        <f>[4]Sayfa1!$AD293</f>
        <v>0</v>
      </c>
      <c r="AT297" s="60" t="str">
        <f>[4]Sayfa1!$AE293</f>
        <v/>
      </c>
      <c r="AU297" s="60" t="str">
        <f>[4]Sayfa1!$AH293</f>
        <v/>
      </c>
      <c r="AV297" s="75">
        <v>292</v>
      </c>
      <c r="AW297" s="76">
        <f t="shared" si="76"/>
        <v>0</v>
      </c>
      <c r="AX297" s="77" t="str">
        <f>[4]Sayfa1!$A293</f>
        <v>6023f8ff</v>
      </c>
      <c r="AY297" s="78" t="s">
        <v>114</v>
      </c>
      <c r="AZ297" s="79" t="e" vm="1">
        <f t="shared" si="77"/>
        <v>#VALUE!</v>
      </c>
    </row>
    <row r="298" spans="1:52" ht="317.45">
      <c r="A298" s="59" t="s">
        <v>353</v>
      </c>
      <c r="B298" s="59" t="str">
        <f>[4]Sayfa1!$G294</f>
        <v>3882(11)</v>
      </c>
      <c r="C298" s="184" t="str">
        <f>[4]Sayfa1!$H294</f>
        <v>MA</v>
      </c>
      <c r="D298" s="24">
        <f>[4]Sayfa1!$N294</f>
        <v>27653</v>
      </c>
      <c r="E298" s="24" t="str">
        <f>[4]Sayfa1!$B294</f>
        <v>BOZ-KAY5+6-FF-293</v>
      </c>
      <c r="F298" s="60">
        <f>[4]Sayfa1!$E294</f>
        <v>45570</v>
      </c>
      <c r="G298" s="61">
        <f>[4]Sayfa1!$F294</f>
        <v>45570.742361111108</v>
      </c>
      <c r="H298" s="59" t="str">
        <f>[4]Sayfa1!$I294</f>
        <v>Hat/Line</v>
      </c>
      <c r="I298" s="62" t="str">
        <f>IF([4]Sayfa1!$K294="SSH","Notified by Bozankaya","Notified by Customer")</f>
        <v>Notified by Customer</v>
      </c>
      <c r="J298" s="59" t="e">
        <f>VLOOKUP([4]Sayfa1!$AU294,#REF!,2,FALSE)</f>
        <v>#REF!</v>
      </c>
      <c r="K298" s="59">
        <f>[4]Sayfa1!$AC294</f>
        <v>0</v>
      </c>
      <c r="L298" s="63" t="str">
        <f t="shared" si="65"/>
        <v>KAY_5+245-BOZ-KAY5+6-FF-293</v>
      </c>
      <c r="M298" s="64" t="str">
        <f>[4]Sayfa1!$L294</f>
        <v>3882 CA kabinden kullanılırken kuplaj arızası verdi. Araç 5km hız limiti verdi. Resetlendi düzelme olmadı. Araç cari hatta yolcu değişimi yapılarak organize depoya çekilmesi sağlandı.</v>
      </c>
      <c r="N298" s="33" t="str">
        <f>[4]Sayfa1!$J294</f>
        <v>A-Sürüşü engeller</v>
      </c>
      <c r="O298" s="33" t="str">
        <f>[4]Sayfa1!$P294</f>
        <v>A(Hareket etmeyi engelleyen arıza)</v>
      </c>
      <c r="P298" s="33" t="str">
        <f>[4]Sayfa1!$Q294</f>
        <v>N.A(Yaralanma yok)</v>
      </c>
      <c r="Q298" s="65" t="str" cm="1">
        <f t="array" ref="Q298">_xlfn.IFS([4]Sayfa1!$R294="Bozankaya","Bozankaya",[4]Sayfa1!$R294="İşletme","Customer",[4]Sayfa1!$R294="Tedarikçi","Equipment Supplier")</f>
        <v>Bozankaya</v>
      </c>
      <c r="R298" s="66" t="str">
        <f>[4]Sayfa1!$M294</f>
        <v>MER kaydı incelendi, MM-extended sinyalinin sürekli kesildiği tespit edildi. UDX-505 AB'3 numaralı pinlerde ezilme ve geri kaçma görüldü. Yeniden pin basıldı. Arıza giderildi.</v>
      </c>
      <c r="S298" s="36" t="str">
        <f>[4]Sayfa1!$S294</f>
        <v>Üretim</v>
      </c>
      <c r="T298" s="67">
        <f>[4]Sayfa1!$Z294</f>
        <v>0</v>
      </c>
      <c r="U298" s="68">
        <f>[4]Sayfa1!$AN294</f>
        <v>1</v>
      </c>
      <c r="V298" s="60">
        <f>[4]Sayfa1!$T294</f>
        <v>45571</v>
      </c>
      <c r="W298" s="61">
        <f>[4]Sayfa1!$U294</f>
        <v>45571.333333333336</v>
      </c>
      <c r="X298" s="69">
        <f t="shared" si="66"/>
        <v>45571.333333333336</v>
      </c>
      <c r="Y298" s="70">
        <f>[4]Sayfa1!$AQ294</f>
        <v>45571</v>
      </c>
      <c r="Z298" s="61">
        <f>[4]Sayfa1!$AR294</f>
        <v>45571.583333333336</v>
      </c>
      <c r="AA298" s="69">
        <f t="shared" si="67"/>
        <v>45571.583333333336</v>
      </c>
      <c r="AB298" s="71">
        <f t="shared" si="68"/>
        <v>6</v>
      </c>
      <c r="AC298" s="60">
        <f t="shared" si="69"/>
        <v>45571</v>
      </c>
      <c r="AD298" s="61">
        <f t="shared" si="70"/>
        <v>45571.583333333336</v>
      </c>
      <c r="AE298" s="69">
        <f t="shared" si="71"/>
        <v>45571.583333333336</v>
      </c>
      <c r="AF298" s="36" t="str">
        <f>[4]Sayfa1!$AP294</f>
        <v>(II) Birden fazla karşılaşılan arıza</v>
      </c>
      <c r="AG298" s="33" t="str">
        <f>IF([4]Sayfa1!$J294="C-Uyarı, sürüş devamlılığı","Bu Arıza Aracın Servise Verilmesine Engel Değil","Bu Arıza Aracın Servise Verilmesine Engel")</f>
        <v>Bu Arıza Aracın Servise Verilmesine Engel</v>
      </c>
      <c r="AH298" s="41" t="str">
        <f>[4]Sayfa1!$AB294</f>
        <v>Tamir edilecek</v>
      </c>
      <c r="AI298" s="60"/>
      <c r="AJ298" s="60"/>
      <c r="AK298" s="69">
        <f t="shared" si="72"/>
        <v>0</v>
      </c>
      <c r="AL298" s="71">
        <f t="shared" si="73"/>
        <v>360</v>
      </c>
      <c r="AM298" s="71">
        <f t="shared" si="74"/>
        <v>360</v>
      </c>
      <c r="AN298" s="72">
        <f t="shared" si="75"/>
        <v>0</v>
      </c>
      <c r="AO298" s="73" t="str">
        <f>[4]Sayfa1!$X294</f>
        <v>E110-7362</v>
      </c>
      <c r="AP298" s="72">
        <f>[4]Sayfa1!$Y294</f>
        <v>0</v>
      </c>
      <c r="AQ298" s="184" t="str">
        <f>[4]Sayfa1!$V294</f>
        <v>LIGHTNING POWER MÜHENDİSLİK ELEKTRİ</v>
      </c>
      <c r="AR298" s="74" t="str">
        <f>[4]Sayfa1!$W294</f>
        <v>Han hinged frame plus, for 4 modules a-c</v>
      </c>
      <c r="AS298" s="74">
        <f>[4]Sayfa1!$AD294</f>
        <v>0</v>
      </c>
      <c r="AT298" s="60" t="str">
        <f>[4]Sayfa1!$AE294</f>
        <v/>
      </c>
      <c r="AU298" s="60" t="str">
        <f>[4]Sayfa1!$AH294</f>
        <v/>
      </c>
      <c r="AV298" s="75">
        <v>293</v>
      </c>
      <c r="AW298" s="76">
        <f t="shared" si="76"/>
        <v>66</v>
      </c>
      <c r="AX298" s="77">
        <f>[4]Sayfa1!$A294</f>
        <v>49882066</v>
      </c>
      <c r="AY298" s="78" t="s">
        <v>114</v>
      </c>
      <c r="AZ298" s="79" t="e" vm="1">
        <f t="shared" si="77"/>
        <v>#VALUE!</v>
      </c>
    </row>
    <row r="299" spans="1:52" ht="303.60000000000002">
      <c r="A299" s="59" t="s">
        <v>354</v>
      </c>
      <c r="B299" s="59" t="str">
        <f>[4]Sayfa1!$G295</f>
        <v>3872(1)</v>
      </c>
      <c r="C299" s="184" t="str">
        <f>[4]Sayfa1!$H295</f>
        <v>MB</v>
      </c>
      <c r="D299" s="24">
        <f>[4]Sayfa1!$N295</f>
        <v>89655</v>
      </c>
      <c r="E299" s="24" t="str">
        <f>[4]Sayfa1!$B295</f>
        <v>BOZ-KAY5+6-FF-294</v>
      </c>
      <c r="F299" s="60">
        <f>[4]Sayfa1!$E295</f>
        <v>45570</v>
      </c>
      <c r="G299" s="61">
        <f>[4]Sayfa1!$F295</f>
        <v>45570.770833333336</v>
      </c>
      <c r="H299" s="59" t="str">
        <f>[4]Sayfa1!$I295</f>
        <v>Hat/Line</v>
      </c>
      <c r="I299" s="62" t="str">
        <f>IF([4]Sayfa1!$K295="SSH","Notified by Bozankaya","Notified by Customer")</f>
        <v>Notified by Customer</v>
      </c>
      <c r="J299" s="59" t="e">
        <f>VLOOKUP([4]Sayfa1!$AU295,#REF!,2,FALSE)</f>
        <v>#REF!</v>
      </c>
      <c r="K299" s="59">
        <f>[4]Sayfa1!$AC295</f>
        <v>0</v>
      </c>
      <c r="L299" s="63" t="str">
        <f t="shared" si="65"/>
        <v>KAY_5+246-BOZ-KAY5+6-FF-294</v>
      </c>
      <c r="M299" s="64" t="str">
        <f>[4]Sayfa1!$L295</f>
        <v>CB PERDESİ YUKARI KALKMADI. YUKARI BAĞLANARAK GÖRÜŞ SAĞLANABİLDİ. İLDEM 5 KUMSMALL YÖNÜ 18:24 SEFERİ 5 DAKİKA TEHİRLİ ÇIKIŞ YAPTI.</v>
      </c>
      <c r="N299" s="33" t="str">
        <f>[4]Sayfa1!$J295</f>
        <v>C-Uyarı, sürüş devamlılığı</v>
      </c>
      <c r="O299" s="33" t="str">
        <f>[4]Sayfa1!$P295</f>
        <v>B(Servisten çekmeye etki eden arızalar)</v>
      </c>
      <c r="P299" s="33" t="str">
        <f>[4]Sayfa1!$Q295</f>
        <v>N.A(Yaralanma yok)</v>
      </c>
      <c r="Q299" s="65" t="str" cm="1">
        <f t="array" ref="Q299">_xlfn.IFS([4]Sayfa1!$R295="Bozankaya","Bozankaya",[4]Sayfa1!$R295="İşletme","Customer",[4]Sayfa1!$R295="Tedarikçi","Equipment Supplier")</f>
        <v>Bozankaya</v>
      </c>
      <c r="R299" s="66" t="str">
        <f>[4]Sayfa1!$M295</f>
        <v>AYAR YAPILDI KABİN PERDESİ AŞAĞI YUKARI HAREKET EDİYOR.</v>
      </c>
      <c r="S299" s="36" t="str">
        <f>[4]Sayfa1!$S295</f>
        <v>Üretim</v>
      </c>
      <c r="T299" s="67">
        <f>[4]Sayfa1!$Z295</f>
        <v>0</v>
      </c>
      <c r="U299" s="68">
        <f>[4]Sayfa1!$AN295</f>
        <v>1</v>
      </c>
      <c r="V299" s="60">
        <f>[4]Sayfa1!$T295</f>
        <v>45571</v>
      </c>
      <c r="W299" s="61">
        <f>[4]Sayfa1!$U295</f>
        <v>45571.333333333336</v>
      </c>
      <c r="X299" s="69">
        <f t="shared" si="66"/>
        <v>45571.333333333336</v>
      </c>
      <c r="Y299" s="70">
        <f>[4]Sayfa1!$AQ295</f>
        <v>0</v>
      </c>
      <c r="Z299" s="61">
        <f>[4]Sayfa1!$AR295</f>
        <v>45571.416666666664</v>
      </c>
      <c r="AA299" s="69">
        <f t="shared" si="67"/>
        <v>45571.416666666664</v>
      </c>
      <c r="AB299" s="71">
        <f t="shared" si="68"/>
        <v>0</v>
      </c>
      <c r="AC299" s="60">
        <f t="shared" si="69"/>
        <v>0</v>
      </c>
      <c r="AD299" s="61">
        <f t="shared" si="70"/>
        <v>45571.416666666664</v>
      </c>
      <c r="AE299" s="69">
        <f t="shared" si="71"/>
        <v>45571.416666666664</v>
      </c>
      <c r="AF299" s="36" t="str">
        <f>[4]Sayfa1!$AP295</f>
        <v>(II) Birden fazla karşılaşılan arıza</v>
      </c>
      <c r="AG299" s="33" t="str">
        <f>IF([4]Sayfa1!$J295="C-Uyarı, sürüş devamlılığı","Bu Arıza Aracın Servise Verilmesine Engel Değil","Bu Arıza Aracın Servise Verilmesine Engel")</f>
        <v>Bu Arıza Aracın Servise Verilmesine Engel Değil</v>
      </c>
      <c r="AH299" s="41" t="str">
        <f>[4]Sayfa1!$AB295</f>
        <v>Tamir edilecek</v>
      </c>
      <c r="AI299" s="60"/>
      <c r="AJ299" s="60"/>
      <c r="AK299" s="69">
        <f t="shared" si="72"/>
        <v>0</v>
      </c>
      <c r="AL299" s="71">
        <f t="shared" si="73"/>
        <v>0</v>
      </c>
      <c r="AM299" s="71">
        <f t="shared" si="74"/>
        <v>0</v>
      </c>
      <c r="AN299" s="72">
        <f t="shared" si="75"/>
        <v>0</v>
      </c>
      <c r="AO299" s="73" t="str">
        <f>[4]Sayfa1!$X295</f>
        <v>T910-7001</v>
      </c>
      <c r="AP299" s="72">
        <f>[4]Sayfa1!$Y295</f>
        <v>1</v>
      </c>
      <c r="AQ299" s="184" t="str">
        <f>[4]Sayfa1!$V295</f>
        <v>HÜRSANPER OTOMOTİV YAN SANAYİ TİCAR</v>
      </c>
      <c r="AR299" s="74" t="str">
        <f>[4]Sayfa1!$W295</f>
        <v>MOTORLU ÖN PERDE</v>
      </c>
      <c r="AS299" s="74">
        <f>[4]Sayfa1!$AD295</f>
        <v>0</v>
      </c>
      <c r="AT299" s="60" t="str">
        <f>[4]Sayfa1!$AE295</f>
        <v/>
      </c>
      <c r="AU299" s="60" t="str">
        <f>[4]Sayfa1!$AH295</f>
        <v/>
      </c>
      <c r="AV299" s="75">
        <v>294</v>
      </c>
      <c r="AW299" s="76">
        <f t="shared" si="76"/>
        <v>0</v>
      </c>
      <c r="AX299" s="77" t="str">
        <f>[4]Sayfa1!$A295</f>
        <v>a352ab60</v>
      </c>
      <c r="AY299" s="78" t="s">
        <v>114</v>
      </c>
      <c r="AZ299" s="79" t="e" vm="1">
        <f t="shared" si="77"/>
        <v>#VALUE!</v>
      </c>
    </row>
    <row r="300" spans="1:52" ht="148.15">
      <c r="A300" s="59" t="s">
        <v>355</v>
      </c>
      <c r="B300" s="59" t="str">
        <f>[4]Sayfa1!$G296</f>
        <v>3878(7)</v>
      </c>
      <c r="C300" s="184" t="str">
        <f>[4]Sayfa1!$H296</f>
        <v>P</v>
      </c>
      <c r="D300" s="24">
        <f>[4]Sayfa1!$N296</f>
        <v>68998</v>
      </c>
      <c r="E300" s="24" t="str">
        <f>[4]Sayfa1!$B296</f>
        <v>BOZ-KAY5+6-FF-295</v>
      </c>
      <c r="F300" s="60">
        <f>[4]Sayfa1!$E296</f>
        <v>45573</v>
      </c>
      <c r="G300" s="61">
        <f>[4]Sayfa1!$F296</f>
        <v>45573.946527777778</v>
      </c>
      <c r="H300" s="59" t="str">
        <f>[4]Sayfa1!$I296</f>
        <v>Hat/Line</v>
      </c>
      <c r="I300" s="62" t="str">
        <f>IF([4]Sayfa1!$K296="SSH","Notified by Bozankaya","Notified by Customer")</f>
        <v>Notified by Customer</v>
      </c>
      <c r="J300" s="59" t="e">
        <f>VLOOKUP([4]Sayfa1!$AU296,#REF!,2,FALSE)</f>
        <v>#REF!</v>
      </c>
      <c r="K300" s="59">
        <f>[4]Sayfa1!$AC296</f>
        <v>0</v>
      </c>
      <c r="L300" s="63" t="str">
        <f t="shared" si="65"/>
        <v>KAY_5+247-BOZ-KAY5+6-FF-295</v>
      </c>
      <c r="M300" s="64" t="str">
        <f>[4]Sayfa1!$L296</f>
        <v>ANONS SİSTEMİ İLERLEMİYOR.</v>
      </c>
      <c r="N300" s="33" t="str">
        <f>[4]Sayfa1!$J296</f>
        <v>C-Uyarı, sürüş devamlılığı</v>
      </c>
      <c r="O300" s="33" t="str">
        <f>[4]Sayfa1!$P296</f>
        <v>B(Servisten çekmeye etki eden arızalar)</v>
      </c>
      <c r="P300" s="33" t="str">
        <f>[4]Sayfa1!$Q296</f>
        <v>N.A(Yaralanma yok)</v>
      </c>
      <c r="Q300" s="65" t="str" cm="1">
        <f t="array" ref="Q300">_xlfn.IFS([4]Sayfa1!$R296="Bozankaya","Bozankaya",[4]Sayfa1!$R296="İşletme","Customer",[4]Sayfa1!$R296="Tedarikçi","Equipment Supplier")</f>
        <v>Equipment Supplier</v>
      </c>
      <c r="R300" s="66" t="str">
        <f>[4]Sayfa1!$M296</f>
        <v>ARAÇ RESETLENDİ(AU300). SİSTEM NORMALE DÖNDÜ SORUN YOK.</v>
      </c>
      <c r="S300" s="36" t="str">
        <f>[4]Sayfa1!$S296</f>
        <v>Atak</v>
      </c>
      <c r="T300" s="67">
        <f>[4]Sayfa1!$Z296</f>
        <v>0</v>
      </c>
      <c r="U300" s="68">
        <f>[4]Sayfa1!$AN296</f>
        <v>1</v>
      </c>
      <c r="V300" s="60">
        <f>[4]Sayfa1!$T296</f>
        <v>45574</v>
      </c>
      <c r="W300" s="61">
        <f>[4]Sayfa1!$U296</f>
        <v>45574.333333333336</v>
      </c>
      <c r="X300" s="69">
        <f t="shared" si="66"/>
        <v>45574.333333333336</v>
      </c>
      <c r="Y300" s="70">
        <f>[4]Sayfa1!$AQ296</f>
        <v>0</v>
      </c>
      <c r="Z300" s="61">
        <f>[4]Sayfa1!$AR296</f>
        <v>45574.416666666664</v>
      </c>
      <c r="AA300" s="69">
        <f t="shared" si="67"/>
        <v>45574.416666666664</v>
      </c>
      <c r="AB300" s="71">
        <f t="shared" si="68"/>
        <v>0</v>
      </c>
      <c r="AC300" s="60">
        <f t="shared" si="69"/>
        <v>0</v>
      </c>
      <c r="AD300" s="61">
        <f t="shared" si="70"/>
        <v>45574.416666666664</v>
      </c>
      <c r="AE300" s="69">
        <f t="shared" si="71"/>
        <v>45574.416666666664</v>
      </c>
      <c r="AF300" s="36" t="str">
        <f>[4]Sayfa1!$AP296</f>
        <v>(II) Birden fazla karşılaşılan arıza</v>
      </c>
      <c r="AG300" s="33" t="str">
        <f>IF([4]Sayfa1!$J296="C-Uyarı, sürüş devamlılığı","Bu Arıza Aracın Servise Verilmesine Engel Değil","Bu Arıza Aracın Servise Verilmesine Engel")</f>
        <v>Bu Arıza Aracın Servise Verilmesine Engel Değil</v>
      </c>
      <c r="AH300" s="41" t="str">
        <f>[4]Sayfa1!$AB296</f>
        <v>Arıza çözülecek</v>
      </c>
      <c r="AI300" s="60"/>
      <c r="AJ300" s="60"/>
      <c r="AK300" s="69">
        <f t="shared" si="72"/>
        <v>0</v>
      </c>
      <c r="AL300" s="71">
        <f t="shared" si="73"/>
        <v>0</v>
      </c>
      <c r="AM300" s="71">
        <f t="shared" si="74"/>
        <v>0</v>
      </c>
      <c r="AN300" s="72">
        <f t="shared" si="75"/>
        <v>0</v>
      </c>
      <c r="AO300" s="73" t="str">
        <f>[4]Sayfa1!$X296</f>
        <v>E840-7002</v>
      </c>
      <c r="AP300" s="72">
        <f>[4]Sayfa1!$Y296</f>
        <v>1</v>
      </c>
      <c r="AQ300" s="184" t="str">
        <f>[4]Sayfa1!$V296</f>
        <v>ATAK ULAŞIM SAN.TİC.LTD.ŞTİ.</v>
      </c>
      <c r="AR300" s="74" t="str">
        <f>[4]Sayfa1!$W296</f>
        <v>Merkez Ünite AU300 (train bus, vehicle b</v>
      </c>
      <c r="AS300" s="74">
        <f>[4]Sayfa1!$AD296</f>
        <v>0</v>
      </c>
      <c r="AT300" s="60" t="str">
        <f>[4]Sayfa1!$AE296</f>
        <v/>
      </c>
      <c r="AU300" s="60" t="str">
        <f>[4]Sayfa1!$AH296</f>
        <v/>
      </c>
      <c r="AV300" s="75">
        <v>295</v>
      </c>
      <c r="AW300" s="76">
        <f t="shared" si="76"/>
        <v>0</v>
      </c>
      <c r="AX300" s="77" t="str">
        <f>[4]Sayfa1!$A296</f>
        <v>5716dc1c</v>
      </c>
      <c r="AY300" s="78" t="s">
        <v>114</v>
      </c>
      <c r="AZ300" s="79" t="e" vm="1">
        <f t="shared" si="77"/>
        <v>#VALUE!</v>
      </c>
    </row>
    <row r="301" spans="1:52" ht="165.6">
      <c r="A301" s="59" t="s">
        <v>356</v>
      </c>
      <c r="B301" s="59" t="str">
        <f>[4]Sayfa1!$G297</f>
        <v>3880(9)</v>
      </c>
      <c r="C301" s="184" t="str">
        <f>[4]Sayfa1!$H297</f>
        <v>MA</v>
      </c>
      <c r="D301" s="24">
        <f>[4]Sayfa1!$N297</f>
        <v>50553</v>
      </c>
      <c r="E301" s="24" t="str">
        <f>[4]Sayfa1!$B297</f>
        <v>BOZ-KAY5+6-FF-296</v>
      </c>
      <c r="F301" s="60">
        <f>[4]Sayfa1!$E297</f>
        <v>45574</v>
      </c>
      <c r="G301" s="61">
        <f>[4]Sayfa1!$F297</f>
        <v>45574.588888888888</v>
      </c>
      <c r="H301" s="59" t="str">
        <f>[4]Sayfa1!$I297</f>
        <v>Hat/Line</v>
      </c>
      <c r="I301" s="62" t="str">
        <f>IF([4]Sayfa1!$K297="SSH","Notified by Bozankaya","Notified by Customer")</f>
        <v>Notified by Customer</v>
      </c>
      <c r="J301" s="59" t="e">
        <f>VLOOKUP([4]Sayfa1!$AU297,#REF!,2,FALSE)</f>
        <v>#REF!</v>
      </c>
      <c r="K301" s="59">
        <f>[4]Sayfa1!$AC297</f>
        <v>0</v>
      </c>
      <c r="L301" s="63" t="str">
        <f t="shared" si="65"/>
        <v>KAY_5+248-BOZ-KAY5+6-FF-296</v>
      </c>
      <c r="M301" s="64" t="str">
        <f>[4]Sayfa1!$L297</f>
        <v>ARAÇ SAĞ KAPILARI AÇMADI RESETLENDİ DÜZELME OLMADI.</v>
      </c>
      <c r="N301" s="33" t="str">
        <f>[4]Sayfa1!$J297</f>
        <v>B-Hız veya güç azalması</v>
      </c>
      <c r="O301" s="33" t="str">
        <f>[4]Sayfa1!$P297</f>
        <v>B(Servisten çekmeye etki eden arızalar)</v>
      </c>
      <c r="P301" s="33" t="str">
        <f>[4]Sayfa1!$Q297</f>
        <v>N.A(Yaralanma yok)</v>
      </c>
      <c r="Q301" s="65" t="str" cm="1">
        <f t="array" ref="Q301">_xlfn.IFS([4]Sayfa1!$R297="Bozankaya","Bozankaya",[4]Sayfa1!$R297="İşletme","Customer",[4]Sayfa1!$R297="Tedarikçi","Equipment Supplier")</f>
        <v>Bozankaya</v>
      </c>
      <c r="R301" s="66" t="str">
        <f>[4]Sayfa1!$M297</f>
        <v>UDX 501 KONNEKTÖRÜ SÖKÜLÜP TAKILDI. PİNLER KONTROL EDİLDİ. ARIZA GİDERİLDİ.</v>
      </c>
      <c r="S301" s="36" t="str">
        <f>[4]Sayfa1!$S297</f>
        <v>Üretim</v>
      </c>
      <c r="T301" s="67">
        <f>[4]Sayfa1!$Z297</f>
        <v>0</v>
      </c>
      <c r="U301" s="68">
        <f>[4]Sayfa1!$AN297</f>
        <v>1</v>
      </c>
      <c r="V301" s="60">
        <f>[4]Sayfa1!$T297</f>
        <v>45574</v>
      </c>
      <c r="W301" s="61">
        <f>[4]Sayfa1!$U297</f>
        <v>45574.604166666664</v>
      </c>
      <c r="X301" s="69">
        <f t="shared" si="66"/>
        <v>45574.604166666664</v>
      </c>
      <c r="Y301" s="70">
        <f>[4]Sayfa1!$AQ297</f>
        <v>45574</v>
      </c>
      <c r="Z301" s="61">
        <f>[4]Sayfa1!$AR297</f>
        <v>45574.666666666664</v>
      </c>
      <c r="AA301" s="69">
        <f t="shared" si="67"/>
        <v>45574.666666666664</v>
      </c>
      <c r="AB301" s="71">
        <f t="shared" si="68"/>
        <v>0</v>
      </c>
      <c r="AC301" s="60">
        <f t="shared" si="69"/>
        <v>45574</v>
      </c>
      <c r="AD301" s="61">
        <f t="shared" si="70"/>
        <v>45574.666666666664</v>
      </c>
      <c r="AE301" s="69">
        <f t="shared" si="71"/>
        <v>45574.666666666664</v>
      </c>
      <c r="AF301" s="36" t="str">
        <f>[4]Sayfa1!$AP297</f>
        <v>(II) Birden fazla karşılaşılan arıza</v>
      </c>
      <c r="AG301" s="33" t="str">
        <f>IF([4]Sayfa1!$J297="C-Uyarı, sürüş devamlılığı","Bu Arıza Aracın Servise Verilmesine Engel Değil","Bu Arıza Aracın Servise Verilmesine Engel")</f>
        <v>Bu Arıza Aracın Servise Verilmesine Engel</v>
      </c>
      <c r="AH301" s="41" t="str">
        <f>[4]Sayfa1!$AB297</f>
        <v>Arıza çözülecek</v>
      </c>
      <c r="AI301" s="60"/>
      <c r="AJ301" s="60"/>
      <c r="AK301" s="69">
        <f t="shared" si="72"/>
        <v>0</v>
      </c>
      <c r="AL301" s="71">
        <f t="shared" si="73"/>
        <v>0</v>
      </c>
      <c r="AM301" s="71">
        <f t="shared" si="74"/>
        <v>0</v>
      </c>
      <c r="AN301" s="72">
        <f t="shared" si="75"/>
        <v>0</v>
      </c>
      <c r="AO301" s="73" t="str">
        <f>[4]Sayfa1!$X297</f>
        <v>M110-7082</v>
      </c>
      <c r="AP301" s="72">
        <f>[4]Sayfa1!$Y297</f>
        <v>0</v>
      </c>
      <c r="AQ301" s="184" t="str">
        <f>[4]Sayfa1!$V297</f>
        <v>KNORR-BREMSE GMBH DİVİSİON IFE AUTO</v>
      </c>
      <c r="AR301" s="74" t="str">
        <f>[4]Sayfa1!$W297</f>
        <v>PRM’LI ÇİFTLİ KAPI</v>
      </c>
      <c r="AS301" s="74">
        <f>[4]Sayfa1!$AD297</f>
        <v>0</v>
      </c>
      <c r="AT301" s="60" t="str">
        <f>[4]Sayfa1!$AE297</f>
        <v/>
      </c>
      <c r="AU301" s="60" t="str">
        <f>[4]Sayfa1!$AH297</f>
        <v/>
      </c>
      <c r="AV301" s="75">
        <v>296</v>
      </c>
      <c r="AW301" s="76">
        <f t="shared" si="76"/>
        <v>0</v>
      </c>
      <c r="AX301" s="77" t="str">
        <f>[4]Sayfa1!$A297</f>
        <v>de012cea</v>
      </c>
      <c r="AY301" s="78" t="s">
        <v>114</v>
      </c>
      <c r="AZ301" s="79" t="e" vm="1">
        <f t="shared" si="77"/>
        <v>#VALUE!</v>
      </c>
    </row>
    <row r="302" spans="1:52" ht="148.15">
      <c r="A302" s="59" t="s">
        <v>357</v>
      </c>
      <c r="B302" s="59" t="str">
        <f>[4]Sayfa1!$G298</f>
        <v>3874(3)</v>
      </c>
      <c r="C302" s="184" t="str">
        <f>[4]Sayfa1!$H298</f>
        <v>MB</v>
      </c>
      <c r="D302" s="24">
        <f>[4]Sayfa1!$N298</f>
        <v>97804</v>
      </c>
      <c r="E302" s="24" t="str">
        <f>[4]Sayfa1!$B298</f>
        <v>BOZ-KAY5+6-FF-297</v>
      </c>
      <c r="F302" s="60">
        <f>[4]Sayfa1!$E298</f>
        <v>45577</v>
      </c>
      <c r="G302" s="61">
        <f>[4]Sayfa1!$F298</f>
        <v>45577.426388888889</v>
      </c>
      <c r="H302" s="59" t="str">
        <f>[4]Sayfa1!$I298</f>
        <v>Depo/Depot</v>
      </c>
      <c r="I302" s="62" t="str">
        <f>IF([4]Sayfa1!$K298="SSH","Notified by Bozankaya","Notified by Customer")</f>
        <v>Notified by Bozankaya</v>
      </c>
      <c r="J302" s="59" t="e">
        <f>VLOOKUP([4]Sayfa1!$AU298,#REF!,2,FALSE)</f>
        <v>#REF!</v>
      </c>
      <c r="K302" s="59">
        <f>[4]Sayfa1!$AC298</f>
        <v>0</v>
      </c>
      <c r="L302" s="63" t="str">
        <f t="shared" si="65"/>
        <v>KAY_5+249-BOZ-KAY5+6-FF-297</v>
      </c>
      <c r="M302" s="64" t="str">
        <f>[4]Sayfa1!$L298</f>
        <v>CCTV Ekran parlaklığı stabil değil</v>
      </c>
      <c r="N302" s="33" t="str">
        <f>[4]Sayfa1!$J298</f>
        <v>C-Uyarı, sürüş devamlılığı</v>
      </c>
      <c r="O302" s="33" t="str">
        <f>[4]Sayfa1!$P298</f>
        <v>C(Sisteme etki etmeyen arıza)</v>
      </c>
      <c r="P302" s="33" t="str">
        <f>[4]Sayfa1!$Q298</f>
        <v>N.A(Yaralanma yok)</v>
      </c>
      <c r="Q302" s="65" t="str" cm="1">
        <f t="array" ref="Q302">_xlfn.IFS([4]Sayfa1!$R298="Bozankaya","Bozankaya",[4]Sayfa1!$R298="İşletme","Customer",[4]Sayfa1!$R298="Tedarikçi","Equipment Supplier")</f>
        <v>Equipment Supplier</v>
      </c>
      <c r="R302" s="66" t="str">
        <f>[4]Sayfa1!$M298</f>
        <v>Ekran değişimi</v>
      </c>
      <c r="S302" s="36" t="str">
        <f>[4]Sayfa1!$S298</f>
        <v>NSC</v>
      </c>
      <c r="T302" s="67" t="str">
        <f>[4]Sayfa1!$Z298</f>
        <v>SA41452.01-02.02</v>
      </c>
      <c r="U302" s="68">
        <f>[4]Sayfa1!$AN298</f>
        <v>1</v>
      </c>
      <c r="V302" s="60">
        <f>[4]Sayfa1!$T298</f>
        <v>45577</v>
      </c>
      <c r="W302" s="61">
        <f>[4]Sayfa1!$U298</f>
        <v>45577.428472222222</v>
      </c>
      <c r="X302" s="69">
        <f t="shared" si="66"/>
        <v>45577.428472222222</v>
      </c>
      <c r="Y302" s="70">
        <f>[4]Sayfa1!$AQ298</f>
        <v>45577</v>
      </c>
      <c r="Z302" s="61">
        <f>[4]Sayfa1!$AR298</f>
        <v>45577.431250000001</v>
      </c>
      <c r="AA302" s="69">
        <f t="shared" si="67"/>
        <v>45577.431250000001</v>
      </c>
      <c r="AB302" s="71">
        <f t="shared" si="68"/>
        <v>0</v>
      </c>
      <c r="AC302" s="60">
        <f t="shared" si="69"/>
        <v>45577</v>
      </c>
      <c r="AD302" s="61">
        <f t="shared" si="70"/>
        <v>45577.431250000001</v>
      </c>
      <c r="AE302" s="69">
        <f t="shared" si="71"/>
        <v>45577.431250000001</v>
      </c>
      <c r="AF302" s="36" t="str">
        <f>[4]Sayfa1!$AP298</f>
        <v>(II) Birden fazla karşılaşılan arıza</v>
      </c>
      <c r="AG302" s="33" t="str">
        <f>IF([4]Sayfa1!$J298="C-Uyarı, sürüş devamlılığı","Bu Arıza Aracın Servise Verilmesine Engel Değil","Bu Arıza Aracın Servise Verilmesine Engel")</f>
        <v>Bu Arıza Aracın Servise Verilmesine Engel Değil</v>
      </c>
      <c r="AH302" s="41" t="str">
        <f>[4]Sayfa1!$AB298</f>
        <v>Ekipman değiştirilecek</v>
      </c>
      <c r="AI302" s="60"/>
      <c r="AJ302" s="60"/>
      <c r="AK302" s="69">
        <f t="shared" si="72"/>
        <v>0</v>
      </c>
      <c r="AL302" s="71">
        <f t="shared" si="73"/>
        <v>0</v>
      </c>
      <c r="AM302" s="71">
        <f t="shared" si="74"/>
        <v>0</v>
      </c>
      <c r="AN302" s="72">
        <f t="shared" si="75"/>
        <v>0</v>
      </c>
      <c r="AO302" s="73" t="str">
        <f>[4]Sayfa1!$X298</f>
        <v>E810-7145</v>
      </c>
      <c r="AP302" s="72">
        <f>[4]Sayfa1!$Y298</f>
        <v>1</v>
      </c>
      <c r="AQ302" s="184" t="str">
        <f>[4]Sayfa1!$V298</f>
        <v>NSC TEKNOLOJİ ve İNŞAAT LTD.ŞTİ.</v>
      </c>
      <c r="AR302" s="74" t="str">
        <f>[4]Sayfa1!$W298</f>
        <v>CCTV EKRANI</v>
      </c>
      <c r="AS302" s="74">
        <f>[4]Sayfa1!$AD298</f>
        <v>0</v>
      </c>
      <c r="AT302" s="60" t="str">
        <f>[4]Sayfa1!$AE298</f>
        <v/>
      </c>
      <c r="AU302" s="60" t="str">
        <f>[4]Sayfa1!$AH298</f>
        <v/>
      </c>
      <c r="AV302" s="75">
        <v>297</v>
      </c>
      <c r="AW302" s="76">
        <f t="shared" si="76"/>
        <v>0</v>
      </c>
      <c r="AX302" s="77" t="str">
        <f>[4]Sayfa1!$A298</f>
        <v>8031fec0</v>
      </c>
      <c r="AY302" s="78" t="s">
        <v>114</v>
      </c>
      <c r="AZ302" s="79" t="e" vm="1">
        <f t="shared" si="77"/>
        <v>#VALUE!</v>
      </c>
    </row>
    <row r="303" spans="1:52" ht="151.9">
      <c r="A303" s="59" t="s">
        <v>358</v>
      </c>
      <c r="B303" s="59" t="str">
        <f>[4]Sayfa1!$G299</f>
        <v>3882(11)</v>
      </c>
      <c r="C303" s="184" t="str">
        <f>[4]Sayfa1!$H299</f>
        <v>MA</v>
      </c>
      <c r="D303" s="24">
        <f>[4]Sayfa1!$N299</f>
        <v>29611</v>
      </c>
      <c r="E303" s="24" t="str">
        <f>[4]Sayfa1!$B299</f>
        <v>BOZ-KAY5+6-FF-298</v>
      </c>
      <c r="F303" s="60">
        <f>[4]Sayfa1!$E299</f>
        <v>45579</v>
      </c>
      <c r="G303" s="61">
        <f>[4]Sayfa1!$F299</f>
        <v>45579.457638888889</v>
      </c>
      <c r="H303" s="59" t="str">
        <f>[4]Sayfa1!$I299</f>
        <v>Hat/Line</v>
      </c>
      <c r="I303" s="62" t="str">
        <f>IF([4]Sayfa1!$K299="SSH","Notified by Bozankaya","Notified by Customer")</f>
        <v>Notified by Customer</v>
      </c>
      <c r="J303" s="59" t="e">
        <f>VLOOKUP([4]Sayfa1!$AU299,#REF!,2,FALSE)</f>
        <v>#REF!</v>
      </c>
      <c r="K303" s="59">
        <f>[4]Sayfa1!$AC299</f>
        <v>0</v>
      </c>
      <c r="L303" s="63" t="str">
        <f t="shared" si="65"/>
        <v>KAY_5+250-BOZ-KAY5+6-FF-298</v>
      </c>
      <c r="M303" s="64" t="str">
        <f>[4]Sayfa1!$L299</f>
        <v>Kabin kliması çalışmıyor resetleyince 2 dakika çalışıp tekrardan duruyor.</v>
      </c>
      <c r="N303" s="33" t="str">
        <f>[4]Sayfa1!$J299</f>
        <v>B-Hız veya güç azalması</v>
      </c>
      <c r="O303" s="33" t="str">
        <f>[4]Sayfa1!$P299</f>
        <v>B(Servisten çekmeye etki eden arızalar)</v>
      </c>
      <c r="P303" s="33" t="str">
        <f>[4]Sayfa1!$Q299</f>
        <v>N.A(Yaralanma yok)</v>
      </c>
      <c r="Q303" s="65" t="str" cm="1">
        <f t="array" ref="Q303">_xlfn.IFS([4]Sayfa1!$R299="Bozankaya","Bozankaya",[4]Sayfa1!$R299="İşletme","Customer",[4]Sayfa1!$R299="Tedarikçi","Equipment Supplier")</f>
        <v>Equipment Supplier</v>
      </c>
      <c r="R303" s="66" t="str">
        <f>[4]Sayfa1!$M299</f>
        <v>Eltesan firması ile gerekli kontrol yapıldı. Yazılım güncellemesi ve ayarları yapıldı.</v>
      </c>
      <c r="S303" s="36" t="str">
        <f>[4]Sayfa1!$S299</f>
        <v>Eltesan</v>
      </c>
      <c r="T303" s="67">
        <f>[4]Sayfa1!$Z299</f>
        <v>0</v>
      </c>
      <c r="U303" s="68">
        <f>[4]Sayfa1!$AN299</f>
        <v>1</v>
      </c>
      <c r="V303" s="60">
        <f>[4]Sayfa1!$T299</f>
        <v>45579</v>
      </c>
      <c r="W303" s="61">
        <f>[4]Sayfa1!$U299</f>
        <v>45579.479166666664</v>
      </c>
      <c r="X303" s="69">
        <f t="shared" si="66"/>
        <v>45579.479166666664</v>
      </c>
      <c r="Y303" s="70">
        <f>[4]Sayfa1!$AQ299</f>
        <v>45579</v>
      </c>
      <c r="Z303" s="61">
        <f>[4]Sayfa1!$AR299</f>
        <v>45579.625</v>
      </c>
      <c r="AA303" s="69">
        <f t="shared" si="67"/>
        <v>45579.625</v>
      </c>
      <c r="AB303" s="71">
        <f t="shared" si="68"/>
        <v>0</v>
      </c>
      <c r="AC303" s="60">
        <f t="shared" si="69"/>
        <v>45579</v>
      </c>
      <c r="AD303" s="61">
        <f t="shared" si="70"/>
        <v>45579.625</v>
      </c>
      <c r="AE303" s="69">
        <f t="shared" si="71"/>
        <v>45579.625</v>
      </c>
      <c r="AF303" s="36" t="str">
        <f>[4]Sayfa1!$AP299</f>
        <v>(III) Birden fazla aynı araçta karşılaşılan arıza</v>
      </c>
      <c r="AG303" s="33" t="str">
        <f>IF([4]Sayfa1!$J299="C-Uyarı, sürüş devamlılığı","Bu Arıza Aracın Servise Verilmesine Engel Değil","Bu Arıza Aracın Servise Verilmesine Engel")</f>
        <v>Bu Arıza Aracın Servise Verilmesine Engel</v>
      </c>
      <c r="AH303" s="41" t="str">
        <f>[4]Sayfa1!$AB299</f>
        <v>Yazılım güncelleme</v>
      </c>
      <c r="AI303" s="60"/>
      <c r="AJ303" s="60"/>
      <c r="AK303" s="69">
        <f t="shared" si="72"/>
        <v>0</v>
      </c>
      <c r="AL303" s="71">
        <f t="shared" si="73"/>
        <v>0</v>
      </c>
      <c r="AM303" s="71">
        <f t="shared" si="74"/>
        <v>0</v>
      </c>
      <c r="AN303" s="72">
        <f t="shared" si="75"/>
        <v>0</v>
      </c>
      <c r="AO303" s="73" t="str">
        <f>[4]Sayfa1!$X299</f>
        <v>H500-7243</v>
      </c>
      <c r="AP303" s="72">
        <f>[4]Sayfa1!$Y299</f>
        <v>0</v>
      </c>
      <c r="AQ303" s="184" t="str">
        <f>[4]Sayfa1!$V299</f>
        <v>ELTESAN ELEKTRO MEKANİK SOĞUTMA SAN</v>
      </c>
      <c r="AR303" s="74" t="str">
        <f>[4]Sayfa1!$W299</f>
        <v>SURUCU KLIMASI-Eltesan/Hispacold 4,5 KW</v>
      </c>
      <c r="AS303" s="74">
        <f>[4]Sayfa1!$AD299</f>
        <v>0</v>
      </c>
      <c r="AT303" s="60" t="str">
        <f>[4]Sayfa1!$AE299</f>
        <v/>
      </c>
      <c r="AU303" s="60" t="str">
        <f>[4]Sayfa1!$AH299</f>
        <v/>
      </c>
      <c r="AV303" s="75">
        <v>298</v>
      </c>
      <c r="AW303" s="76">
        <f t="shared" si="76"/>
        <v>0</v>
      </c>
      <c r="AX303" s="77" t="str">
        <f>[4]Sayfa1!$A299</f>
        <v>beee10ea</v>
      </c>
      <c r="AY303" s="78" t="s">
        <v>114</v>
      </c>
      <c r="AZ303" s="79" t="e" vm="1">
        <f t="shared" si="77"/>
        <v>#VALUE!</v>
      </c>
    </row>
    <row r="304" spans="1:52" ht="207">
      <c r="A304" s="59" t="s">
        <v>359</v>
      </c>
      <c r="B304" s="59" t="str">
        <f>[4]Sayfa1!$G300</f>
        <v>3878(7)</v>
      </c>
      <c r="C304" s="184" t="str">
        <f>[4]Sayfa1!$H300</f>
        <v>MA</v>
      </c>
      <c r="D304" s="24">
        <f>[4]Sayfa1!$N300</f>
        <v>72015</v>
      </c>
      <c r="E304" s="24" t="str">
        <f>[4]Sayfa1!$B300</f>
        <v>BOZ-KAY5+6-FF-299</v>
      </c>
      <c r="F304" s="60">
        <f>[4]Sayfa1!$E300</f>
        <v>45584</v>
      </c>
      <c r="G304" s="61">
        <f>[4]Sayfa1!$F300</f>
        <v>45584.459722222222</v>
      </c>
      <c r="H304" s="59" t="str">
        <f>[4]Sayfa1!$I300</f>
        <v>Hat/Line</v>
      </c>
      <c r="I304" s="62" t="str">
        <f>IF([4]Sayfa1!$K300="SSH","Notified by Bozankaya","Notified by Customer")</f>
        <v>Notified by Customer</v>
      </c>
      <c r="J304" s="59" t="e">
        <f>VLOOKUP([4]Sayfa1!$AU300,#REF!,2,FALSE)</f>
        <v>#REF!</v>
      </c>
      <c r="K304" s="59">
        <f>[4]Sayfa1!$AC300</f>
        <v>0</v>
      </c>
      <c r="L304" s="63" t="str">
        <f t="shared" si="65"/>
        <v>KAY_5+251-BOZ-KAY5+6-FF-299</v>
      </c>
      <c r="M304" s="64" t="str">
        <f>[4]Sayfa1!$L300</f>
        <v>MA fren arızası hata kodu fb09</v>
      </c>
      <c r="N304" s="33" t="str">
        <f>[4]Sayfa1!$J300</f>
        <v>A-Sürüşü engeller</v>
      </c>
      <c r="O304" s="33" t="str">
        <f>[4]Sayfa1!$P300</f>
        <v>A(Hareket etmeyi engelleyen arıza)</v>
      </c>
      <c r="P304" s="33" t="str">
        <f>[4]Sayfa1!$Q300</f>
        <v>N.A(Yaralanma yok)</v>
      </c>
      <c r="Q304" s="65" t="str" cm="1">
        <f t="array" ref="Q304">_xlfn.IFS([4]Sayfa1!$R300="Bozankaya","Bozankaya",[4]Sayfa1!$R300="İşletme","Customer",[4]Sayfa1!$R300="Tedarikçi","Equipment Supplier")</f>
        <v>Equipment Supplier</v>
      </c>
      <c r="R304" s="66" t="str">
        <f>[4]Sayfa1!$M300</f>
        <v>Araç FB09 arızası vermiş aracın hpu çalışmıyordu. Hpu değişimi yapıldı. Park sahasında test yapıldı. Sorun giderildi.</v>
      </c>
      <c r="S304" s="36" t="str">
        <f>[4]Sayfa1!$S300</f>
        <v>HANNING  KAHL</v>
      </c>
      <c r="T304" s="67">
        <f>[4]Sayfa1!$Z300</f>
        <v>0</v>
      </c>
      <c r="U304" s="68">
        <f>[4]Sayfa1!$AN300</f>
        <v>1</v>
      </c>
      <c r="V304" s="60">
        <f>[4]Sayfa1!$T300</f>
        <v>45584</v>
      </c>
      <c r="W304" s="61">
        <f>[4]Sayfa1!$U300</f>
        <v>45584.479166666664</v>
      </c>
      <c r="X304" s="69">
        <f t="shared" si="66"/>
        <v>45584.479166666664</v>
      </c>
      <c r="Y304" s="70">
        <f>[4]Sayfa1!$AQ300</f>
        <v>45584</v>
      </c>
      <c r="Z304" s="61">
        <f>[4]Sayfa1!$AR300</f>
        <v>45584.708333333336</v>
      </c>
      <c r="AA304" s="69">
        <f t="shared" si="67"/>
        <v>45584.708333333336</v>
      </c>
      <c r="AB304" s="71">
        <f t="shared" si="68"/>
        <v>0</v>
      </c>
      <c r="AC304" s="60">
        <f t="shared" si="69"/>
        <v>45584</v>
      </c>
      <c r="AD304" s="61">
        <f t="shared" si="70"/>
        <v>45584.708333333336</v>
      </c>
      <c r="AE304" s="69">
        <f t="shared" si="71"/>
        <v>45584.708333333336</v>
      </c>
      <c r="AF304" s="36" t="str">
        <f>[4]Sayfa1!$AP300</f>
        <v>(II) Birden fazla karşılaşılan arıza</v>
      </c>
      <c r="AG304" s="33" t="str">
        <f>IF([4]Sayfa1!$J300="C-Uyarı, sürüş devamlılığı","Bu Arıza Aracın Servise Verilmesine Engel Değil","Bu Arıza Aracın Servise Verilmesine Engel")</f>
        <v>Bu Arıza Aracın Servise Verilmesine Engel</v>
      </c>
      <c r="AH304" s="41" t="str">
        <f>[4]Sayfa1!$AB300</f>
        <v>Tamir edilecek</v>
      </c>
      <c r="AI304" s="60"/>
      <c r="AJ304" s="60"/>
      <c r="AK304" s="69">
        <f t="shared" si="72"/>
        <v>0</v>
      </c>
      <c r="AL304" s="71">
        <f t="shared" si="73"/>
        <v>0</v>
      </c>
      <c r="AM304" s="71">
        <f t="shared" si="74"/>
        <v>0</v>
      </c>
      <c r="AN304" s="72">
        <f t="shared" si="75"/>
        <v>0</v>
      </c>
      <c r="AO304" s="73" t="str">
        <f>[4]Sayfa1!$X300</f>
        <v>S306-7001</v>
      </c>
      <c r="AP304" s="72">
        <f>[4]Sayfa1!$Y300</f>
        <v>1</v>
      </c>
      <c r="AQ304" s="184" t="str">
        <f>[4]Sayfa1!$V300</f>
        <v>HANNING &amp; KAHL GMBH &amp; CO.KG</v>
      </c>
      <c r="AR304" s="74" t="str">
        <f>[4]Sayfa1!$W300</f>
        <v>XHidrolik Ünite HZY-K100-DPR</v>
      </c>
      <c r="AS304" s="74">
        <f>[4]Sayfa1!$AD300</f>
        <v>0</v>
      </c>
      <c r="AT304" s="60" t="str">
        <f>[4]Sayfa1!$AE300</f>
        <v/>
      </c>
      <c r="AU304" s="60" t="str">
        <f>[4]Sayfa1!$AH300</f>
        <v/>
      </c>
      <c r="AV304" s="75">
        <v>299</v>
      </c>
      <c r="AW304" s="76">
        <f t="shared" si="76"/>
        <v>0</v>
      </c>
      <c r="AX304" s="77" t="str">
        <f>[4]Sayfa1!$A300</f>
        <v>8f01821e</v>
      </c>
      <c r="AY304" s="78" t="s">
        <v>114</v>
      </c>
      <c r="AZ304" s="79" t="e" vm="1">
        <f t="shared" si="77"/>
        <v>#VALUE!</v>
      </c>
    </row>
    <row r="305" spans="1:52" ht="186.6">
      <c r="A305" s="59" t="s">
        <v>360</v>
      </c>
      <c r="B305" s="59" t="str">
        <f>[4]Sayfa1!$G301</f>
        <v>3878(7)</v>
      </c>
      <c r="C305" s="184" t="str">
        <f>[4]Sayfa1!$H301</f>
        <v>MA</v>
      </c>
      <c r="D305" s="24">
        <f>[4]Sayfa1!$N301</f>
        <v>72167</v>
      </c>
      <c r="E305" s="24" t="str">
        <f>[4]Sayfa1!$B301</f>
        <v>BOZ-KAY5+6-FF-300</v>
      </c>
      <c r="F305" s="60">
        <f>[4]Sayfa1!$E301</f>
        <v>45584</v>
      </c>
      <c r="G305" s="61">
        <f>[4]Sayfa1!$F301</f>
        <v>45584.664583333331</v>
      </c>
      <c r="H305" s="59" t="str">
        <f>[4]Sayfa1!$I301</f>
        <v>Hat/Line</v>
      </c>
      <c r="I305" s="62" t="str">
        <f>IF([4]Sayfa1!$K301="SSH","Notified by Bozankaya","Notified by Customer")</f>
        <v>Notified by Customer</v>
      </c>
      <c r="J305" s="59" t="e">
        <f>VLOOKUP([4]Sayfa1!$AU301,#REF!,2,FALSE)</f>
        <v>#REF!</v>
      </c>
      <c r="K305" s="59">
        <f>[4]Sayfa1!$AC301</f>
        <v>0</v>
      </c>
      <c r="L305" s="63" t="str">
        <f t="shared" si="65"/>
        <v>KAY_5+252-BOZ-KAY5+6-FF-300</v>
      </c>
      <c r="M305" s="64" t="str">
        <f>[4]Sayfa1!$L301</f>
        <v>MA BOJİ FB09 FREN ARIZASI VERDİ</v>
      </c>
      <c r="N305" s="33" t="str">
        <f>[4]Sayfa1!$J301</f>
        <v>B-Hız veya güç azalması</v>
      </c>
      <c r="O305" s="33" t="str">
        <f>[4]Sayfa1!$P301</f>
        <v>B(Servisten çekmeye etki eden arızalar)</v>
      </c>
      <c r="P305" s="33" t="str">
        <f>[4]Sayfa1!$Q301</f>
        <v>N.A(Yaralanma yok)</v>
      </c>
      <c r="Q305" s="65" t="str" cm="1">
        <f t="array" ref="Q305">_xlfn.IFS([4]Sayfa1!$R301="Bozankaya","Bozankaya",[4]Sayfa1!$R301="İşletme","Customer",[4]Sayfa1!$R301="Tedarikçi","Equipment Supplier")</f>
        <v>Equipment Supplier</v>
      </c>
      <c r="R305" s="66" t="str">
        <f>[4]Sayfa1!$M301</f>
        <v>ARACIN HPU DEĞİŞİMİ YAPILDI</v>
      </c>
      <c r="S305" s="36" t="str">
        <f>[4]Sayfa1!$S301</f>
        <v>HANNING  KAHL</v>
      </c>
      <c r="T305" s="67">
        <f>[4]Sayfa1!$Z301</f>
        <v>10075479</v>
      </c>
      <c r="U305" s="68">
        <f>[4]Sayfa1!$AN301</f>
        <v>3</v>
      </c>
      <c r="V305" s="60">
        <f>[4]Sayfa1!$T301</f>
        <v>45584</v>
      </c>
      <c r="W305" s="61">
        <f>[4]Sayfa1!$U301</f>
        <v>45584.665277777778</v>
      </c>
      <c r="X305" s="69">
        <f t="shared" si="66"/>
        <v>45584.665277777778</v>
      </c>
      <c r="Y305" s="70">
        <f>[4]Sayfa1!$AQ301</f>
        <v>45584</v>
      </c>
      <c r="Z305" s="61">
        <f>[4]Sayfa1!$AR301</f>
        <v>45584.708333333336</v>
      </c>
      <c r="AA305" s="69">
        <f t="shared" si="67"/>
        <v>45584.708333333336</v>
      </c>
      <c r="AB305" s="71">
        <f t="shared" si="68"/>
        <v>0</v>
      </c>
      <c r="AC305" s="60">
        <f t="shared" si="69"/>
        <v>45584</v>
      </c>
      <c r="AD305" s="61">
        <f t="shared" si="70"/>
        <v>45584.708333333336</v>
      </c>
      <c r="AE305" s="69">
        <f t="shared" si="71"/>
        <v>45584.708333333336</v>
      </c>
      <c r="AF305" s="36" t="str">
        <f>[4]Sayfa1!$AP301</f>
        <v>(II) Birden fazla karşılaşılan arıza</v>
      </c>
      <c r="AG305" s="33" t="str">
        <f>IF([4]Sayfa1!$J301="C-Uyarı, sürüş devamlılığı","Bu Arıza Aracın Servise Verilmesine Engel Değil","Bu Arıza Aracın Servise Verilmesine Engel")</f>
        <v>Bu Arıza Aracın Servise Verilmesine Engel</v>
      </c>
      <c r="AH305" s="41" t="str">
        <f>[4]Sayfa1!$AB301</f>
        <v>Ekipman değiştirilecek</v>
      </c>
      <c r="AI305" s="60"/>
      <c r="AJ305" s="60"/>
      <c r="AK305" s="69">
        <f t="shared" si="72"/>
        <v>0</v>
      </c>
      <c r="AL305" s="71">
        <f t="shared" si="73"/>
        <v>0</v>
      </c>
      <c r="AM305" s="71">
        <f t="shared" si="74"/>
        <v>0</v>
      </c>
      <c r="AN305" s="72">
        <f t="shared" si="75"/>
        <v>0</v>
      </c>
      <c r="AO305" s="73" t="str">
        <f>[4]Sayfa1!$X301</f>
        <v>S306-7001</v>
      </c>
      <c r="AP305" s="72">
        <f>[4]Sayfa1!$Y301</f>
        <v>1</v>
      </c>
      <c r="AQ305" s="184" t="str">
        <f>[4]Sayfa1!$V301</f>
        <v>HANNING &amp; KAHL GMBH &amp; CO.KG</v>
      </c>
      <c r="AR305" s="74" t="str">
        <f>[4]Sayfa1!$W301</f>
        <v>XHidrolik Ünite HZY-K100-DPR</v>
      </c>
      <c r="AS305" s="74">
        <f>[4]Sayfa1!$AD301</f>
        <v>0</v>
      </c>
      <c r="AT305" s="60" t="str">
        <f>[4]Sayfa1!$AE301</f>
        <v/>
      </c>
      <c r="AU305" s="60" t="str">
        <f>[4]Sayfa1!$AH301</f>
        <v/>
      </c>
      <c r="AV305" s="75">
        <v>300</v>
      </c>
      <c r="AW305" s="76">
        <f t="shared" si="76"/>
        <v>0</v>
      </c>
      <c r="AX305" s="77">
        <f>[4]Sayfa1!$A301</f>
        <v>24077267</v>
      </c>
      <c r="AY305" s="78" t="s">
        <v>114</v>
      </c>
      <c r="AZ305" s="79" t="e" vm="1">
        <f t="shared" si="77"/>
        <v>#VALUE!</v>
      </c>
    </row>
    <row r="306" spans="1:52" ht="226.9">
      <c r="A306" s="59" t="s">
        <v>361</v>
      </c>
      <c r="B306" s="59" t="str">
        <f>[4]Sayfa1!$G302</f>
        <v>3882(11)</v>
      </c>
      <c r="C306" s="184" t="str">
        <f>[4]Sayfa1!$H302</f>
        <v>MA</v>
      </c>
      <c r="D306" s="24">
        <f>[4]Sayfa1!$N302</f>
        <v>31529</v>
      </c>
      <c r="E306" s="24" t="str">
        <f>[4]Sayfa1!$B302</f>
        <v>BOZ-KAY5+6-FF-301</v>
      </c>
      <c r="F306" s="60">
        <f>[4]Sayfa1!$E302</f>
        <v>45586</v>
      </c>
      <c r="G306" s="61">
        <f>[4]Sayfa1!$F302</f>
        <v>45586.37222222222</v>
      </c>
      <c r="H306" s="59" t="str">
        <f>[4]Sayfa1!$I302</f>
        <v>Hat/Line</v>
      </c>
      <c r="I306" s="62" t="str">
        <f>IF([4]Sayfa1!$K302="SSH","Notified by Bozankaya","Notified by Customer")</f>
        <v>Notified by Customer</v>
      </c>
      <c r="J306" s="59" t="e">
        <f>VLOOKUP([4]Sayfa1!$AU302,#REF!,2,FALSE)</f>
        <v>#REF!</v>
      </c>
      <c r="K306" s="59">
        <f>[4]Sayfa1!$AC302</f>
        <v>0</v>
      </c>
      <c r="L306" s="63" t="str">
        <f t="shared" si="65"/>
        <v>KAY_5+253-BOZ-KAY5+6-FF-301</v>
      </c>
      <c r="M306" s="64" t="str">
        <f>[4]Sayfa1!$L302</f>
        <v>KABİN KLİMASI YETERSİZ SICAK ÜFLEMİYOR.</v>
      </c>
      <c r="N306" s="33" t="str">
        <f>[4]Sayfa1!$J302</f>
        <v>C-Uyarı, sürüş devamlılığı</v>
      </c>
      <c r="O306" s="33" t="str">
        <f>[4]Sayfa1!$P302</f>
        <v>B(Servisten çekmeye etki eden arızalar)</v>
      </c>
      <c r="P306" s="33" t="str">
        <f>[4]Sayfa1!$Q302</f>
        <v>N.A(Yaralanma yok)</v>
      </c>
      <c r="Q306" s="65" t="str" cm="1">
        <f t="array" ref="Q306">_xlfn.IFS([4]Sayfa1!$R302="Bozankaya","Bozankaya",[4]Sayfa1!$R302="İşletme","Customer",[4]Sayfa1!$R302="Tedarikçi","Equipment Supplier")</f>
        <v>Equipment Supplier</v>
      </c>
      <c r="R306" s="66" t="str">
        <f>[4]Sayfa1!$M302</f>
        <v>KONTROL EDİLDİ SORUN YOK.</v>
      </c>
      <c r="S306" s="36" t="str">
        <f>[4]Sayfa1!$S302</f>
        <v>Eltesan</v>
      </c>
      <c r="T306" s="67">
        <f>[4]Sayfa1!$Z302</f>
        <v>0</v>
      </c>
      <c r="U306" s="68">
        <f>[4]Sayfa1!$AN302</f>
        <v>1</v>
      </c>
      <c r="V306" s="60">
        <f>[4]Sayfa1!$T302</f>
        <v>45586</v>
      </c>
      <c r="W306" s="61">
        <f>[4]Sayfa1!$U302</f>
        <v>45586.416666666664</v>
      </c>
      <c r="X306" s="69">
        <f t="shared" si="66"/>
        <v>45586.416666666664</v>
      </c>
      <c r="Y306" s="70">
        <f>[4]Sayfa1!$AQ302</f>
        <v>0</v>
      </c>
      <c r="Z306" s="61">
        <f>[4]Sayfa1!$AR302</f>
        <v>45586.5</v>
      </c>
      <c r="AA306" s="69">
        <f t="shared" si="67"/>
        <v>45586.5</v>
      </c>
      <c r="AB306" s="71">
        <f t="shared" si="68"/>
        <v>0</v>
      </c>
      <c r="AC306" s="60">
        <f t="shared" si="69"/>
        <v>0</v>
      </c>
      <c r="AD306" s="61">
        <f t="shared" si="70"/>
        <v>45586.5</v>
      </c>
      <c r="AE306" s="69">
        <f t="shared" si="71"/>
        <v>45586.5</v>
      </c>
      <c r="AF306" s="36" t="str">
        <f>[4]Sayfa1!$AP302</f>
        <v>(III) Birden fazla aynı araçta karşılaşılan arıza</v>
      </c>
      <c r="AG306" s="33" t="str">
        <f>IF([4]Sayfa1!$J302="C-Uyarı, sürüş devamlılığı","Bu Arıza Aracın Servise Verilmesine Engel Değil","Bu Arıza Aracın Servise Verilmesine Engel")</f>
        <v>Bu Arıza Aracın Servise Verilmesine Engel Değil</v>
      </c>
      <c r="AH306" s="41" t="str">
        <f>[4]Sayfa1!$AB302</f>
        <v>Arıza çözülecek</v>
      </c>
      <c r="AI306" s="60"/>
      <c r="AJ306" s="60"/>
      <c r="AK306" s="69">
        <f t="shared" si="72"/>
        <v>0</v>
      </c>
      <c r="AL306" s="71">
        <f t="shared" si="73"/>
        <v>0</v>
      </c>
      <c r="AM306" s="71">
        <f t="shared" si="74"/>
        <v>0</v>
      </c>
      <c r="AN306" s="72">
        <f t="shared" si="75"/>
        <v>0</v>
      </c>
      <c r="AO306" s="73" t="str">
        <f>[4]Sayfa1!$X302</f>
        <v>H500-7240</v>
      </c>
      <c r="AP306" s="72">
        <f>[4]Sayfa1!$Y302</f>
        <v>1</v>
      </c>
      <c r="AQ306" s="184" t="str">
        <f>[4]Sayfa1!$V302</f>
        <v>ELTESAN ELEKTRO MEKANİK SOĞUTMA SAN</v>
      </c>
      <c r="AR306" s="74" t="str">
        <f>[4]Sayfa1!$W302</f>
        <v>KLIMA UNITESİ /Eltesan/Hispacold 41,5 kW</v>
      </c>
      <c r="AS306" s="74">
        <f>[4]Sayfa1!$AD302</f>
        <v>0</v>
      </c>
      <c r="AT306" s="60" t="str">
        <f>[4]Sayfa1!$AE302</f>
        <v/>
      </c>
      <c r="AU306" s="60" t="str">
        <f>[4]Sayfa1!$AH302</f>
        <v/>
      </c>
      <c r="AV306" s="75">
        <v>301</v>
      </c>
      <c r="AW306" s="76">
        <f t="shared" si="76"/>
        <v>0</v>
      </c>
      <c r="AX306" s="77" t="str">
        <f>[4]Sayfa1!$A302</f>
        <v>acc102a2</v>
      </c>
      <c r="AY306" s="78" t="s">
        <v>114</v>
      </c>
      <c r="AZ306" s="79" t="e" vm="1">
        <f t="shared" si="77"/>
        <v>#VALUE!</v>
      </c>
    </row>
    <row r="307" spans="1:52" ht="226.9">
      <c r="A307" s="59" t="s">
        <v>362</v>
      </c>
      <c r="B307" s="59" t="str">
        <f>[4]Sayfa1!$G303</f>
        <v>3879(8)</v>
      </c>
      <c r="C307" s="184" t="str">
        <f>[4]Sayfa1!$H303</f>
        <v>MA</v>
      </c>
      <c r="D307" s="24">
        <f>[4]Sayfa1!$N303</f>
        <v>56701</v>
      </c>
      <c r="E307" s="24" t="str">
        <f>[4]Sayfa1!$B303</f>
        <v>BOZ-KAY5+6-FF-302</v>
      </c>
      <c r="F307" s="60">
        <f>[4]Sayfa1!$E303</f>
        <v>45587</v>
      </c>
      <c r="G307" s="61">
        <f>[4]Sayfa1!$F303</f>
        <v>45587.52847222222</v>
      </c>
      <c r="H307" s="59" t="str">
        <f>[4]Sayfa1!$I303</f>
        <v>Hat/Line</v>
      </c>
      <c r="I307" s="62" t="str">
        <f>IF([4]Sayfa1!$K303="SSH","Notified by Bozankaya","Notified by Customer")</f>
        <v>Notified by Customer</v>
      </c>
      <c r="J307" s="59" t="e">
        <f>VLOOKUP([4]Sayfa1!$AU303,#REF!,2,FALSE)</f>
        <v>#REF!</v>
      </c>
      <c r="K307" s="59">
        <f>[4]Sayfa1!$AC303</f>
        <v>0</v>
      </c>
      <c r="L307" s="63" t="str">
        <f t="shared" si="65"/>
        <v>KAY_5+254-BOZ-KAY5+6-FF-302</v>
      </c>
      <c r="M307" s="64" t="str">
        <f>[4]Sayfa1!$L303</f>
        <v>YOLCU BİLGİLENDİRME EKRANLARI ÇALIŞMIYOR.</v>
      </c>
      <c r="N307" s="33" t="str">
        <f>[4]Sayfa1!$J303</f>
        <v>C-Uyarı, sürüş devamlılığı</v>
      </c>
      <c r="O307" s="33" t="str">
        <f>[4]Sayfa1!$P303</f>
        <v>B(Servisten çekmeye etki eden arızalar)</v>
      </c>
      <c r="P307" s="33" t="str">
        <f>[4]Sayfa1!$Q303</f>
        <v>N.A(Yaralanma yok)</v>
      </c>
      <c r="Q307" s="65" t="str" cm="1">
        <f t="array" ref="Q307">_xlfn.IFS([4]Sayfa1!$R303="Bozankaya","Bozankaya",[4]Sayfa1!$R303="İşletme","Customer",[4]Sayfa1!$R303="Tedarikçi","Equipment Supplier")</f>
        <v>Equipment Supplier</v>
      </c>
      <c r="R307" s="66" t="str">
        <f>[4]Sayfa1!$M303</f>
        <v>ARAÇ KONTROL EDİLDİ. EKRANLAR ÇALIŞIYOR.</v>
      </c>
      <c r="S307" s="36" t="str">
        <f>[4]Sayfa1!$S303</f>
        <v>Atak</v>
      </c>
      <c r="T307" s="67">
        <f>[4]Sayfa1!$Z303</f>
        <v>0</v>
      </c>
      <c r="U307" s="68">
        <f>[4]Sayfa1!$AN303</f>
        <v>2</v>
      </c>
      <c r="V307" s="60">
        <f>[4]Sayfa1!$T303</f>
        <v>45587</v>
      </c>
      <c r="W307" s="61">
        <f>[4]Sayfa1!$U303</f>
        <v>45587.541666666664</v>
      </c>
      <c r="X307" s="69">
        <f t="shared" si="66"/>
        <v>45587.541666666664</v>
      </c>
      <c r="Y307" s="70">
        <f>[4]Sayfa1!$AQ303</f>
        <v>0</v>
      </c>
      <c r="Z307" s="61">
        <f>[4]Sayfa1!$AR303</f>
        <v>45587.666666666664</v>
      </c>
      <c r="AA307" s="69">
        <f t="shared" si="67"/>
        <v>45587.666666666664</v>
      </c>
      <c r="AB307" s="71">
        <f t="shared" si="68"/>
        <v>0</v>
      </c>
      <c r="AC307" s="60">
        <f t="shared" si="69"/>
        <v>0</v>
      </c>
      <c r="AD307" s="61">
        <f t="shared" si="70"/>
        <v>45587.666666666664</v>
      </c>
      <c r="AE307" s="69">
        <f t="shared" si="71"/>
        <v>45587.666666666664</v>
      </c>
      <c r="AF307" s="36" t="str">
        <f>[4]Sayfa1!$AP303</f>
        <v>(III) Birden fazla aynı araçta karşılaşılan arıza</v>
      </c>
      <c r="AG307" s="33" t="str">
        <f>IF([4]Sayfa1!$J303="C-Uyarı, sürüş devamlılığı","Bu Arıza Aracın Servise Verilmesine Engel Değil","Bu Arıza Aracın Servise Verilmesine Engel")</f>
        <v>Bu Arıza Aracın Servise Verilmesine Engel Değil</v>
      </c>
      <c r="AH307" s="41" t="str">
        <f>[4]Sayfa1!$AB303</f>
        <v>Arıza çözülecek</v>
      </c>
      <c r="AI307" s="60"/>
      <c r="AJ307" s="60"/>
      <c r="AK307" s="69">
        <f t="shared" si="72"/>
        <v>0</v>
      </c>
      <c r="AL307" s="71">
        <f t="shared" si="73"/>
        <v>0</v>
      </c>
      <c r="AM307" s="71">
        <f t="shared" si="74"/>
        <v>0</v>
      </c>
      <c r="AN307" s="72">
        <f t="shared" si="75"/>
        <v>0</v>
      </c>
      <c r="AO307" s="73" t="str">
        <f>[4]Sayfa1!$X303</f>
        <v>E410-7003</v>
      </c>
      <c r="AP307" s="72">
        <f>[4]Sayfa1!$Y303</f>
        <v>4</v>
      </c>
      <c r="AQ307" s="184" t="str">
        <f>[4]Sayfa1!$V303</f>
        <v>ATAK ULAŞIM SAN.TİC.LTD.ŞTİ.</v>
      </c>
      <c r="AR307" s="74" t="str">
        <f>[4]Sayfa1!$W303</f>
        <v>STRETCH LCD EKRAN</v>
      </c>
      <c r="AS307" s="74">
        <f>[4]Sayfa1!$AD303</f>
        <v>0</v>
      </c>
      <c r="AT307" s="60" t="str">
        <f>[4]Sayfa1!$AE303</f>
        <v/>
      </c>
      <c r="AU307" s="60" t="str">
        <f>[4]Sayfa1!$AH303</f>
        <v/>
      </c>
      <c r="AV307" s="75">
        <v>302</v>
      </c>
      <c r="AW307" s="76">
        <f t="shared" si="76"/>
        <v>0</v>
      </c>
      <c r="AX307" s="77" t="str">
        <f>[4]Sayfa1!$A303</f>
        <v>e8569cda</v>
      </c>
      <c r="AY307" s="78" t="s">
        <v>114</v>
      </c>
      <c r="AZ307" s="79" t="e" vm="1">
        <f t="shared" si="77"/>
        <v>#VALUE!</v>
      </c>
    </row>
    <row r="308" spans="1:52" ht="226.9">
      <c r="A308" s="59" t="s">
        <v>363</v>
      </c>
      <c r="B308" s="59" t="str">
        <f>[4]Sayfa1!$G304</f>
        <v>3878(7)</v>
      </c>
      <c r="C308" s="184" t="str">
        <f>[4]Sayfa1!$H304</f>
        <v>MA</v>
      </c>
      <c r="D308" s="24">
        <f>[4]Sayfa1!$N304</f>
        <v>72985</v>
      </c>
      <c r="E308" s="24" t="str">
        <f>[4]Sayfa1!$B304</f>
        <v>BOZ-KAY5+6-FF-303</v>
      </c>
      <c r="F308" s="60">
        <f>[4]Sayfa1!$E304</f>
        <v>45588</v>
      </c>
      <c r="G308" s="61">
        <f>[4]Sayfa1!$F304</f>
        <v>45588.644444444442</v>
      </c>
      <c r="H308" s="59" t="str">
        <f>[4]Sayfa1!$I304</f>
        <v>Hat/Line</v>
      </c>
      <c r="I308" s="62" t="str">
        <f>IF([4]Sayfa1!$K304="SSH","Notified by Bozankaya","Notified by Customer")</f>
        <v>Notified by Customer</v>
      </c>
      <c r="J308" s="59" t="e">
        <f>VLOOKUP([4]Sayfa1!$AU304,#REF!,2,FALSE)</f>
        <v>#REF!</v>
      </c>
      <c r="K308" s="59">
        <f>[4]Sayfa1!$AC304</f>
        <v>0</v>
      </c>
      <c r="L308" s="63" t="str">
        <f t="shared" si="65"/>
        <v>KAY_5+255-BOZ-KAY5+6-FF-303</v>
      </c>
      <c r="M308" s="64" t="str">
        <f>[4]Sayfa1!$L304</f>
        <v>KAPI ÜSTÜ EKRANLARDA GÖRSELLER DONMUŞ ÇALIŞMIYOR.</v>
      </c>
      <c r="N308" s="33" t="str">
        <f>[4]Sayfa1!$J304</f>
        <v>C-Uyarı, sürüş devamlılığı</v>
      </c>
      <c r="O308" s="33" t="str">
        <f>[4]Sayfa1!$P304</f>
        <v>B(Servisten çekmeye etki eden arızalar)</v>
      </c>
      <c r="P308" s="33" t="str">
        <f>[4]Sayfa1!$Q304</f>
        <v>N.A(Yaralanma yok)</v>
      </c>
      <c r="Q308" s="65" t="str" cm="1">
        <f t="array" ref="Q308">_xlfn.IFS([4]Sayfa1!$R304="Bozankaya","Bozankaya",[4]Sayfa1!$R304="İşletme","Customer",[4]Sayfa1!$R304="Tedarikçi","Equipment Supplier")</f>
        <v>Equipment Supplier</v>
      </c>
      <c r="R308" s="66" t="str">
        <f>[4]Sayfa1!$M304</f>
        <v>ARAÇ KAPI ÜSTÜ EKRANLAR KONTROL EDİLDİ. KAPI ÜSTÜ EKRANLARDA SORUN GÖRÜLMEDİ.</v>
      </c>
      <c r="S308" s="36" t="str">
        <f>[4]Sayfa1!$S304</f>
        <v>Atak</v>
      </c>
      <c r="T308" s="67">
        <f>[4]Sayfa1!$Z304</f>
        <v>0</v>
      </c>
      <c r="U308" s="68">
        <f>[4]Sayfa1!$AN304</f>
        <v>2</v>
      </c>
      <c r="V308" s="60">
        <f>[4]Sayfa1!$T304</f>
        <v>45588</v>
      </c>
      <c r="W308" s="61">
        <f>[4]Sayfa1!$U304</f>
        <v>45588.666666666664</v>
      </c>
      <c r="X308" s="69">
        <f t="shared" si="66"/>
        <v>45588.666666666664</v>
      </c>
      <c r="Y308" s="70">
        <f>[4]Sayfa1!$AQ304</f>
        <v>0</v>
      </c>
      <c r="Z308" s="61">
        <f>[4]Sayfa1!$AR304</f>
        <v>45588.75</v>
      </c>
      <c r="AA308" s="69">
        <f t="shared" si="67"/>
        <v>45588.75</v>
      </c>
      <c r="AB308" s="71">
        <f t="shared" si="68"/>
        <v>0</v>
      </c>
      <c r="AC308" s="60">
        <f t="shared" si="69"/>
        <v>0</v>
      </c>
      <c r="AD308" s="61">
        <f t="shared" si="70"/>
        <v>45588.75</v>
      </c>
      <c r="AE308" s="69">
        <f t="shared" si="71"/>
        <v>45588.75</v>
      </c>
      <c r="AF308" s="36" t="str">
        <f>[4]Sayfa1!$AP304</f>
        <v>(III) Birden fazla aynı araçta karşılaşılan arıza</v>
      </c>
      <c r="AG308" s="33" t="str">
        <f>IF([4]Sayfa1!$J304="C-Uyarı, sürüş devamlılığı","Bu Arıza Aracın Servise Verilmesine Engel Değil","Bu Arıza Aracın Servise Verilmesine Engel")</f>
        <v>Bu Arıza Aracın Servise Verilmesine Engel Değil</v>
      </c>
      <c r="AH308" s="41" t="str">
        <f>[4]Sayfa1!$AB304</f>
        <v>Arıza çözülecek</v>
      </c>
      <c r="AI308" s="60"/>
      <c r="AJ308" s="60"/>
      <c r="AK308" s="69">
        <f t="shared" si="72"/>
        <v>0</v>
      </c>
      <c r="AL308" s="71">
        <f t="shared" si="73"/>
        <v>0</v>
      </c>
      <c r="AM308" s="71">
        <f t="shared" si="74"/>
        <v>0</v>
      </c>
      <c r="AN308" s="72">
        <f t="shared" si="75"/>
        <v>0</v>
      </c>
      <c r="AO308" s="73" t="str">
        <f>[4]Sayfa1!$X304</f>
        <v>E410-7003</v>
      </c>
      <c r="AP308" s="72">
        <f>[4]Sayfa1!$Y304</f>
        <v>3</v>
      </c>
      <c r="AQ308" s="184" t="str">
        <f>[4]Sayfa1!$V304</f>
        <v>ATAK ULAŞIM SAN.TİC.LTD.ŞTİ.</v>
      </c>
      <c r="AR308" s="74" t="str">
        <f>[4]Sayfa1!$W304</f>
        <v>STRETCH LCD EKRAN</v>
      </c>
      <c r="AS308" s="74">
        <f>[4]Sayfa1!$AD304</f>
        <v>0</v>
      </c>
      <c r="AT308" s="60" t="str">
        <f>[4]Sayfa1!$AE304</f>
        <v/>
      </c>
      <c r="AU308" s="60" t="str">
        <f>[4]Sayfa1!$AH304</f>
        <v/>
      </c>
      <c r="AV308" s="75">
        <v>303</v>
      </c>
      <c r="AW308" s="76">
        <f t="shared" si="76"/>
        <v>0</v>
      </c>
      <c r="AX308" s="77" t="str">
        <f>[4]Sayfa1!$A304</f>
        <v>23711d22</v>
      </c>
      <c r="AY308" s="78" t="s">
        <v>114</v>
      </c>
      <c r="AZ308" s="79" t="e" vm="1">
        <f t="shared" si="77"/>
        <v>#VALUE!</v>
      </c>
    </row>
    <row r="309" spans="1:52" ht="331.15">
      <c r="A309" s="59" t="s">
        <v>364</v>
      </c>
      <c r="B309" s="59" t="str">
        <f>[4]Sayfa1!$G305</f>
        <v>3879(8)</v>
      </c>
      <c r="C309" s="184" t="str">
        <f>[4]Sayfa1!$H305</f>
        <v>MA</v>
      </c>
      <c r="D309" s="24">
        <f>[4]Sayfa1!$N305</f>
        <v>57004</v>
      </c>
      <c r="E309" s="24" t="str">
        <f>[4]Sayfa1!$B305</f>
        <v>BOZ-KAY5+6-FF-304</v>
      </c>
      <c r="F309" s="60">
        <f>[4]Sayfa1!$E305</f>
        <v>45588</v>
      </c>
      <c r="G309" s="61">
        <f>[4]Sayfa1!$F305</f>
        <v>45588.645138888889</v>
      </c>
      <c r="H309" s="59" t="str">
        <f>[4]Sayfa1!$I305</f>
        <v>Hat/Line</v>
      </c>
      <c r="I309" s="62" t="str">
        <f>IF([4]Sayfa1!$K305="SSH","Notified by Bozankaya","Notified by Customer")</f>
        <v>Notified by Customer</v>
      </c>
      <c r="J309" s="59" t="e">
        <f>VLOOKUP([4]Sayfa1!$AU305,#REF!,2,FALSE)</f>
        <v>#REF!</v>
      </c>
      <c r="K309" s="59">
        <f>[4]Sayfa1!$AC305</f>
        <v>0</v>
      </c>
      <c r="L309" s="63" t="str">
        <f t="shared" si="65"/>
        <v>KAY_5+256-BOZ-KAY5+6-FF-304</v>
      </c>
      <c r="M309" s="64" t="str">
        <f>[4]Sayfa1!$L305</f>
        <v>KAPI ÜSTÜ EKRANLAR ÇALIŞMIYOR.</v>
      </c>
      <c r="N309" s="33" t="str">
        <f>[4]Sayfa1!$J305</f>
        <v>C-Uyarı, sürüş devamlılığı</v>
      </c>
      <c r="O309" s="33" t="str">
        <f>[4]Sayfa1!$P305</f>
        <v>B(Servisten çekmeye etki eden arızalar)</v>
      </c>
      <c r="P309" s="33" t="str">
        <f>[4]Sayfa1!$Q305</f>
        <v>N.A(Yaralanma yok)</v>
      </c>
      <c r="Q309" s="65" t="str" cm="1">
        <f t="array" ref="Q309">_xlfn.IFS([4]Sayfa1!$R305="Bozankaya","Bozankaya",[4]Sayfa1!$R305="İşletme","Customer",[4]Sayfa1!$R305="Tedarikçi","Equipment Supplier")</f>
        <v>Equipment Supplier</v>
      </c>
      <c r="R309" s="66" t="str">
        <f>[4]Sayfa1!$M305</f>
        <v>ARACIN KAPI ÜSTÜ EKRANLARI ÇALIŞIYOR. ORTA EKRANLARIN ÇALIŞMADIĞI GÖRÜLDÜ. ORTA EKRANLARIN HDMI KABLOSU ÇIKMIŞ. KABLOSU TAKILDI ORTA EKRANLAR ÇALIŞIYOR.</v>
      </c>
      <c r="S309" s="36" t="str">
        <f>[4]Sayfa1!$S305</f>
        <v>Eltesan</v>
      </c>
      <c r="T309" s="67">
        <f>[4]Sayfa1!$Z305</f>
        <v>0</v>
      </c>
      <c r="U309" s="68">
        <f>[4]Sayfa1!$AN305</f>
        <v>2</v>
      </c>
      <c r="V309" s="60">
        <f>[4]Sayfa1!$T305</f>
        <v>45588</v>
      </c>
      <c r="W309" s="61">
        <f>[4]Sayfa1!$U305</f>
        <v>45588.666666666664</v>
      </c>
      <c r="X309" s="69">
        <f t="shared" si="66"/>
        <v>45588.666666666664</v>
      </c>
      <c r="Y309" s="70">
        <f>[4]Sayfa1!$AQ305</f>
        <v>0</v>
      </c>
      <c r="Z309" s="61">
        <f>[4]Sayfa1!$AR305</f>
        <v>45588.75</v>
      </c>
      <c r="AA309" s="69">
        <f t="shared" si="67"/>
        <v>45588.75</v>
      </c>
      <c r="AB309" s="71">
        <f t="shared" si="68"/>
        <v>0</v>
      </c>
      <c r="AC309" s="60">
        <f t="shared" si="69"/>
        <v>0</v>
      </c>
      <c r="AD309" s="61">
        <f t="shared" si="70"/>
        <v>45588.75</v>
      </c>
      <c r="AE309" s="69">
        <f t="shared" si="71"/>
        <v>45588.75</v>
      </c>
      <c r="AF309" s="36" t="str">
        <f>[4]Sayfa1!$AP305</f>
        <v>(III) Birden fazla aynı araçta karşılaşılan arıza</v>
      </c>
      <c r="AG309" s="33" t="str">
        <f>IF([4]Sayfa1!$J305="C-Uyarı, sürüş devamlılığı","Bu Arıza Aracın Servise Verilmesine Engel Değil","Bu Arıza Aracın Servise Verilmesine Engel")</f>
        <v>Bu Arıza Aracın Servise Verilmesine Engel Değil</v>
      </c>
      <c r="AH309" s="41" t="str">
        <f>[4]Sayfa1!$AB305</f>
        <v>Arıza çözülecek</v>
      </c>
      <c r="AI309" s="60"/>
      <c r="AJ309" s="60"/>
      <c r="AK309" s="69">
        <f t="shared" si="72"/>
        <v>0</v>
      </c>
      <c r="AL309" s="71">
        <f t="shared" si="73"/>
        <v>0</v>
      </c>
      <c r="AM309" s="71">
        <f t="shared" si="74"/>
        <v>0</v>
      </c>
      <c r="AN309" s="72">
        <f t="shared" si="75"/>
        <v>0</v>
      </c>
      <c r="AO309" s="73" t="str">
        <f>[4]Sayfa1!$X305</f>
        <v>E840-7120</v>
      </c>
      <c r="AP309" s="72">
        <f>[4]Sayfa1!$Y305</f>
        <v>4</v>
      </c>
      <c r="AQ309" s="184" t="str">
        <f>[4]Sayfa1!$V305</f>
        <v>ATAK ULAŞIM SAN.TİC.LTD.ŞTİ.</v>
      </c>
      <c r="AR309" s="74" t="str">
        <f>[4]Sayfa1!$W305</f>
        <v>28.6"  EKRAN</v>
      </c>
      <c r="AS309" s="74">
        <f>[4]Sayfa1!$AD305</f>
        <v>0</v>
      </c>
      <c r="AT309" s="60" t="str">
        <f>[4]Sayfa1!$AE305</f>
        <v/>
      </c>
      <c r="AU309" s="60" t="str">
        <f>[4]Sayfa1!$AH305</f>
        <v/>
      </c>
      <c r="AV309" s="75">
        <v>304</v>
      </c>
      <c r="AW309" s="76">
        <f t="shared" si="76"/>
        <v>0</v>
      </c>
      <c r="AX309" s="77" t="str">
        <f>[4]Sayfa1!$A305</f>
        <v>18cde289</v>
      </c>
      <c r="AY309" s="78" t="s">
        <v>114</v>
      </c>
      <c r="AZ309" s="79" t="e" vm="1">
        <f t="shared" si="77"/>
        <v>#VALUE!</v>
      </c>
    </row>
    <row r="310" spans="1:52" ht="165.6">
      <c r="A310" s="59" t="s">
        <v>365</v>
      </c>
      <c r="B310" s="59" t="str">
        <f>[4]Sayfa1!$G306</f>
        <v>3879(8)</v>
      </c>
      <c r="C310" s="184" t="str">
        <f>[4]Sayfa1!$H306</f>
        <v>MB</v>
      </c>
      <c r="D310" s="24">
        <f>[4]Sayfa1!$N306</f>
        <v>57784</v>
      </c>
      <c r="E310" s="24" t="str">
        <f>[4]Sayfa1!$B306</f>
        <v>BOZ-KAY5+6-FF-305</v>
      </c>
      <c r="F310" s="60">
        <f>[4]Sayfa1!$E306</f>
        <v>45591</v>
      </c>
      <c r="G310" s="61">
        <f>[4]Sayfa1!$F306</f>
        <v>45591.892361111109</v>
      </c>
      <c r="H310" s="59" t="str">
        <f>[4]Sayfa1!$I306</f>
        <v>Hat/Line</v>
      </c>
      <c r="I310" s="62" t="str">
        <f>IF([4]Sayfa1!$K306="SSH","Notified by Bozankaya","Notified by Customer")</f>
        <v>Notified by Customer</v>
      </c>
      <c r="J310" s="59" t="e">
        <f>VLOOKUP([4]Sayfa1!$AU306,#REF!,2,FALSE)</f>
        <v>#REF!</v>
      </c>
      <c r="K310" s="59">
        <f>[4]Sayfa1!$AC306</f>
        <v>0</v>
      </c>
      <c r="L310" s="63" t="str">
        <f t="shared" si="65"/>
        <v>KAY_5+257-BOZ-KAY5+6-FF-305</v>
      </c>
      <c r="M310" s="64" t="str">
        <f>[4]Sayfa1!$L306</f>
        <v>EL TOTMANI TAKILI KALIYOR.</v>
      </c>
      <c r="N310" s="33" t="str">
        <f>[4]Sayfa1!$J306</f>
        <v>C-Uyarı, sürüş devamlılığı</v>
      </c>
      <c r="O310" s="33" t="str">
        <f>[4]Sayfa1!$P306</f>
        <v>A(Hareket etmeyi engelleyen arıza)</v>
      </c>
      <c r="P310" s="33" t="str">
        <f>[4]Sayfa1!$Q306</f>
        <v>N.A(Yaralanma yok)</v>
      </c>
      <c r="Q310" s="65" t="str" cm="1">
        <f t="array" ref="Q310">_xlfn.IFS([4]Sayfa1!$R306="Bozankaya","Bozankaya",[4]Sayfa1!$R306="İşletme","Customer",[4]Sayfa1!$R306="Tedarikçi","Equipment Supplier")</f>
        <v>Equipment Supplier</v>
      </c>
      <c r="R310" s="66" t="str">
        <f>[4]Sayfa1!$M306</f>
        <v>EL TOTMANI TAKILI KALIYORDU. TOTMAN SETSKUR VİDA AYARI YAPILDI.</v>
      </c>
      <c r="S310" s="36" t="str">
        <f>[4]Sayfa1!$S306</f>
        <v>Medcom</v>
      </c>
      <c r="T310" s="67">
        <f>[4]Sayfa1!$Z306</f>
        <v>0</v>
      </c>
      <c r="U310" s="68">
        <f>[4]Sayfa1!$AN306</f>
        <v>1</v>
      </c>
      <c r="V310" s="60">
        <f>[4]Sayfa1!$T306</f>
        <v>45592</v>
      </c>
      <c r="W310" s="61">
        <f>[4]Sayfa1!$U306</f>
        <v>45592.333333333336</v>
      </c>
      <c r="X310" s="69">
        <f t="shared" si="66"/>
        <v>45592.333333333336</v>
      </c>
      <c r="Y310" s="70">
        <f>[4]Sayfa1!$AQ306</f>
        <v>0</v>
      </c>
      <c r="Z310" s="61">
        <f>[4]Sayfa1!$AR306</f>
        <v>45592.416666666664</v>
      </c>
      <c r="AA310" s="69">
        <f t="shared" si="67"/>
        <v>45592.416666666664</v>
      </c>
      <c r="AB310" s="71">
        <f t="shared" si="68"/>
        <v>0</v>
      </c>
      <c r="AC310" s="60">
        <f t="shared" si="69"/>
        <v>0</v>
      </c>
      <c r="AD310" s="61">
        <f t="shared" si="70"/>
        <v>45592.416666666664</v>
      </c>
      <c r="AE310" s="69">
        <f t="shared" si="71"/>
        <v>45592.416666666664</v>
      </c>
      <c r="AF310" s="36" t="str">
        <f>[4]Sayfa1!$AP306</f>
        <v>(II) Birden fazla karşılaşılan arıza</v>
      </c>
      <c r="AG310" s="33" t="str">
        <f>IF([4]Sayfa1!$J306="C-Uyarı, sürüş devamlılığı","Bu Arıza Aracın Servise Verilmesine Engel Değil","Bu Arıza Aracın Servise Verilmesine Engel")</f>
        <v>Bu Arıza Aracın Servise Verilmesine Engel Değil</v>
      </c>
      <c r="AH310" s="41" t="str">
        <f>[4]Sayfa1!$AB306</f>
        <v>Tamir edilecek</v>
      </c>
      <c r="AI310" s="60"/>
      <c r="AJ310" s="60"/>
      <c r="AK310" s="69">
        <f t="shared" si="72"/>
        <v>0</v>
      </c>
      <c r="AL310" s="71">
        <f t="shared" si="73"/>
        <v>0</v>
      </c>
      <c r="AM310" s="71">
        <f t="shared" si="74"/>
        <v>0</v>
      </c>
      <c r="AN310" s="72">
        <f t="shared" si="75"/>
        <v>0</v>
      </c>
      <c r="AO310" s="73" t="str">
        <f>[4]Sayfa1!$X306</f>
        <v>E300-7001</v>
      </c>
      <c r="AP310" s="72">
        <f>[4]Sayfa1!$Y306</f>
        <v>1</v>
      </c>
      <c r="AQ310" s="184" t="str">
        <f>[4]Sayfa1!$V306</f>
        <v>MEDCOM SP. Z O.O.</v>
      </c>
      <c r="AR310" s="74" t="str">
        <f>[4]Sayfa1!$W306</f>
        <v>MASTER CONTRROLER S334 C36B</v>
      </c>
      <c r="AS310" s="74">
        <f>[4]Sayfa1!$AD306</f>
        <v>0</v>
      </c>
      <c r="AT310" s="60" t="str">
        <f>[4]Sayfa1!$AE306</f>
        <v/>
      </c>
      <c r="AU310" s="60" t="str">
        <f>[4]Sayfa1!$AH306</f>
        <v/>
      </c>
      <c r="AV310" s="75">
        <v>305</v>
      </c>
      <c r="AW310" s="76">
        <f t="shared" si="76"/>
        <v>0</v>
      </c>
      <c r="AX310" s="77" t="str">
        <f>[4]Sayfa1!$A306</f>
        <v>270ab75d</v>
      </c>
      <c r="AY310" s="78" t="s">
        <v>114</v>
      </c>
      <c r="AZ310" s="79" t="e" vm="1">
        <f t="shared" si="77"/>
        <v>#VALUE!</v>
      </c>
    </row>
    <row r="311" spans="1:52" ht="409.6">
      <c r="A311" s="59" t="s">
        <v>366</v>
      </c>
      <c r="B311" s="59" t="str">
        <f>[4]Sayfa1!$G307</f>
        <v>3872(1)</v>
      </c>
      <c r="C311" s="184" t="str">
        <f>[4]Sayfa1!$H307</f>
        <v>MB</v>
      </c>
      <c r="D311" s="24">
        <f>[4]Sayfa1!$N307</f>
        <v>95041</v>
      </c>
      <c r="E311" s="24" t="str">
        <f>[4]Sayfa1!$B307</f>
        <v>BOZ-KAY5+6-FF-306</v>
      </c>
      <c r="F311" s="60">
        <f>[4]Sayfa1!$E307</f>
        <v>45592</v>
      </c>
      <c r="G311" s="61">
        <f>[4]Sayfa1!$F307</f>
        <v>45592.504861111112</v>
      </c>
      <c r="H311" s="59" t="str">
        <f>[4]Sayfa1!$I307</f>
        <v>Hat/Line</v>
      </c>
      <c r="I311" s="62" t="str">
        <f>IF([4]Sayfa1!$K307="SSH","Notified by Bozankaya","Notified by Customer")</f>
        <v>Notified by Customer</v>
      </c>
      <c r="J311" s="59" t="e">
        <f>VLOOKUP([4]Sayfa1!$AU307,#REF!,2,FALSE)</f>
        <v>#REF!</v>
      </c>
      <c r="K311" s="59">
        <f>[4]Sayfa1!$AC307</f>
        <v>0</v>
      </c>
      <c r="L311" s="63" t="str">
        <f t="shared" si="65"/>
        <v>KAY_5+258-BOZ-KAY5+6-FF-306</v>
      </c>
      <c r="M311" s="64" t="str">
        <f>[4]Sayfa1!$L307</f>
        <v>CB KABİN KAPISI KİTLENMEDİ. AYNI ARIZADAN  26.10.2024 TARİHİNDE BAKIMA ALINMIŞTIR. HATTAN GELEN ARAÇ SEFERE ÇIKIŞ YAPTI. BU SEBEPLE 1 SEFERDE 3 DAKİKA TEHİR OLUŞTU.</v>
      </c>
      <c r="N311" s="33" t="str">
        <f>[4]Sayfa1!$J307</f>
        <v>C-Uyarı, sürüş devamlılığı</v>
      </c>
      <c r="O311" s="33" t="str">
        <f>[4]Sayfa1!$P307</f>
        <v>B(Servisten çekmeye etki eden arızalar)</v>
      </c>
      <c r="P311" s="33" t="str">
        <f>[4]Sayfa1!$Q307</f>
        <v>N.A(Yaralanma yok)</v>
      </c>
      <c r="Q311" s="65" t="str" cm="1">
        <f t="array" ref="Q311">_xlfn.IFS([4]Sayfa1!$R307="Bozankaya","Bozankaya",[4]Sayfa1!$R307="İşletme","Customer",[4]Sayfa1!$R307="Tedarikçi","Equipment Supplier")</f>
        <v>Equipment Supplier</v>
      </c>
      <c r="R311" s="66" t="str">
        <f>[4]Sayfa1!$M307</f>
        <v>KAPI KİLİDİ VE AYARI BOZUKTU AYAR YAPILDI. KAPININ ÜST VİDALAR VE KAPI KİLİDİ AYARLANDI. KAPIDA YAPISAL OLARAK BOZUKLUK MEVCUT TRİME ÇARPMAKTADIR. KAPININ DEĞİŞMESİ GEREKMEKTEDİR.</v>
      </c>
      <c r="S311" s="36" t="str">
        <f>[4]Sayfa1!$S307</f>
        <v>Bozankaya</v>
      </c>
      <c r="T311" s="67">
        <f>[4]Sayfa1!$Z307</f>
        <v>0</v>
      </c>
      <c r="U311" s="68">
        <f>[4]Sayfa1!$AN307</f>
        <v>2</v>
      </c>
      <c r="V311" s="60">
        <f>[4]Sayfa1!$T307</f>
        <v>45592</v>
      </c>
      <c r="W311" s="61">
        <f>[4]Sayfa1!$U307</f>
        <v>45592.541666666664</v>
      </c>
      <c r="X311" s="69">
        <f t="shared" si="66"/>
        <v>45592.541666666664</v>
      </c>
      <c r="Y311" s="70">
        <f>[4]Sayfa1!$AQ307</f>
        <v>0</v>
      </c>
      <c r="Z311" s="61">
        <f>[4]Sayfa1!$AR307</f>
        <v>45592.666666666664</v>
      </c>
      <c r="AA311" s="69">
        <f t="shared" si="67"/>
        <v>45592.666666666664</v>
      </c>
      <c r="AB311" s="71">
        <f t="shared" si="68"/>
        <v>0</v>
      </c>
      <c r="AC311" s="60">
        <f t="shared" si="69"/>
        <v>0</v>
      </c>
      <c r="AD311" s="61">
        <f t="shared" si="70"/>
        <v>45592.666666666664</v>
      </c>
      <c r="AE311" s="69">
        <f t="shared" si="71"/>
        <v>45592.666666666664</v>
      </c>
      <c r="AF311" s="36" t="str">
        <f>[4]Sayfa1!$AP307</f>
        <v>(II) Birden fazla karşılaşılan arıza</v>
      </c>
      <c r="AG311" s="33" t="str">
        <f>IF([4]Sayfa1!$J307="C-Uyarı, sürüş devamlılığı","Bu Arıza Aracın Servise Verilmesine Engel Değil","Bu Arıza Aracın Servise Verilmesine Engel")</f>
        <v>Bu Arıza Aracın Servise Verilmesine Engel Değil</v>
      </c>
      <c r="AH311" s="41" t="str">
        <f>[4]Sayfa1!$AB307</f>
        <v>Tamir edilecek</v>
      </c>
      <c r="AI311" s="60"/>
      <c r="AJ311" s="60"/>
      <c r="AK311" s="69">
        <f t="shared" si="72"/>
        <v>0</v>
      </c>
      <c r="AL311" s="71">
        <f t="shared" si="73"/>
        <v>0</v>
      </c>
      <c r="AM311" s="71">
        <f t="shared" si="74"/>
        <v>0</v>
      </c>
      <c r="AN311" s="72">
        <f t="shared" si="75"/>
        <v>0</v>
      </c>
      <c r="AO311" s="73" t="str">
        <f>[4]Sayfa1!$X307</f>
        <v>T110-7047</v>
      </c>
      <c r="AP311" s="72">
        <f>[4]Sayfa1!$Y307</f>
        <v>1</v>
      </c>
      <c r="AQ311" s="184" t="str">
        <f>[4]Sayfa1!$V307</f>
        <v>GREBO OTOMOTİV SANAYİ A.Ş</v>
      </c>
      <c r="AR311" s="74" t="str">
        <f>[4]Sayfa1!$W307</f>
        <v>SURUCU KAPISI KOMPLESI</v>
      </c>
      <c r="AS311" s="74">
        <f>[4]Sayfa1!$AD307</f>
        <v>0</v>
      </c>
      <c r="AT311" s="60" t="str">
        <f>[4]Sayfa1!$AE307</f>
        <v/>
      </c>
      <c r="AU311" s="60" t="str">
        <f>[4]Sayfa1!$AH307</f>
        <v/>
      </c>
      <c r="AV311" s="75">
        <v>306</v>
      </c>
      <c r="AW311" s="76">
        <f t="shared" si="76"/>
        <v>0</v>
      </c>
      <c r="AX311" s="77" t="str">
        <f>[4]Sayfa1!$A307</f>
        <v>a19339ca</v>
      </c>
      <c r="AY311" s="78" t="s">
        <v>114</v>
      </c>
      <c r="AZ311" s="79" t="e" vm="1">
        <f t="shared" si="77"/>
        <v>#VALUE!</v>
      </c>
    </row>
    <row r="312" spans="1:52" ht="148.15">
      <c r="A312" s="59" t="s">
        <v>367</v>
      </c>
      <c r="B312" s="59" t="str">
        <f>[4]Sayfa1!$G308</f>
        <v>3880(9)</v>
      </c>
      <c r="C312" s="184" t="str">
        <f>[4]Sayfa1!$H308</f>
        <v>RA</v>
      </c>
      <c r="D312" s="24">
        <f>[4]Sayfa1!$N308</f>
        <v>53844</v>
      </c>
      <c r="E312" s="24" t="str">
        <f>[4]Sayfa1!$B308</f>
        <v>BOZ-KAY5+6-FF-307</v>
      </c>
      <c r="F312" s="60">
        <f>[4]Sayfa1!$E308</f>
        <v>45595</v>
      </c>
      <c r="G312" s="61">
        <f>[4]Sayfa1!$F308</f>
        <v>45595.26666666667</v>
      </c>
      <c r="H312" s="59" t="str">
        <f>[4]Sayfa1!$I308</f>
        <v>Hat/Line</v>
      </c>
      <c r="I312" s="62" t="str">
        <f>IF([4]Sayfa1!$K308="SSH","Notified by Bozankaya","Notified by Customer")</f>
        <v>Notified by Customer</v>
      </c>
      <c r="J312" s="59" t="e">
        <f>VLOOKUP([4]Sayfa1!$AU308,#REF!,2,FALSE)</f>
        <v>#REF!</v>
      </c>
      <c r="K312" s="59">
        <f>[4]Sayfa1!$AC308</f>
        <v>0</v>
      </c>
      <c r="L312" s="63" t="str">
        <f t="shared" si="65"/>
        <v>KAY_5+259-BOZ-KAY5+6-FF-307</v>
      </c>
      <c r="M312" s="64" t="str">
        <f>[4]Sayfa1!$L308</f>
        <v>KLİMALAR DEVREYE GİRMİYOR YOLCU ŞİKAYETİ</v>
      </c>
      <c r="N312" s="33" t="str">
        <f>[4]Sayfa1!$J308</f>
        <v>C-Uyarı, sürüş devamlılığı</v>
      </c>
      <c r="O312" s="33" t="str">
        <f>[4]Sayfa1!$P308</f>
        <v>B(Servisten çekmeye etki eden arızalar)</v>
      </c>
      <c r="P312" s="33" t="str">
        <f>[4]Sayfa1!$Q308</f>
        <v>N.A(Yaralanma yok)</v>
      </c>
      <c r="Q312" s="65" t="str" cm="1">
        <f t="array" ref="Q312">_xlfn.IFS([4]Sayfa1!$R308="Bozankaya","Bozankaya",[4]Sayfa1!$R308="İşletme","Customer",[4]Sayfa1!$R308="Tedarikçi","Equipment Supplier")</f>
        <v>Equipment Supplier</v>
      </c>
      <c r="R312" s="66" t="str">
        <f>[4]Sayfa1!$M308</f>
        <v>KLİMALAR ARIZAYA GEÇMİŞ RESETLENDİ ISITMA YAPIYOR.</v>
      </c>
      <c r="S312" s="36" t="str">
        <f>[4]Sayfa1!$S308</f>
        <v>Eltesan</v>
      </c>
      <c r="T312" s="67">
        <f>[4]Sayfa1!$Z308</f>
        <v>0</v>
      </c>
      <c r="U312" s="68">
        <f>[4]Sayfa1!$AN308</f>
        <v>1</v>
      </c>
      <c r="V312" s="60">
        <f>[4]Sayfa1!$T308</f>
        <v>45595</v>
      </c>
      <c r="W312" s="61">
        <f>[4]Sayfa1!$U308</f>
        <v>45595.333333333336</v>
      </c>
      <c r="X312" s="69">
        <f t="shared" si="66"/>
        <v>45595.333333333336</v>
      </c>
      <c r="Y312" s="70">
        <f>[4]Sayfa1!$AQ308</f>
        <v>0</v>
      </c>
      <c r="Z312" s="61">
        <f>[4]Sayfa1!$AR308</f>
        <v>45595.416666666664</v>
      </c>
      <c r="AA312" s="69">
        <f t="shared" si="67"/>
        <v>45595.416666666664</v>
      </c>
      <c r="AB312" s="71">
        <f t="shared" si="68"/>
        <v>0</v>
      </c>
      <c r="AC312" s="60">
        <f t="shared" si="69"/>
        <v>0</v>
      </c>
      <c r="AD312" s="61">
        <f t="shared" si="70"/>
        <v>45595.416666666664</v>
      </c>
      <c r="AE312" s="69">
        <f t="shared" si="71"/>
        <v>45595.416666666664</v>
      </c>
      <c r="AF312" s="36" t="str">
        <f>[4]Sayfa1!$AP308</f>
        <v>(III) Birden fazla aynı araçta karşılaşılan arıza</v>
      </c>
      <c r="AG312" s="33" t="str">
        <f>IF([4]Sayfa1!$J308="C-Uyarı, sürüş devamlılığı","Bu Arıza Aracın Servise Verilmesine Engel Değil","Bu Arıza Aracın Servise Verilmesine Engel")</f>
        <v>Bu Arıza Aracın Servise Verilmesine Engel Değil</v>
      </c>
      <c r="AH312" s="41" t="str">
        <f>[4]Sayfa1!$AB308</f>
        <v>Yazılım güncelleme</v>
      </c>
      <c r="AI312" s="60"/>
      <c r="AJ312" s="60"/>
      <c r="AK312" s="69">
        <f t="shared" si="72"/>
        <v>0</v>
      </c>
      <c r="AL312" s="71">
        <f t="shared" si="73"/>
        <v>0</v>
      </c>
      <c r="AM312" s="71">
        <f t="shared" si="74"/>
        <v>0</v>
      </c>
      <c r="AN312" s="72">
        <f t="shared" si="75"/>
        <v>0</v>
      </c>
      <c r="AO312" s="73" t="str">
        <f>[4]Sayfa1!$X308</f>
        <v>H500-7240</v>
      </c>
      <c r="AP312" s="72">
        <f>[4]Sayfa1!$Y308</f>
        <v>1</v>
      </c>
      <c r="AQ312" s="184" t="str">
        <f>[4]Sayfa1!$V308</f>
        <v>ELTESAN ELEKTRO MEKANİK SOĞUTMA SAN</v>
      </c>
      <c r="AR312" s="74" t="str">
        <f>[4]Sayfa1!$W308</f>
        <v>KLIMA UNITESİ /Eltesan/Hispacold 41,5 kW</v>
      </c>
      <c r="AS312" s="74">
        <f>[4]Sayfa1!$AD308</f>
        <v>0</v>
      </c>
      <c r="AT312" s="60" t="str">
        <f>[4]Sayfa1!$AE308</f>
        <v/>
      </c>
      <c r="AU312" s="60" t="str">
        <f>[4]Sayfa1!$AH308</f>
        <v/>
      </c>
      <c r="AV312" s="75">
        <v>307</v>
      </c>
      <c r="AW312" s="76">
        <f t="shared" si="76"/>
        <v>0</v>
      </c>
      <c r="AX312" s="77" t="str">
        <f>[4]Sayfa1!$A308</f>
        <v>16f36d53</v>
      </c>
      <c r="AY312" s="78" t="s">
        <v>114</v>
      </c>
      <c r="AZ312" s="79" t="e" vm="1">
        <f t="shared" si="77"/>
        <v>#VALUE!</v>
      </c>
    </row>
    <row r="313" spans="1:52" ht="160.15">
      <c r="A313" s="59" t="s">
        <v>368</v>
      </c>
      <c r="B313" s="59" t="str">
        <f>[4]Sayfa1!$G309</f>
        <v>3879(8)</v>
      </c>
      <c r="C313" s="184" t="str">
        <f>[4]Sayfa1!$H309</f>
        <v>RB</v>
      </c>
      <c r="D313" s="24">
        <f>[4]Sayfa1!$N309</f>
        <v>57977</v>
      </c>
      <c r="E313" s="24" t="str">
        <f>[4]Sayfa1!$B309</f>
        <v>BOZ-KAY5+6-FF-308</v>
      </c>
      <c r="F313" s="60">
        <f>[4]Sayfa1!$E309</f>
        <v>45595</v>
      </c>
      <c r="G313" s="61">
        <f>[4]Sayfa1!$F309</f>
        <v>45595.267361111109</v>
      </c>
      <c r="H313" s="59" t="str">
        <f>[4]Sayfa1!$I309</f>
        <v>Hat/Line</v>
      </c>
      <c r="I313" s="62" t="str">
        <f>IF([4]Sayfa1!$K309="SSH","Notified by Bozankaya","Notified by Customer")</f>
        <v>Notified by Customer</v>
      </c>
      <c r="J313" s="59" t="e">
        <f>VLOOKUP([4]Sayfa1!$AU309,#REF!,2,FALSE)</f>
        <v>#REF!</v>
      </c>
      <c r="K313" s="59">
        <f>[4]Sayfa1!$AC309</f>
        <v>0</v>
      </c>
      <c r="L313" s="63" t="str">
        <f t="shared" si="65"/>
        <v>KAY_5+260-BOZ-KAY5+6-FF-308</v>
      </c>
      <c r="M313" s="64" t="str">
        <f>[4]Sayfa1!$L309</f>
        <v>KLİMALAR DEVREYE GİRMİYORDU(YOLCU ŞİKAYETİ)</v>
      </c>
      <c r="N313" s="33" t="str">
        <f>[4]Sayfa1!$J309</f>
        <v>C-Uyarı, sürüş devamlılığı</v>
      </c>
      <c r="O313" s="33" t="str">
        <f>[4]Sayfa1!$P309</f>
        <v>B(Servisten çekmeye etki eden arızalar)</v>
      </c>
      <c r="P313" s="33" t="str">
        <f>[4]Sayfa1!$Q309</f>
        <v>N.A(Yaralanma yok)</v>
      </c>
      <c r="Q313" s="65" t="str" cm="1">
        <f t="array" ref="Q313">_xlfn.IFS([4]Sayfa1!$R309="Bozankaya","Bozankaya",[4]Sayfa1!$R309="İşletme","Customer",[4]Sayfa1!$R309="Tedarikçi","Equipment Supplier")</f>
        <v>Equipment Supplier</v>
      </c>
      <c r="R313" s="66" t="str">
        <f>[4]Sayfa1!$M309</f>
        <v>KLİMALAR ARIZAYA GEÇMİŞ RESETLENDİ ISITMA YAPIYOR.</v>
      </c>
      <c r="S313" s="36" t="str">
        <f>[4]Sayfa1!$S309</f>
        <v>Eltesan</v>
      </c>
      <c r="T313" s="67">
        <f>[4]Sayfa1!$Z309</f>
        <v>0</v>
      </c>
      <c r="U313" s="68">
        <f>[4]Sayfa1!$AN309</f>
        <v>1</v>
      </c>
      <c r="V313" s="60">
        <f>[4]Sayfa1!$T309</f>
        <v>45595</v>
      </c>
      <c r="W313" s="61">
        <f>[4]Sayfa1!$U309</f>
        <v>45595.333333333336</v>
      </c>
      <c r="X313" s="69">
        <f t="shared" si="66"/>
        <v>45595.333333333336</v>
      </c>
      <c r="Y313" s="70">
        <f>[4]Sayfa1!$AQ309</f>
        <v>0</v>
      </c>
      <c r="Z313" s="61">
        <f>[4]Sayfa1!$AR309</f>
        <v>45595.416666666664</v>
      </c>
      <c r="AA313" s="69">
        <f t="shared" si="67"/>
        <v>45595.416666666664</v>
      </c>
      <c r="AB313" s="71">
        <f t="shared" si="68"/>
        <v>0</v>
      </c>
      <c r="AC313" s="60">
        <f t="shared" si="69"/>
        <v>0</v>
      </c>
      <c r="AD313" s="61">
        <f t="shared" si="70"/>
        <v>45595.416666666664</v>
      </c>
      <c r="AE313" s="69">
        <f t="shared" si="71"/>
        <v>45595.416666666664</v>
      </c>
      <c r="AF313" s="36" t="str">
        <f>[4]Sayfa1!$AP309</f>
        <v>(III) Birden fazla aynı araçta karşılaşılan arıza</v>
      </c>
      <c r="AG313" s="33" t="str">
        <f>IF([4]Sayfa1!$J309="C-Uyarı, sürüş devamlılığı","Bu Arıza Aracın Servise Verilmesine Engel Değil","Bu Arıza Aracın Servise Verilmesine Engel")</f>
        <v>Bu Arıza Aracın Servise Verilmesine Engel Değil</v>
      </c>
      <c r="AH313" s="41" t="str">
        <f>[4]Sayfa1!$AB309</f>
        <v>Arıza çözülecek</v>
      </c>
      <c r="AI313" s="60"/>
      <c r="AJ313" s="60"/>
      <c r="AK313" s="69">
        <f t="shared" si="72"/>
        <v>0</v>
      </c>
      <c r="AL313" s="71">
        <f t="shared" si="73"/>
        <v>0</v>
      </c>
      <c r="AM313" s="71">
        <f t="shared" si="74"/>
        <v>0</v>
      </c>
      <c r="AN313" s="72">
        <f t="shared" si="75"/>
        <v>0</v>
      </c>
      <c r="AO313" s="73" t="str">
        <f>[4]Sayfa1!$X309</f>
        <v>H500-7240</v>
      </c>
      <c r="AP313" s="72">
        <f>[4]Sayfa1!$Y309</f>
        <v>1</v>
      </c>
      <c r="AQ313" s="184" t="str">
        <f>[4]Sayfa1!$V309</f>
        <v>ELTESAN ELEKTRO MEKANİK SOĞUTMA SAN</v>
      </c>
      <c r="AR313" s="74" t="str">
        <f>[4]Sayfa1!$W309</f>
        <v>KLIMA UNITESİ /Eltesan/Hispacold 41,5 kW</v>
      </c>
      <c r="AS313" s="74">
        <f>[4]Sayfa1!$AD309</f>
        <v>0</v>
      </c>
      <c r="AT313" s="60" t="str">
        <f>[4]Sayfa1!$AE309</f>
        <v/>
      </c>
      <c r="AU313" s="60" t="str">
        <f>[4]Sayfa1!$AH309</f>
        <v/>
      </c>
      <c r="AV313" s="75">
        <v>308</v>
      </c>
      <c r="AW313" s="76">
        <f t="shared" si="76"/>
        <v>0</v>
      </c>
      <c r="AX313" s="77" t="str">
        <f>[4]Sayfa1!$A309</f>
        <v>fab953be</v>
      </c>
      <c r="AY313" s="78" t="s">
        <v>114</v>
      </c>
      <c r="AZ313" s="79" t="e" vm="1">
        <f t="shared" si="77"/>
        <v>#VALUE!</v>
      </c>
    </row>
    <row r="314" spans="1:52" ht="409.6">
      <c r="A314" s="59" t="s">
        <v>369</v>
      </c>
      <c r="B314" s="59" t="str">
        <f>[4]Sayfa1!$G310</f>
        <v>3878(7)</v>
      </c>
      <c r="C314" s="184" t="str">
        <f>[4]Sayfa1!$H310</f>
        <v>MA</v>
      </c>
      <c r="D314" s="24">
        <f>[4]Sayfa1!$N310</f>
        <v>75860</v>
      </c>
      <c r="E314" s="24" t="str">
        <f>[4]Sayfa1!$B310</f>
        <v>BOZ-KAY5+6-FF-309</v>
      </c>
      <c r="F314" s="60">
        <f>[4]Sayfa1!$E310</f>
        <v>45600</v>
      </c>
      <c r="G314" s="61">
        <f>[4]Sayfa1!$F310</f>
        <v>45600.457638888889</v>
      </c>
      <c r="H314" s="59" t="str">
        <f>[4]Sayfa1!$I310</f>
        <v>Hat/Line</v>
      </c>
      <c r="I314" s="62" t="str">
        <f>IF([4]Sayfa1!$K310="SSH","Notified by Bozankaya","Notified by Customer")</f>
        <v>Notified by Customer</v>
      </c>
      <c r="J314" s="59" t="e">
        <f>VLOOKUP([4]Sayfa1!$AU310,#REF!,2,FALSE)</f>
        <v>#REF!</v>
      </c>
      <c r="K314" s="59">
        <f>[4]Sayfa1!$AC310</f>
        <v>0</v>
      </c>
      <c r="L314" s="63" t="str">
        <f t="shared" si="65"/>
        <v>KAY_5+261-BOZ-KAY5+6-FF-309</v>
      </c>
      <c r="M314" s="64" t="str">
        <f>[4]Sayfa1!$L310</f>
        <v>kabin kliması soğutma yapıyor.</v>
      </c>
      <c r="N314" s="33" t="str">
        <f>[4]Sayfa1!$J310</f>
        <v>C-Uyarı, sürüş devamlılığı</v>
      </c>
      <c r="O314" s="33" t="str">
        <f>[4]Sayfa1!$P310</f>
        <v>B(Servisten çekmeye etki eden arızalar)</v>
      </c>
      <c r="P314" s="33" t="str">
        <f>[4]Sayfa1!$Q310</f>
        <v>N.A(Yaralanma yok)</v>
      </c>
      <c r="Q314" s="65" t="str" cm="1">
        <f t="array" ref="Q314">_xlfn.IFS([4]Sayfa1!$R310="Bozankaya","Bozankaya",[4]Sayfa1!$R310="İşletme","Customer",[4]Sayfa1!$R310="Tedarikçi","Equipment Supplier")</f>
        <v>Equipment Supplier</v>
      </c>
      <c r="R314" s="66" t="str">
        <f>[4]Sayfa1!$M310</f>
        <v>kabin kliması soğutma yapmıyor arızası kontrol edildi. Araç atölyeye geldiğinde kliması ısıtma konumunda ve sıcaklık yüksekti ısıtma konumundan çıkarılıp derecesi düşürüldü tekrar yapılan kontrol kabin klimanın soğutma yaptığı görüldü.</v>
      </c>
      <c r="S314" s="36" t="str">
        <f>[4]Sayfa1!$S310</f>
        <v>Eltesan</v>
      </c>
      <c r="T314" s="67">
        <f>[4]Sayfa1!$Z310</f>
        <v>0</v>
      </c>
      <c r="U314" s="68">
        <f>[4]Sayfa1!$AN310</f>
        <v>2</v>
      </c>
      <c r="V314" s="60">
        <f>[4]Sayfa1!$T310</f>
        <v>45600</v>
      </c>
      <c r="W314" s="61">
        <f>[4]Sayfa1!$U310</f>
        <v>45600.541666666664</v>
      </c>
      <c r="X314" s="69">
        <f t="shared" si="66"/>
        <v>45600.541666666664</v>
      </c>
      <c r="Y314" s="70">
        <f>[4]Sayfa1!$AQ310</f>
        <v>0</v>
      </c>
      <c r="Z314" s="61">
        <f>[4]Sayfa1!$AR310</f>
        <v>45600.625</v>
      </c>
      <c r="AA314" s="69">
        <f t="shared" si="67"/>
        <v>45600.625</v>
      </c>
      <c r="AB314" s="71">
        <f t="shared" si="68"/>
        <v>0</v>
      </c>
      <c r="AC314" s="60">
        <f t="shared" si="69"/>
        <v>0</v>
      </c>
      <c r="AD314" s="61">
        <f t="shared" si="70"/>
        <v>45600.625</v>
      </c>
      <c r="AE314" s="69">
        <f t="shared" si="71"/>
        <v>45600.625</v>
      </c>
      <c r="AF314" s="36" t="str">
        <f>[4]Sayfa1!$AP310</f>
        <v>(III) Birden fazla aynı araçta karşılaşılan arıza</v>
      </c>
      <c r="AG314" s="33" t="str">
        <f>IF([4]Sayfa1!$J310="C-Uyarı, sürüş devamlılığı","Bu Arıza Aracın Servise Verilmesine Engel Değil","Bu Arıza Aracın Servise Verilmesine Engel")</f>
        <v>Bu Arıza Aracın Servise Verilmesine Engel Değil</v>
      </c>
      <c r="AH314" s="41" t="str">
        <f>[4]Sayfa1!$AB310</f>
        <v>Arıza çözülecek</v>
      </c>
      <c r="AI314" s="60"/>
      <c r="AJ314" s="60"/>
      <c r="AK314" s="69">
        <f t="shared" si="72"/>
        <v>0</v>
      </c>
      <c r="AL314" s="71">
        <f t="shared" si="73"/>
        <v>0</v>
      </c>
      <c r="AM314" s="71">
        <f t="shared" si="74"/>
        <v>0</v>
      </c>
      <c r="AN314" s="72">
        <f t="shared" si="75"/>
        <v>0</v>
      </c>
      <c r="AO314" s="73" t="str">
        <f>[4]Sayfa1!$X310</f>
        <v>H500-7240</v>
      </c>
      <c r="AP314" s="72">
        <f>[4]Sayfa1!$Y310</f>
        <v>1</v>
      </c>
      <c r="AQ314" s="184" t="str">
        <f>[4]Sayfa1!$V310</f>
        <v>ELTESAN ELEKTRO MEKANİK SOĞUTMA SAN</v>
      </c>
      <c r="AR314" s="74" t="str">
        <f>[4]Sayfa1!$W310</f>
        <v>KLIMA UNITESİ /Eltesan/Hispacold 41,5 kW</v>
      </c>
      <c r="AS314" s="74">
        <f>[4]Sayfa1!$AD310</f>
        <v>0</v>
      </c>
      <c r="AT314" s="60" t="str">
        <f>[4]Sayfa1!$AE310</f>
        <v/>
      </c>
      <c r="AU314" s="60" t="str">
        <f>[4]Sayfa1!$AH310</f>
        <v/>
      </c>
      <c r="AV314" s="75">
        <v>309</v>
      </c>
      <c r="AW314" s="76">
        <f t="shared" si="76"/>
        <v>0</v>
      </c>
      <c r="AX314" s="77" t="str">
        <f>[4]Sayfa1!$A310</f>
        <v>9a4968b9</v>
      </c>
      <c r="AY314" s="78" t="s">
        <v>114</v>
      </c>
      <c r="AZ314" s="79" t="e" vm="1">
        <f t="shared" si="77"/>
        <v>#VALUE!</v>
      </c>
    </row>
    <row r="315" spans="1:52" ht="43.9">
      <c r="A315" s="59" t="s">
        <v>113</v>
      </c>
      <c r="C315" s="184">
        <f>[4]Sayfa1!$H880</f>
        <v>0</v>
      </c>
    </row>
    <row r="316" spans="1:52" ht="43.9">
      <c r="A316" s="59" t="s">
        <v>113</v>
      </c>
      <c r="C316" s="184">
        <f>[4]Sayfa1!$H881</f>
        <v>0</v>
      </c>
    </row>
    <row r="317" spans="1:52" ht="43.9">
      <c r="A317" s="59" t="s">
        <v>113</v>
      </c>
      <c r="C317" s="184">
        <f>[4]Sayfa1!$H882</f>
        <v>0</v>
      </c>
    </row>
    <row r="318" spans="1:52" ht="43.9">
      <c r="A318" s="59" t="s">
        <v>113</v>
      </c>
      <c r="C318" s="184">
        <f>[4]Sayfa1!$H883</f>
        <v>0</v>
      </c>
    </row>
    <row r="319" spans="1:52" ht="43.9">
      <c r="A319" s="59" t="s">
        <v>113</v>
      </c>
      <c r="C319" s="184">
        <f>[4]Sayfa1!$H884</f>
        <v>0</v>
      </c>
    </row>
    <row r="320" spans="1:52" ht="43.9">
      <c r="A320" s="59" t="s">
        <v>113</v>
      </c>
      <c r="C320" s="184">
        <f>[4]Sayfa1!$H885</f>
        <v>0</v>
      </c>
    </row>
    <row r="321" spans="1:3" ht="43.9">
      <c r="A321" s="59" t="s">
        <v>113</v>
      </c>
      <c r="C321" s="184">
        <f>[4]Sayfa1!$H886</f>
        <v>0</v>
      </c>
    </row>
    <row r="322" spans="1:3" ht="43.9">
      <c r="A322" s="59" t="s">
        <v>113</v>
      </c>
      <c r="C322" s="184">
        <f>[4]Sayfa1!$H887</f>
        <v>0</v>
      </c>
    </row>
    <row r="323" spans="1:3" ht="43.9">
      <c r="A323" s="59" t="s">
        <v>113</v>
      </c>
      <c r="C323" s="184">
        <f>[4]Sayfa1!$H888</f>
        <v>0</v>
      </c>
    </row>
    <row r="324" spans="1:3" ht="43.9">
      <c r="A324" s="59" t="s">
        <v>113</v>
      </c>
      <c r="C324" s="184">
        <f>[4]Sayfa1!$H889</f>
        <v>0</v>
      </c>
    </row>
    <row r="325" spans="1:3" ht="43.9">
      <c r="A325" s="59" t="s">
        <v>113</v>
      </c>
      <c r="C325" s="184">
        <f>[4]Sayfa1!$H890</f>
        <v>0</v>
      </c>
    </row>
    <row r="326" spans="1:3" ht="43.9">
      <c r="A326" s="59" t="s">
        <v>113</v>
      </c>
      <c r="C326" s="184">
        <f>[4]Sayfa1!$H891</f>
        <v>0</v>
      </c>
    </row>
    <row r="327" spans="1:3" ht="43.9">
      <c r="A327" s="59" t="s">
        <v>113</v>
      </c>
      <c r="C327" s="184">
        <f>[4]Sayfa1!$H892</f>
        <v>0</v>
      </c>
    </row>
    <row r="328" spans="1:3" ht="43.9">
      <c r="A328" s="59" t="s">
        <v>113</v>
      </c>
      <c r="C328" s="184">
        <f>[4]Sayfa1!$H893</f>
        <v>0</v>
      </c>
    </row>
    <row r="329" spans="1:3" ht="43.9">
      <c r="A329" s="59" t="s">
        <v>113</v>
      </c>
      <c r="C329" s="184">
        <f>[4]Sayfa1!$H894</f>
        <v>0</v>
      </c>
    </row>
    <row r="330" spans="1:3" ht="43.9">
      <c r="A330" s="59" t="s">
        <v>113</v>
      </c>
      <c r="C330" s="184">
        <f>[4]Sayfa1!$H895</f>
        <v>0</v>
      </c>
    </row>
    <row r="331" spans="1:3" ht="43.9">
      <c r="A331" s="59" t="s">
        <v>113</v>
      </c>
      <c r="C331" s="184">
        <f>[4]Sayfa1!$H896</f>
        <v>0</v>
      </c>
    </row>
    <row r="332" spans="1:3" ht="43.9">
      <c r="A332" s="59" t="s">
        <v>113</v>
      </c>
      <c r="C332" s="184">
        <f>[4]Sayfa1!$H897</f>
        <v>0</v>
      </c>
    </row>
    <row r="333" spans="1:3" ht="43.9">
      <c r="A333" s="59" t="s">
        <v>113</v>
      </c>
      <c r="C333" s="184">
        <f>[4]Sayfa1!$H898</f>
        <v>0</v>
      </c>
    </row>
    <row r="334" spans="1:3" ht="43.9">
      <c r="A334" s="59" t="s">
        <v>113</v>
      </c>
      <c r="C334" s="184">
        <f>[4]Sayfa1!$H899</f>
        <v>0</v>
      </c>
    </row>
    <row r="335" spans="1:3" ht="43.9">
      <c r="A335" s="59" t="s">
        <v>113</v>
      </c>
      <c r="C335" s="184">
        <f>[4]Sayfa1!$H900</f>
        <v>0</v>
      </c>
    </row>
    <row r="336" spans="1:3" ht="43.9">
      <c r="A336" s="59" t="s">
        <v>113</v>
      </c>
      <c r="C336" s="184">
        <f>[4]Sayfa1!$H901</f>
        <v>0</v>
      </c>
    </row>
    <row r="337" spans="1:3" ht="43.9">
      <c r="A337" s="59" t="s">
        <v>113</v>
      </c>
      <c r="C337" s="184">
        <f>[4]Sayfa1!$H902</f>
        <v>0</v>
      </c>
    </row>
    <row r="338" spans="1:3" ht="43.9">
      <c r="A338" s="59" t="s">
        <v>113</v>
      </c>
      <c r="C338" s="184">
        <f>[4]Sayfa1!$H903</f>
        <v>0</v>
      </c>
    </row>
    <row r="339" spans="1:3" ht="43.9">
      <c r="A339" s="59" t="s">
        <v>113</v>
      </c>
      <c r="C339" s="184">
        <f>[4]Sayfa1!$H904</f>
        <v>0</v>
      </c>
    </row>
    <row r="340" spans="1:3" ht="43.9">
      <c r="A340" s="59" t="s">
        <v>113</v>
      </c>
      <c r="C340" s="184">
        <f>[4]Sayfa1!$H905</f>
        <v>0</v>
      </c>
    </row>
    <row r="341" spans="1:3" ht="43.9">
      <c r="A341" s="59" t="s">
        <v>113</v>
      </c>
      <c r="C341" s="184">
        <f>[4]Sayfa1!$H906</f>
        <v>0</v>
      </c>
    </row>
    <row r="342" spans="1:3" ht="43.9">
      <c r="A342" s="59" t="s">
        <v>113</v>
      </c>
      <c r="C342" s="184">
        <f>[4]Sayfa1!$H907</f>
        <v>0</v>
      </c>
    </row>
    <row r="343" spans="1:3" ht="43.9">
      <c r="A343" s="59" t="s">
        <v>113</v>
      </c>
      <c r="C343" s="184">
        <f>[4]Sayfa1!$H908</f>
        <v>0</v>
      </c>
    </row>
    <row r="344" spans="1:3" ht="43.9">
      <c r="A344" s="59" t="s">
        <v>113</v>
      </c>
      <c r="C344" s="184">
        <f>[4]Sayfa1!$H909</f>
        <v>0</v>
      </c>
    </row>
    <row r="345" spans="1:3" ht="43.9">
      <c r="A345" s="59" t="s">
        <v>113</v>
      </c>
      <c r="C345" s="184">
        <f>[4]Sayfa1!$H910</f>
        <v>0</v>
      </c>
    </row>
    <row r="346" spans="1:3" ht="43.9">
      <c r="A346" s="59" t="s">
        <v>113</v>
      </c>
      <c r="C346" s="184">
        <f>[4]Sayfa1!$H911</f>
        <v>0</v>
      </c>
    </row>
    <row r="347" spans="1:3" ht="43.9">
      <c r="A347" s="59" t="s">
        <v>113</v>
      </c>
      <c r="C347" s="184">
        <f>[4]Sayfa1!$H912</f>
        <v>0</v>
      </c>
    </row>
    <row r="348" spans="1:3" ht="43.9">
      <c r="A348" s="59" t="s">
        <v>113</v>
      </c>
      <c r="C348" s="184">
        <f>[4]Sayfa1!$H913</f>
        <v>0</v>
      </c>
    </row>
    <row r="349" spans="1:3" ht="43.9">
      <c r="A349" s="59" t="s">
        <v>113</v>
      </c>
      <c r="C349" s="184">
        <f>[4]Sayfa1!$H914</f>
        <v>0</v>
      </c>
    </row>
    <row r="350" spans="1:3" ht="43.9">
      <c r="A350" s="59" t="s">
        <v>113</v>
      </c>
      <c r="C350" s="184">
        <f>[4]Sayfa1!$H915</f>
        <v>0</v>
      </c>
    </row>
    <row r="351" spans="1:3" ht="43.9">
      <c r="A351" s="59" t="s">
        <v>113</v>
      </c>
      <c r="C351" s="184">
        <f>[4]Sayfa1!$H916</f>
        <v>0</v>
      </c>
    </row>
    <row r="352" spans="1:3" ht="43.9">
      <c r="A352" s="59" t="s">
        <v>113</v>
      </c>
      <c r="C352" s="184">
        <f>[4]Sayfa1!$H917</f>
        <v>0</v>
      </c>
    </row>
    <row r="353" spans="1:3" ht="43.9">
      <c r="A353" s="59" t="s">
        <v>113</v>
      </c>
      <c r="C353" s="184">
        <f>[4]Sayfa1!$H918</f>
        <v>0</v>
      </c>
    </row>
    <row r="354" spans="1:3" ht="43.9">
      <c r="A354" s="59" t="s">
        <v>113</v>
      </c>
      <c r="C354" s="184">
        <f>[4]Sayfa1!$H919</f>
        <v>0</v>
      </c>
    </row>
    <row r="355" spans="1:3" ht="43.9">
      <c r="A355" s="59" t="s">
        <v>113</v>
      </c>
      <c r="C355" s="184">
        <f>[4]Sayfa1!$H920</f>
        <v>0</v>
      </c>
    </row>
    <row r="356" spans="1:3" ht="43.9">
      <c r="A356" s="59" t="s">
        <v>113</v>
      </c>
      <c r="C356" s="184">
        <f>[4]Sayfa1!$H921</f>
        <v>0</v>
      </c>
    </row>
    <row r="357" spans="1:3" ht="43.9">
      <c r="A357" s="59" t="s">
        <v>113</v>
      </c>
      <c r="C357" s="184">
        <f>[4]Sayfa1!$H922</f>
        <v>0</v>
      </c>
    </row>
    <row r="358" spans="1:3" ht="43.9">
      <c r="A358" s="59" t="s">
        <v>113</v>
      </c>
      <c r="C358" s="184">
        <f>[4]Sayfa1!$H923</f>
        <v>0</v>
      </c>
    </row>
    <row r="359" spans="1:3" ht="43.9">
      <c r="A359" s="59" t="s">
        <v>113</v>
      </c>
      <c r="C359" s="184">
        <f>[4]Sayfa1!$H924</f>
        <v>0</v>
      </c>
    </row>
    <row r="360" spans="1:3" ht="43.9">
      <c r="A360" s="59" t="s">
        <v>113</v>
      </c>
      <c r="C360" s="184">
        <f>[4]Sayfa1!$H925</f>
        <v>0</v>
      </c>
    </row>
    <row r="361" spans="1:3" ht="43.9">
      <c r="A361" s="59" t="s">
        <v>113</v>
      </c>
      <c r="C361" s="184">
        <f>[4]Sayfa1!$H926</f>
        <v>0</v>
      </c>
    </row>
    <row r="362" spans="1:3" ht="43.9">
      <c r="A362" s="59" t="s">
        <v>113</v>
      </c>
      <c r="C362" s="184">
        <f>[4]Sayfa1!$H927</f>
        <v>0</v>
      </c>
    </row>
    <row r="363" spans="1:3" ht="43.9">
      <c r="A363" s="59" t="s">
        <v>113</v>
      </c>
      <c r="C363" s="184">
        <f>[4]Sayfa1!$H928</f>
        <v>0</v>
      </c>
    </row>
    <row r="364" spans="1:3" ht="43.9">
      <c r="A364" s="59" t="s">
        <v>113</v>
      </c>
      <c r="C364" s="184">
        <f>[4]Sayfa1!$H929</f>
        <v>0</v>
      </c>
    </row>
    <row r="365" spans="1:3" ht="43.9">
      <c r="A365" s="59" t="s">
        <v>113</v>
      </c>
      <c r="C365" s="184">
        <f>[4]Sayfa1!$H930</f>
        <v>0</v>
      </c>
    </row>
    <row r="366" spans="1:3" ht="43.9">
      <c r="A366" s="59" t="s">
        <v>113</v>
      </c>
      <c r="C366" s="184">
        <f>[4]Sayfa1!$H931</f>
        <v>0</v>
      </c>
    </row>
    <row r="367" spans="1:3" ht="43.9">
      <c r="A367" s="59" t="s">
        <v>113</v>
      </c>
      <c r="C367" s="184">
        <f>[4]Sayfa1!$H932</f>
        <v>0</v>
      </c>
    </row>
    <row r="368" spans="1:3" ht="43.9">
      <c r="A368" s="59" t="s">
        <v>113</v>
      </c>
      <c r="C368" s="184">
        <f>[4]Sayfa1!$H933</f>
        <v>0</v>
      </c>
    </row>
    <row r="369" spans="1:3" ht="43.9">
      <c r="A369" s="59" t="s">
        <v>113</v>
      </c>
      <c r="C369" s="184">
        <f>[4]Sayfa1!$H934</f>
        <v>0</v>
      </c>
    </row>
    <row r="370" spans="1:3" ht="43.9">
      <c r="A370" s="59" t="s">
        <v>113</v>
      </c>
      <c r="C370" s="184">
        <f>[4]Sayfa1!$H935</f>
        <v>0</v>
      </c>
    </row>
    <row r="371" spans="1:3" ht="43.9">
      <c r="A371" s="59" t="s">
        <v>113</v>
      </c>
      <c r="C371" s="184">
        <f>[4]Sayfa1!$H936</f>
        <v>0</v>
      </c>
    </row>
    <row r="372" spans="1:3" ht="43.9">
      <c r="A372" s="59" t="s">
        <v>113</v>
      </c>
      <c r="C372" s="184">
        <f>[4]Sayfa1!$H937</f>
        <v>0</v>
      </c>
    </row>
    <row r="373" spans="1:3" ht="43.9">
      <c r="A373" s="59" t="s">
        <v>113</v>
      </c>
      <c r="C373" s="184">
        <f>[4]Sayfa1!$H938</f>
        <v>0</v>
      </c>
    </row>
    <row r="374" spans="1:3" ht="43.9">
      <c r="A374" s="59" t="s">
        <v>113</v>
      </c>
      <c r="C374" s="184">
        <f>[4]Sayfa1!$H939</f>
        <v>0</v>
      </c>
    </row>
    <row r="375" spans="1:3" ht="43.9">
      <c r="A375" s="59" t="s">
        <v>113</v>
      </c>
      <c r="C375" s="184">
        <f>[4]Sayfa1!$H940</f>
        <v>0</v>
      </c>
    </row>
    <row r="376" spans="1:3" ht="43.9">
      <c r="A376" s="59" t="s">
        <v>113</v>
      </c>
      <c r="C376" s="184">
        <f>[4]Sayfa1!$H941</f>
        <v>0</v>
      </c>
    </row>
    <row r="377" spans="1:3" ht="43.9">
      <c r="A377" s="59" t="s">
        <v>113</v>
      </c>
      <c r="C377" s="184">
        <f>[4]Sayfa1!$H942</f>
        <v>0</v>
      </c>
    </row>
    <row r="378" spans="1:3" ht="43.9">
      <c r="A378" s="59" t="s">
        <v>113</v>
      </c>
      <c r="C378" s="184">
        <f>[4]Sayfa1!$H943</f>
        <v>0</v>
      </c>
    </row>
    <row r="379" spans="1:3" ht="43.9">
      <c r="A379" s="59" t="s">
        <v>113</v>
      </c>
      <c r="C379" s="184">
        <f>[4]Sayfa1!$H944</f>
        <v>0</v>
      </c>
    </row>
    <row r="380" spans="1:3" ht="43.9">
      <c r="A380" s="59" t="s">
        <v>113</v>
      </c>
      <c r="C380" s="184">
        <f>[4]Sayfa1!$H945</f>
        <v>0</v>
      </c>
    </row>
    <row r="381" spans="1:3" ht="43.9">
      <c r="A381" s="59" t="s">
        <v>113</v>
      </c>
      <c r="C381" s="184">
        <f>[4]Sayfa1!$H946</f>
        <v>0</v>
      </c>
    </row>
    <row r="382" spans="1:3" ht="43.9">
      <c r="A382" s="59" t="s">
        <v>113</v>
      </c>
      <c r="C382" s="184">
        <f>[4]Sayfa1!$H947</f>
        <v>0</v>
      </c>
    </row>
    <row r="383" spans="1:3" ht="43.9">
      <c r="A383" s="59" t="s">
        <v>113</v>
      </c>
      <c r="C383" s="184">
        <f>[4]Sayfa1!$H948</f>
        <v>0</v>
      </c>
    </row>
    <row r="384" spans="1:3" ht="43.9">
      <c r="A384" s="59" t="s">
        <v>113</v>
      </c>
      <c r="C384" s="184">
        <f>[4]Sayfa1!$H949</f>
        <v>0</v>
      </c>
    </row>
    <row r="385" spans="1:3" ht="43.9">
      <c r="A385" s="59" t="s">
        <v>113</v>
      </c>
      <c r="C385" s="184">
        <f>[4]Sayfa1!$H950</f>
        <v>0</v>
      </c>
    </row>
    <row r="386" spans="1:3" ht="43.9">
      <c r="A386" s="59" t="s">
        <v>113</v>
      </c>
      <c r="C386" s="184">
        <f>[4]Sayfa1!$H951</f>
        <v>0</v>
      </c>
    </row>
    <row r="387" spans="1:3" ht="43.9">
      <c r="A387" s="59" t="s">
        <v>113</v>
      </c>
      <c r="C387" s="184">
        <f>[4]Sayfa1!$H952</f>
        <v>0</v>
      </c>
    </row>
    <row r="388" spans="1:3" ht="43.9">
      <c r="A388" s="59" t="s">
        <v>113</v>
      </c>
      <c r="C388" s="184">
        <f>[4]Sayfa1!$H953</f>
        <v>0</v>
      </c>
    </row>
    <row r="389" spans="1:3" ht="43.9">
      <c r="A389" s="59" t="s">
        <v>113</v>
      </c>
      <c r="C389" s="184">
        <f>[4]Sayfa1!$H954</f>
        <v>0</v>
      </c>
    </row>
    <row r="390" spans="1:3" ht="43.9">
      <c r="A390" s="59" t="s">
        <v>113</v>
      </c>
      <c r="C390" s="184">
        <f>[4]Sayfa1!$H955</f>
        <v>0</v>
      </c>
    </row>
    <row r="391" spans="1:3" ht="43.9">
      <c r="A391" s="59" t="s">
        <v>113</v>
      </c>
      <c r="C391" s="184">
        <f>[4]Sayfa1!$H956</f>
        <v>0</v>
      </c>
    </row>
    <row r="392" spans="1:3" ht="43.9">
      <c r="A392" s="59" t="s">
        <v>113</v>
      </c>
      <c r="C392" s="184">
        <f>[4]Sayfa1!$H957</f>
        <v>0</v>
      </c>
    </row>
    <row r="393" spans="1:3" ht="43.9">
      <c r="A393" s="59" t="s">
        <v>113</v>
      </c>
      <c r="C393" s="184">
        <f>[4]Sayfa1!$H958</f>
        <v>0</v>
      </c>
    </row>
    <row r="394" spans="1:3" ht="43.9">
      <c r="A394" s="59" t="s">
        <v>113</v>
      </c>
      <c r="C394" s="184">
        <f>[4]Sayfa1!$H959</f>
        <v>0</v>
      </c>
    </row>
    <row r="395" spans="1:3">
      <c r="C395" s="184">
        <f>[4]Sayfa1!$H960</f>
        <v>0</v>
      </c>
    </row>
    <row r="396" spans="1:3">
      <c r="C396" s="184">
        <f>[4]Sayfa1!$H961</f>
        <v>0</v>
      </c>
    </row>
    <row r="397" spans="1:3">
      <c r="C397" s="184">
        <f>[4]Sayfa1!$H962</f>
        <v>0</v>
      </c>
    </row>
    <row r="398" spans="1:3">
      <c r="C398" s="184">
        <f>[4]Sayfa1!$H963</f>
        <v>0</v>
      </c>
    </row>
    <row r="399" spans="1:3">
      <c r="C399" s="184">
        <f>[4]Sayfa1!$H964</f>
        <v>0</v>
      </c>
    </row>
    <row r="400" spans="1:3">
      <c r="C400" s="184">
        <f>[4]Sayfa1!$H965</f>
        <v>0</v>
      </c>
    </row>
    <row r="401" spans="3:3">
      <c r="C401" s="184">
        <f>[4]Sayfa1!$H966</f>
        <v>0</v>
      </c>
    </row>
    <row r="402" spans="3:3">
      <c r="C402" s="184">
        <f>[4]Sayfa1!$H967</f>
        <v>0</v>
      </c>
    </row>
    <row r="403" spans="3:3">
      <c r="C403" s="184">
        <f>[4]Sayfa1!$H968</f>
        <v>0</v>
      </c>
    </row>
    <row r="404" spans="3:3">
      <c r="C404" s="184">
        <f>[4]Sayfa1!$H969</f>
        <v>0</v>
      </c>
    </row>
    <row r="405" spans="3:3">
      <c r="C405" s="184">
        <f>[4]Sayfa1!$H970</f>
        <v>0</v>
      </c>
    </row>
    <row r="406" spans="3:3">
      <c r="C406" s="184">
        <f>[4]Sayfa1!$H971</f>
        <v>0</v>
      </c>
    </row>
    <row r="407" spans="3:3">
      <c r="C407" s="184">
        <f>[4]Sayfa1!$H972</f>
        <v>0</v>
      </c>
    </row>
    <row r="408" spans="3:3">
      <c r="C408" s="184">
        <f>[4]Sayfa1!$H973</f>
        <v>0</v>
      </c>
    </row>
    <row r="409" spans="3:3">
      <c r="C409" s="184">
        <f>[4]Sayfa1!$H974</f>
        <v>0</v>
      </c>
    </row>
    <row r="410" spans="3:3">
      <c r="C410" s="184">
        <f>[4]Sayfa1!$H975</f>
        <v>0</v>
      </c>
    </row>
    <row r="411" spans="3:3">
      <c r="C411" s="184">
        <f>[4]Sayfa1!$H976</f>
        <v>0</v>
      </c>
    </row>
    <row r="412" spans="3:3">
      <c r="C412" s="184">
        <f>[4]Sayfa1!$H977</f>
        <v>0</v>
      </c>
    </row>
    <row r="413" spans="3:3">
      <c r="C413" s="184">
        <f>[4]Sayfa1!$H978</f>
        <v>0</v>
      </c>
    </row>
    <row r="414" spans="3:3">
      <c r="C414" s="184">
        <f>[4]Sayfa1!$H979</f>
        <v>0</v>
      </c>
    </row>
    <row r="415" spans="3:3">
      <c r="C415" s="184">
        <f>[4]Sayfa1!$H980</f>
        <v>0</v>
      </c>
    </row>
    <row r="416" spans="3:3">
      <c r="C416" s="184">
        <f>[4]Sayfa1!$H981</f>
        <v>0</v>
      </c>
    </row>
    <row r="417" spans="3:3">
      <c r="C417" s="184">
        <f>[4]Sayfa1!$H982</f>
        <v>0</v>
      </c>
    </row>
    <row r="418" spans="3:3">
      <c r="C418" s="184">
        <f>[4]Sayfa1!$H983</f>
        <v>0</v>
      </c>
    </row>
    <row r="419" spans="3:3">
      <c r="C419" s="184">
        <f>[4]Sayfa1!$H984</f>
        <v>0</v>
      </c>
    </row>
    <row r="420" spans="3:3">
      <c r="C420" s="184">
        <f>[4]Sayfa1!$H985</f>
        <v>0</v>
      </c>
    </row>
    <row r="421" spans="3:3">
      <c r="C421" s="184">
        <f>[4]Sayfa1!$H986</f>
        <v>0</v>
      </c>
    </row>
    <row r="422" spans="3:3">
      <c r="C422" s="184">
        <f>[4]Sayfa1!$H987</f>
        <v>0</v>
      </c>
    </row>
    <row r="423" spans="3:3">
      <c r="C423" s="184">
        <f>[4]Sayfa1!$H988</f>
        <v>0</v>
      </c>
    </row>
    <row r="424" spans="3:3">
      <c r="C424" s="184">
        <f>[4]Sayfa1!$H989</f>
        <v>0</v>
      </c>
    </row>
    <row r="425" spans="3:3">
      <c r="C425" s="184">
        <f>[4]Sayfa1!$H990</f>
        <v>0</v>
      </c>
    </row>
    <row r="426" spans="3:3">
      <c r="C426" s="184">
        <f>[4]Sayfa1!$H991</f>
        <v>0</v>
      </c>
    </row>
    <row r="427" spans="3:3">
      <c r="C427" s="184">
        <f>[4]Sayfa1!$H992</f>
        <v>0</v>
      </c>
    </row>
    <row r="428" spans="3:3">
      <c r="C428" s="184">
        <f>[4]Sayfa1!$H993</f>
        <v>0</v>
      </c>
    </row>
    <row r="429" spans="3:3">
      <c r="C429" s="184">
        <f>[4]Sayfa1!$H994</f>
        <v>0</v>
      </c>
    </row>
    <row r="430" spans="3:3">
      <c r="C430" s="184">
        <f>[4]Sayfa1!$H995</f>
        <v>0</v>
      </c>
    </row>
    <row r="431" spans="3:3">
      <c r="C431" s="184">
        <f>[4]Sayfa1!$H996</f>
        <v>0</v>
      </c>
    </row>
    <row r="432" spans="3:3">
      <c r="C432" s="184">
        <f>[4]Sayfa1!$H997</f>
        <v>0</v>
      </c>
    </row>
    <row r="433" spans="3:3">
      <c r="C433" s="184">
        <f>[4]Sayfa1!$H998</f>
        <v>0</v>
      </c>
    </row>
    <row r="434" spans="3:3">
      <c r="C434" s="184">
        <f>[4]Sayfa1!$H999</f>
        <v>0</v>
      </c>
    </row>
    <row r="435" spans="3:3">
      <c r="C435" s="184">
        <f>[4]Sayfa1!$H1000</f>
        <v>0</v>
      </c>
    </row>
    <row r="436" spans="3:3">
      <c r="C436" s="184">
        <f>[4]Sayfa1!$H1001</f>
        <v>0</v>
      </c>
    </row>
    <row r="437" spans="3:3">
      <c r="C437" s="184">
        <f>[4]Sayfa1!$H1002</f>
        <v>0</v>
      </c>
    </row>
    <row r="438" spans="3:3">
      <c r="C438" s="184">
        <f>[4]Sayfa1!$H1003</f>
        <v>0</v>
      </c>
    </row>
    <row r="439" spans="3:3">
      <c r="C439" s="184">
        <f>[4]Sayfa1!$H1004</f>
        <v>0</v>
      </c>
    </row>
    <row r="440" spans="3:3">
      <c r="C440" s="184">
        <f>[4]Sayfa1!$H1005</f>
        <v>0</v>
      </c>
    </row>
    <row r="441" spans="3:3">
      <c r="C441" s="184">
        <f>[4]Sayfa1!$H1006</f>
        <v>0</v>
      </c>
    </row>
    <row r="442" spans="3:3">
      <c r="C442" s="184">
        <f>[4]Sayfa1!$H1007</f>
        <v>0</v>
      </c>
    </row>
    <row r="443" spans="3:3">
      <c r="C443" s="184">
        <f>[4]Sayfa1!$H1008</f>
        <v>0</v>
      </c>
    </row>
    <row r="444" spans="3:3">
      <c r="C444" s="184">
        <f>[4]Sayfa1!$H1009</f>
        <v>0</v>
      </c>
    </row>
    <row r="445" spans="3:3">
      <c r="C445" s="184">
        <f>[4]Sayfa1!$H1010</f>
        <v>0</v>
      </c>
    </row>
    <row r="446" spans="3:3">
      <c r="C446" s="184">
        <f>[4]Sayfa1!$H1011</f>
        <v>0</v>
      </c>
    </row>
    <row r="447" spans="3:3">
      <c r="C447" s="184">
        <f>[4]Sayfa1!$H1012</f>
        <v>0</v>
      </c>
    </row>
    <row r="448" spans="3:3">
      <c r="C448" s="184">
        <f>[4]Sayfa1!$H1013</f>
        <v>0</v>
      </c>
    </row>
    <row r="449" spans="3:3">
      <c r="C449" s="184">
        <f>[4]Sayfa1!$H1014</f>
        <v>0</v>
      </c>
    </row>
    <row r="450" spans="3:3">
      <c r="C450" s="184">
        <f>[4]Sayfa1!$H1015</f>
        <v>0</v>
      </c>
    </row>
    <row r="451" spans="3:3">
      <c r="C451" s="184">
        <f>[4]Sayfa1!$H1016</f>
        <v>0</v>
      </c>
    </row>
    <row r="452" spans="3:3">
      <c r="C452" s="184">
        <f>[4]Sayfa1!$H1017</f>
        <v>0</v>
      </c>
    </row>
    <row r="453" spans="3:3">
      <c r="C453" s="184">
        <f>[4]Sayfa1!$H1018</f>
        <v>0</v>
      </c>
    </row>
    <row r="454" spans="3:3">
      <c r="C454" s="184">
        <f>[4]Sayfa1!$H1019</f>
        <v>0</v>
      </c>
    </row>
    <row r="455" spans="3:3">
      <c r="C455" s="184">
        <f>[4]Sayfa1!$H1020</f>
        <v>0</v>
      </c>
    </row>
    <row r="456" spans="3:3">
      <c r="C456" s="184">
        <f>[4]Sayfa1!$H1021</f>
        <v>0</v>
      </c>
    </row>
    <row r="457" spans="3:3">
      <c r="C457" s="184">
        <f>[4]Sayfa1!$H1022</f>
        <v>0</v>
      </c>
    </row>
    <row r="458" spans="3:3">
      <c r="C458" s="184">
        <f>[4]Sayfa1!$H1023</f>
        <v>0</v>
      </c>
    </row>
    <row r="459" spans="3:3">
      <c r="C459" s="184">
        <f>[4]Sayfa1!$H1024</f>
        <v>0</v>
      </c>
    </row>
    <row r="460" spans="3:3">
      <c r="C460" s="184">
        <f>[4]Sayfa1!$H1025</f>
        <v>0</v>
      </c>
    </row>
    <row r="461" spans="3:3">
      <c r="C461" s="184">
        <f>[4]Sayfa1!$H1026</f>
        <v>0</v>
      </c>
    </row>
    <row r="462" spans="3:3">
      <c r="C462" s="184">
        <f>[4]Sayfa1!$H1027</f>
        <v>0</v>
      </c>
    </row>
    <row r="463" spans="3:3">
      <c r="C463" s="184">
        <f>[4]Sayfa1!$H1028</f>
        <v>0</v>
      </c>
    </row>
    <row r="464" spans="3:3">
      <c r="C464" s="184">
        <f>[4]Sayfa1!$H1029</f>
        <v>0</v>
      </c>
    </row>
    <row r="465" spans="3:3">
      <c r="C465" s="184">
        <f>[4]Sayfa1!$H1030</f>
        <v>0</v>
      </c>
    </row>
    <row r="466" spans="3:3">
      <c r="C466" s="184">
        <f>[4]Sayfa1!$H1031</f>
        <v>0</v>
      </c>
    </row>
  </sheetData>
  <sheetProtection autoFilter="0"/>
  <autoFilter ref="A5:BT466" xr:uid="{00000000-0001-0000-0100-000000000000}">
    <sortState xmlns:xlrd2="http://schemas.microsoft.com/office/spreadsheetml/2017/richdata2" ref="A6:BT466">
      <sortCondition ref="F5:F466"/>
    </sortState>
  </autoFilter>
  <mergeCells count="10">
    <mergeCell ref="AX3:AZ3"/>
    <mergeCell ref="M1:Z1"/>
    <mergeCell ref="AA1:AM1"/>
    <mergeCell ref="AV1:AW1"/>
    <mergeCell ref="AR2:AU2"/>
    <mergeCell ref="A3:D3"/>
    <mergeCell ref="E3:M3"/>
    <mergeCell ref="Q3:AI3"/>
    <mergeCell ref="AN3:AU3"/>
    <mergeCell ref="AV3:AW3"/>
  </mergeCells>
  <phoneticPr fontId="10" type="noConversion"/>
  <conditionalFormatting sqref="AI4:AJ5">
    <cfRule type="containsText" dxfId="2" priority="2" operator="containsText" text="Ulaşılmamış">
      <formula>NOT(ISERROR(SEARCH("Ulaşılmamış",AI4)))</formula>
    </cfRule>
    <cfRule type="containsText" dxfId="1" priority="3" operator="containsText" text="Ulaşılmış">
      <formula>NOT(ISERROR(SEARCH("Ulaşılmış",AI4)))</formula>
    </cfRule>
  </conditionalFormatting>
  <conditionalFormatting sqref="AN4:AN5">
    <cfRule type="containsText" dxfId="0" priority="1" operator="containsText" text="X">
      <formula>NOT(ISERROR(SEARCH("X",AN4)))</formula>
    </cfRule>
  </conditionalFormatting>
  <dataValidations count="1">
    <dataValidation type="list" allowBlank="1" showInputMessage="1" showErrorMessage="1" sqref="A6:A394" xr:uid="{37B8C0E3-80C0-4C35-BDE4-2487A4056741}">
      <formula1>Projeler</formula1>
    </dataValidation>
  </dataValidations>
  <hyperlinks>
    <hyperlink ref="AY6" r:id="rId1" xr:uid="{0A649888-B02A-4ED5-9DA2-0BE01230384E}"/>
    <hyperlink ref="AY59" r:id="rId2" xr:uid="{5CCA7D04-5405-4C10-9EE8-36D8E040EC10}"/>
    <hyperlink ref="AY57" r:id="rId3" xr:uid="{77413012-B069-4F99-BDC6-39F36A3D1B2A}"/>
    <hyperlink ref="AY58" r:id="rId4" xr:uid="{0CEE1B36-20F8-4F7B-AECE-70E7AD8A3EC3}"/>
    <hyperlink ref="AY56" r:id="rId5" xr:uid="{B7E4A875-6E13-4D1A-BBAC-212D0E52606A}"/>
    <hyperlink ref="AY55" r:id="rId6" xr:uid="{5C88E50A-DDCA-44A1-B468-9F1A53D1076D}"/>
    <hyperlink ref="AY54" r:id="rId7" xr:uid="{DB319C15-4DB2-4F26-A91E-A65D3792A042}"/>
    <hyperlink ref="AY53" r:id="rId8" xr:uid="{C5EB7B63-2D7A-4F8A-9873-23AF841620EF}"/>
    <hyperlink ref="AY52" r:id="rId9" xr:uid="{F874FC94-B7F0-4594-8CFA-9A68B53082CB}"/>
    <hyperlink ref="AY49" r:id="rId10" xr:uid="{A27530A6-580F-4067-A97F-79835E787733}"/>
    <hyperlink ref="AY51" r:id="rId11" xr:uid="{E969D641-CFC6-4144-A0C6-5503E843C89F}"/>
    <hyperlink ref="AY50" r:id="rId12" xr:uid="{39772311-1BBF-476E-AC58-6C24B0AB04E1}"/>
    <hyperlink ref="AY48" r:id="rId13" xr:uid="{B0011CA3-9D5D-48A6-AC21-3C167ACDD598}"/>
    <hyperlink ref="AY47" r:id="rId14" xr:uid="{F7427F45-B13F-4653-8BCF-5B36809F651F}"/>
    <hyperlink ref="AY45" r:id="rId15" xr:uid="{1A08532D-0584-405F-BC04-666352E09EC3}"/>
    <hyperlink ref="AY46" r:id="rId16" xr:uid="{67F830C0-3966-4D2E-92E0-E9E3F48FD495}"/>
    <hyperlink ref="AY44" r:id="rId17" xr:uid="{1F2FD822-E133-4A6A-9E05-324F69FE6E1F}"/>
    <hyperlink ref="AY43" r:id="rId18" xr:uid="{E4213A3E-CC58-409E-8B69-D39C6D5718D6}"/>
    <hyperlink ref="AY39" r:id="rId19" xr:uid="{DAF667BD-FA79-4EE7-8789-67225359DF77}"/>
    <hyperlink ref="AY42" r:id="rId20" xr:uid="{15CF7443-706C-4C90-9D3F-2EB393B0DADB}"/>
    <hyperlink ref="AY41" r:id="rId21" xr:uid="{4FF27DA1-4A58-4110-A22A-29914607FBD3}"/>
    <hyperlink ref="AY40" r:id="rId22" xr:uid="{81A8B03B-BAEC-4266-BD5D-0DCC73A4B335}"/>
    <hyperlink ref="AY38" r:id="rId23" xr:uid="{FFFED9E6-C39E-4953-A6AF-EC48F6394513}"/>
    <hyperlink ref="AY35" r:id="rId24" xr:uid="{A92C33D0-9C12-441D-BE8F-6F14EDDCB22C}"/>
    <hyperlink ref="AY36" r:id="rId25" xr:uid="{3E99BD31-7FE5-4B26-93DC-FC8A0061851A}"/>
    <hyperlink ref="AY37" r:id="rId26" xr:uid="{CA3B2AF3-EBE6-4718-85C0-C15C2EEB3A6A}"/>
    <hyperlink ref="AY34" r:id="rId27" xr:uid="{4828ABCE-5BA5-4395-A5A8-8E020F4293D6}"/>
    <hyperlink ref="AY33" r:id="rId28" xr:uid="{DA61DAAE-DEBC-4205-8CC2-1716C7330B89}"/>
    <hyperlink ref="AY31" r:id="rId29" xr:uid="{3CED8A97-C396-43AB-90CB-D55C6D1778F4}"/>
    <hyperlink ref="AY32" r:id="rId30" xr:uid="{6DEF54A6-51B8-4779-8A9D-F18F74D67485}"/>
    <hyperlink ref="AY30" r:id="rId31" xr:uid="{D44939FF-2679-4152-8CE5-BACB3871C8D6}"/>
    <hyperlink ref="AY29" r:id="rId32" xr:uid="{DD94773B-66E9-4BBB-9875-1712F2A0CB53}"/>
    <hyperlink ref="AY28" r:id="rId33" xr:uid="{A8BF93FB-DC68-4EBE-90DE-2987E630C7A3}"/>
    <hyperlink ref="AY27" r:id="rId34" xr:uid="{972B756E-B227-4322-99F3-6F893240E8E1}"/>
    <hyperlink ref="AY26" r:id="rId35" xr:uid="{47034187-008B-402F-ADD0-C9C1A5A405DF}"/>
    <hyperlink ref="AY25" r:id="rId36" xr:uid="{8D0B62C1-BEBD-44E1-93BA-7D5F6848722B}"/>
    <hyperlink ref="AY24" r:id="rId37" xr:uid="{AB29CF5C-5786-40C6-9FBB-94B6F0403FDF}"/>
    <hyperlink ref="AY23" r:id="rId38" xr:uid="{6ED9063C-344A-4025-AEF7-F4E715740624}"/>
    <hyperlink ref="AY22" r:id="rId39" xr:uid="{0FDD1715-2339-4F9E-B504-3A337E6FA11D}"/>
    <hyperlink ref="AY21" r:id="rId40" xr:uid="{D8715643-ACC7-46A3-B1F7-4EE97207C744}"/>
    <hyperlink ref="AY20" r:id="rId41" xr:uid="{EFADDE19-28DE-4DA6-ACAB-23011934167D}"/>
    <hyperlink ref="AY19" r:id="rId42" xr:uid="{14B38BDA-D255-4041-9F82-6078E7FA3E3C}"/>
    <hyperlink ref="AY17" r:id="rId43" xr:uid="{D559765C-F1EC-4A7F-A339-384765B11088}"/>
    <hyperlink ref="AY18" r:id="rId44" xr:uid="{5BF1DE6E-7DDA-46B8-8390-453758E1B9EC}"/>
    <hyperlink ref="AY16" r:id="rId45" xr:uid="{70D71408-7700-4ADF-9336-9E6742CF3DAC}"/>
    <hyperlink ref="AY15" r:id="rId46" xr:uid="{0F8F260D-A2F5-49EB-8A05-D963A22598EF}"/>
    <hyperlink ref="AY14" r:id="rId47" xr:uid="{8FC174C0-2ED7-4BFA-866B-607F1C33D1AE}"/>
    <hyperlink ref="AY11" r:id="rId48" xr:uid="{864C33A1-FF8C-4463-A55D-843762C9297F}"/>
    <hyperlink ref="AY9" r:id="rId49" xr:uid="{AB3760A3-EC2B-4653-9A8E-0E3E4C915D1F}"/>
    <hyperlink ref="AY10" r:id="rId50" xr:uid="{ECF82DEF-F8E6-49BA-B47E-389CE6114790}"/>
    <hyperlink ref="AY7" r:id="rId51" xr:uid="{6054AA24-777F-4E9D-99EF-2C5867141123}"/>
    <hyperlink ref="AY13" r:id="rId52" xr:uid="{5FE5633B-99FB-472B-A5EB-AD34545AEBBE}"/>
    <hyperlink ref="AY12" r:id="rId53" xr:uid="{18320338-85ED-4617-8C7E-5240049274D5}"/>
    <hyperlink ref="AY8" r:id="rId54" xr:uid="{DA99358F-C80E-4864-B5E9-C4559E4922DE}"/>
    <hyperlink ref="AY60" r:id="rId55" xr:uid="{0607060E-8293-4062-BD1D-BBA12CC30E32}"/>
    <hyperlink ref="AY61" r:id="rId56" xr:uid="{70E2A199-2BFA-4224-BAC7-984D03FDDF02}"/>
    <hyperlink ref="AY62" r:id="rId57" xr:uid="{202988A9-D7ED-4D64-8579-CB26681530A0}"/>
    <hyperlink ref="AY63" r:id="rId58" xr:uid="{AAF6CD65-4139-4BC1-B5B2-B0A800098FC5}"/>
    <hyperlink ref="AY64" r:id="rId59" xr:uid="{D862918F-E979-430B-AA00-4427C799F6B9}"/>
    <hyperlink ref="AY65" r:id="rId60" xr:uid="{A50A8118-9EBD-415E-8611-899789DE3E8D}"/>
    <hyperlink ref="AY66" r:id="rId61" xr:uid="{95D3DD7F-2BDA-400B-A0EE-5B3E64184421}"/>
    <hyperlink ref="AY67" r:id="rId62" xr:uid="{71FFECC8-6013-4FFC-8E64-59915C51ED89}"/>
    <hyperlink ref="AY68" r:id="rId63" xr:uid="{0634B39D-3DCB-4D55-978A-473D8EEB1AD9}"/>
    <hyperlink ref="AY69" r:id="rId64" xr:uid="{D364BA8F-5AD5-4B4B-BD6D-E6B48EADABA3}"/>
    <hyperlink ref="AY70" r:id="rId65" xr:uid="{6CE96629-DD08-43D8-B182-5AE48936D9B4}"/>
    <hyperlink ref="AY71" r:id="rId66" xr:uid="{486913D2-C8BB-4A57-911C-60AC27801343}"/>
    <hyperlink ref="AY72" r:id="rId67" xr:uid="{5836957E-CF71-4D29-BA5F-B444F15FDFFB}"/>
    <hyperlink ref="AY73" r:id="rId68" xr:uid="{B5A0CE73-9E68-4DF2-9075-561CDB7A5A7C}"/>
    <hyperlink ref="AY74" r:id="rId69" xr:uid="{B477BAF9-FBC9-48D3-BFE1-DB2451762694}"/>
    <hyperlink ref="AY75" r:id="rId70" xr:uid="{E1A4C4CB-15EB-46BD-B445-3F3FFAF7AD8F}"/>
    <hyperlink ref="AY76" r:id="rId71" xr:uid="{0A0EBB09-0C25-4067-8D1E-B5B753DEE5EA}"/>
    <hyperlink ref="AY77" r:id="rId72" xr:uid="{1C47B5F2-8F0F-4304-BE4C-C4114C1ED2B7}"/>
    <hyperlink ref="AY78" r:id="rId73" xr:uid="{6F513B49-88FC-40D5-BEC9-FB2B3742B8D3}"/>
    <hyperlink ref="AY79" r:id="rId74" xr:uid="{5BFE3951-CEDB-49BB-9ACE-FB8FDE990B94}"/>
    <hyperlink ref="AY80" r:id="rId75" xr:uid="{A85BC5DF-8413-46BE-90FB-5F96036B1053}"/>
    <hyperlink ref="AY81" r:id="rId76" xr:uid="{5A884B4F-E441-4E87-9080-8E5418F8DF8C}"/>
    <hyperlink ref="AY82" r:id="rId77" xr:uid="{267AFB53-D8A6-4C9A-BF25-CF63889529ED}"/>
    <hyperlink ref="AY83" r:id="rId78" xr:uid="{644BA322-A310-414B-AAD5-B812377965D2}"/>
    <hyperlink ref="AY84" r:id="rId79" xr:uid="{59949651-C92E-4F5E-8D46-3A2E09A65B55}"/>
    <hyperlink ref="AY85" r:id="rId80" xr:uid="{724C4177-B38C-4C9C-8CAA-F633E34AB11B}"/>
    <hyperlink ref="AY86" r:id="rId81" xr:uid="{F74579BD-33F6-4384-83DF-002C19D0F53B}"/>
    <hyperlink ref="AY87" r:id="rId82" xr:uid="{26E0D87C-E109-4196-833E-9ADAB53CC426}"/>
    <hyperlink ref="AY88" r:id="rId83" xr:uid="{34AD5EFC-6EE5-460C-9ACE-137AD505C911}"/>
    <hyperlink ref="AY89" r:id="rId84" xr:uid="{778C5C05-CAEF-47F6-A9FC-7C0AFE714402}"/>
    <hyperlink ref="AY90" r:id="rId85" xr:uid="{94DAAD28-56A1-4892-A967-4CED7ED5E426}"/>
    <hyperlink ref="AY91" r:id="rId86" xr:uid="{CF8053AB-A7C3-41F2-BBA9-AF21CABB03F1}"/>
    <hyperlink ref="AY92" r:id="rId87" xr:uid="{7F5B4D05-0477-46F6-B40C-4D056D91D5A1}"/>
    <hyperlink ref="AY93" r:id="rId88" xr:uid="{190DB0FC-3644-4B33-8B94-C2FCEA975BA9}"/>
    <hyperlink ref="AY94" r:id="rId89" xr:uid="{EADBE690-FD0A-4B53-9265-2B53E4C534B8}"/>
    <hyperlink ref="AY95" r:id="rId90" xr:uid="{EF0A7BDD-C11F-4216-8046-E25064634038}"/>
    <hyperlink ref="AY96" r:id="rId91" xr:uid="{3F4B4CF9-0AC0-4A5A-BA2C-10F57A7BB4C7}"/>
    <hyperlink ref="AY97" r:id="rId92" xr:uid="{4C400DA4-D2A3-44E0-9A3A-EC825B49779F}"/>
    <hyperlink ref="AY98" r:id="rId93" xr:uid="{3C991A59-CDF2-42FE-B961-F751467F7498}"/>
    <hyperlink ref="AY99" r:id="rId94" xr:uid="{0E459F90-1430-4E7A-A3BA-B8950AF3A3D9}"/>
    <hyperlink ref="AY100" r:id="rId95" xr:uid="{72767C5E-20DA-4682-B0EF-03B1B3861E2F}"/>
    <hyperlink ref="AY101" r:id="rId96" xr:uid="{FDC02C69-C0D1-4F97-BC19-27B8A08F53F5}"/>
    <hyperlink ref="AY102" r:id="rId97" xr:uid="{7F550AF8-355A-492C-A20D-DD9B279AE8D9}"/>
    <hyperlink ref="AY103" r:id="rId98" xr:uid="{41F1EBE7-2C4E-43B0-86DA-D53DEE2DCBD8}"/>
    <hyperlink ref="AY104" r:id="rId99" xr:uid="{0B4DF24F-08DB-4AF8-BBF9-B505E912F9A9}"/>
    <hyperlink ref="AY105" r:id="rId100" xr:uid="{758DF8B6-70A2-457A-B45A-18B3E9FB94E8}"/>
    <hyperlink ref="AY106" r:id="rId101" xr:uid="{91319D4C-52BD-417D-9A1D-6DFAC4A70287}"/>
    <hyperlink ref="AY107" r:id="rId102" xr:uid="{BDBEC5E3-7CC8-4103-89C3-85036AE8CB44}"/>
    <hyperlink ref="AY108" r:id="rId103" xr:uid="{23A55C98-1326-4455-A177-2F25FC9115A4}"/>
    <hyperlink ref="AY109" r:id="rId104" xr:uid="{2DA3E2CB-8BF5-425B-8D87-C75B738797BC}"/>
    <hyperlink ref="AY110" r:id="rId105" xr:uid="{71F173C9-7AA9-4763-B519-C73137D24A2A}"/>
    <hyperlink ref="AY111" r:id="rId106" xr:uid="{DF104E8F-FF20-43E3-8048-1341E2972FB6}"/>
    <hyperlink ref="AY112" r:id="rId107" xr:uid="{39F666FF-143F-448A-9AD6-74EE2A397091}"/>
    <hyperlink ref="AY113" r:id="rId108" xr:uid="{E66708D3-CEAB-4B63-8336-77F2C9599B3D}"/>
    <hyperlink ref="AY114" r:id="rId109" xr:uid="{1A07520E-9869-4E70-8C48-EC33931D0A6E}"/>
    <hyperlink ref="AY115" r:id="rId110" xr:uid="{86CEC749-E4C3-4D78-A993-61A4AE846B4D}"/>
    <hyperlink ref="AY116" r:id="rId111" xr:uid="{7A24B7FC-CEA3-4976-806C-6DDE732539AE}"/>
    <hyperlink ref="AY117" r:id="rId112" xr:uid="{939600C8-99CD-4B52-80E6-F9B8BB0E0396}"/>
    <hyperlink ref="AY118" r:id="rId113" xr:uid="{2C452DD1-B3B9-4A0B-BA03-A177D4799FD6}"/>
    <hyperlink ref="AY119" r:id="rId114" xr:uid="{1D4E3877-D789-4333-872C-AB55A1F81DE3}"/>
    <hyperlink ref="AY120" r:id="rId115" xr:uid="{CE71A5C7-08B3-45F2-B776-F0CF78690578}"/>
    <hyperlink ref="AY121" r:id="rId116" xr:uid="{00A65274-0E27-45DA-81D0-F2EE42F62476}"/>
    <hyperlink ref="AY122" r:id="rId117" xr:uid="{C3013E5B-B57C-4B75-907A-3B57BE8F4C0F}"/>
    <hyperlink ref="AY123" r:id="rId118" xr:uid="{06F0ACA9-DB9B-4D39-B12F-C9475B3EE980}"/>
    <hyperlink ref="AY124" r:id="rId119" xr:uid="{D3558DBE-CA13-4C37-B271-99291C14C435}"/>
    <hyperlink ref="AY125" r:id="rId120" xr:uid="{D665404A-4156-4918-BE85-CD941C8B88E6}"/>
    <hyperlink ref="AY126" r:id="rId121" xr:uid="{022ADE5B-BC61-430B-828A-F04F982926E6}"/>
    <hyperlink ref="AY127" r:id="rId122" xr:uid="{30311022-4158-4F9E-8437-84131C40A950}"/>
    <hyperlink ref="AY128" r:id="rId123" xr:uid="{DF77E7F7-1CA7-428A-97CE-D452843D0DBD}"/>
    <hyperlink ref="AY129" r:id="rId124" xr:uid="{A596972D-B253-46F2-8E4A-4F8A8F5594AB}"/>
    <hyperlink ref="AY130" r:id="rId125" xr:uid="{8A03C6EB-905C-4550-B51C-6B9B84DCBCD0}"/>
    <hyperlink ref="AY131" r:id="rId126" xr:uid="{D4D9C344-AE92-4F60-8F31-B1DA60985BA6}"/>
    <hyperlink ref="AY132" r:id="rId127" xr:uid="{249DCD51-C8A6-4E23-A4D4-57DA06C9632E}"/>
    <hyperlink ref="AY133" r:id="rId128" xr:uid="{470ABC63-CC48-43A9-9F8B-14C25758BB4F}"/>
    <hyperlink ref="AY134" r:id="rId129" xr:uid="{676F0CBD-FBAA-4A58-8125-AAE41AE4F06D}"/>
    <hyperlink ref="AY135" r:id="rId130" xr:uid="{0BDBF80B-3A7D-4F65-9D92-1DB150887936}"/>
    <hyperlink ref="AY136" r:id="rId131" xr:uid="{34B190A2-551A-4059-A79B-E1083E5C8B77}"/>
    <hyperlink ref="AY137" r:id="rId132" xr:uid="{5A062023-FDE1-47CD-BFBD-387C4F60085A}"/>
    <hyperlink ref="AY138" r:id="rId133" xr:uid="{322AE138-34DD-45C1-BC8C-FB189887522F}"/>
    <hyperlink ref="AY139" r:id="rId134" xr:uid="{DFA87E10-B3E0-452A-A159-5A559900540A}"/>
    <hyperlink ref="AY140" r:id="rId135" xr:uid="{C9EA96F6-53FB-437E-9FE0-89FF0D9C6615}"/>
    <hyperlink ref="AY141" r:id="rId136" xr:uid="{A12AFEAD-89C4-4EAA-B509-5355EEB00B35}"/>
    <hyperlink ref="AY142" r:id="rId137" xr:uid="{FA855E3C-28EF-4456-8799-95E71BA94B2B}"/>
    <hyperlink ref="AY143" r:id="rId138" xr:uid="{301D5C62-8C43-414B-BFB5-45A655C02891}"/>
    <hyperlink ref="AY144" r:id="rId139" xr:uid="{44B937FF-E165-4779-A977-7856EBF46CB6}"/>
    <hyperlink ref="AY145" r:id="rId140" xr:uid="{1B01662E-5099-4A8A-B350-20449F5911B5}"/>
    <hyperlink ref="AY146" r:id="rId141" xr:uid="{1EE738EA-0D3E-4E76-B90B-09A2DFCC942E}"/>
    <hyperlink ref="AY147" r:id="rId142" xr:uid="{4FFE7A13-1CC4-4EEB-9FF9-4541B4AE2BBE}"/>
    <hyperlink ref="AY148" r:id="rId143" xr:uid="{D56268D5-FCD5-4C89-B64A-4CC7425AB3A6}"/>
    <hyperlink ref="AY149" r:id="rId144" xr:uid="{BFD75772-6592-46C4-A35A-E20007E47625}"/>
    <hyperlink ref="AY150" r:id="rId145" xr:uid="{5BDA9189-EFC5-40DB-AA1D-232E57ED7971}"/>
    <hyperlink ref="AY151" r:id="rId146" xr:uid="{675CA2D4-364F-4962-B39A-4B59F9A1F083}"/>
    <hyperlink ref="AY152" r:id="rId147" xr:uid="{FE18AB34-4517-487F-9890-EA83962121A7}"/>
    <hyperlink ref="AY153" r:id="rId148" xr:uid="{E17F42C7-C83B-4B9E-A85B-DF8CEB20B29B}"/>
    <hyperlink ref="AY154" r:id="rId149" xr:uid="{6D7ADAEF-C185-4DFF-AA19-527B395686E9}"/>
    <hyperlink ref="AY155" r:id="rId150" xr:uid="{8030F912-7D05-431F-AE52-5A768E363001}"/>
    <hyperlink ref="AY156" r:id="rId151" xr:uid="{84DB35DA-9787-4B2E-B001-E8B3C40B4559}"/>
    <hyperlink ref="AY157" r:id="rId152" xr:uid="{6DCF3964-529E-4653-93B5-AB373A0CB2B7}"/>
    <hyperlink ref="AY158" r:id="rId153" xr:uid="{F6D0244D-9CC7-49C5-B068-7DA30962CAD0}"/>
    <hyperlink ref="AY159" r:id="rId154" xr:uid="{FBD4C897-CB8C-479F-A7CA-344401FD6C5A}"/>
    <hyperlink ref="AY160" r:id="rId155" xr:uid="{BEE50D66-4E72-42DF-9AF0-A3704328E461}"/>
    <hyperlink ref="AY161" r:id="rId156" xr:uid="{2D429420-A4A7-4EEF-A8CC-473018D54029}"/>
    <hyperlink ref="AY162" r:id="rId157" xr:uid="{AE3BAF47-D040-4A9F-9E89-B4042DF66563}"/>
    <hyperlink ref="AY163" r:id="rId158" xr:uid="{EF295ECB-C692-460E-96AD-95CE480E9673}"/>
    <hyperlink ref="AY164" r:id="rId159" xr:uid="{295C493E-0E44-4A8D-8650-467120F7CE44}"/>
    <hyperlink ref="AY165" r:id="rId160" xr:uid="{DFCE4A42-8BF9-4C00-801C-3DE2633725B4}"/>
    <hyperlink ref="AY166" r:id="rId161" xr:uid="{B37D7153-47C2-406F-8401-5A579741F6E1}"/>
    <hyperlink ref="AY167" r:id="rId162" xr:uid="{7509FD04-086C-4DA7-9640-AB8A5FD4B029}"/>
    <hyperlink ref="AY168" r:id="rId163" xr:uid="{3291A379-CCFD-45F7-AD88-5C1CE938F373}"/>
    <hyperlink ref="AY169" r:id="rId164" xr:uid="{F757C51D-CE28-46A4-A2DC-73C5DC8509BA}"/>
    <hyperlink ref="AY170" r:id="rId165" xr:uid="{893329CF-2039-4CFA-BB5A-25EABA982796}"/>
    <hyperlink ref="AY171" r:id="rId166" xr:uid="{A8F6F454-5F99-4419-B650-75ACCB1114B2}"/>
    <hyperlink ref="AY172" r:id="rId167" xr:uid="{C3B46A22-6150-41DA-9482-D2857AE1812A}"/>
    <hyperlink ref="AY173" r:id="rId168" xr:uid="{8F2E67FD-9DA6-4D91-9E00-2903B8365B44}"/>
    <hyperlink ref="AY174" r:id="rId169" xr:uid="{8D6358DE-38B6-4C21-B347-2DEA63E08531}"/>
    <hyperlink ref="AY175" r:id="rId170" xr:uid="{EBB029EF-0813-4B14-982D-C09811DA1B69}"/>
    <hyperlink ref="AY176" r:id="rId171" xr:uid="{061EE46B-903E-4113-AB0D-78F98F8E4F68}"/>
    <hyperlink ref="AY177" r:id="rId172" xr:uid="{88212A1A-AA9C-4997-9321-A3257C39DA42}"/>
    <hyperlink ref="AY178" r:id="rId173" xr:uid="{1753CEC4-C609-47AD-A298-F8CFD87B70BD}"/>
    <hyperlink ref="AY179" r:id="rId174" xr:uid="{5A190169-998E-4FD2-A8F3-9D92EDF64226}"/>
    <hyperlink ref="AY180" r:id="rId175" xr:uid="{6D1DF15B-EEC8-4298-8F63-E53284BA0243}"/>
    <hyperlink ref="AY181" r:id="rId176" xr:uid="{EA2D80AD-92B0-44ED-A777-893860E153EE}"/>
    <hyperlink ref="AY182" r:id="rId177" xr:uid="{C2188761-B24E-4C98-8A63-C72C49E3B169}"/>
    <hyperlink ref="AY183" r:id="rId178" xr:uid="{AA94BB42-2A6C-4726-B3C1-41C5494252E2}"/>
    <hyperlink ref="AY184" r:id="rId179" xr:uid="{B6DD80B5-E104-482F-8ADE-036C6F23C631}"/>
    <hyperlink ref="AY185" r:id="rId180" xr:uid="{281086FA-7174-4D38-9943-9547AA843C89}"/>
    <hyperlink ref="AY186" r:id="rId181" xr:uid="{35F65AFC-739C-47D4-B10B-752826FBC8BA}"/>
    <hyperlink ref="AY187" r:id="rId182" xr:uid="{C0949921-665E-4FEE-8FBD-04F6AE7B5B2A}"/>
    <hyperlink ref="AY188" r:id="rId183" xr:uid="{6E8D3D66-10F7-416D-9F1D-18507E8B8891}"/>
    <hyperlink ref="AY189" r:id="rId184" xr:uid="{45571830-19BF-474D-BEEB-A3F81E4A9328}"/>
    <hyperlink ref="AY190" r:id="rId185" xr:uid="{1D15640E-5C1F-45AF-B1BC-D91902C033CE}"/>
    <hyperlink ref="AY191" r:id="rId186" xr:uid="{1CE4920A-1223-4009-8695-49485673167F}"/>
    <hyperlink ref="AY192" r:id="rId187" xr:uid="{0B666289-95CE-4194-97FD-375B21244FBA}"/>
    <hyperlink ref="AY193" r:id="rId188" xr:uid="{2ADB9E6A-2FB4-4E8E-A1A1-6783754DB007}"/>
    <hyperlink ref="AY194" r:id="rId189" xr:uid="{5F16BCFA-C33E-4B62-BDE9-E8428C1C0DDD}"/>
    <hyperlink ref="AY195" r:id="rId190" xr:uid="{74572511-9115-4388-A8C5-AB1363DFF58A}"/>
    <hyperlink ref="AY196" r:id="rId191" xr:uid="{83C64915-1031-4F8E-9FC3-3A9EF1604F61}"/>
    <hyperlink ref="AY197" r:id="rId192" xr:uid="{0C347234-30AD-4379-B244-69698E60B7C7}"/>
    <hyperlink ref="AY198" r:id="rId193" xr:uid="{6B87D3C0-347A-495E-9949-9A89172946F1}"/>
    <hyperlink ref="AY199" r:id="rId194" xr:uid="{0FD42EEC-87DA-4CDB-8A88-B3658CE4AE74}"/>
    <hyperlink ref="AY200" r:id="rId195" xr:uid="{018418FD-A850-4AF1-B72F-B8B5E277A884}"/>
    <hyperlink ref="AY201" r:id="rId196" xr:uid="{3158E9FE-5DA2-4FDD-809C-D95A5E0A2B59}"/>
    <hyperlink ref="AY202" r:id="rId197" xr:uid="{179CE13C-2A17-42D0-B9B1-E540806EBF58}"/>
    <hyperlink ref="AY203" r:id="rId198" xr:uid="{D4E1243F-ECDC-4DED-927E-4C3EAAF65ADE}"/>
    <hyperlink ref="AY204" r:id="rId199" xr:uid="{21F00C17-1E1E-4942-8F3E-8C81CF3D92FB}"/>
    <hyperlink ref="AY205" r:id="rId200" xr:uid="{E48B7385-DDF4-4DF4-83B3-406CCA08F883}"/>
    <hyperlink ref="AY206" r:id="rId201" xr:uid="{F493524D-AC84-4BAD-BF73-26B2055A54E7}"/>
    <hyperlink ref="AY207" r:id="rId202" xr:uid="{02C0BA4B-CC9C-4ADB-96C1-0D737259C038}"/>
    <hyperlink ref="AY208" r:id="rId203" xr:uid="{8831263D-D754-47EE-AC43-84D6343CD85D}"/>
    <hyperlink ref="AY209" r:id="rId204" xr:uid="{671217E5-4BBD-46D9-9716-ADCDFA1698DC}"/>
    <hyperlink ref="AY210" r:id="rId205" xr:uid="{842EBD99-BF62-4DFF-A128-6CC729E2B1E7}"/>
    <hyperlink ref="AY211" r:id="rId206" xr:uid="{66F89AB7-4387-47F1-9ECC-362F42404691}"/>
    <hyperlink ref="AY212" r:id="rId207" xr:uid="{7742BCB9-E897-4F15-894D-44EB14AC95A6}"/>
    <hyperlink ref="AY213" r:id="rId208" xr:uid="{A58C66DD-E651-419D-B8C5-7DFA6C97FC6E}"/>
    <hyperlink ref="AY214" r:id="rId209" xr:uid="{907FF3A8-8866-48A4-877C-8C5CFDB8CACE}"/>
    <hyperlink ref="AY215" r:id="rId210" xr:uid="{E3A608BE-271F-4C10-AF95-E1434A8BBE13}"/>
    <hyperlink ref="AY216" r:id="rId211" xr:uid="{1B6E87C9-370A-4224-AF42-56A759D7DD59}"/>
    <hyperlink ref="AY217" r:id="rId212" xr:uid="{E7FF6823-6623-4AF8-AFCF-B6C2F66FE6E7}"/>
    <hyperlink ref="AY218" r:id="rId213" xr:uid="{831EA029-00FF-4620-943E-931CC1019DC1}"/>
    <hyperlink ref="AY219" r:id="rId214" xr:uid="{19114EDD-567D-4984-9621-900B4E51D4CF}"/>
    <hyperlink ref="AY220" r:id="rId215" xr:uid="{4F22EEA8-6A06-44FA-992E-9153C6C0014C}"/>
    <hyperlink ref="AY221" r:id="rId216" xr:uid="{E6633D0D-5665-4661-96C9-A011973BC6F0}"/>
    <hyperlink ref="AY222" r:id="rId217" xr:uid="{1B880B7C-57E4-47EB-9E2C-878C76CA34C3}"/>
    <hyperlink ref="AY223" r:id="rId218" xr:uid="{D944C394-61B9-4456-A2E4-FBF4B0620837}"/>
    <hyperlink ref="AY224" r:id="rId219" xr:uid="{FCFD4E56-8856-4FB7-AB2A-F8A953A32D21}"/>
    <hyperlink ref="AY225" r:id="rId220" xr:uid="{4C1C77DC-EB16-4745-9222-E828A8F55B4F}"/>
    <hyperlink ref="AY226" r:id="rId221" xr:uid="{268680A5-E11F-4966-8582-5831FB92132E}"/>
    <hyperlink ref="AY227" r:id="rId222" xr:uid="{9B22134D-D4B0-4548-9604-58BEE63CE345}"/>
    <hyperlink ref="AY228" r:id="rId223" xr:uid="{8C50DC9A-F7B0-4CCA-9043-0DA8DA9D416A}"/>
    <hyperlink ref="AY229" r:id="rId224" xr:uid="{302E76A2-E16D-4191-B0A8-1BFBF04508CD}"/>
    <hyperlink ref="AY230" r:id="rId225" xr:uid="{E2989BA5-8F3D-4AC1-807A-4E7135ECD5D8}"/>
    <hyperlink ref="AY231" r:id="rId226" xr:uid="{642F31A3-7704-44E4-AA3E-76C468CCF29E}"/>
    <hyperlink ref="AY232" r:id="rId227" xr:uid="{1CEFE01A-8818-4D30-BEBC-018086A35D0E}"/>
    <hyperlink ref="AY233" r:id="rId228" xr:uid="{2232C221-92FE-425F-B3B6-C77A0B5A7C01}"/>
    <hyperlink ref="AY234" r:id="rId229" xr:uid="{E2F22033-DA96-4CF0-BCE2-C25472A062FB}"/>
    <hyperlink ref="AY235" r:id="rId230" xr:uid="{2279A262-FC25-4771-8701-3E5DACBC29A3}"/>
    <hyperlink ref="AY236" r:id="rId231" xr:uid="{FE93EB2B-4BB7-4FF2-A70A-7AFA68ADE7BF}"/>
    <hyperlink ref="AY237" r:id="rId232" xr:uid="{EB36E659-5ECF-4DD1-9D38-1FA778E4B834}"/>
    <hyperlink ref="AY238" r:id="rId233" xr:uid="{FF7726B6-4EB7-4C5F-AEE6-B5CFE2BA2155}"/>
    <hyperlink ref="AY239" r:id="rId234" xr:uid="{1B189B68-5AB7-4860-88BE-9FD424C887F1}"/>
    <hyperlink ref="AY240" r:id="rId235" xr:uid="{FA7BF08C-69BD-4A2B-A601-24FFD6CF109C}"/>
    <hyperlink ref="AY241" r:id="rId236" xr:uid="{49A24250-3E8C-4B31-8246-D00C2E59A771}"/>
    <hyperlink ref="AY242" r:id="rId237" xr:uid="{D83DBF4E-F786-464A-AE96-9F893F574CEA}"/>
    <hyperlink ref="AY243" r:id="rId238" xr:uid="{BB83832F-0188-480D-ADF3-1C8D106A5B9E}"/>
    <hyperlink ref="AY244" r:id="rId239" xr:uid="{B508285C-A09E-46F8-AF8D-BE7B051AAC9B}"/>
    <hyperlink ref="AY245" r:id="rId240" xr:uid="{25B45110-D4D7-40C3-9199-B2630ADB3A7A}"/>
    <hyperlink ref="AY246" r:id="rId241" xr:uid="{2A80B81A-2C23-41AC-B7B8-D4E5D26E7432}"/>
    <hyperlink ref="AY247" r:id="rId242" xr:uid="{E9D73A6B-F052-4BB2-A86A-114F570A1DE4}"/>
    <hyperlink ref="AY248" r:id="rId243" xr:uid="{ADDA02A1-B235-4C67-A378-45428693FB2E}"/>
    <hyperlink ref="AY249" r:id="rId244" xr:uid="{FA7ACDD3-4ED8-41F6-9BC1-51A6C9989186}"/>
    <hyperlink ref="AY250" r:id="rId245" xr:uid="{7F0B1598-A5CF-4945-92DE-AAF6349EB639}"/>
    <hyperlink ref="AY251" r:id="rId246" xr:uid="{0D825C9B-923B-4E61-9DB7-4DCEEDCEC612}"/>
    <hyperlink ref="AY252" r:id="rId247" xr:uid="{5221DFF6-FD99-4B76-83F0-0D30C77339D1}"/>
    <hyperlink ref="AY253" r:id="rId248" xr:uid="{4AFE7B0E-A2B1-471F-9EF3-2EE0E0F8979E}"/>
    <hyperlink ref="AY254" r:id="rId249" xr:uid="{072BE2E0-2D58-4D01-A203-5FA099A259EE}"/>
    <hyperlink ref="AY255" r:id="rId250" xr:uid="{CD272549-A22F-4855-A9B0-38345370EFB8}"/>
    <hyperlink ref="AY256" r:id="rId251" xr:uid="{2D4157DC-788A-4F25-98C4-C7403930F429}"/>
    <hyperlink ref="AY257" r:id="rId252" xr:uid="{F59129D3-C566-48C2-BC27-36AF2DC86D24}"/>
    <hyperlink ref="AY258" r:id="rId253" xr:uid="{C580C9B0-EAE6-4419-9F74-B380EC422E14}"/>
    <hyperlink ref="AY259" r:id="rId254" xr:uid="{AE0B742F-D87B-40B9-8735-B5C05311489F}"/>
    <hyperlink ref="AY260" r:id="rId255" xr:uid="{7737DA7E-EB10-4F0D-8172-269F418F362C}"/>
    <hyperlink ref="AY261" r:id="rId256" xr:uid="{BB37C7E4-6396-4B93-B4AE-C7162D45F1CD}"/>
    <hyperlink ref="AY262" r:id="rId257" xr:uid="{FD3FD5DA-BADB-428F-8C57-5A796B3DB8BC}"/>
    <hyperlink ref="AY263" r:id="rId258" xr:uid="{F414A79B-69EA-45A8-A313-8CA17E74EDAB}"/>
    <hyperlink ref="AY264" r:id="rId259" xr:uid="{9393C408-E0AD-44A7-A10C-EBFB81834F9B}"/>
    <hyperlink ref="AY265" r:id="rId260" xr:uid="{CB65EED4-1654-4FB7-B066-52791FE36160}"/>
    <hyperlink ref="AY266" r:id="rId261" xr:uid="{0B2C19AB-96D8-4413-8B41-6CA3CF40BC5C}"/>
    <hyperlink ref="AY267" r:id="rId262" xr:uid="{ED0E98D6-5A10-47A9-AC35-39DE9936B66F}"/>
    <hyperlink ref="AY268" r:id="rId263" xr:uid="{A19A056D-7D36-4517-A7DF-B0071D85A000}"/>
    <hyperlink ref="AY269" r:id="rId264" xr:uid="{F658388D-E591-4E18-AB1D-9BB51FBEA1BB}"/>
    <hyperlink ref="AY270" r:id="rId265" xr:uid="{9F508C16-AAFF-4F96-8F48-BC3F13F2DDAE}"/>
    <hyperlink ref="AY271" r:id="rId266" xr:uid="{B4DA26C3-ADBD-47CD-A592-EF9EDAF879D1}"/>
    <hyperlink ref="AY272" r:id="rId267" xr:uid="{4A555DF4-BFE9-4043-9185-718F4EEF7A44}"/>
    <hyperlink ref="AY273" r:id="rId268" xr:uid="{FA1E57E4-07B5-45AE-A8A0-DA4520230DD6}"/>
    <hyperlink ref="AY274" r:id="rId269" xr:uid="{604518C9-1402-4A98-AF2E-9DFC3727474C}"/>
    <hyperlink ref="AY275" r:id="rId270" xr:uid="{84A4DE1C-0587-410C-B50F-757898E7E421}"/>
    <hyperlink ref="AY276" r:id="rId271" xr:uid="{B53E5587-1364-401D-B488-F564BF2982E3}"/>
    <hyperlink ref="AY277" r:id="rId272" xr:uid="{C96332E8-31BD-4AE1-AAAC-01D69EFB696B}"/>
    <hyperlink ref="AY278" r:id="rId273" xr:uid="{2BFA4A8B-7A77-4E05-AF96-E9DB07A1027B}"/>
    <hyperlink ref="AY279" r:id="rId274" xr:uid="{4B1B187D-A5C5-45FF-8721-66A4D82D9021}"/>
    <hyperlink ref="AY280" r:id="rId275" xr:uid="{EF6DD62E-E288-4C7D-AD22-9340D3E1B7EB}"/>
    <hyperlink ref="AY281" r:id="rId276" xr:uid="{02ADA2DC-C994-48B1-84EE-9F24BA9A2AA7}"/>
    <hyperlink ref="AY282" r:id="rId277" xr:uid="{9CE40AB5-B99E-450A-8EE5-55F76F799BAB}"/>
    <hyperlink ref="AY283" r:id="rId278" xr:uid="{338F6971-1970-46B3-87ED-A61CE6BE34B8}"/>
    <hyperlink ref="AY284" r:id="rId279" xr:uid="{462CD649-6583-4724-A4DC-359D05B0DE59}"/>
    <hyperlink ref="AY285" r:id="rId280" xr:uid="{5B0568CD-D24D-406F-8891-4DB2E646B361}"/>
    <hyperlink ref="AY286" r:id="rId281" xr:uid="{4A3E1AAB-FC5F-4D60-B298-7CC199DACFB0}"/>
    <hyperlink ref="AY287" r:id="rId282" xr:uid="{ACF4E788-1E03-4F62-815A-C8A0A409A793}"/>
    <hyperlink ref="AY288" r:id="rId283" xr:uid="{DF546D75-860D-4B41-A5F2-64EE19E08AAE}"/>
    <hyperlink ref="AY289" r:id="rId284" xr:uid="{3E41397E-9ACC-40A3-8130-23207A4A0ED8}"/>
    <hyperlink ref="AY290" r:id="rId285" xr:uid="{B806E53F-6056-40F5-9A9A-A5A1B530F8E6}"/>
    <hyperlink ref="AY291" r:id="rId286" xr:uid="{1B201600-CA9E-43D1-8ACD-3796E33690BE}"/>
    <hyperlink ref="AY292" r:id="rId287" xr:uid="{B56C2FB9-68B9-4FFF-8853-3BB6166D8E0A}"/>
    <hyperlink ref="AY293" r:id="rId288" xr:uid="{F6A565CD-4749-4BA5-8B9C-93E3E5037311}"/>
    <hyperlink ref="AY294" r:id="rId289" xr:uid="{12214BA1-3A4E-4970-BA0E-D6AB1FED25C9}"/>
    <hyperlink ref="AY295" r:id="rId290" xr:uid="{09A7A16F-2448-49DF-B5E2-120233CEBD6E}"/>
    <hyperlink ref="AY296" r:id="rId291" xr:uid="{5283EE4C-18F8-4B25-91F9-53FF1BE9A575}"/>
    <hyperlink ref="AY297" r:id="rId292" xr:uid="{10CBF8F7-E98E-4DFC-85AC-8ED0ADBE53DF}"/>
    <hyperlink ref="AY298" r:id="rId293" xr:uid="{B08584B8-80FE-4B70-A3D7-AF1EA0A92A65}"/>
    <hyperlink ref="AY299" r:id="rId294" xr:uid="{0A7DD3CA-BB15-49D1-B9BA-27AA9C6EA4BA}"/>
    <hyperlink ref="AY300" r:id="rId295" xr:uid="{591B0A66-B204-4964-A606-52C47093CF56}"/>
    <hyperlink ref="AY301" r:id="rId296" xr:uid="{47DDFE99-8A20-4017-8718-EC05111B9CB7}"/>
    <hyperlink ref="AY302" r:id="rId297" xr:uid="{01ADC651-982B-4FC3-873A-3A2F21C0EC1A}"/>
    <hyperlink ref="AY303" r:id="rId298" xr:uid="{40C8683C-600F-4858-A832-3CAD12D21B44}"/>
    <hyperlink ref="AY304" r:id="rId299" xr:uid="{4CC84006-39EF-46EA-8BB6-ED7BC5259B71}"/>
    <hyperlink ref="AY305" r:id="rId300" xr:uid="{BD59418C-09EB-45FB-9257-18D058301D9D}"/>
    <hyperlink ref="AY306" r:id="rId301" xr:uid="{90A7BF1A-4C99-4370-9002-F876CD1252ED}"/>
    <hyperlink ref="AY307" r:id="rId302" xr:uid="{895EA268-315B-4B57-8C8A-67FD685D4529}"/>
    <hyperlink ref="AY308" r:id="rId303" xr:uid="{9D9F583B-0C18-4906-A7BD-306B3E716E9C}"/>
    <hyperlink ref="AY309" r:id="rId304" xr:uid="{83546B6D-C253-48FD-A730-9A2E196577DB}"/>
    <hyperlink ref="AY310" r:id="rId305" xr:uid="{CBC1F0A3-79B6-4876-B34B-D040E1CEBA87}"/>
    <hyperlink ref="AY311" r:id="rId306" xr:uid="{C2E1C4C4-FC19-414F-AF0E-60FEF5D88ABA}"/>
    <hyperlink ref="AY312" r:id="rId307" xr:uid="{A1650683-C00F-48A7-8528-EC2DB668395A}"/>
    <hyperlink ref="AY313" r:id="rId308" xr:uid="{964D2756-46D8-4522-96E3-A958AD9720CA}"/>
    <hyperlink ref="AY314" r:id="rId309" xr:uid="{05F9BB98-850A-4823-8DC2-2BBC1EC691CB}"/>
  </hyperlinks>
  <pageMargins left="0.70866141732283472" right="0.70866141732283472" top="0.74803149606299213" bottom="0.74803149606299213" header="0.31496062992125984" footer="0.31496062992125984"/>
  <pageSetup paperSize="9" scale="40" fitToHeight="0" orientation="landscape" r:id="rId310"/>
  <drawing r:id="rId3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c4ae73-feee-4b08-8299-925a9ffce271">
      <Terms xmlns="http://schemas.microsoft.com/office/infopath/2007/PartnerControls"/>
    </lcf76f155ced4ddcb4097134ff3c332f>
    <TaxCatchAll xmlns="da4956c3-60ed-4d23-a234-079075bffdf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elge" ma:contentTypeID="0x0101000485DA5CDC8C194E871CDD3F8A9A1EF2" ma:contentTypeVersion="19" ma:contentTypeDescription="Yeni belge oluşturun." ma:contentTypeScope="" ma:versionID="ccac4b377a57598aad4db88212e822b2">
  <xsd:schema xmlns:xsd="http://www.w3.org/2001/XMLSchema" xmlns:xs="http://www.w3.org/2001/XMLSchema" xmlns:p="http://schemas.microsoft.com/office/2006/metadata/properties" xmlns:ns2="09c4ae73-feee-4b08-8299-925a9ffce271" xmlns:ns3="da4956c3-60ed-4d23-a234-079075bffdfa" targetNamespace="http://schemas.microsoft.com/office/2006/metadata/properties" ma:root="true" ma:fieldsID="38119d9470126e03a934f4ce603d8a3a" ns2:_="" ns3:_="">
    <xsd:import namespace="09c4ae73-feee-4b08-8299-925a9ffce271"/>
    <xsd:import namespace="da4956c3-60ed-4d23-a234-079075bff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4ae73-feee-4b08-8299-925a9ffce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Resim Etiketleri" ma:readOnly="false" ma:fieldId="{5cf76f15-5ced-4ddc-b409-7134ff3c332f}" ma:taxonomyMulti="true" ma:sspId="d360a35d-1e96-46a3-a1bf-3513495fae3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956c3-60ed-4d23-a234-079075bffdfa"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TaxCatchAll" ma:index="21" nillable="true" ma:displayName="Taxonomy Catch All Column" ma:hidden="true" ma:list="{55228566-15da-4812-9066-219de172a91e}" ma:internalName="TaxCatchAll" ma:showField="CatchAllData" ma:web="da4956c3-60ed-4d23-a234-079075bffd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42B927-4703-4C57-8E48-092D56316B6E}"/>
</file>

<file path=customXml/itemProps2.xml><?xml version="1.0" encoding="utf-8"?>
<ds:datastoreItem xmlns:ds="http://schemas.openxmlformats.org/officeDocument/2006/customXml" ds:itemID="{210896B4-BCF1-447F-A900-F478AF00E53F}"/>
</file>

<file path=customXml/itemProps3.xml><?xml version="1.0" encoding="utf-8"?>
<ds:datastoreItem xmlns:ds="http://schemas.openxmlformats.org/officeDocument/2006/customXml" ds:itemID="{A7C7214E-C7D3-4079-A72F-7A8AAE5220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ÇIBUK;Fatih Elvanoğlu</dc:creator>
  <cp:keywords/>
  <dc:description/>
  <cp:lastModifiedBy/>
  <cp:revision/>
  <dcterms:created xsi:type="dcterms:W3CDTF">2014-12-14T06:28:06Z</dcterms:created>
  <dcterms:modified xsi:type="dcterms:W3CDTF">2026-01-04T19:28:18Z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