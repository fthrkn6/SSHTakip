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codeName="BuÇalışmaKitabı" defaultThemeVersion="166925"/>
  <mc:AlternateContent xmlns:mc="http://schemas.openxmlformats.org/markup-compatibility/2006">
    <mc:Choice Requires="x15">
      <x15ac:absPath xmlns:x15ac="http://schemas.microsoft.com/office/spreadsheetml/2010/11/ac" url="C:\Users\ferki\Desktop\bozankaya_ssh_takip\data\belgrad\"/>
    </mc:Choice>
  </mc:AlternateContent>
  <xr:revisionPtr revIDLastSave="0" documentId="13_ncr:1_{288BB5ED-2149-4D5C-A2BA-9F358E246D66}" xr6:coauthVersionLast="47" xr6:coauthVersionMax="47" xr10:uidLastSave="{00000000-0000-0000-0000-000000000000}"/>
  <bookViews>
    <workbookView xWindow="-120" yWindow="-120" windowWidth="29040" windowHeight="15840" tabRatio="785" xr2:uid="{00000000-000D-0000-FFFF-FFFF00000000}"/>
  </bookViews>
  <sheets>
    <sheet name="FRACAS" sheetId="167" r:id="rId1"/>
  </sheets>
  <externalReferences>
    <externalReference r:id="rId2"/>
    <externalReference r:id="rId3"/>
    <externalReference r:id="rId4"/>
  </externalReferences>
  <definedNames>
    <definedName name="_xlnm._FilterDatabase" localSheetId="0" hidden="1">FRACAS!$A$4:$AB$161</definedName>
    <definedName name="Ana_Kompanent">#REF!</definedName>
    <definedName name="Ant_2">#REF!</definedName>
    <definedName name="Araç_Şase">#REF!</definedName>
    <definedName name="Araç_Şase_Numaraları">#REF!</definedName>
    <definedName name="Araç_Tipi">#REF!</definedName>
    <definedName name="Assembly_Line">#REF!</definedName>
    <definedName name="Auxiliary_Power_Unit">#REF!</definedName>
    <definedName name="Batarya">#REF!</definedName>
    <definedName name="Bogie">#REF!</definedName>
    <definedName name="Boji">#REF!</definedName>
    <definedName name="BOZANKAYA_Design">#REF!</definedName>
    <definedName name="Bölüm">#REF!</definedName>
    <definedName name="Brake_System">#REF!</definedName>
    <definedName name="CCTV">#REF!</definedName>
    <definedName name="Chassis_Design">#REF!</definedName>
    <definedName name="Chassis_Production">#REF!</definedName>
    <definedName name="Chassis_Quality">#REF!</definedName>
    <definedName name="Chassis_Quality_Controls">#REF!</definedName>
    <definedName name="Couplers">#REF!</definedName>
    <definedName name="Department">#REF!</definedName>
    <definedName name="Door_System">#REF!</definedName>
    <definedName name="Driver_HVAC_System">#REF!</definedName>
    <definedName name="E_Kabinet">#REF!</definedName>
    <definedName name="Electrical_Design">#REF!</definedName>
    <definedName name="Electromechanic_Tasarım">#REF!</definedName>
    <definedName name="Elektrik_Tasarım">#REF!</definedName>
    <definedName name="External_Light">#REF!</definedName>
    <definedName name="External_Trim">#REF!</definedName>
    <definedName name="Gangway_Articulation">#REF!</definedName>
    <definedName name="Gearbox">#REF!</definedName>
    <definedName name="Giriş_Kalite_Kontrol">#REF!</definedName>
    <definedName name="HataDurumu">'[1]Hata Durumu'!$B$2:$B$4</definedName>
    <definedName name="HataGidermeYöntemi1">'[1]Hata Giderme Yöntemi'!$B$2:$B$5</definedName>
    <definedName name="HataKaynağı">'[1]Hata Kaynağı'!$B$2:$B$5</definedName>
    <definedName name="HMI">#REF!</definedName>
    <definedName name="Horn_Bell">#REF!</definedName>
    <definedName name="HSCB">#REF!</definedName>
    <definedName name="IASI_16">#REF!</definedName>
    <definedName name="Internal_Light">#REF!</definedName>
    <definedName name="Internal_Trim">#REF!</definedName>
    <definedName name="Intervall_IS1_Name">[2]Overview!$H$30</definedName>
    <definedName name="Intervall_IS2_Name">[2]Overview!$H$31</definedName>
    <definedName name="Intervall_IS2I_Name">[2]Overview!$H$32</definedName>
    <definedName name="Intervall_IS2II_Name">[2]Overview!$H$33</definedName>
    <definedName name="Intervall_IS3_Name">[2]Overview!$H$34</definedName>
    <definedName name="Intervall_IS4_Name">[2]Overview!$H$35</definedName>
    <definedName name="Intervall_ÜH1_Name">[2]Overview!$H$36</definedName>
    <definedName name="Intervall_ÜH2_Name">[2]Overview!$H$37</definedName>
    <definedName name="İncoming_Quality">#REF!</definedName>
    <definedName name="İncoming_Quality_Controls">#REF!</definedName>
    <definedName name="Kabin_Masası">#REF!</definedName>
    <definedName name="Kablo_Kanalı">#REF!</definedName>
    <definedName name="KAY_5_6">#REF!</definedName>
    <definedName name="KOC_10">#REF!</definedName>
    <definedName name="Lubrication_System">#REF!</definedName>
    <definedName name="Master_Controler">#REF!</definedName>
    <definedName name="Mechanical_Design">#REF!</definedName>
    <definedName name="Mekanik_Tasarım">#REF!</definedName>
    <definedName name="Model">#REF!</definedName>
    <definedName name="Motor">#REF!</definedName>
    <definedName name="Other">#REF!</definedName>
    <definedName name="Other_Department">#REF!</definedName>
    <definedName name="Pantograf">#REF!</definedName>
    <definedName name="Passenger_HVAC_System">#REF!</definedName>
    <definedName name="Passenger_Information">#REF!</definedName>
    <definedName name="Process_And_Final_Quality">#REF!</definedName>
    <definedName name="Process_Quality_Controls">#REF!</definedName>
    <definedName name="Production_And_Test">#REF!</definedName>
    <definedName name="Projeler">#REF!</definedName>
    <definedName name="Reported_By">#REF!</definedName>
    <definedName name="Sanding_System">#REF!</definedName>
    <definedName name="SIEMENS">#REF!</definedName>
    <definedName name="Sinyal">#REF!</definedName>
    <definedName name="Suspantion_Damper">#REF!</definedName>
    <definedName name="Şasi">#REF!</definedName>
    <definedName name="TCMS">#REF!</definedName>
    <definedName name="TIM_16_24">#REF!</definedName>
    <definedName name="TIM_1624">#REF!</definedName>
    <definedName name="Traction_Converter">#REF!</definedName>
    <definedName name="Trim_Design">#REF!</definedName>
    <definedName name="Trim_Tasarım">#REF!</definedName>
    <definedName name="Üretim">#REF!</definedName>
    <definedName name="Üretim_Depo">#REF!</definedName>
    <definedName name="Wiper_System">#REF!</definedName>
    <definedName name="_xlnm.Print_Area" localSheetId="0">FRACAS!$E$1:$X$7</definedName>
    <definedName name="_xlnm.Print_Titles" localSheetId="0">FRACAS!$1:$2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6" i="167" l="1"/>
  <c r="X47" i="167"/>
  <c r="Z48" i="167"/>
  <c r="Y51" i="167"/>
  <c r="AA58" i="167"/>
  <c r="X59" i="167"/>
  <c r="Z60" i="167"/>
  <c r="Y63" i="167"/>
  <c r="AA70" i="167"/>
  <c r="X71" i="167"/>
  <c r="Z72" i="167"/>
  <c r="Y75" i="167"/>
  <c r="AA82" i="167"/>
  <c r="X83" i="167"/>
  <c r="Z84" i="167"/>
  <c r="Y87" i="167"/>
  <c r="AA94" i="167"/>
  <c r="X95" i="167"/>
  <c r="Z96" i="167"/>
  <c r="Y99" i="167"/>
  <c r="AA106" i="167"/>
  <c r="X107" i="167"/>
  <c r="Z108" i="167"/>
  <c r="Y111" i="167"/>
  <c r="AA118" i="167"/>
  <c r="X119" i="167"/>
  <c r="Z120" i="167"/>
  <c r="Y123" i="167"/>
  <c r="AA130" i="167"/>
  <c r="X131" i="167"/>
  <c r="Z132" i="167"/>
  <c r="Y135" i="167"/>
  <c r="AA142" i="167"/>
  <c r="X143" i="167"/>
  <c r="Z144" i="167"/>
  <c r="Y147" i="167"/>
  <c r="AA154" i="167"/>
  <c r="X155" i="167"/>
  <c r="Z156" i="167"/>
  <c r="Y159" i="167"/>
  <c r="Q44" i="167"/>
  <c r="Q56" i="167"/>
  <c r="Q68" i="167"/>
  <c r="Q80" i="167"/>
  <c r="Q92" i="167"/>
  <c r="Q104" i="167"/>
  <c r="Q116" i="167"/>
  <c r="Q128" i="167"/>
  <c r="Q140" i="167"/>
  <c r="Q152" i="167"/>
  <c r="N50" i="167"/>
  <c r="N62" i="167"/>
  <c r="N74" i="167"/>
  <c r="N86" i="167"/>
  <c r="N98" i="167"/>
  <c r="N110" i="167"/>
  <c r="N122" i="167"/>
  <c r="N134" i="167"/>
  <c r="N146" i="167"/>
  <c r="N158" i="167"/>
  <c r="O47" i="167"/>
  <c r="O59" i="167"/>
  <c r="O71" i="167"/>
  <c r="O83" i="167"/>
  <c r="O95" i="167"/>
  <c r="O107" i="167"/>
  <c r="O119" i="167"/>
  <c r="O131" i="167"/>
  <c r="O143" i="167"/>
  <c r="O155" i="167"/>
  <c r="I53" i="167"/>
  <c r="I65" i="167"/>
  <c r="I77" i="167"/>
  <c r="I89" i="167"/>
  <c r="I101" i="167"/>
  <c r="I113" i="167"/>
  <c r="I125" i="167"/>
  <c r="I137" i="167"/>
  <c r="I149" i="167"/>
  <c r="I161" i="167"/>
  <c r="J155" i="167"/>
  <c r="J143" i="167"/>
  <c r="J131" i="167"/>
  <c r="J119" i="167"/>
  <c r="J107" i="167"/>
  <c r="J95" i="167"/>
  <c r="G161" i="167"/>
  <c r="G149" i="167"/>
  <c r="G137" i="167"/>
  <c r="G125" i="167"/>
  <c r="G113" i="167"/>
  <c r="G101" i="167"/>
  <c r="G89" i="167"/>
  <c r="G77" i="167"/>
  <c r="G65" i="167"/>
  <c r="G53" i="167"/>
  <c r="G41" i="167"/>
  <c r="D7" i="167"/>
  <c r="E14" i="167"/>
  <c r="B17" i="167"/>
  <c r="D19" i="167"/>
  <c r="A22" i="167"/>
  <c r="E26" i="167"/>
  <c r="B29" i="167"/>
  <c r="D31" i="167"/>
  <c r="A34" i="167"/>
  <c r="E38" i="167"/>
  <c r="B41" i="167"/>
  <c r="D43" i="167"/>
  <c r="A46" i="167"/>
  <c r="C48" i="167"/>
  <c r="E50" i="167"/>
  <c r="B53" i="167"/>
  <c r="D55" i="167"/>
  <c r="A58" i="167"/>
  <c r="C60" i="167"/>
  <c r="E62" i="167"/>
  <c r="B65" i="167"/>
  <c r="D67" i="167"/>
  <c r="A70" i="167"/>
  <c r="C72" i="167"/>
  <c r="E74" i="167"/>
  <c r="B77" i="167"/>
  <c r="D79" i="167"/>
  <c r="A82" i="167"/>
  <c r="C84" i="167"/>
  <c r="B125" i="167"/>
  <c r="D127" i="167"/>
  <c r="A130" i="167"/>
  <c r="C132" i="167"/>
  <c r="E134" i="167"/>
  <c r="B137" i="167"/>
  <c r="D139" i="167"/>
  <c r="A142" i="167"/>
  <c r="C144" i="167"/>
  <c r="E146" i="167"/>
  <c r="B149" i="167"/>
  <c r="D151" i="167"/>
  <c r="A154" i="167"/>
  <c r="C156" i="167"/>
  <c r="E158" i="167"/>
  <c r="B161" i="167"/>
  <c r="P161" i="167" l="1"/>
  <c r="P149" i="167"/>
  <c r="P137" i="167"/>
  <c r="P125" i="167"/>
  <c r="P113" i="167"/>
  <c r="P101" i="167"/>
  <c r="P89" i="167"/>
  <c r="P77" i="167"/>
  <c r="P65" i="167"/>
  <c r="P53" i="167"/>
  <c r="P41" i="167"/>
  <c r="P29" i="167"/>
  <c r="P17" i="167"/>
  <c r="R155" i="167"/>
  <c r="Y79" i="167"/>
  <c r="I41" i="167"/>
  <c r="N161" i="167"/>
  <c r="N149" i="167"/>
  <c r="N137" i="167"/>
  <c r="N125" i="167"/>
  <c r="N113" i="167"/>
  <c r="N101" i="167"/>
  <c r="N89" i="167"/>
  <c r="N77" i="167"/>
  <c r="N65" i="167"/>
  <c r="N53" i="167"/>
  <c r="N41" i="167"/>
  <c r="N29" i="167"/>
  <c r="N17" i="167"/>
  <c r="Q155" i="167"/>
  <c r="Q143" i="167"/>
  <c r="Q131" i="167"/>
  <c r="Q119" i="167"/>
  <c r="Q107" i="167"/>
  <c r="Q95" i="167"/>
  <c r="Q83" i="167"/>
  <c r="Q71" i="167"/>
  <c r="Q59" i="167"/>
  <c r="Q47" i="167"/>
  <c r="Q35" i="167"/>
  <c r="Q23" i="167"/>
  <c r="Q11" i="167"/>
  <c r="Z159" i="167"/>
  <c r="X158" i="167"/>
  <c r="AA157" i="167"/>
  <c r="Y150" i="167"/>
  <c r="Z147" i="167"/>
  <c r="X146" i="167"/>
  <c r="AA145" i="167"/>
  <c r="Y138" i="167"/>
  <c r="Z135" i="167"/>
  <c r="X134" i="167"/>
  <c r="AA133" i="167"/>
  <c r="Y126" i="167"/>
  <c r="Z123" i="167"/>
  <c r="X122" i="167"/>
  <c r="AA121" i="167"/>
  <c r="Y114" i="167"/>
  <c r="I158" i="167"/>
  <c r="I146" i="167"/>
  <c r="I134" i="167"/>
  <c r="I122" i="167"/>
  <c r="I110" i="167"/>
  <c r="I98" i="167"/>
  <c r="I86" i="167"/>
  <c r="I74" i="167"/>
  <c r="I62" i="167"/>
  <c r="I50" i="167"/>
  <c r="I38" i="167"/>
  <c r="O152" i="167"/>
  <c r="O140" i="167"/>
  <c r="O128" i="167"/>
  <c r="O116" i="167"/>
  <c r="O104" i="167"/>
  <c r="O92" i="167"/>
  <c r="O80" i="167"/>
  <c r="O68" i="167"/>
  <c r="O56" i="167"/>
  <c r="O44" i="167"/>
  <c r="O32" i="167"/>
  <c r="O20" i="167"/>
  <c r="M19" i="167"/>
  <c r="M115" i="167"/>
  <c r="M79" i="167"/>
  <c r="F8" i="167"/>
  <c r="F20" i="167"/>
  <c r="F32" i="167"/>
  <c r="F44" i="167"/>
  <c r="F56" i="167"/>
  <c r="F68" i="167"/>
  <c r="F80" i="167"/>
  <c r="F92" i="167"/>
  <c r="F104" i="167"/>
  <c r="F116" i="167"/>
  <c r="F128" i="167"/>
  <c r="F140" i="167"/>
  <c r="F152" i="167"/>
  <c r="G44" i="167"/>
  <c r="G56" i="167"/>
  <c r="G68" i="167"/>
  <c r="G80" i="167"/>
  <c r="G92" i="167"/>
  <c r="G104" i="167"/>
  <c r="G116" i="167"/>
  <c r="G128" i="167"/>
  <c r="G140" i="167"/>
  <c r="G152" i="167"/>
  <c r="J14" i="167"/>
  <c r="J26" i="167"/>
  <c r="J38" i="167"/>
  <c r="J50" i="167"/>
  <c r="J62" i="167"/>
  <c r="J74" i="167"/>
  <c r="J86" i="167"/>
  <c r="J98" i="167"/>
  <c r="J110" i="167"/>
  <c r="J122" i="167"/>
  <c r="J134" i="167"/>
  <c r="J146" i="167"/>
  <c r="J158" i="167"/>
  <c r="M8" i="167"/>
  <c r="M20" i="167"/>
  <c r="M32" i="167"/>
  <c r="M44" i="167"/>
  <c r="M56" i="167"/>
  <c r="M68" i="167"/>
  <c r="M80" i="167"/>
  <c r="M92" i="167"/>
  <c r="M104" i="167"/>
  <c r="M116" i="167"/>
  <c r="M128" i="167"/>
  <c r="M140" i="167"/>
  <c r="M152" i="167"/>
  <c r="M103" i="167"/>
  <c r="M7" i="167"/>
  <c r="M127" i="167"/>
  <c r="K154" i="167"/>
  <c r="U152" i="167"/>
  <c r="L150" i="167" a="1"/>
  <c r="L150" i="167" s="1"/>
  <c r="K142" i="167"/>
  <c r="U140" i="167"/>
  <c r="L138" i="167" a="1"/>
  <c r="L138" i="167" s="1"/>
  <c r="K130" i="167"/>
  <c r="U128" i="167"/>
  <c r="L126" i="167" a="1"/>
  <c r="L126" i="167" s="1"/>
  <c r="K118" i="167"/>
  <c r="U116" i="167"/>
  <c r="L114" i="167" a="1"/>
  <c r="L114" i="167" s="1"/>
  <c r="K106" i="167"/>
  <c r="U104" i="167"/>
  <c r="L102" i="167" a="1"/>
  <c r="L102" i="167" s="1"/>
  <c r="K94" i="167"/>
  <c r="U92" i="167"/>
  <c r="L90" i="167" a="1"/>
  <c r="L90" i="167" s="1"/>
  <c r="K82" i="167"/>
  <c r="U80" i="167"/>
  <c r="L78" i="167" a="1"/>
  <c r="L78" i="167" s="1"/>
  <c r="K70" i="167"/>
  <c r="U68" i="167"/>
  <c r="L66" i="167" a="1"/>
  <c r="L66" i="167" s="1"/>
  <c r="K58" i="167"/>
  <c r="U56" i="167"/>
  <c r="M67" i="167"/>
  <c r="M139" i="167"/>
  <c r="M31" i="167"/>
  <c r="M151" i="167"/>
  <c r="M91" i="167"/>
  <c r="M43" i="167"/>
  <c r="M55" i="167"/>
  <c r="L54" i="167" a="1"/>
  <c r="L54" i="167" s="1"/>
  <c r="K46" i="167"/>
  <c r="U44" i="167"/>
  <c r="L42" i="167" a="1"/>
  <c r="L42" i="167" s="1"/>
  <c r="K34" i="167"/>
  <c r="U32" i="167"/>
  <c r="K22" i="167"/>
  <c r="I150" i="167"/>
  <c r="I138" i="167"/>
  <c r="I126" i="167"/>
  <c r="I114" i="167"/>
  <c r="I102" i="167"/>
  <c r="I90" i="167"/>
  <c r="I78" i="167"/>
  <c r="I66" i="167"/>
  <c r="I54" i="167"/>
  <c r="I42" i="167"/>
  <c r="O156" i="167"/>
  <c r="O144" i="167"/>
  <c r="O132" i="167"/>
  <c r="O120" i="167"/>
  <c r="O108" i="167"/>
  <c r="O96" i="167"/>
  <c r="O84" i="167"/>
  <c r="O72" i="167"/>
  <c r="O60" i="167"/>
  <c r="O48" i="167"/>
  <c r="O36" i="167"/>
  <c r="N150" i="167"/>
  <c r="N138" i="167"/>
  <c r="N126" i="167"/>
  <c r="N114" i="167"/>
  <c r="N102" i="167"/>
  <c r="N90" i="167"/>
  <c r="N78" i="167"/>
  <c r="N66" i="167"/>
  <c r="N54" i="167"/>
  <c r="N42" i="167"/>
  <c r="N30" i="167"/>
  <c r="Z160" i="167"/>
  <c r="X159" i="167"/>
  <c r="AA158" i="167"/>
  <c r="Y151" i="167"/>
  <c r="Z148" i="167"/>
  <c r="X147" i="167"/>
  <c r="AA146" i="167"/>
  <c r="Y139" i="167"/>
  <c r="Z136" i="167"/>
  <c r="X135" i="167"/>
  <c r="AA134" i="167"/>
  <c r="Y103" i="167"/>
  <c r="Z100" i="167"/>
  <c r="X99" i="167"/>
  <c r="AA98" i="167"/>
  <c r="Y91" i="167"/>
  <c r="Z88" i="167"/>
  <c r="X87" i="167"/>
  <c r="AA86" i="167"/>
  <c r="Z76" i="167"/>
  <c r="X75" i="167"/>
  <c r="AA74" i="167"/>
  <c r="Z36" i="167"/>
  <c r="AA34" i="167"/>
  <c r="P160" i="167"/>
  <c r="P148" i="167"/>
  <c r="P136" i="167"/>
  <c r="N152" i="167"/>
  <c r="N140" i="167"/>
  <c r="N128" i="167"/>
  <c r="N116" i="167"/>
  <c r="N104" i="167"/>
  <c r="N92" i="167"/>
  <c r="N80" i="167"/>
  <c r="N68" i="167"/>
  <c r="N56" i="167"/>
  <c r="N44" i="167"/>
  <c r="Q158" i="167"/>
  <c r="Q146" i="167"/>
  <c r="Q134" i="167"/>
  <c r="Q122" i="167"/>
  <c r="Q110" i="167"/>
  <c r="Q98" i="167"/>
  <c r="Q86" i="167"/>
  <c r="Q74" i="167"/>
  <c r="Q62" i="167"/>
  <c r="Q50" i="167"/>
  <c r="X161" i="167"/>
  <c r="AA160" i="167"/>
  <c r="P74" i="167"/>
  <c r="P62" i="167"/>
  <c r="P50" i="167"/>
  <c r="Y127" i="167"/>
  <c r="Z124" i="167"/>
  <c r="X123" i="167"/>
  <c r="AA122" i="167"/>
  <c r="Y115" i="167"/>
  <c r="Z112" i="167"/>
  <c r="X111" i="167"/>
  <c r="AA110" i="167"/>
  <c r="Y67" i="167"/>
  <c r="Z64" i="167"/>
  <c r="X63" i="167"/>
  <c r="AA62" i="167"/>
  <c r="K159" i="167"/>
  <c r="U157" i="167"/>
  <c r="L155" i="167" a="1"/>
  <c r="L155" i="167" s="1"/>
  <c r="K147" i="167"/>
  <c r="U145" i="167"/>
  <c r="L143" i="167" a="1"/>
  <c r="L143" i="167" s="1"/>
  <c r="K135" i="167"/>
  <c r="U133" i="167"/>
  <c r="L131" i="167" a="1"/>
  <c r="L131" i="167" s="1"/>
  <c r="K123" i="167"/>
  <c r="U121" i="167"/>
  <c r="L119" i="167" a="1"/>
  <c r="L119" i="167" s="1"/>
  <c r="K111" i="167"/>
  <c r="U109" i="167"/>
  <c r="L107" i="167" a="1"/>
  <c r="L107" i="167" s="1"/>
  <c r="K99" i="167"/>
  <c r="U97" i="167"/>
  <c r="L95" i="167" a="1"/>
  <c r="L95" i="167" s="1"/>
  <c r="K87" i="167"/>
  <c r="U85" i="167"/>
  <c r="L83" i="167" a="1"/>
  <c r="L83" i="167" s="1"/>
  <c r="K75" i="167"/>
  <c r="U73" i="167"/>
  <c r="L71" i="167" a="1"/>
  <c r="L71" i="167" s="1"/>
  <c r="K63" i="167"/>
  <c r="U61" i="167"/>
  <c r="L59" i="167" a="1"/>
  <c r="L59" i="167" s="1"/>
  <c r="K51" i="167"/>
  <c r="U49" i="167"/>
  <c r="L47" i="167" a="1"/>
  <c r="L47" i="167" s="1"/>
  <c r="I159" i="167"/>
  <c r="I147" i="167"/>
  <c r="I135" i="167"/>
  <c r="I123" i="167"/>
  <c r="I111" i="167"/>
  <c r="I99" i="167"/>
  <c r="I87" i="167"/>
  <c r="I75" i="167"/>
  <c r="I63" i="167"/>
  <c r="I51" i="167"/>
  <c r="I27" i="167"/>
  <c r="I15" i="167"/>
  <c r="O153" i="167"/>
  <c r="O141" i="167"/>
  <c r="O129" i="167"/>
  <c r="O117" i="167"/>
  <c r="O105" i="167"/>
  <c r="O93" i="167"/>
  <c r="O81" i="167"/>
  <c r="O69" i="167"/>
  <c r="O57" i="167"/>
  <c r="O45" i="167"/>
  <c r="O33" i="167"/>
  <c r="O21" i="167"/>
  <c r="O9" i="167"/>
  <c r="N159" i="167"/>
  <c r="N147" i="167"/>
  <c r="N135" i="167"/>
  <c r="N123" i="167"/>
  <c r="N111" i="167"/>
  <c r="N99" i="167"/>
  <c r="N87" i="167"/>
  <c r="N75" i="167"/>
  <c r="N63" i="167"/>
  <c r="N51" i="167"/>
  <c r="Q153" i="167"/>
  <c r="Q141" i="167"/>
  <c r="Q129" i="167"/>
  <c r="Q117" i="167"/>
  <c r="Q105" i="167"/>
  <c r="Q93" i="167"/>
  <c r="Q81" i="167"/>
  <c r="Q69" i="167"/>
  <c r="Q57" i="167"/>
  <c r="Q45" i="167"/>
  <c r="Y160" i="167"/>
  <c r="Z157" i="167"/>
  <c r="X156" i="167"/>
  <c r="AA155" i="167"/>
  <c r="Y148" i="167"/>
  <c r="Z145" i="167"/>
  <c r="X144" i="167"/>
  <c r="AA143" i="167"/>
  <c r="Y136" i="167"/>
  <c r="Z133" i="167"/>
  <c r="X132" i="167"/>
  <c r="A160" i="167"/>
  <c r="D157" i="167"/>
  <c r="B155" i="167"/>
  <c r="E152" i="167"/>
  <c r="C150" i="167"/>
  <c r="A148" i="167"/>
  <c r="D145" i="167"/>
  <c r="B143" i="167"/>
  <c r="E140" i="167"/>
  <c r="C138" i="167"/>
  <c r="A136" i="167"/>
  <c r="D133" i="167"/>
  <c r="B131" i="167"/>
  <c r="E128" i="167"/>
  <c r="C126" i="167"/>
  <c r="A124" i="167"/>
  <c r="D121" i="167"/>
  <c r="B119" i="167"/>
  <c r="E116" i="167"/>
  <c r="C114" i="167"/>
  <c r="A112" i="167"/>
  <c r="D109" i="167"/>
  <c r="B107" i="167"/>
  <c r="E104" i="167"/>
  <c r="C102" i="167"/>
  <c r="A100" i="167"/>
  <c r="D97" i="167"/>
  <c r="B95" i="167"/>
  <c r="E92" i="167"/>
  <c r="C90" i="167"/>
  <c r="A88" i="167"/>
  <c r="D85" i="167"/>
  <c r="B83" i="167"/>
  <c r="E80" i="167"/>
  <c r="C78" i="167"/>
  <c r="A76" i="167"/>
  <c r="D73" i="167"/>
  <c r="B71" i="167"/>
  <c r="E68" i="167"/>
  <c r="C66" i="167"/>
  <c r="A64" i="167"/>
  <c r="D61" i="167"/>
  <c r="B59" i="167"/>
  <c r="E56" i="167"/>
  <c r="C54" i="167"/>
  <c r="A52" i="167"/>
  <c r="D49" i="167"/>
  <c r="B47" i="167"/>
  <c r="E44" i="167"/>
  <c r="C36" i="167"/>
  <c r="C24" i="167"/>
  <c r="C12" i="167"/>
  <c r="A10" i="167"/>
  <c r="N32" i="167"/>
  <c r="N20" i="167"/>
  <c r="N8" i="167"/>
  <c r="Q38" i="167"/>
  <c r="Q26" i="167"/>
  <c r="Q14" i="167"/>
  <c r="L30" i="167" a="1"/>
  <c r="L30" i="167" s="1"/>
  <c r="U20" i="167"/>
  <c r="L18" i="167" a="1"/>
  <c r="L18" i="167" s="1"/>
  <c r="K10" i="167"/>
  <c r="I30" i="167"/>
  <c r="O24" i="167"/>
  <c r="O12" i="167"/>
  <c r="K39" i="167"/>
  <c r="U37" i="167"/>
  <c r="L35" i="167" a="1"/>
  <c r="L35" i="167" s="1"/>
  <c r="K27" i="167"/>
  <c r="U25" i="167"/>
  <c r="L23" i="167" a="1"/>
  <c r="L23" i="167" s="1"/>
  <c r="K15" i="167"/>
  <c r="U13" i="167"/>
  <c r="L11" i="167" a="1"/>
  <c r="L11" i="167" s="1"/>
  <c r="I29" i="167"/>
  <c r="I17" i="167"/>
  <c r="O35" i="167"/>
  <c r="O23" i="167"/>
  <c r="O11" i="167"/>
  <c r="I39" i="167"/>
  <c r="N39" i="167"/>
  <c r="N27" i="167"/>
  <c r="N15" i="167"/>
  <c r="Q33" i="167"/>
  <c r="Q21" i="167"/>
  <c r="Q9" i="167"/>
  <c r="O8" i="167"/>
  <c r="N38" i="167"/>
  <c r="N26" i="167"/>
  <c r="N14" i="167"/>
  <c r="Q32" i="167"/>
  <c r="Q20" i="167"/>
  <c r="Q8" i="167"/>
  <c r="Y39" i="167"/>
  <c r="X35" i="167"/>
  <c r="Y27" i="167"/>
  <c r="D161" i="167"/>
  <c r="B159" i="167"/>
  <c r="E156" i="167"/>
  <c r="C154" i="167"/>
  <c r="A152" i="167"/>
  <c r="D149" i="167"/>
  <c r="B147" i="167"/>
  <c r="E144" i="167"/>
  <c r="C142" i="167"/>
  <c r="A140" i="167"/>
  <c r="D137" i="167"/>
  <c r="B135" i="167"/>
  <c r="E132" i="167"/>
  <c r="C130" i="167"/>
  <c r="A128" i="167"/>
  <c r="D125" i="167"/>
  <c r="B123" i="167"/>
  <c r="E120" i="167"/>
  <c r="C118" i="167"/>
  <c r="A116" i="167"/>
  <c r="M17" i="167"/>
  <c r="M29" i="167"/>
  <c r="M41" i="167"/>
  <c r="M53" i="167"/>
  <c r="M65" i="167"/>
  <c r="M77" i="167"/>
  <c r="M89" i="167"/>
  <c r="M101" i="167"/>
  <c r="M113" i="167"/>
  <c r="M125" i="167"/>
  <c r="M137" i="167"/>
  <c r="M149" i="167"/>
  <c r="M161" i="167"/>
  <c r="D113" i="167"/>
  <c r="B111" i="167"/>
  <c r="E108" i="167"/>
  <c r="C106" i="167"/>
  <c r="A104" i="167"/>
  <c r="D101" i="167"/>
  <c r="B99" i="167"/>
  <c r="E96" i="167"/>
  <c r="C94" i="167"/>
  <c r="A92" i="167"/>
  <c r="D89" i="167"/>
  <c r="B87" i="167"/>
  <c r="E84" i="167"/>
  <c r="C82" i="167"/>
  <c r="A80" i="167"/>
  <c r="D77" i="167"/>
  <c r="B75" i="167"/>
  <c r="E72" i="167"/>
  <c r="C70" i="167"/>
  <c r="A68" i="167"/>
  <c r="D65" i="167"/>
  <c r="B63" i="167"/>
  <c r="E60" i="167"/>
  <c r="C58" i="167"/>
  <c r="A56" i="167"/>
  <c r="D53" i="167"/>
  <c r="B51" i="167"/>
  <c r="E48" i="167"/>
  <c r="C46" i="167"/>
  <c r="A44" i="167"/>
  <c r="D41" i="167"/>
  <c r="B39" i="167"/>
  <c r="E36" i="167"/>
  <c r="C34" i="167"/>
  <c r="A32" i="167"/>
  <c r="D29" i="167"/>
  <c r="B27" i="167"/>
  <c r="E24" i="167"/>
  <c r="C22" i="167"/>
  <c r="A20" i="167"/>
  <c r="D17" i="167"/>
  <c r="B15" i="167"/>
  <c r="E12" i="167"/>
  <c r="C10" i="167"/>
  <c r="A8" i="167"/>
  <c r="F6" i="167"/>
  <c r="F18" i="167"/>
  <c r="F30" i="167"/>
  <c r="F42" i="167"/>
  <c r="F54" i="167"/>
  <c r="F66" i="167"/>
  <c r="F78" i="167"/>
  <c r="F90" i="167"/>
  <c r="F102" i="167"/>
  <c r="F114" i="167"/>
  <c r="F126" i="167"/>
  <c r="F138" i="167"/>
  <c r="F150" i="167"/>
  <c r="G42" i="167"/>
  <c r="G54" i="167"/>
  <c r="G66" i="167"/>
  <c r="G78" i="167"/>
  <c r="G90" i="167"/>
  <c r="G102" i="167"/>
  <c r="G114" i="167"/>
  <c r="G126" i="167"/>
  <c r="G138" i="167"/>
  <c r="G150" i="167"/>
  <c r="J12" i="167"/>
  <c r="J24" i="167"/>
  <c r="J36" i="167"/>
  <c r="J48" i="167"/>
  <c r="J60" i="167"/>
  <c r="J72" i="167"/>
  <c r="J84" i="167"/>
  <c r="J96" i="167"/>
  <c r="J108" i="167"/>
  <c r="J120" i="167"/>
  <c r="J132" i="167"/>
  <c r="J144" i="167"/>
  <c r="J156" i="167"/>
  <c r="M18" i="167"/>
  <c r="M9" i="167"/>
  <c r="M21" i="167"/>
  <c r="M33" i="167"/>
  <c r="M45" i="167"/>
  <c r="M57" i="167"/>
  <c r="M69" i="167"/>
  <c r="M81" i="167"/>
  <c r="M93" i="167"/>
  <c r="M105" i="167"/>
  <c r="M117" i="167"/>
  <c r="M129" i="167"/>
  <c r="M141" i="167"/>
  <c r="M153" i="167"/>
  <c r="K157" i="167"/>
  <c r="U155" i="167"/>
  <c r="L153" i="167" a="1"/>
  <c r="L153" i="167" s="1"/>
  <c r="K145" i="167"/>
  <c r="U143" i="167"/>
  <c r="L141" i="167" a="1"/>
  <c r="L141" i="167" s="1"/>
  <c r="K133" i="167"/>
  <c r="U131" i="167"/>
  <c r="L129" i="167" a="1"/>
  <c r="L129" i="167" s="1"/>
  <c r="K121" i="167"/>
  <c r="U119" i="167"/>
  <c r="L117" i="167" a="1"/>
  <c r="L117" i="167" s="1"/>
  <c r="K109" i="167"/>
  <c r="U107" i="167"/>
  <c r="L105" i="167" a="1"/>
  <c r="L105" i="167" s="1"/>
  <c r="K97" i="167"/>
  <c r="U95" i="167"/>
  <c r="L93" i="167" a="1"/>
  <c r="L93" i="167" s="1"/>
  <c r="K85" i="167"/>
  <c r="U83" i="167"/>
  <c r="L81" i="167" a="1"/>
  <c r="L81" i="167" s="1"/>
  <c r="K73" i="167"/>
  <c r="U71" i="167"/>
  <c r="L69" i="167" a="1"/>
  <c r="L69" i="167" s="1"/>
  <c r="K61" i="167"/>
  <c r="U59" i="167"/>
  <c r="L57" i="167" a="1"/>
  <c r="L57" i="167" s="1"/>
  <c r="K49" i="167"/>
  <c r="U47" i="167"/>
  <c r="L45" i="167" a="1"/>
  <c r="L45" i="167" s="1"/>
  <c r="K37" i="167"/>
  <c r="U35" i="167"/>
  <c r="L33" i="167" a="1"/>
  <c r="L33" i="167" s="1"/>
  <c r="K25" i="167"/>
  <c r="U23" i="167"/>
  <c r="L21" i="167" a="1"/>
  <c r="L21" i="167" s="1"/>
  <c r="K13" i="167"/>
  <c r="U11" i="167"/>
  <c r="L9" i="167" a="1"/>
  <c r="L9" i="167" s="1"/>
  <c r="C42" i="167"/>
  <c r="A40" i="167"/>
  <c r="D37" i="167"/>
  <c r="B35" i="167"/>
  <c r="E32" i="167"/>
  <c r="C30" i="167"/>
  <c r="A28" i="167"/>
  <c r="D25" i="167"/>
  <c r="B23" i="167"/>
  <c r="E20" i="167"/>
  <c r="C18" i="167"/>
  <c r="A16" i="167"/>
  <c r="D13" i="167"/>
  <c r="B11" i="167"/>
  <c r="E8" i="167"/>
  <c r="C6" i="167"/>
  <c r="F14" i="167"/>
  <c r="F26" i="167"/>
  <c r="F38" i="167"/>
  <c r="F50" i="167"/>
  <c r="F62" i="167"/>
  <c r="F74" i="167"/>
  <c r="F86" i="167"/>
  <c r="F98" i="167"/>
  <c r="F110" i="167"/>
  <c r="F122" i="167"/>
  <c r="F134" i="167"/>
  <c r="F146" i="167"/>
  <c r="F158" i="167"/>
  <c r="G50" i="167"/>
  <c r="G62" i="167"/>
  <c r="G74" i="167"/>
  <c r="G86" i="167"/>
  <c r="G98" i="167"/>
  <c r="G110" i="167"/>
  <c r="G122" i="167"/>
  <c r="G134" i="167"/>
  <c r="G146" i="167"/>
  <c r="G158" i="167"/>
  <c r="J8" i="167"/>
  <c r="J20" i="167"/>
  <c r="J32" i="167"/>
  <c r="J44" i="167"/>
  <c r="J56" i="167"/>
  <c r="J68" i="167"/>
  <c r="J80" i="167"/>
  <c r="J92" i="167"/>
  <c r="J104" i="167"/>
  <c r="J116" i="167"/>
  <c r="J128" i="167"/>
  <c r="J140" i="167"/>
  <c r="J152" i="167"/>
  <c r="M14" i="167"/>
  <c r="M26" i="167"/>
  <c r="M38" i="167"/>
  <c r="M74" i="167"/>
  <c r="M86" i="167"/>
  <c r="M98" i="167"/>
  <c r="M110" i="167"/>
  <c r="M122" i="167"/>
  <c r="M134" i="167"/>
  <c r="M146" i="167"/>
  <c r="M158" i="167"/>
  <c r="U160" i="167"/>
  <c r="L158" i="167" a="1"/>
  <c r="L158" i="167" s="1"/>
  <c r="K150" i="167"/>
  <c r="U148" i="167"/>
  <c r="L146" i="167" a="1"/>
  <c r="L146" i="167" s="1"/>
  <c r="P124" i="167"/>
  <c r="P112" i="167"/>
  <c r="P100" i="167"/>
  <c r="P88" i="167"/>
  <c r="P76" i="167"/>
  <c r="P64" i="167"/>
  <c r="P52" i="167"/>
  <c r="P40" i="167"/>
  <c r="P28" i="167"/>
  <c r="P16" i="167"/>
  <c r="P123" i="167"/>
  <c r="P111" i="167"/>
  <c r="P99" i="167"/>
  <c r="P87" i="167"/>
  <c r="P75" i="167"/>
  <c r="P63" i="167"/>
  <c r="P51" i="167"/>
  <c r="P39" i="167"/>
  <c r="P27" i="167"/>
  <c r="P15" i="167"/>
  <c r="R141" i="167"/>
  <c r="Y153" i="167"/>
  <c r="Z150" i="167"/>
  <c r="X149" i="167"/>
  <c r="AA148" i="167"/>
  <c r="Y141" i="167"/>
  <c r="Z138" i="167"/>
  <c r="X137" i="167"/>
  <c r="Y117" i="167"/>
  <c r="Z114" i="167"/>
  <c r="X113" i="167"/>
  <c r="AA112" i="167"/>
  <c r="Y105" i="167"/>
  <c r="Z102" i="167"/>
  <c r="X101" i="167"/>
  <c r="AA100" i="167"/>
  <c r="Y93" i="167"/>
  <c r="Z90" i="167"/>
  <c r="X89" i="167"/>
  <c r="AA88" i="167"/>
  <c r="Y81" i="167"/>
  <c r="Z78" i="167"/>
  <c r="X77" i="167"/>
  <c r="AA76" i="167"/>
  <c r="P156" i="167"/>
  <c r="P144" i="167"/>
  <c r="T6" i="167"/>
  <c r="P34" i="167"/>
  <c r="P22" i="167"/>
  <c r="P10" i="167"/>
  <c r="AA131" i="167"/>
  <c r="Y124" i="167"/>
  <c r="Z121" i="167"/>
  <c r="X120" i="167"/>
  <c r="AA119" i="167"/>
  <c r="Y112" i="167"/>
  <c r="Z109" i="167"/>
  <c r="X108" i="167"/>
  <c r="AA107" i="167"/>
  <c r="Y100" i="167"/>
  <c r="Z97" i="167"/>
  <c r="K138" i="167"/>
  <c r="U136" i="167"/>
  <c r="L134" i="167" a="1"/>
  <c r="L134" i="167" s="1"/>
  <c r="K126" i="167"/>
  <c r="U124" i="167"/>
  <c r="L122" i="167" a="1"/>
  <c r="L122" i="167" s="1"/>
  <c r="K114" i="167"/>
  <c r="U112" i="167"/>
  <c r="L110" i="167" a="1"/>
  <c r="L110" i="167" s="1"/>
  <c r="K102" i="167"/>
  <c r="U100" i="167"/>
  <c r="L98" i="167" a="1"/>
  <c r="L98" i="167" s="1"/>
  <c r="K90" i="167"/>
  <c r="U88" i="167"/>
  <c r="L86" i="167" a="1"/>
  <c r="L86" i="167" s="1"/>
  <c r="K78" i="167"/>
  <c r="U76" i="167"/>
  <c r="L74" i="167" a="1"/>
  <c r="L74" i="167" s="1"/>
  <c r="K66" i="167"/>
  <c r="U64" i="167"/>
  <c r="L62" i="167" a="1"/>
  <c r="L62" i="167" s="1"/>
  <c r="K54" i="167"/>
  <c r="U52" i="167"/>
  <c r="L50" i="167" a="1"/>
  <c r="L50" i="167" s="1"/>
  <c r="K42" i="167"/>
  <c r="U40" i="167"/>
  <c r="L38" i="167" a="1"/>
  <c r="L38" i="167" s="1"/>
  <c r="K30" i="167"/>
  <c r="U28" i="167"/>
  <c r="L26" i="167" a="1"/>
  <c r="L26" i="167" s="1"/>
  <c r="K18" i="167"/>
  <c r="U16" i="167"/>
  <c r="L14" i="167" a="1"/>
  <c r="L14" i="167" s="1"/>
  <c r="K6" i="167"/>
  <c r="I26" i="167"/>
  <c r="I14" i="167"/>
  <c r="Z24" i="167"/>
  <c r="X23" i="167"/>
  <c r="AA22" i="167"/>
  <c r="Y15" i="167"/>
  <c r="Z12" i="167"/>
  <c r="X11" i="167"/>
  <c r="AA10" i="167"/>
  <c r="C161" i="167"/>
  <c r="A159" i="167"/>
  <c r="D156" i="167"/>
  <c r="B154" i="167"/>
  <c r="E151" i="167"/>
  <c r="C149" i="167"/>
  <c r="A147" i="167"/>
  <c r="D144" i="167"/>
  <c r="B142" i="167"/>
  <c r="E139" i="167"/>
  <c r="C137" i="167"/>
  <c r="A135" i="167"/>
  <c r="D132" i="167"/>
  <c r="B130" i="167"/>
  <c r="E127" i="167"/>
  <c r="C125" i="167"/>
  <c r="A123" i="167"/>
  <c r="D120" i="167"/>
  <c r="B118" i="167"/>
  <c r="E115" i="167"/>
  <c r="C113" i="167"/>
  <c r="A111" i="167"/>
  <c r="D108" i="167"/>
  <c r="B106" i="167"/>
  <c r="E103" i="167"/>
  <c r="C101" i="167"/>
  <c r="A99" i="167"/>
  <c r="D96" i="167"/>
  <c r="B94" i="167"/>
  <c r="E91" i="167"/>
  <c r="C89" i="167"/>
  <c r="A87" i="167"/>
  <c r="D84" i="167"/>
  <c r="B82" i="167"/>
  <c r="E79" i="167"/>
  <c r="C77" i="167"/>
  <c r="A75" i="167"/>
  <c r="D72" i="167"/>
  <c r="B70" i="167"/>
  <c r="E67" i="167"/>
  <c r="C65" i="167"/>
  <c r="A63" i="167"/>
  <c r="D60" i="167"/>
  <c r="B58" i="167"/>
  <c r="E55" i="167"/>
  <c r="C53" i="167"/>
  <c r="A51" i="167"/>
  <c r="D48" i="167"/>
  <c r="B46" i="167"/>
  <c r="E43" i="167"/>
  <c r="C41" i="167"/>
  <c r="A39" i="167"/>
  <c r="D36" i="167"/>
  <c r="B34" i="167"/>
  <c r="E31" i="167"/>
  <c r="C29" i="167"/>
  <c r="A27" i="167"/>
  <c r="D24" i="167"/>
  <c r="B22" i="167"/>
  <c r="E19" i="167"/>
  <c r="C17" i="167"/>
  <c r="A15" i="167"/>
  <c r="D12" i="167"/>
  <c r="B10" i="167"/>
  <c r="E7" i="167"/>
  <c r="F7" i="167"/>
  <c r="F19" i="167"/>
  <c r="F31" i="167"/>
  <c r="F43" i="167"/>
  <c r="F55" i="167"/>
  <c r="F67" i="167"/>
  <c r="F79" i="167"/>
  <c r="F91" i="167"/>
  <c r="F103" i="167"/>
  <c r="F115" i="167"/>
  <c r="F127" i="167"/>
  <c r="F139" i="167"/>
  <c r="F151" i="167"/>
  <c r="A161" i="167"/>
  <c r="D158" i="167"/>
  <c r="B156" i="167"/>
  <c r="E153" i="167"/>
  <c r="C151" i="167"/>
  <c r="A149" i="167"/>
  <c r="D146" i="167"/>
  <c r="B144" i="167"/>
  <c r="E141" i="167"/>
  <c r="C139" i="167"/>
  <c r="A137" i="167"/>
  <c r="D134" i="167"/>
  <c r="B132" i="167"/>
  <c r="E129" i="167"/>
  <c r="C127" i="167"/>
  <c r="A125" i="167"/>
  <c r="D122" i="167"/>
  <c r="B120" i="167"/>
  <c r="E117" i="167"/>
  <c r="C115" i="167"/>
  <c r="A113" i="167"/>
  <c r="D110" i="167"/>
  <c r="B108" i="167"/>
  <c r="E105" i="167"/>
  <c r="C103" i="167"/>
  <c r="A101" i="167"/>
  <c r="D98" i="167"/>
  <c r="B96" i="167"/>
  <c r="F10" i="167"/>
  <c r="F22" i="167"/>
  <c r="F34" i="167"/>
  <c r="F46" i="167"/>
  <c r="F58" i="167"/>
  <c r="F70" i="167"/>
  <c r="F82" i="167"/>
  <c r="F94" i="167"/>
  <c r="F106" i="167"/>
  <c r="F118" i="167"/>
  <c r="F130" i="167"/>
  <c r="F142" i="167"/>
  <c r="F154" i="167"/>
  <c r="G46" i="167"/>
  <c r="G58" i="167"/>
  <c r="G70" i="167"/>
  <c r="G82" i="167"/>
  <c r="G94" i="167"/>
  <c r="G106" i="167"/>
  <c r="G118" i="167"/>
  <c r="G130" i="167"/>
  <c r="G142" i="167"/>
  <c r="J76" i="167"/>
  <c r="J88" i="167"/>
  <c r="J100" i="167"/>
  <c r="J112" i="167"/>
  <c r="J124" i="167"/>
  <c r="J136" i="167"/>
  <c r="J148" i="167"/>
  <c r="J160" i="167"/>
  <c r="M10" i="167"/>
  <c r="M22" i="167"/>
  <c r="M34" i="167"/>
  <c r="M46" i="167"/>
  <c r="M58" i="167"/>
  <c r="M70" i="167"/>
  <c r="M82" i="167"/>
  <c r="M94" i="167"/>
  <c r="M106" i="167"/>
  <c r="M118" i="167"/>
  <c r="M130" i="167"/>
  <c r="M142" i="167"/>
  <c r="M154" i="167"/>
  <c r="J10" i="167"/>
  <c r="J22" i="167"/>
  <c r="J34" i="167"/>
  <c r="J46" i="167"/>
  <c r="J58" i="167"/>
  <c r="J70" i="167"/>
  <c r="J82" i="167"/>
  <c r="J94" i="167"/>
  <c r="J106" i="167"/>
  <c r="J118" i="167"/>
  <c r="J130" i="167"/>
  <c r="J142" i="167"/>
  <c r="J154" i="167"/>
  <c r="M16" i="167"/>
  <c r="M28" i="167"/>
  <c r="M40" i="167"/>
  <c r="M52" i="167"/>
  <c r="M64" i="167"/>
  <c r="M76" i="167"/>
  <c r="M88" i="167"/>
  <c r="M30" i="167"/>
  <c r="M42" i="167"/>
  <c r="M54" i="167"/>
  <c r="M66" i="167"/>
  <c r="M78" i="167"/>
  <c r="M90" i="167"/>
  <c r="M102" i="167"/>
  <c r="M114" i="167"/>
  <c r="M126" i="167"/>
  <c r="M138" i="167"/>
  <c r="M150" i="167"/>
  <c r="G43" i="167"/>
  <c r="G55" i="167"/>
  <c r="G67" i="167"/>
  <c r="G79" i="167"/>
  <c r="G91" i="167"/>
  <c r="G103" i="167"/>
  <c r="G115" i="167"/>
  <c r="G127" i="167"/>
  <c r="G139" i="167"/>
  <c r="G151" i="167"/>
  <c r="E93" i="167"/>
  <c r="C91" i="167"/>
  <c r="A89" i="167"/>
  <c r="D86" i="167"/>
  <c r="B84" i="167"/>
  <c r="E81" i="167"/>
  <c r="C79" i="167"/>
  <c r="A77" i="167"/>
  <c r="D74" i="167"/>
  <c r="B72" i="167"/>
  <c r="E69" i="167"/>
  <c r="C67" i="167"/>
  <c r="A65" i="167"/>
  <c r="D62" i="167"/>
  <c r="B60" i="167"/>
  <c r="E57" i="167"/>
  <c r="C55" i="167"/>
  <c r="A53" i="167"/>
  <c r="D50" i="167"/>
  <c r="B48" i="167"/>
  <c r="E45" i="167"/>
  <c r="C43" i="167"/>
  <c r="A41" i="167"/>
  <c r="D38" i="167"/>
  <c r="B36" i="167"/>
  <c r="E33" i="167"/>
  <c r="C31" i="167"/>
  <c r="A29" i="167"/>
  <c r="D26" i="167"/>
  <c r="B24" i="167"/>
  <c r="E21" i="167"/>
  <c r="C19" i="167"/>
  <c r="A17" i="167"/>
  <c r="D14" i="167"/>
  <c r="B12" i="167"/>
  <c r="E9" i="167"/>
  <c r="C7" i="167"/>
  <c r="F9" i="167"/>
  <c r="F21" i="167"/>
  <c r="F33" i="167"/>
  <c r="F45" i="167"/>
  <c r="F57" i="167"/>
  <c r="F69" i="167"/>
  <c r="F81" i="167"/>
  <c r="F93" i="167"/>
  <c r="F105" i="167"/>
  <c r="F117" i="167"/>
  <c r="F129" i="167"/>
  <c r="F141" i="167"/>
  <c r="F153" i="167"/>
  <c r="G45" i="167"/>
  <c r="G57" i="167"/>
  <c r="G69" i="167"/>
  <c r="G81" i="167"/>
  <c r="G93" i="167"/>
  <c r="G105" i="167"/>
  <c r="E159" i="167"/>
  <c r="C157" i="167"/>
  <c r="A155" i="167"/>
  <c r="D152" i="167"/>
  <c r="B150" i="167"/>
  <c r="E147" i="167"/>
  <c r="C145" i="167"/>
  <c r="A143" i="167"/>
  <c r="Y12" i="167"/>
  <c r="Z9" i="167"/>
  <c r="X8" i="167"/>
  <c r="AA7" i="167"/>
  <c r="R143" i="167"/>
  <c r="R142" i="167"/>
  <c r="J13" i="167"/>
  <c r="J25" i="167"/>
  <c r="J37" i="167"/>
  <c r="J49" i="167"/>
  <c r="J61" i="167"/>
  <c r="J73" i="167"/>
  <c r="J85" i="167"/>
  <c r="J97" i="167"/>
  <c r="J109" i="167"/>
  <c r="J121" i="167"/>
  <c r="J133" i="167"/>
  <c r="J145" i="167"/>
  <c r="J157" i="167"/>
  <c r="P159" i="167"/>
  <c r="P147" i="167"/>
  <c r="P135" i="167"/>
  <c r="Y69" i="167"/>
  <c r="Z66" i="167"/>
  <c r="X65" i="167"/>
  <c r="AA64" i="167"/>
  <c r="Y57" i="167"/>
  <c r="Z54" i="167"/>
  <c r="X53" i="167"/>
  <c r="AA52" i="167"/>
  <c r="Y45" i="167"/>
  <c r="Z42" i="167"/>
  <c r="X41" i="167"/>
  <c r="AA40" i="167"/>
  <c r="Y33" i="167"/>
  <c r="Z30" i="167"/>
  <c r="X29" i="167"/>
  <c r="AA28" i="167"/>
  <c r="Y21" i="167"/>
  <c r="Z18" i="167"/>
  <c r="X17" i="167"/>
  <c r="AA16" i="167"/>
  <c r="Y9" i="167"/>
  <c r="Z6" i="167"/>
  <c r="G117" i="167"/>
  <c r="G129" i="167"/>
  <c r="G141" i="167"/>
  <c r="G153" i="167"/>
  <c r="J15" i="167"/>
  <c r="J27" i="167"/>
  <c r="J39" i="167"/>
  <c r="J51" i="167"/>
  <c r="J63" i="167"/>
  <c r="J75" i="167"/>
  <c r="J87" i="167"/>
  <c r="J99" i="167"/>
  <c r="J111" i="167"/>
  <c r="J123" i="167"/>
  <c r="J135" i="167"/>
  <c r="J147" i="167"/>
  <c r="J159" i="167"/>
  <c r="I151" i="167"/>
  <c r="I139" i="167"/>
  <c r="I127" i="167"/>
  <c r="I115" i="167"/>
  <c r="I103" i="167"/>
  <c r="I91" i="167"/>
  <c r="I79" i="167"/>
  <c r="I67" i="167"/>
  <c r="I55" i="167"/>
  <c r="I43" i="167"/>
  <c r="I31" i="167"/>
  <c r="I19" i="167"/>
  <c r="I7" i="167"/>
  <c r="O157" i="167"/>
  <c r="O145" i="167"/>
  <c r="O133" i="167"/>
  <c r="O121" i="167"/>
  <c r="O109" i="167"/>
  <c r="O97" i="167"/>
  <c r="O85" i="167"/>
  <c r="O73" i="167"/>
  <c r="O61" i="167"/>
  <c r="O49" i="167"/>
  <c r="O37" i="167"/>
  <c r="O25" i="167"/>
  <c r="O13" i="167"/>
  <c r="N151" i="167"/>
  <c r="N139" i="167"/>
  <c r="N127" i="167"/>
  <c r="N115" i="167"/>
  <c r="N103" i="167"/>
  <c r="N91" i="167"/>
  <c r="N79" i="167"/>
  <c r="N67" i="167"/>
  <c r="N55" i="167"/>
  <c r="N43" i="167"/>
  <c r="N31" i="167"/>
  <c r="N19" i="167"/>
  <c r="N7" i="167"/>
  <c r="Q157" i="167"/>
  <c r="Q145" i="167"/>
  <c r="Q133" i="167"/>
  <c r="Q121" i="167"/>
  <c r="Q109" i="167"/>
  <c r="Q97" i="167"/>
  <c r="Q85" i="167"/>
  <c r="Q73" i="167"/>
  <c r="Q61" i="167"/>
  <c r="Q49" i="167"/>
  <c r="Q37" i="167"/>
  <c r="Q25" i="167"/>
  <c r="Q13" i="167"/>
  <c r="P157" i="167"/>
  <c r="U8" i="167"/>
  <c r="L6" i="167" a="1"/>
  <c r="L6" i="167" s="1"/>
  <c r="I18" i="167"/>
  <c r="I6" i="167"/>
  <c r="N18" i="167"/>
  <c r="N6" i="167"/>
  <c r="Q156" i="167"/>
  <c r="Q144" i="167"/>
  <c r="Q132" i="167"/>
  <c r="Q120" i="167"/>
  <c r="Q108" i="167"/>
  <c r="Q96" i="167"/>
  <c r="Q84" i="167"/>
  <c r="Q72" i="167"/>
  <c r="Q60" i="167"/>
  <c r="Q48" i="167"/>
  <c r="Q36" i="167"/>
  <c r="Q24" i="167"/>
  <c r="Q12" i="167"/>
  <c r="P132" i="167"/>
  <c r="Z111" i="167"/>
  <c r="X110" i="167"/>
  <c r="AA109" i="167"/>
  <c r="Y102" i="167"/>
  <c r="Z99" i="167"/>
  <c r="X98" i="167"/>
  <c r="AA97" i="167"/>
  <c r="Y90" i="167"/>
  <c r="Z87" i="167"/>
  <c r="X86" i="167"/>
  <c r="AA85" i="167"/>
  <c r="Y78" i="167"/>
  <c r="Z75" i="167"/>
  <c r="X74" i="167"/>
  <c r="AA73" i="167"/>
  <c r="Y66" i="167"/>
  <c r="Z63" i="167"/>
  <c r="X62" i="167"/>
  <c r="AA61" i="167"/>
  <c r="Y54" i="167"/>
  <c r="Z51" i="167"/>
  <c r="X50" i="167"/>
  <c r="AA49" i="167"/>
  <c r="Y42" i="167"/>
  <c r="Z39" i="167"/>
  <c r="X38" i="167"/>
  <c r="AA37" i="167"/>
  <c r="Y30" i="167"/>
  <c r="Z27" i="167"/>
  <c r="X26" i="167"/>
  <c r="AA25" i="167"/>
  <c r="Y18" i="167"/>
  <c r="Z15" i="167"/>
  <c r="X14" i="167"/>
  <c r="AA13" i="167"/>
  <c r="Y6" i="167"/>
  <c r="R76" i="167"/>
  <c r="T146" i="167"/>
  <c r="E122" i="167"/>
  <c r="C120" i="167"/>
  <c r="A118" i="167"/>
  <c r="D115" i="167"/>
  <c r="B113" i="167"/>
  <c r="E110" i="167"/>
  <c r="C108" i="167"/>
  <c r="A106" i="167"/>
  <c r="D103" i="167"/>
  <c r="B101" i="167"/>
  <c r="E98" i="167"/>
  <c r="C96" i="167"/>
  <c r="A94" i="167"/>
  <c r="D91" i="167"/>
  <c r="B89" i="167"/>
  <c r="E86" i="167"/>
  <c r="E160" i="167"/>
  <c r="C158" i="167"/>
  <c r="A156" i="167"/>
  <c r="D153" i="167"/>
  <c r="B151" i="167"/>
  <c r="E148" i="167"/>
  <c r="C146" i="167"/>
  <c r="A144" i="167"/>
  <c r="D141" i="167"/>
  <c r="B139" i="167"/>
  <c r="E136" i="167"/>
  <c r="C134" i="167"/>
  <c r="A132" i="167"/>
  <c r="D129" i="167"/>
  <c r="B127" i="167"/>
  <c r="E124" i="167"/>
  <c r="C122" i="167"/>
  <c r="A120" i="167"/>
  <c r="D117" i="167"/>
  <c r="B115" i="167"/>
  <c r="E112" i="167"/>
  <c r="C110" i="167"/>
  <c r="A108" i="167"/>
  <c r="D105" i="167"/>
  <c r="B103" i="167"/>
  <c r="E100" i="167"/>
  <c r="C98" i="167"/>
  <c r="A96" i="167"/>
  <c r="D93" i="167"/>
  <c r="B91" i="167"/>
  <c r="E88" i="167"/>
  <c r="C86" i="167"/>
  <c r="A84" i="167"/>
  <c r="D81" i="167"/>
  <c r="B79" i="167"/>
  <c r="E76" i="167"/>
  <c r="C74" i="167"/>
  <c r="A72" i="167"/>
  <c r="D69" i="167"/>
  <c r="B67" i="167"/>
  <c r="E64" i="167"/>
  <c r="E95" i="167"/>
  <c r="D64" i="167"/>
  <c r="D160" i="167"/>
  <c r="C153" i="167"/>
  <c r="D148" i="167"/>
  <c r="D136" i="167"/>
  <c r="B122" i="167"/>
  <c r="C69" i="167"/>
  <c r="E155" i="167"/>
  <c r="B146" i="167"/>
  <c r="B134" i="167"/>
  <c r="C117" i="167"/>
  <c r="E71" i="167"/>
  <c r="B158" i="167"/>
  <c r="A151" i="167"/>
  <c r="E143" i="167"/>
  <c r="C141" i="167"/>
  <c r="A139" i="167"/>
  <c r="E131" i="167"/>
  <c r="C129" i="167"/>
  <c r="A127" i="167"/>
  <c r="D124" i="167"/>
  <c r="E119" i="167"/>
  <c r="A115" i="167"/>
  <c r="D112" i="167"/>
  <c r="B110" i="167"/>
  <c r="E107" i="167"/>
  <c r="C105" i="167"/>
  <c r="A103" i="167"/>
  <c r="D100" i="167"/>
  <c r="B98" i="167"/>
  <c r="A67" i="167"/>
  <c r="D159" i="167"/>
  <c r="B157" i="167"/>
  <c r="E154" i="167"/>
  <c r="C152" i="167"/>
  <c r="A150" i="167"/>
  <c r="D147" i="167"/>
  <c r="B145" i="167"/>
  <c r="E142" i="167"/>
  <c r="C140" i="167"/>
  <c r="A138" i="167"/>
  <c r="D135" i="167"/>
  <c r="B133" i="167"/>
  <c r="E130" i="167"/>
  <c r="C128" i="167"/>
  <c r="A126" i="167"/>
  <c r="D123" i="167"/>
  <c r="B121" i="167"/>
  <c r="E118" i="167"/>
  <c r="C116" i="167"/>
  <c r="A114" i="167"/>
  <c r="D111" i="167"/>
  <c r="B109" i="167"/>
  <c r="E106" i="167"/>
  <c r="C104" i="167"/>
  <c r="A102" i="167"/>
  <c r="D99" i="167"/>
  <c r="B97" i="167"/>
  <c r="E94" i="167"/>
  <c r="C92" i="167"/>
  <c r="A90" i="167"/>
  <c r="D87" i="167"/>
  <c r="B85" i="167"/>
  <c r="E82" i="167"/>
  <c r="C80" i="167"/>
  <c r="A78" i="167"/>
  <c r="D75" i="167"/>
  <c r="B73" i="167"/>
  <c r="E70" i="167"/>
  <c r="C68" i="167"/>
  <c r="A66" i="167"/>
  <c r="D63" i="167"/>
  <c r="B61" i="167"/>
  <c r="E58" i="167"/>
  <c r="C56" i="167"/>
  <c r="A54" i="167"/>
  <c r="D51" i="167"/>
  <c r="B49" i="167"/>
  <c r="E46" i="167"/>
  <c r="C44" i="167"/>
  <c r="A42" i="167"/>
  <c r="D39" i="167"/>
  <c r="B37" i="167"/>
  <c r="E34" i="167"/>
  <c r="C32" i="167"/>
  <c r="A30" i="167"/>
  <c r="D27" i="167"/>
  <c r="B25" i="167"/>
  <c r="E22" i="167"/>
  <c r="C20" i="167"/>
  <c r="A18" i="167"/>
  <c r="D15" i="167"/>
  <c r="B13" i="167"/>
  <c r="E10" i="167"/>
  <c r="C8" i="167"/>
  <c r="A6" i="167"/>
  <c r="F16" i="167"/>
  <c r="F28" i="167"/>
  <c r="F40" i="167"/>
  <c r="F52" i="167"/>
  <c r="F64" i="167"/>
  <c r="F76" i="167"/>
  <c r="F88" i="167"/>
  <c r="F100" i="167"/>
  <c r="F112" i="167"/>
  <c r="F124" i="167"/>
  <c r="F136" i="167"/>
  <c r="F148" i="167"/>
  <c r="F160" i="167"/>
  <c r="G40" i="167"/>
  <c r="G52" i="167"/>
  <c r="G64" i="167"/>
  <c r="G76" i="167"/>
  <c r="G88" i="167"/>
  <c r="G100" i="167"/>
  <c r="G112" i="167"/>
  <c r="G124" i="167"/>
  <c r="G136" i="167"/>
  <c r="G148" i="167"/>
  <c r="G160" i="167"/>
  <c r="E161" i="167"/>
  <c r="C159" i="167"/>
  <c r="A157" i="167"/>
  <c r="D154" i="167"/>
  <c r="B152" i="167"/>
  <c r="E149" i="167"/>
  <c r="C147" i="167"/>
  <c r="A145" i="167"/>
  <c r="D142" i="167"/>
  <c r="B140" i="167"/>
  <c r="E137" i="167"/>
  <c r="C135" i="167"/>
  <c r="A133" i="167"/>
  <c r="D130" i="167"/>
  <c r="B128" i="167"/>
  <c r="E125" i="167"/>
  <c r="C123" i="167"/>
  <c r="A121" i="167"/>
  <c r="D118" i="167"/>
  <c r="B116" i="167"/>
  <c r="E113" i="167"/>
  <c r="C111" i="167"/>
  <c r="A109" i="167"/>
  <c r="D106" i="167"/>
  <c r="B104" i="167"/>
  <c r="E101" i="167"/>
  <c r="C99" i="167"/>
  <c r="A97" i="167"/>
  <c r="D94" i="167"/>
  <c r="B92" i="167"/>
  <c r="E89" i="167"/>
  <c r="C87" i="167"/>
  <c r="A85" i="167"/>
  <c r="D82" i="167"/>
  <c r="B80" i="167"/>
  <c r="E77" i="167"/>
  <c r="C75" i="167"/>
  <c r="A73" i="167"/>
  <c r="D70" i="167"/>
  <c r="B68" i="167"/>
  <c r="E65" i="167"/>
  <c r="C63" i="167"/>
  <c r="A61" i="167"/>
  <c r="D58" i="167"/>
  <c r="B56" i="167"/>
  <c r="E53" i="167"/>
  <c r="C51" i="167"/>
  <c r="A49" i="167"/>
  <c r="D46" i="167"/>
  <c r="B44" i="167"/>
  <c r="E41" i="167"/>
  <c r="C39" i="167"/>
  <c r="A37" i="167"/>
  <c r="D34" i="167"/>
  <c r="B32" i="167"/>
  <c r="E29" i="167"/>
  <c r="C27" i="167"/>
  <c r="A25" i="167"/>
  <c r="D22" i="167"/>
  <c r="B20" i="167"/>
  <c r="E17" i="167"/>
  <c r="C15" i="167"/>
  <c r="A13" i="167"/>
  <c r="D10" i="167"/>
  <c r="B8" i="167"/>
  <c r="F17" i="167"/>
  <c r="F29" i="167"/>
  <c r="F41" i="167"/>
  <c r="F53" i="167"/>
  <c r="F65" i="167"/>
  <c r="F77" i="167"/>
  <c r="F89" i="167"/>
  <c r="F101" i="167"/>
  <c r="F113" i="167"/>
  <c r="F125" i="167"/>
  <c r="F137" i="167"/>
  <c r="F149" i="167"/>
  <c r="F161" i="167"/>
  <c r="J11" i="167"/>
  <c r="J23" i="167"/>
  <c r="J35" i="167"/>
  <c r="J47" i="167"/>
  <c r="J59" i="167"/>
  <c r="J71" i="167"/>
  <c r="J83" i="167"/>
  <c r="K158" i="167"/>
  <c r="U156" i="167"/>
  <c r="L154" i="167" a="1"/>
  <c r="L154" i="167" s="1"/>
  <c r="U161" i="167"/>
  <c r="L159" i="167" a="1"/>
  <c r="L159" i="167" s="1"/>
  <c r="K151" i="167"/>
  <c r="U149" i="167"/>
  <c r="K156" i="167"/>
  <c r="U154" i="167"/>
  <c r="L152" i="167" a="1"/>
  <c r="L152" i="167" s="1"/>
  <c r="K144" i="167"/>
  <c r="U142" i="167"/>
  <c r="L140" i="167" a="1"/>
  <c r="L140" i="167" s="1"/>
  <c r="K132" i="167"/>
  <c r="U130" i="167"/>
  <c r="L128" i="167" a="1"/>
  <c r="L128" i="167" s="1"/>
  <c r="K120" i="167"/>
  <c r="U118" i="167"/>
  <c r="L116" i="167" a="1"/>
  <c r="L116" i="167" s="1"/>
  <c r="K108" i="167"/>
  <c r="U106" i="167"/>
  <c r="L104" i="167" a="1"/>
  <c r="L104" i="167" s="1"/>
  <c r="K96" i="167"/>
  <c r="U94" i="167"/>
  <c r="L92" i="167" a="1"/>
  <c r="L92" i="167" s="1"/>
  <c r="K161" i="167"/>
  <c r="U159" i="167"/>
  <c r="L157" i="167" a="1"/>
  <c r="L157" i="167" s="1"/>
  <c r="K149" i="167"/>
  <c r="U147" i="167"/>
  <c r="L145" i="167" a="1"/>
  <c r="L145" i="167" s="1"/>
  <c r="K137" i="167"/>
  <c r="U135" i="167"/>
  <c r="L133" i="167" a="1"/>
  <c r="L133" i="167" s="1"/>
  <c r="K125" i="167"/>
  <c r="U123" i="167"/>
  <c r="L121" i="167" a="1"/>
  <c r="L121" i="167" s="1"/>
  <c r="K113" i="167"/>
  <c r="U111" i="167"/>
  <c r="L109" i="167" a="1"/>
  <c r="L109" i="167" s="1"/>
  <c r="K101" i="167"/>
  <c r="U99" i="167"/>
  <c r="L97" i="167" a="1"/>
  <c r="L97" i="167" s="1"/>
  <c r="K89" i="167"/>
  <c r="U87" i="167"/>
  <c r="L85" i="167" a="1"/>
  <c r="L85" i="167" s="1"/>
  <c r="K77" i="167"/>
  <c r="U75" i="167"/>
  <c r="L73" i="167" a="1"/>
  <c r="L73" i="167" s="1"/>
  <c r="K65" i="167"/>
  <c r="U63" i="167"/>
  <c r="L61" i="167" a="1"/>
  <c r="L61" i="167" s="1"/>
  <c r="K53" i="167"/>
  <c r="U51" i="167"/>
  <c r="L49" i="167" a="1"/>
  <c r="L49" i="167" s="1"/>
  <c r="K41" i="167"/>
  <c r="U39" i="167"/>
  <c r="L37" i="167" a="1"/>
  <c r="L37" i="167" s="1"/>
  <c r="C62" i="167"/>
  <c r="A60" i="167"/>
  <c r="D57" i="167"/>
  <c r="B55" i="167"/>
  <c r="E52" i="167"/>
  <c r="C50" i="167"/>
  <c r="A48" i="167"/>
  <c r="D45" i="167"/>
  <c r="B43" i="167"/>
  <c r="E40" i="167"/>
  <c r="C38" i="167"/>
  <c r="A36" i="167"/>
  <c r="D33" i="167"/>
  <c r="B31" i="167"/>
  <c r="E28" i="167"/>
  <c r="C26" i="167"/>
  <c r="A24" i="167"/>
  <c r="D21" i="167"/>
  <c r="B19" i="167"/>
  <c r="E16" i="167"/>
  <c r="C14" i="167"/>
  <c r="A12" i="167"/>
  <c r="D9" i="167"/>
  <c r="B7" i="167"/>
  <c r="G154" i="167"/>
  <c r="J16" i="167"/>
  <c r="J28" i="167"/>
  <c r="J40" i="167"/>
  <c r="J52" i="167"/>
  <c r="J64" i="167"/>
  <c r="C93" i="167"/>
  <c r="A91" i="167"/>
  <c r="D88" i="167"/>
  <c r="B86" i="167"/>
  <c r="E83" i="167"/>
  <c r="C81" i="167"/>
  <c r="A79" i="167"/>
  <c r="D76" i="167"/>
  <c r="B74" i="167"/>
  <c r="B62" i="167"/>
  <c r="E59" i="167"/>
  <c r="C57" i="167"/>
  <c r="A55" i="167"/>
  <c r="D52" i="167"/>
  <c r="B50" i="167"/>
  <c r="E47" i="167"/>
  <c r="C45" i="167"/>
  <c r="A43" i="167"/>
  <c r="D40" i="167"/>
  <c r="B38" i="167"/>
  <c r="E35" i="167"/>
  <c r="C33" i="167"/>
  <c r="A31" i="167"/>
  <c r="D28" i="167"/>
  <c r="B26" i="167"/>
  <c r="E23" i="167"/>
  <c r="C21" i="167"/>
  <c r="A19" i="167"/>
  <c r="D16" i="167"/>
  <c r="B14" i="167"/>
  <c r="E11" i="167"/>
  <c r="C9" i="167"/>
  <c r="A7" i="167"/>
  <c r="F11" i="167"/>
  <c r="F23" i="167"/>
  <c r="F35" i="167"/>
  <c r="F47" i="167"/>
  <c r="F59" i="167"/>
  <c r="F71" i="167"/>
  <c r="F83" i="167"/>
  <c r="F95" i="167"/>
  <c r="F107" i="167"/>
  <c r="F119" i="167"/>
  <c r="F131" i="167"/>
  <c r="F143" i="167"/>
  <c r="F155" i="167"/>
  <c r="G47" i="167"/>
  <c r="G59" i="167"/>
  <c r="G71" i="167"/>
  <c r="G83" i="167"/>
  <c r="G95" i="167"/>
  <c r="G107" i="167"/>
  <c r="G119" i="167"/>
  <c r="G131" i="167"/>
  <c r="G143" i="167"/>
  <c r="G155" i="167"/>
  <c r="J17" i="167"/>
  <c r="J29" i="167"/>
  <c r="J41" i="167"/>
  <c r="J53" i="167"/>
  <c r="J65" i="167"/>
  <c r="J77" i="167"/>
  <c r="J89" i="167"/>
  <c r="J101" i="167"/>
  <c r="J113" i="167"/>
  <c r="J125" i="167"/>
  <c r="J137" i="167"/>
  <c r="J149" i="167"/>
  <c r="J161" i="167"/>
  <c r="M11" i="167"/>
  <c r="M23" i="167"/>
  <c r="M35" i="167"/>
  <c r="M47" i="167"/>
  <c r="M59" i="167"/>
  <c r="M71" i="167"/>
  <c r="M83" i="167"/>
  <c r="M95" i="167"/>
  <c r="M107" i="167"/>
  <c r="M119" i="167"/>
  <c r="M131" i="167"/>
  <c r="M143" i="167"/>
  <c r="M155" i="167"/>
  <c r="C160" i="167"/>
  <c r="A158" i="167"/>
  <c r="D155" i="167"/>
  <c r="B153" i="167"/>
  <c r="E150" i="167"/>
  <c r="C148" i="167"/>
  <c r="A146" i="167"/>
  <c r="D143" i="167"/>
  <c r="B141" i="167"/>
  <c r="E138" i="167"/>
  <c r="C136" i="167"/>
  <c r="A134" i="167"/>
  <c r="D131" i="167"/>
  <c r="B129" i="167"/>
  <c r="E126" i="167"/>
  <c r="C124" i="167"/>
  <c r="A122" i="167"/>
  <c r="D119" i="167"/>
  <c r="B117" i="167"/>
  <c r="E114" i="167"/>
  <c r="C112" i="167"/>
  <c r="A110" i="167"/>
  <c r="D107" i="167"/>
  <c r="B105" i="167"/>
  <c r="E102" i="167"/>
  <c r="C100" i="167"/>
  <c r="A98" i="167"/>
  <c r="D95" i="167"/>
  <c r="B93" i="167"/>
  <c r="E90" i="167"/>
  <c r="C88" i="167"/>
  <c r="A86" i="167"/>
  <c r="D83" i="167"/>
  <c r="B81" i="167"/>
  <c r="E78" i="167"/>
  <c r="C76" i="167"/>
  <c r="A74" i="167"/>
  <c r="D71" i="167"/>
  <c r="B69" i="167"/>
  <c r="E66" i="167"/>
  <c r="C64" i="167"/>
  <c r="A62" i="167"/>
  <c r="D59" i="167"/>
  <c r="B57" i="167"/>
  <c r="E54" i="167"/>
  <c r="C52" i="167"/>
  <c r="A50" i="167"/>
  <c r="D47" i="167"/>
  <c r="B45" i="167"/>
  <c r="E42" i="167"/>
  <c r="C40" i="167"/>
  <c r="A38" i="167"/>
  <c r="D35" i="167"/>
  <c r="B33" i="167"/>
  <c r="E30" i="167"/>
  <c r="C28" i="167"/>
  <c r="A26" i="167"/>
  <c r="D23" i="167"/>
  <c r="B21" i="167"/>
  <c r="E18" i="167"/>
  <c r="C16" i="167"/>
  <c r="A14" i="167"/>
  <c r="D11" i="167"/>
  <c r="B9" i="167"/>
  <c r="E6" i="167"/>
  <c r="F12" i="167"/>
  <c r="F24" i="167"/>
  <c r="F36" i="167"/>
  <c r="F48" i="167"/>
  <c r="F60" i="167"/>
  <c r="F72" i="167"/>
  <c r="F84" i="167"/>
  <c r="F96" i="167"/>
  <c r="F108" i="167"/>
  <c r="F120" i="167"/>
  <c r="F132" i="167"/>
  <c r="F144" i="167"/>
  <c r="F156" i="167"/>
  <c r="G48" i="167"/>
  <c r="G60" i="167"/>
  <c r="G72" i="167"/>
  <c r="G84" i="167"/>
  <c r="G96" i="167"/>
  <c r="G108" i="167"/>
  <c r="G120" i="167"/>
  <c r="G132" i="167"/>
  <c r="G144" i="167"/>
  <c r="G156" i="167"/>
  <c r="J6" i="167"/>
  <c r="J18" i="167"/>
  <c r="J30" i="167"/>
  <c r="J42" i="167"/>
  <c r="J54" i="167"/>
  <c r="J66" i="167"/>
  <c r="J78" i="167"/>
  <c r="J90" i="167"/>
  <c r="J102" i="167"/>
  <c r="J114" i="167"/>
  <c r="J126" i="167"/>
  <c r="J138" i="167"/>
  <c r="J150" i="167"/>
  <c r="M12" i="167"/>
  <c r="M24" i="167"/>
  <c r="M36" i="167"/>
  <c r="M48" i="167"/>
  <c r="M60" i="167"/>
  <c r="M72" i="167"/>
  <c r="M84" i="167"/>
  <c r="M96" i="167"/>
  <c r="M108" i="167"/>
  <c r="B160" i="167"/>
  <c r="E157" i="167"/>
  <c r="C155" i="167"/>
  <c r="A153" i="167"/>
  <c r="D150" i="167"/>
  <c r="B148" i="167"/>
  <c r="E145" i="167"/>
  <c r="C143" i="167"/>
  <c r="A141" i="167"/>
  <c r="D138" i="167"/>
  <c r="B136" i="167"/>
  <c r="E133" i="167"/>
  <c r="C131" i="167"/>
  <c r="A129" i="167"/>
  <c r="D126" i="167"/>
  <c r="B124" i="167"/>
  <c r="E121" i="167"/>
  <c r="C119" i="167"/>
  <c r="A117" i="167"/>
  <c r="D114" i="167"/>
  <c r="B112" i="167"/>
  <c r="E109" i="167"/>
  <c r="C107" i="167"/>
  <c r="A105" i="167"/>
  <c r="D102" i="167"/>
  <c r="B100" i="167"/>
  <c r="E97" i="167"/>
  <c r="C95" i="167"/>
  <c r="A93" i="167"/>
  <c r="D90" i="167"/>
  <c r="B88" i="167"/>
  <c r="E85" i="167"/>
  <c r="C83" i="167"/>
  <c r="A81" i="167"/>
  <c r="D78" i="167"/>
  <c r="B76" i="167"/>
  <c r="E73" i="167"/>
  <c r="C71" i="167"/>
  <c r="A69" i="167"/>
  <c r="D66" i="167"/>
  <c r="B64" i="167"/>
  <c r="E61" i="167"/>
  <c r="C59" i="167"/>
  <c r="A57" i="167"/>
  <c r="D54" i="167"/>
  <c r="B52" i="167"/>
  <c r="E49" i="167"/>
  <c r="C47" i="167"/>
  <c r="A45" i="167"/>
  <c r="D42" i="167"/>
  <c r="B40" i="167"/>
  <c r="E37" i="167"/>
  <c r="C35" i="167"/>
  <c r="A33" i="167"/>
  <c r="D30" i="167"/>
  <c r="B28" i="167"/>
  <c r="E25" i="167"/>
  <c r="C23" i="167"/>
  <c r="A21" i="167"/>
  <c r="D18" i="167"/>
  <c r="B16" i="167"/>
  <c r="E13" i="167"/>
  <c r="C11" i="167"/>
  <c r="A9" i="167"/>
  <c r="D6" i="167"/>
  <c r="F13" i="167"/>
  <c r="F25" i="167"/>
  <c r="F37" i="167"/>
  <c r="F49" i="167"/>
  <c r="F61" i="167"/>
  <c r="F73" i="167"/>
  <c r="F85" i="167"/>
  <c r="F97" i="167"/>
  <c r="F109" i="167"/>
  <c r="F121" i="167"/>
  <c r="F133" i="167"/>
  <c r="F145" i="167"/>
  <c r="F157" i="167"/>
  <c r="G49" i="167"/>
  <c r="G61" i="167"/>
  <c r="G73" i="167"/>
  <c r="G85" i="167"/>
  <c r="G97" i="167"/>
  <c r="G109" i="167"/>
  <c r="G121" i="167"/>
  <c r="G133" i="167"/>
  <c r="G145" i="167"/>
  <c r="G157" i="167"/>
  <c r="J7" i="167"/>
  <c r="J19" i="167"/>
  <c r="J31" i="167"/>
  <c r="J43" i="167"/>
  <c r="J55" i="167"/>
  <c r="J67" i="167"/>
  <c r="J79" i="167"/>
  <c r="J91" i="167"/>
  <c r="J103" i="167"/>
  <c r="J115" i="167"/>
  <c r="J127" i="167"/>
  <c r="J139" i="167"/>
  <c r="J151" i="167"/>
  <c r="M13" i="167"/>
  <c r="M25" i="167"/>
  <c r="M37" i="167"/>
  <c r="M49" i="167"/>
  <c r="M61" i="167"/>
  <c r="M73" i="167"/>
  <c r="M85" i="167"/>
  <c r="M97" i="167"/>
  <c r="M109" i="167"/>
  <c r="M121" i="167"/>
  <c r="M133" i="167"/>
  <c r="M145" i="167"/>
  <c r="M157" i="167"/>
  <c r="M50" i="167"/>
  <c r="M62" i="167"/>
  <c r="D140" i="167"/>
  <c r="B138" i="167"/>
  <c r="E135" i="167"/>
  <c r="C133" i="167"/>
  <c r="A131" i="167"/>
  <c r="D128" i="167"/>
  <c r="B126" i="167"/>
  <c r="E123" i="167"/>
  <c r="C121" i="167"/>
  <c r="A119" i="167"/>
  <c r="D116" i="167"/>
  <c r="B114" i="167"/>
  <c r="E111" i="167"/>
  <c r="C109" i="167"/>
  <c r="A107" i="167"/>
  <c r="D104" i="167"/>
  <c r="B102" i="167"/>
  <c r="E99" i="167"/>
  <c r="C97" i="167"/>
  <c r="A95" i="167"/>
  <c r="D92" i="167"/>
  <c r="B90" i="167"/>
  <c r="E87" i="167"/>
  <c r="C85" i="167"/>
  <c r="A83" i="167"/>
  <c r="D80" i="167"/>
  <c r="B78" i="167"/>
  <c r="E75" i="167"/>
  <c r="C73" i="167"/>
  <c r="A71" i="167"/>
  <c r="D68" i="167"/>
  <c r="B66" i="167"/>
  <c r="E63" i="167"/>
  <c r="C61" i="167"/>
  <c r="A59" i="167"/>
  <c r="D56" i="167"/>
  <c r="B54" i="167"/>
  <c r="E51" i="167"/>
  <c r="C49" i="167"/>
  <c r="A47" i="167"/>
  <c r="D44" i="167"/>
  <c r="B42" i="167"/>
  <c r="E39" i="167"/>
  <c r="C37" i="167"/>
  <c r="A35" i="167"/>
  <c r="D32" i="167"/>
  <c r="B30" i="167"/>
  <c r="E27" i="167"/>
  <c r="C25" i="167"/>
  <c r="A23" i="167"/>
  <c r="D20" i="167"/>
  <c r="B18" i="167"/>
  <c r="E15" i="167"/>
  <c r="C13" i="167"/>
  <c r="A11" i="167"/>
  <c r="D8" i="167"/>
  <c r="B6" i="167"/>
  <c r="F15" i="167"/>
  <c r="F27" i="167"/>
  <c r="F39" i="167"/>
  <c r="F51" i="167"/>
  <c r="F63" i="167"/>
  <c r="F75" i="167"/>
  <c r="F87" i="167"/>
  <c r="F99" i="167"/>
  <c r="F111" i="167"/>
  <c r="F123" i="167"/>
  <c r="F135" i="167"/>
  <c r="F147" i="167"/>
  <c r="F159" i="167"/>
  <c r="G51" i="167"/>
  <c r="G63" i="167"/>
  <c r="G75" i="167"/>
  <c r="G87" i="167"/>
  <c r="G99" i="167"/>
  <c r="G111" i="167"/>
  <c r="G123" i="167"/>
  <c r="G135" i="167"/>
  <c r="G147" i="167"/>
  <c r="G159" i="167"/>
  <c r="J9" i="167"/>
  <c r="J21" i="167"/>
  <c r="J33" i="167"/>
  <c r="J45" i="167"/>
  <c r="J57" i="167"/>
  <c r="J69" i="167"/>
  <c r="J81" i="167"/>
  <c r="J93" i="167"/>
  <c r="J105" i="167"/>
  <c r="J117" i="167"/>
  <c r="J129" i="167"/>
  <c r="J141" i="167"/>
  <c r="J153" i="167"/>
  <c r="M15" i="167"/>
  <c r="M27" i="167"/>
  <c r="M39" i="167"/>
  <c r="M51" i="167"/>
  <c r="M63" i="167"/>
  <c r="M75" i="167"/>
  <c r="M87" i="167"/>
  <c r="M99" i="167"/>
  <c r="M111" i="167"/>
  <c r="M123" i="167"/>
  <c r="M100" i="167"/>
  <c r="M112" i="167"/>
  <c r="M124" i="167"/>
  <c r="M136" i="167"/>
  <c r="M148" i="167"/>
  <c r="M160" i="167"/>
  <c r="K160" i="167"/>
  <c r="U158" i="167"/>
  <c r="L156" i="167" a="1"/>
  <c r="L156" i="167" s="1"/>
  <c r="K148" i="167"/>
  <c r="U146" i="167"/>
  <c r="L144" i="167" a="1"/>
  <c r="L144" i="167" s="1"/>
  <c r="K136" i="167"/>
  <c r="U134" i="167"/>
  <c r="L132" i="167" a="1"/>
  <c r="L132" i="167" s="1"/>
  <c r="K124" i="167"/>
  <c r="U122" i="167"/>
  <c r="L120" i="167" a="1"/>
  <c r="L120" i="167" s="1"/>
  <c r="K112" i="167"/>
  <c r="U110" i="167"/>
  <c r="L108" i="167" a="1"/>
  <c r="L108" i="167" s="1"/>
  <c r="K100" i="167"/>
  <c r="U98" i="167"/>
  <c r="L96" i="167" a="1"/>
  <c r="L96" i="167" s="1"/>
  <c r="K88" i="167"/>
  <c r="U86" i="167"/>
  <c r="L161" i="167" a="1"/>
  <c r="L161" i="167" s="1"/>
  <c r="K153" i="167"/>
  <c r="U151" i="167"/>
  <c r="L149" i="167" a="1"/>
  <c r="L149" i="167" s="1"/>
  <c r="K141" i="167"/>
  <c r="U139" i="167"/>
  <c r="L137" i="167" a="1"/>
  <c r="L137" i="167" s="1"/>
  <c r="K129" i="167"/>
  <c r="U127" i="167"/>
  <c r="L125" i="167" a="1"/>
  <c r="L125" i="167" s="1"/>
  <c r="K117" i="167"/>
  <c r="U115" i="167"/>
  <c r="L113" i="167" a="1"/>
  <c r="L113" i="167" s="1"/>
  <c r="K105" i="167"/>
  <c r="U103" i="167"/>
  <c r="L101" i="167" a="1"/>
  <c r="L101" i="167" s="1"/>
  <c r="K93" i="167"/>
  <c r="U91" i="167"/>
  <c r="L89" i="167" a="1"/>
  <c r="L89" i="167" s="1"/>
  <c r="K81" i="167"/>
  <c r="U79" i="167"/>
  <c r="L77" i="167" a="1"/>
  <c r="L77" i="167" s="1"/>
  <c r="K146" i="167"/>
  <c r="U144" i="167"/>
  <c r="L142" i="167" a="1"/>
  <c r="L142" i="167" s="1"/>
  <c r="K134" i="167"/>
  <c r="U132" i="167"/>
  <c r="L130" i="167" a="1"/>
  <c r="L130" i="167" s="1"/>
  <c r="K122" i="167"/>
  <c r="U120" i="167"/>
  <c r="L118" i="167" a="1"/>
  <c r="L118" i="167" s="1"/>
  <c r="K110" i="167"/>
  <c r="U108" i="167"/>
  <c r="L106" i="167" a="1"/>
  <c r="L106" i="167" s="1"/>
  <c r="K98" i="167"/>
  <c r="U96" i="167"/>
  <c r="L94" i="167" a="1"/>
  <c r="L94" i="167" s="1"/>
  <c r="K86" i="167"/>
  <c r="U84" i="167"/>
  <c r="L82" i="167" a="1"/>
  <c r="L82" i="167" s="1"/>
  <c r="K74" i="167"/>
  <c r="U72" i="167"/>
  <c r="L70" i="167" a="1"/>
  <c r="L70" i="167" s="1"/>
  <c r="K62" i="167"/>
  <c r="U60" i="167"/>
  <c r="L58" i="167" a="1"/>
  <c r="L58" i="167" s="1"/>
  <c r="K50" i="167"/>
  <c r="U48" i="167"/>
  <c r="L46" i="167" a="1"/>
  <c r="L46" i="167" s="1"/>
  <c r="K38" i="167"/>
  <c r="U36" i="167"/>
  <c r="L34" i="167" a="1"/>
  <c r="L34" i="167" s="1"/>
  <c r="K26" i="167"/>
  <c r="U24" i="167"/>
  <c r="L22" i="167" a="1"/>
  <c r="L22" i="167" s="1"/>
  <c r="K14" i="167"/>
  <c r="U12" i="167"/>
  <c r="L10" i="167" a="1"/>
  <c r="L10" i="167" s="1"/>
  <c r="I154" i="167"/>
  <c r="I142" i="167"/>
  <c r="I130" i="167"/>
  <c r="I118" i="167"/>
  <c r="I106" i="167"/>
  <c r="I94" i="167"/>
  <c r="I82" i="167"/>
  <c r="I70" i="167"/>
  <c r="I58" i="167"/>
  <c r="I46" i="167"/>
  <c r="I34" i="167"/>
  <c r="I22" i="167"/>
  <c r="I10" i="167"/>
  <c r="O160" i="167"/>
  <c r="O148" i="167"/>
  <c r="O136" i="167"/>
  <c r="O124" i="167"/>
  <c r="O112" i="167"/>
  <c r="O100" i="167"/>
  <c r="O88" i="167"/>
  <c r="O76" i="167"/>
  <c r="O64" i="167"/>
  <c r="O52" i="167"/>
  <c r="O40" i="167"/>
  <c r="O28" i="167"/>
  <c r="O16" i="167"/>
  <c r="L147" i="167" a="1"/>
  <c r="L147" i="167" s="1"/>
  <c r="K139" i="167"/>
  <c r="U137" i="167"/>
  <c r="L135" i="167" a="1"/>
  <c r="L135" i="167" s="1"/>
  <c r="K127" i="167"/>
  <c r="U125" i="167"/>
  <c r="L123" i="167" a="1"/>
  <c r="L123" i="167" s="1"/>
  <c r="K115" i="167"/>
  <c r="U113" i="167"/>
  <c r="L111" i="167" a="1"/>
  <c r="L111" i="167" s="1"/>
  <c r="K103" i="167"/>
  <c r="U101" i="167"/>
  <c r="L99" i="167" a="1"/>
  <c r="L99" i="167" s="1"/>
  <c r="K91" i="167"/>
  <c r="U89" i="167"/>
  <c r="L87" i="167" a="1"/>
  <c r="L87" i="167" s="1"/>
  <c r="K79" i="167"/>
  <c r="U77" i="167"/>
  <c r="L75" i="167" a="1"/>
  <c r="L75" i="167" s="1"/>
  <c r="K67" i="167"/>
  <c r="U65" i="167"/>
  <c r="L63" i="167" a="1"/>
  <c r="L63" i="167" s="1"/>
  <c r="K55" i="167"/>
  <c r="U53" i="167"/>
  <c r="L51" i="167" a="1"/>
  <c r="L51" i="167" s="1"/>
  <c r="K43" i="167"/>
  <c r="U41" i="167"/>
  <c r="L39" i="167" a="1"/>
  <c r="L39" i="167" s="1"/>
  <c r="K31" i="167"/>
  <c r="U29" i="167"/>
  <c r="L27" i="167" a="1"/>
  <c r="L27" i="167" s="1"/>
  <c r="K19" i="167"/>
  <c r="U17" i="167"/>
  <c r="L15" i="167" a="1"/>
  <c r="L15" i="167" s="1"/>
  <c r="K7" i="167"/>
  <c r="I153" i="167"/>
  <c r="I141" i="167"/>
  <c r="I129" i="167"/>
  <c r="I117" i="167"/>
  <c r="I105" i="167"/>
  <c r="I93" i="167"/>
  <c r="I81" i="167"/>
  <c r="I69" i="167"/>
  <c r="I57" i="167"/>
  <c r="I45" i="167"/>
  <c r="I33" i="167"/>
  <c r="I21" i="167"/>
  <c r="I9" i="167"/>
  <c r="O159" i="167"/>
  <c r="O147" i="167"/>
  <c r="O135" i="167"/>
  <c r="O123" i="167"/>
  <c r="O111" i="167"/>
  <c r="O99" i="167"/>
  <c r="O87" i="167"/>
  <c r="O75" i="167"/>
  <c r="O63" i="167"/>
  <c r="O51" i="167"/>
  <c r="O39" i="167"/>
  <c r="O27" i="167"/>
  <c r="O15" i="167"/>
  <c r="K84" i="167"/>
  <c r="U82" i="167"/>
  <c r="L80" i="167" a="1"/>
  <c r="L80" i="167" s="1"/>
  <c r="K72" i="167"/>
  <c r="U70" i="167"/>
  <c r="L68" i="167" a="1"/>
  <c r="L68" i="167" s="1"/>
  <c r="K60" i="167"/>
  <c r="U58" i="167"/>
  <c r="L56" i="167" a="1"/>
  <c r="L56" i="167" s="1"/>
  <c r="K48" i="167"/>
  <c r="U46" i="167"/>
  <c r="L44" i="167" a="1"/>
  <c r="L44" i="167" s="1"/>
  <c r="K36" i="167"/>
  <c r="U34" i="167"/>
  <c r="L32" i="167" a="1"/>
  <c r="L32" i="167" s="1"/>
  <c r="K24" i="167"/>
  <c r="U22" i="167"/>
  <c r="L20" i="167" a="1"/>
  <c r="L20" i="167" s="1"/>
  <c r="K12" i="167"/>
  <c r="U10" i="167"/>
  <c r="L8" i="167" a="1"/>
  <c r="L8" i="167" s="1"/>
  <c r="I152" i="167"/>
  <c r="I140" i="167"/>
  <c r="I128" i="167"/>
  <c r="I116" i="167"/>
  <c r="I104" i="167"/>
  <c r="I92" i="167"/>
  <c r="I80" i="167"/>
  <c r="I68" i="167"/>
  <c r="I56" i="167"/>
  <c r="I44" i="167"/>
  <c r="I32" i="167"/>
  <c r="I20" i="167"/>
  <c r="I8" i="167"/>
  <c r="O158" i="167"/>
  <c r="O146" i="167"/>
  <c r="O134" i="167"/>
  <c r="O122" i="167"/>
  <c r="O110" i="167"/>
  <c r="O98" i="167"/>
  <c r="O86" i="167"/>
  <c r="O74" i="167"/>
  <c r="O62" i="167"/>
  <c r="O50" i="167"/>
  <c r="O38" i="167"/>
  <c r="O26" i="167"/>
  <c r="O14" i="167"/>
  <c r="K29" i="167"/>
  <c r="U27" i="167"/>
  <c r="L25" i="167" a="1"/>
  <c r="L25" i="167" s="1"/>
  <c r="K17" i="167"/>
  <c r="U15" i="167"/>
  <c r="L13" i="167" a="1"/>
  <c r="L13" i="167" s="1"/>
  <c r="M120" i="167"/>
  <c r="M132" i="167"/>
  <c r="M144" i="167"/>
  <c r="M156" i="167"/>
  <c r="L160" i="167" a="1"/>
  <c r="L160" i="167" s="1"/>
  <c r="K152" i="167"/>
  <c r="U150" i="167"/>
  <c r="L148" i="167" a="1"/>
  <c r="L148" i="167" s="1"/>
  <c r="K140" i="167"/>
  <c r="U138" i="167"/>
  <c r="L136" i="167" a="1"/>
  <c r="L136" i="167" s="1"/>
  <c r="K128" i="167"/>
  <c r="U126" i="167"/>
  <c r="L124" i="167" a="1"/>
  <c r="L124" i="167" s="1"/>
  <c r="K116" i="167"/>
  <c r="U114" i="167"/>
  <c r="L112" i="167" a="1"/>
  <c r="L112" i="167" s="1"/>
  <c r="K104" i="167"/>
  <c r="U102" i="167"/>
  <c r="L100" i="167" a="1"/>
  <c r="L100" i="167" s="1"/>
  <c r="K92" i="167"/>
  <c r="U90" i="167"/>
  <c r="L88" i="167" a="1"/>
  <c r="L88" i="167" s="1"/>
  <c r="M135" i="167"/>
  <c r="M147" i="167"/>
  <c r="M159" i="167"/>
  <c r="K155" i="167"/>
  <c r="U153" i="167"/>
  <c r="L151" i="167" a="1"/>
  <c r="L151" i="167" s="1"/>
  <c r="K143" i="167"/>
  <c r="U141" i="167"/>
  <c r="L139" i="167" a="1"/>
  <c r="L139" i="167" s="1"/>
  <c r="K131" i="167"/>
  <c r="U129" i="167"/>
  <c r="L127" i="167" a="1"/>
  <c r="L127" i="167" s="1"/>
  <c r="K119" i="167"/>
  <c r="U117" i="167"/>
  <c r="L115" i="167" a="1"/>
  <c r="L115" i="167" s="1"/>
  <c r="K107" i="167"/>
  <c r="U105" i="167"/>
  <c r="L103" i="167" a="1"/>
  <c r="L103" i="167" s="1"/>
  <c r="K95" i="167"/>
  <c r="U93" i="167"/>
  <c r="L91" i="167" a="1"/>
  <c r="L91" i="167" s="1"/>
  <c r="K83" i="167"/>
  <c r="L84" i="167" a="1"/>
  <c r="L84" i="167" s="1"/>
  <c r="K76" i="167"/>
  <c r="U74" i="167"/>
  <c r="L72" i="167" a="1"/>
  <c r="L72" i="167" s="1"/>
  <c r="K64" i="167"/>
  <c r="U62" i="167"/>
  <c r="L60" i="167" a="1"/>
  <c r="L60" i="167" s="1"/>
  <c r="K52" i="167"/>
  <c r="U50" i="167"/>
  <c r="L48" i="167" a="1"/>
  <c r="L48" i="167" s="1"/>
  <c r="K40" i="167"/>
  <c r="U38" i="167"/>
  <c r="L36" i="167" a="1"/>
  <c r="L36" i="167" s="1"/>
  <c r="K28" i="167"/>
  <c r="U26" i="167"/>
  <c r="L24" i="167" a="1"/>
  <c r="L24" i="167" s="1"/>
  <c r="K16" i="167"/>
  <c r="U14" i="167"/>
  <c r="L12" i="167" a="1"/>
  <c r="L12" i="167" s="1"/>
  <c r="I156" i="167"/>
  <c r="I144" i="167"/>
  <c r="I132" i="167"/>
  <c r="I120" i="167"/>
  <c r="I108" i="167"/>
  <c r="I96" i="167"/>
  <c r="I84" i="167"/>
  <c r="I72" i="167"/>
  <c r="I60" i="167"/>
  <c r="I48" i="167"/>
  <c r="I36" i="167"/>
  <c r="I24" i="167"/>
  <c r="I12" i="167"/>
  <c r="O150" i="167"/>
  <c r="O138" i="167"/>
  <c r="O126" i="167"/>
  <c r="O114" i="167"/>
  <c r="O102" i="167"/>
  <c r="O90" i="167"/>
  <c r="O78" i="167"/>
  <c r="O66" i="167"/>
  <c r="O54" i="167"/>
  <c r="O42" i="167"/>
  <c r="O30" i="167"/>
  <c r="O18" i="167"/>
  <c r="O6" i="167"/>
  <c r="N156" i="167"/>
  <c r="N144" i="167"/>
  <c r="N132" i="167"/>
  <c r="N120" i="167"/>
  <c r="N108" i="167"/>
  <c r="N96" i="167"/>
  <c r="N84" i="167"/>
  <c r="N72" i="167"/>
  <c r="N60" i="167"/>
  <c r="N48" i="167"/>
  <c r="N36" i="167"/>
  <c r="N24" i="167"/>
  <c r="N12" i="167"/>
  <c r="Q150" i="167"/>
  <c r="Q138" i="167"/>
  <c r="Q126" i="167"/>
  <c r="Q114" i="167"/>
  <c r="Q102" i="167"/>
  <c r="Q90" i="167"/>
  <c r="Q78" i="167"/>
  <c r="Q66" i="167"/>
  <c r="Q54" i="167"/>
  <c r="Q42" i="167"/>
  <c r="Q30" i="167"/>
  <c r="Q18" i="167"/>
  <c r="Q6" i="167"/>
  <c r="K69" i="167"/>
  <c r="U67" i="167"/>
  <c r="L65" i="167" a="1"/>
  <c r="L65" i="167" s="1"/>
  <c r="K57" i="167"/>
  <c r="U55" i="167"/>
  <c r="L53" i="167" a="1"/>
  <c r="L53" i="167" s="1"/>
  <c r="K45" i="167"/>
  <c r="U43" i="167"/>
  <c r="L41" i="167" a="1"/>
  <c r="L41" i="167" s="1"/>
  <c r="K33" i="167"/>
  <c r="U31" i="167"/>
  <c r="L29" i="167" a="1"/>
  <c r="L29" i="167" s="1"/>
  <c r="K21" i="167"/>
  <c r="U19" i="167"/>
  <c r="L17" i="167" a="1"/>
  <c r="L17" i="167" s="1"/>
  <c r="K9" i="167"/>
  <c r="U7" i="167"/>
  <c r="I155" i="167"/>
  <c r="I143" i="167"/>
  <c r="I131" i="167"/>
  <c r="I119" i="167"/>
  <c r="I107" i="167"/>
  <c r="I95" i="167"/>
  <c r="I83" i="167"/>
  <c r="I71" i="167"/>
  <c r="I59" i="167"/>
  <c r="I47" i="167"/>
  <c r="I35" i="167"/>
  <c r="I23" i="167"/>
  <c r="I11" i="167"/>
  <c r="O161" i="167"/>
  <c r="O149" i="167"/>
  <c r="O137" i="167"/>
  <c r="O125" i="167"/>
  <c r="O113" i="167"/>
  <c r="O101" i="167"/>
  <c r="O89" i="167"/>
  <c r="O77" i="167"/>
  <c r="O65" i="167"/>
  <c r="O53" i="167"/>
  <c r="O41" i="167"/>
  <c r="O29" i="167"/>
  <c r="O17" i="167"/>
  <c r="N155" i="167"/>
  <c r="N143" i="167"/>
  <c r="N131" i="167"/>
  <c r="N119" i="167"/>
  <c r="N107" i="167"/>
  <c r="N95" i="167"/>
  <c r="N83" i="167"/>
  <c r="N71" i="167"/>
  <c r="N59" i="167"/>
  <c r="N47" i="167"/>
  <c r="N35" i="167"/>
  <c r="N23" i="167"/>
  <c r="N11" i="167"/>
  <c r="Q161" i="167"/>
  <c r="Q149" i="167"/>
  <c r="Q137" i="167"/>
  <c r="Q125" i="167"/>
  <c r="Q113" i="167"/>
  <c r="Q101" i="167"/>
  <c r="Q89" i="167"/>
  <c r="Q77" i="167"/>
  <c r="Q65" i="167"/>
  <c r="Q53" i="167"/>
  <c r="Q41" i="167"/>
  <c r="Q29" i="167"/>
  <c r="Q17" i="167"/>
  <c r="Y156" i="167"/>
  <c r="Z153" i="167"/>
  <c r="X152" i="167"/>
  <c r="AA151" i="167"/>
  <c r="Y144" i="167"/>
  <c r="Z141" i="167"/>
  <c r="N154" i="167"/>
  <c r="N142" i="167"/>
  <c r="N130" i="167"/>
  <c r="N118" i="167"/>
  <c r="N106" i="167"/>
  <c r="N94" i="167"/>
  <c r="N82" i="167"/>
  <c r="N70" i="167"/>
  <c r="N58" i="167"/>
  <c r="N46" i="167"/>
  <c r="N34" i="167"/>
  <c r="N22" i="167"/>
  <c r="N10" i="167"/>
  <c r="Q160" i="167"/>
  <c r="Q148" i="167"/>
  <c r="Q136" i="167"/>
  <c r="Q124" i="167"/>
  <c r="Q112" i="167"/>
  <c r="Q100" i="167"/>
  <c r="Q88" i="167"/>
  <c r="Q76" i="167"/>
  <c r="Q64" i="167"/>
  <c r="Q52" i="167"/>
  <c r="Q40" i="167"/>
  <c r="Q28" i="167"/>
  <c r="Q16" i="167"/>
  <c r="Y155" i="167"/>
  <c r="Z152" i="167"/>
  <c r="X151" i="167"/>
  <c r="AA150" i="167"/>
  <c r="Y143" i="167"/>
  <c r="Z140" i="167"/>
  <c r="X139" i="167"/>
  <c r="AA138" i="167"/>
  <c r="Y131" i="167"/>
  <c r="Z128" i="167"/>
  <c r="X127" i="167"/>
  <c r="AA126" i="167"/>
  <c r="Y119" i="167"/>
  <c r="Z116" i="167"/>
  <c r="X115" i="167"/>
  <c r="AA114" i="167"/>
  <c r="Y107" i="167"/>
  <c r="Z104" i="167"/>
  <c r="X103" i="167"/>
  <c r="AA102" i="167"/>
  <c r="Y95" i="167"/>
  <c r="Z92" i="167"/>
  <c r="X91" i="167"/>
  <c r="AA90" i="167"/>
  <c r="Y83" i="167"/>
  <c r="N153" i="167"/>
  <c r="N141" i="167"/>
  <c r="N129" i="167"/>
  <c r="N117" i="167"/>
  <c r="N105" i="167"/>
  <c r="N93" i="167"/>
  <c r="N81" i="167"/>
  <c r="N69" i="167"/>
  <c r="N57" i="167"/>
  <c r="N45" i="167"/>
  <c r="N33" i="167"/>
  <c r="N21" i="167"/>
  <c r="N9" i="167"/>
  <c r="Q159" i="167"/>
  <c r="Q147" i="167"/>
  <c r="Q135" i="167"/>
  <c r="Q123" i="167"/>
  <c r="Q111" i="167"/>
  <c r="Q99" i="167"/>
  <c r="Q87" i="167"/>
  <c r="Q75" i="167"/>
  <c r="Q63" i="167"/>
  <c r="Q51" i="167"/>
  <c r="Q39" i="167"/>
  <c r="Q27" i="167"/>
  <c r="Q15" i="167"/>
  <c r="AA161" i="167"/>
  <c r="Y154" i="167"/>
  <c r="Z151" i="167"/>
  <c r="X150" i="167"/>
  <c r="AA149" i="167"/>
  <c r="Y142" i="167"/>
  <c r="Z139" i="167"/>
  <c r="X138" i="167"/>
  <c r="AA137" i="167"/>
  <c r="Y130" i="167"/>
  <c r="Z127" i="167"/>
  <c r="X126" i="167"/>
  <c r="AA125" i="167"/>
  <c r="AA136" i="167"/>
  <c r="Y129" i="167"/>
  <c r="Z126" i="167"/>
  <c r="X125" i="167"/>
  <c r="AA124" i="167"/>
  <c r="Z161" i="167"/>
  <c r="X160" i="167"/>
  <c r="AA159" i="167"/>
  <c r="Y152" i="167"/>
  <c r="Z149" i="167"/>
  <c r="X148" i="167"/>
  <c r="AA147" i="167"/>
  <c r="Y140" i="167"/>
  <c r="Z137" i="167"/>
  <c r="X136" i="167"/>
  <c r="AA135" i="167"/>
  <c r="Y128" i="167"/>
  <c r="Z125" i="167"/>
  <c r="X124" i="167"/>
  <c r="AA123" i="167"/>
  <c r="Y116" i="167"/>
  <c r="Z113" i="167"/>
  <c r="X112" i="167"/>
  <c r="AA111" i="167"/>
  <c r="Y104" i="167"/>
  <c r="Z101" i="167"/>
  <c r="X100" i="167"/>
  <c r="AA99" i="167"/>
  <c r="Y92" i="167"/>
  <c r="Z89" i="167"/>
  <c r="X88" i="167"/>
  <c r="AA87" i="167"/>
  <c r="Y80" i="167"/>
  <c r="Z77" i="167"/>
  <c r="X76" i="167"/>
  <c r="AA75" i="167"/>
  <c r="Y68" i="167"/>
  <c r="Z65" i="167"/>
  <c r="K80" i="167"/>
  <c r="U78" i="167"/>
  <c r="L76" i="167" a="1"/>
  <c r="L76" i="167" s="1"/>
  <c r="K68" i="167"/>
  <c r="U66" i="167"/>
  <c r="L64" i="167" a="1"/>
  <c r="L64" i="167" s="1"/>
  <c r="K56" i="167"/>
  <c r="U54" i="167"/>
  <c r="L52" i="167" a="1"/>
  <c r="L52" i="167" s="1"/>
  <c r="K44" i="167"/>
  <c r="U42" i="167"/>
  <c r="L40" i="167" a="1"/>
  <c r="L40" i="167" s="1"/>
  <c r="K32" i="167"/>
  <c r="U30" i="167"/>
  <c r="L28" i="167" a="1"/>
  <c r="L28" i="167" s="1"/>
  <c r="K20" i="167"/>
  <c r="U18" i="167"/>
  <c r="L16" i="167" a="1"/>
  <c r="L16" i="167" s="1"/>
  <c r="K8" i="167"/>
  <c r="U6" i="167"/>
  <c r="I160" i="167"/>
  <c r="I148" i="167"/>
  <c r="I136" i="167"/>
  <c r="I124" i="167"/>
  <c r="I112" i="167"/>
  <c r="I100" i="167"/>
  <c r="I88" i="167"/>
  <c r="I76" i="167"/>
  <c r="I64" i="167"/>
  <c r="I52" i="167"/>
  <c r="I40" i="167"/>
  <c r="I28" i="167"/>
  <c r="I16" i="167"/>
  <c r="O154" i="167"/>
  <c r="O142" i="167"/>
  <c r="O130" i="167"/>
  <c r="O118" i="167"/>
  <c r="O106" i="167"/>
  <c r="O94" i="167"/>
  <c r="O82" i="167"/>
  <c r="O70" i="167"/>
  <c r="O58" i="167"/>
  <c r="O46" i="167"/>
  <c r="O34" i="167"/>
  <c r="O22" i="167"/>
  <c r="O10" i="167"/>
  <c r="N160" i="167"/>
  <c r="N148" i="167"/>
  <c r="N136" i="167"/>
  <c r="N124" i="167"/>
  <c r="N112" i="167"/>
  <c r="N100" i="167"/>
  <c r="N88" i="167"/>
  <c r="N76" i="167"/>
  <c r="N64" i="167"/>
  <c r="N52" i="167"/>
  <c r="N40" i="167"/>
  <c r="N28" i="167"/>
  <c r="N16" i="167"/>
  <c r="Q154" i="167"/>
  <c r="Q142" i="167"/>
  <c r="Q130" i="167"/>
  <c r="Q118" i="167"/>
  <c r="Q106" i="167"/>
  <c r="Q94" i="167"/>
  <c r="Q82" i="167"/>
  <c r="Q70" i="167"/>
  <c r="Q58" i="167"/>
  <c r="Q46" i="167"/>
  <c r="Q34" i="167"/>
  <c r="Q22" i="167"/>
  <c r="Q10" i="167"/>
  <c r="U81" i="167"/>
  <c r="L79" i="167" a="1"/>
  <c r="L79" i="167" s="1"/>
  <c r="K71" i="167"/>
  <c r="U69" i="167"/>
  <c r="L67" i="167" a="1"/>
  <c r="L67" i="167" s="1"/>
  <c r="K59" i="167"/>
  <c r="U57" i="167"/>
  <c r="L55" i="167" a="1"/>
  <c r="L55" i="167" s="1"/>
  <c r="K47" i="167"/>
  <c r="U45" i="167"/>
  <c r="L43" i="167" a="1"/>
  <c r="L43" i="167" s="1"/>
  <c r="K35" i="167"/>
  <c r="U33" i="167"/>
  <c r="L31" i="167" a="1"/>
  <c r="L31" i="167" s="1"/>
  <c r="K23" i="167"/>
  <c r="U21" i="167"/>
  <c r="L19" i="167" a="1"/>
  <c r="L19" i="167" s="1"/>
  <c r="K11" i="167"/>
  <c r="U9" i="167"/>
  <c r="L7" i="167" a="1"/>
  <c r="L7" i="167" s="1"/>
  <c r="I157" i="167"/>
  <c r="I145" i="167"/>
  <c r="I133" i="167"/>
  <c r="I121" i="167"/>
  <c r="I109" i="167"/>
  <c r="I97" i="167"/>
  <c r="I85" i="167"/>
  <c r="I73" i="167"/>
  <c r="I61" i="167"/>
  <c r="I49" i="167"/>
  <c r="I37" i="167"/>
  <c r="I25" i="167"/>
  <c r="I13" i="167"/>
  <c r="O151" i="167"/>
  <c r="O139" i="167"/>
  <c r="O127" i="167"/>
  <c r="O115" i="167"/>
  <c r="O103" i="167"/>
  <c r="O91" i="167"/>
  <c r="O79" i="167"/>
  <c r="O67" i="167"/>
  <c r="O55" i="167"/>
  <c r="O43" i="167"/>
  <c r="O31" i="167"/>
  <c r="O19" i="167"/>
  <c r="O7" i="167"/>
  <c r="N157" i="167"/>
  <c r="N145" i="167"/>
  <c r="N133" i="167"/>
  <c r="N121" i="167"/>
  <c r="N109" i="167"/>
  <c r="N97" i="167"/>
  <c r="N85" i="167"/>
  <c r="N73" i="167"/>
  <c r="N61" i="167"/>
  <c r="N49" i="167"/>
  <c r="N37" i="167"/>
  <c r="N25" i="167"/>
  <c r="N13" i="167"/>
  <c r="Q151" i="167"/>
  <c r="Q139" i="167"/>
  <c r="Q127" i="167"/>
  <c r="Q115" i="167"/>
  <c r="Q103" i="167"/>
  <c r="Q91" i="167"/>
  <c r="Q79" i="167"/>
  <c r="Q67" i="167"/>
  <c r="Q55" i="167"/>
  <c r="Q43" i="167"/>
  <c r="Q31" i="167"/>
  <c r="Q19" i="167"/>
  <c r="Q7" i="167"/>
  <c r="Y157" i="167"/>
  <c r="Z154" i="167"/>
  <c r="X153" i="167"/>
  <c r="AA152" i="167"/>
  <c r="Y145" i="167"/>
  <c r="Z142" i="167"/>
  <c r="X141" i="167"/>
  <c r="AA140" i="167"/>
  <c r="Y133" i="167"/>
  <c r="Z130" i="167"/>
  <c r="X129" i="167"/>
  <c r="AA128" i="167"/>
  <c r="Y121" i="167"/>
  <c r="Z118" i="167"/>
  <c r="X117" i="167"/>
  <c r="AA116" i="167"/>
  <c r="Y109" i="167"/>
  <c r="X140" i="167"/>
  <c r="AA139" i="167"/>
  <c r="Y132" i="167"/>
  <c r="Z129" i="167"/>
  <c r="X128" i="167"/>
  <c r="AA127" i="167"/>
  <c r="Y120" i="167"/>
  <c r="Z117" i="167"/>
  <c r="X116" i="167"/>
  <c r="AA115" i="167"/>
  <c r="Y108" i="167"/>
  <c r="Z105" i="167"/>
  <c r="X104" i="167"/>
  <c r="AA103" i="167"/>
  <c r="Y96" i="167"/>
  <c r="Z93" i="167"/>
  <c r="X92" i="167"/>
  <c r="AA91" i="167"/>
  <c r="Y84" i="167"/>
  <c r="Z81" i="167"/>
  <c r="X80" i="167"/>
  <c r="AA79" i="167"/>
  <c r="Y72" i="167"/>
  <c r="Z69" i="167"/>
  <c r="X68" i="167"/>
  <c r="AA67" i="167"/>
  <c r="Y60" i="167"/>
  <c r="Z57" i="167"/>
  <c r="X56" i="167"/>
  <c r="AA55" i="167"/>
  <c r="Y48" i="167"/>
  <c r="Z45" i="167"/>
  <c r="X44" i="167"/>
  <c r="AA43" i="167"/>
  <c r="Y36" i="167"/>
  <c r="Z33" i="167"/>
  <c r="X32" i="167"/>
  <c r="AA31" i="167"/>
  <c r="Y24" i="167"/>
  <c r="Z21" i="167"/>
  <c r="X20" i="167"/>
  <c r="AA19" i="167"/>
  <c r="Z80" i="167"/>
  <c r="X79" i="167"/>
  <c r="AA78" i="167"/>
  <c r="Y71" i="167"/>
  <c r="Z68" i="167"/>
  <c r="X67" i="167"/>
  <c r="AA66" i="167"/>
  <c r="Y59" i="167"/>
  <c r="Z56" i="167"/>
  <c r="X55" i="167"/>
  <c r="AA54" i="167"/>
  <c r="Y47" i="167"/>
  <c r="Z44" i="167"/>
  <c r="X43" i="167"/>
  <c r="AA42" i="167"/>
  <c r="Y35" i="167"/>
  <c r="Z32" i="167"/>
  <c r="X31" i="167"/>
  <c r="AA30" i="167"/>
  <c r="Y118" i="167"/>
  <c r="Z115" i="167"/>
  <c r="X114" i="167"/>
  <c r="AA113" i="167"/>
  <c r="Y106" i="167"/>
  <c r="Z103" i="167"/>
  <c r="X102" i="167"/>
  <c r="AA101" i="167"/>
  <c r="Y94" i="167"/>
  <c r="Z91" i="167"/>
  <c r="X90" i="167"/>
  <c r="AA89" i="167"/>
  <c r="Y82" i="167"/>
  <c r="Z79" i="167"/>
  <c r="X78" i="167"/>
  <c r="AA77" i="167"/>
  <c r="Y70" i="167"/>
  <c r="Z67" i="167"/>
  <c r="X66" i="167"/>
  <c r="AA65" i="167"/>
  <c r="Y58" i="167"/>
  <c r="Z55" i="167"/>
  <c r="X54" i="167"/>
  <c r="AA53" i="167"/>
  <c r="X64" i="167"/>
  <c r="AA63" i="167"/>
  <c r="Y56" i="167"/>
  <c r="Z53" i="167"/>
  <c r="X52" i="167"/>
  <c r="AA51" i="167"/>
  <c r="Y44" i="167"/>
  <c r="Z41" i="167"/>
  <c r="X40" i="167"/>
  <c r="AA39" i="167"/>
  <c r="Y32" i="167"/>
  <c r="Z29" i="167"/>
  <c r="X28" i="167"/>
  <c r="AA27" i="167"/>
  <c r="Y20" i="167"/>
  <c r="Z17" i="167"/>
  <c r="X16" i="167"/>
  <c r="AA15" i="167"/>
  <c r="Y161" i="167"/>
  <c r="Z158" i="167"/>
  <c r="X157" i="167"/>
  <c r="AA156" i="167"/>
  <c r="Y149" i="167"/>
  <c r="Z146" i="167"/>
  <c r="X145" i="167"/>
  <c r="AA144" i="167"/>
  <c r="Y137" i="167"/>
  <c r="Z134" i="167"/>
  <c r="X133" i="167"/>
  <c r="AA132" i="167"/>
  <c r="Y125" i="167"/>
  <c r="Z122" i="167"/>
  <c r="X121" i="167"/>
  <c r="AA120" i="167"/>
  <c r="Y113" i="167"/>
  <c r="Z110" i="167"/>
  <c r="X109" i="167"/>
  <c r="AA108" i="167"/>
  <c r="Y101" i="167"/>
  <c r="Z98" i="167"/>
  <c r="X97" i="167"/>
  <c r="AA96" i="167"/>
  <c r="Y89" i="167"/>
  <c r="Z86" i="167"/>
  <c r="X85" i="167"/>
  <c r="AA84" i="167"/>
  <c r="Y77" i="167"/>
  <c r="Z74" i="167"/>
  <c r="X73" i="167"/>
  <c r="AA72" i="167"/>
  <c r="Y65" i="167"/>
  <c r="Z62" i="167"/>
  <c r="X61" i="167"/>
  <c r="AA60" i="167"/>
  <c r="Y53" i="167"/>
  <c r="Z50" i="167"/>
  <c r="X49" i="167"/>
  <c r="AA48" i="167"/>
  <c r="Y41" i="167"/>
  <c r="Z38" i="167"/>
  <c r="X37" i="167"/>
  <c r="AA36" i="167"/>
  <c r="Y29" i="167"/>
  <c r="Z26" i="167"/>
  <c r="X25" i="167"/>
  <c r="AA24" i="167"/>
  <c r="Y158" i="167"/>
  <c r="Z155" i="167"/>
  <c r="X154" i="167"/>
  <c r="AA153" i="167"/>
  <c r="Y146" i="167"/>
  <c r="Z143" i="167"/>
  <c r="X142" i="167"/>
  <c r="AA141" i="167"/>
  <c r="Y134" i="167"/>
  <c r="Z131" i="167"/>
  <c r="X130" i="167"/>
  <c r="AA129" i="167"/>
  <c r="Y122" i="167"/>
  <c r="Z119" i="167"/>
  <c r="X118" i="167"/>
  <c r="AA117" i="167"/>
  <c r="Y110" i="167"/>
  <c r="Z107" i="167"/>
  <c r="X106" i="167"/>
  <c r="AA105" i="167"/>
  <c r="Y98" i="167"/>
  <c r="Z95" i="167"/>
  <c r="X94" i="167"/>
  <c r="AA93" i="167"/>
  <c r="Y23" i="167"/>
  <c r="Z20" i="167"/>
  <c r="X19" i="167"/>
  <c r="AA18" i="167"/>
  <c r="Y11" i="167"/>
  <c r="Z8" i="167"/>
  <c r="X7" i="167"/>
  <c r="AA6" i="167"/>
  <c r="Y46" i="167"/>
  <c r="Z43" i="167"/>
  <c r="X42" i="167"/>
  <c r="AA41" i="167"/>
  <c r="Y34" i="167"/>
  <c r="Z31" i="167"/>
  <c r="X30" i="167"/>
  <c r="AA29" i="167"/>
  <c r="Y22" i="167"/>
  <c r="Z19" i="167"/>
  <c r="X18" i="167"/>
  <c r="AA17" i="167"/>
  <c r="Y10" i="167"/>
  <c r="Z7" i="167"/>
  <c r="X6" i="167"/>
  <c r="P158" i="167"/>
  <c r="P146" i="167"/>
  <c r="P134" i="167"/>
  <c r="P122" i="167"/>
  <c r="P110" i="167"/>
  <c r="P98" i="167"/>
  <c r="P86" i="167"/>
  <c r="P38" i="167"/>
  <c r="P26" i="167"/>
  <c r="P14" i="167"/>
  <c r="R152" i="167"/>
  <c r="R116" i="167"/>
  <c r="Y8" i="167"/>
  <c r="P145" i="167"/>
  <c r="P133" i="167"/>
  <c r="P121" i="167"/>
  <c r="P109" i="167"/>
  <c r="P97" i="167"/>
  <c r="P85" i="167"/>
  <c r="P73" i="167"/>
  <c r="P61" i="167"/>
  <c r="P49" i="167"/>
  <c r="P37" i="167"/>
  <c r="P25" i="167"/>
  <c r="P13" i="167"/>
  <c r="Y55" i="167"/>
  <c r="Z52" i="167"/>
  <c r="X51" i="167"/>
  <c r="AA50" i="167"/>
  <c r="Y43" i="167"/>
  <c r="Z40" i="167"/>
  <c r="X39" i="167"/>
  <c r="AA38" i="167"/>
  <c r="Y31" i="167"/>
  <c r="Z28" i="167"/>
  <c r="X27" i="167"/>
  <c r="AA26" i="167"/>
  <c r="Y19" i="167"/>
  <c r="Z16" i="167"/>
  <c r="X15" i="167"/>
  <c r="AA14" i="167"/>
  <c r="Y7" i="167"/>
  <c r="P120" i="167"/>
  <c r="P108" i="167"/>
  <c r="P96" i="167"/>
  <c r="P84" i="167"/>
  <c r="P72" i="167"/>
  <c r="P60" i="167"/>
  <c r="P48" i="167"/>
  <c r="P36" i="167"/>
  <c r="P24" i="167"/>
  <c r="P12" i="167"/>
  <c r="P155" i="167"/>
  <c r="P143" i="167"/>
  <c r="P131" i="167"/>
  <c r="P119" i="167"/>
  <c r="P107" i="167"/>
  <c r="P95" i="167"/>
  <c r="P83" i="167"/>
  <c r="P71" i="167"/>
  <c r="P59" i="167"/>
  <c r="P47" i="167"/>
  <c r="P35" i="167"/>
  <c r="P23" i="167"/>
  <c r="P11" i="167"/>
  <c r="Y17" i="167"/>
  <c r="Z14" i="167"/>
  <c r="X13" i="167"/>
  <c r="AA12" i="167"/>
  <c r="P154" i="167"/>
  <c r="P142" i="167"/>
  <c r="P130" i="167"/>
  <c r="P118" i="167"/>
  <c r="P106" i="167"/>
  <c r="P94" i="167"/>
  <c r="P82" i="167"/>
  <c r="P70" i="167"/>
  <c r="P58" i="167"/>
  <c r="P46" i="167"/>
  <c r="X96" i="167"/>
  <c r="AA95" i="167"/>
  <c r="Y88" i="167"/>
  <c r="Z85" i="167"/>
  <c r="X84" i="167"/>
  <c r="AA83" i="167"/>
  <c r="Y76" i="167"/>
  <c r="Z73" i="167"/>
  <c r="X72" i="167"/>
  <c r="AA71" i="167"/>
  <c r="Y64" i="167"/>
  <c r="Z61" i="167"/>
  <c r="X60" i="167"/>
  <c r="AA59" i="167"/>
  <c r="Y52" i="167"/>
  <c r="Z49" i="167"/>
  <c r="X48" i="167"/>
  <c r="AA47" i="167"/>
  <c r="Y40" i="167"/>
  <c r="Z37" i="167"/>
  <c r="X36" i="167"/>
  <c r="AA35" i="167"/>
  <c r="Y28" i="167"/>
  <c r="Z25" i="167"/>
  <c r="X24" i="167"/>
  <c r="AA23" i="167"/>
  <c r="Y16" i="167"/>
  <c r="Z13" i="167"/>
  <c r="X12" i="167"/>
  <c r="AA11" i="167"/>
  <c r="P153" i="167"/>
  <c r="P141" i="167"/>
  <c r="P129" i="167"/>
  <c r="P117" i="167"/>
  <c r="P105" i="167"/>
  <c r="P93" i="167"/>
  <c r="P81" i="167"/>
  <c r="P69" i="167"/>
  <c r="P57" i="167"/>
  <c r="P45" i="167"/>
  <c r="P33" i="167"/>
  <c r="P21" i="167"/>
  <c r="P9" i="167"/>
  <c r="P152" i="167"/>
  <c r="P140" i="167"/>
  <c r="P128" i="167"/>
  <c r="P116" i="167"/>
  <c r="P104" i="167"/>
  <c r="P92" i="167"/>
  <c r="P80" i="167"/>
  <c r="P68" i="167"/>
  <c r="P56" i="167"/>
  <c r="P44" i="167"/>
  <c r="P32" i="167"/>
  <c r="P20" i="167"/>
  <c r="P8" i="167"/>
  <c r="Y86" i="167"/>
  <c r="Z83" i="167"/>
  <c r="X82" i="167"/>
  <c r="AA81" i="167"/>
  <c r="Y74" i="167"/>
  <c r="Z71" i="167"/>
  <c r="X70" i="167"/>
  <c r="AA69" i="167"/>
  <c r="Y62" i="167"/>
  <c r="Z59" i="167"/>
  <c r="X58" i="167"/>
  <c r="AA57" i="167"/>
  <c r="Y50" i="167"/>
  <c r="Z47" i="167"/>
  <c r="X46" i="167"/>
  <c r="AA45" i="167"/>
  <c r="Y38" i="167"/>
  <c r="Z35" i="167"/>
  <c r="X34" i="167"/>
  <c r="AA33" i="167"/>
  <c r="Y26" i="167"/>
  <c r="Z23" i="167"/>
  <c r="X22" i="167"/>
  <c r="AA21" i="167"/>
  <c r="Y14" i="167"/>
  <c r="Z11" i="167"/>
  <c r="X10" i="167"/>
  <c r="AA9" i="167"/>
  <c r="P151" i="167"/>
  <c r="P139" i="167"/>
  <c r="P127" i="167"/>
  <c r="P115" i="167"/>
  <c r="P103" i="167"/>
  <c r="P91" i="167"/>
  <c r="P79" i="167"/>
  <c r="P67" i="167"/>
  <c r="P55" i="167"/>
  <c r="P43" i="167"/>
  <c r="P31" i="167"/>
  <c r="P19" i="167"/>
  <c r="P7" i="167"/>
  <c r="R157" i="167"/>
  <c r="T145" i="167"/>
  <c r="Z106" i="167"/>
  <c r="X105" i="167"/>
  <c r="AA104" i="167"/>
  <c r="Y97" i="167"/>
  <c r="Z94" i="167"/>
  <c r="X93" i="167"/>
  <c r="AA92" i="167"/>
  <c r="Y85" i="167"/>
  <c r="Z82" i="167"/>
  <c r="X81" i="167"/>
  <c r="AA80" i="167"/>
  <c r="Y73" i="167"/>
  <c r="Z70" i="167"/>
  <c r="X69" i="167"/>
  <c r="AA68" i="167"/>
  <c r="Y61" i="167"/>
  <c r="Z58" i="167"/>
  <c r="X57" i="167"/>
  <c r="AA56" i="167"/>
  <c r="Y49" i="167"/>
  <c r="Z46" i="167"/>
  <c r="X45" i="167"/>
  <c r="AA44" i="167"/>
  <c r="Y37" i="167"/>
  <c r="Z34" i="167"/>
  <c r="X33" i="167"/>
  <c r="AA32" i="167"/>
  <c r="Y25" i="167"/>
  <c r="Z22" i="167"/>
  <c r="X21" i="167"/>
  <c r="AA20" i="167"/>
  <c r="Y13" i="167"/>
  <c r="Z10" i="167"/>
  <c r="X9" i="167"/>
  <c r="AA8" i="167"/>
  <c r="P150" i="167"/>
  <c r="P138" i="167"/>
  <c r="P126" i="167"/>
  <c r="P114" i="167"/>
  <c r="P102" i="167"/>
  <c r="P90" i="167"/>
  <c r="P78" i="167"/>
  <c r="P66" i="167"/>
  <c r="P54" i="167"/>
  <c r="P42" i="167"/>
  <c r="P30" i="167"/>
  <c r="P18" i="167"/>
  <c r="P6" i="167"/>
  <c r="R144" i="167"/>
  <c r="R154" i="167"/>
  <c r="T154" i="167"/>
  <c r="S154" i="167" s="1"/>
  <c r="R130" i="167"/>
  <c r="T130" i="167"/>
  <c r="S130" i="167" s="1"/>
  <c r="R118" i="167"/>
  <c r="T118" i="167"/>
  <c r="S118" i="167" s="1"/>
  <c r="R106" i="167"/>
  <c r="T106" i="167"/>
  <c r="S106" i="167" s="1"/>
  <c r="W106" i="167" s="1"/>
  <c r="R94" i="167"/>
  <c r="T94" i="167"/>
  <c r="S94" i="167" s="1"/>
  <c r="R82" i="167"/>
  <c r="T82" i="167"/>
  <c r="R70" i="167"/>
  <c r="T70" i="167"/>
  <c r="R58" i="167"/>
  <c r="T58" i="167"/>
  <c r="S58" i="167" s="1"/>
  <c r="W58" i="167" s="1"/>
  <c r="V58" i="167" s="1" a="1"/>
  <c r="V58" i="167" s="1"/>
  <c r="R46" i="167"/>
  <c r="T46" i="167"/>
  <c r="S46" i="167" s="1"/>
  <c r="R34" i="167"/>
  <c r="T34" i="167"/>
  <c r="R22" i="167"/>
  <c r="T22" i="167"/>
  <c r="S22" i="167" s="1"/>
  <c r="R10" i="167"/>
  <c r="T10" i="167"/>
  <c r="T116" i="167"/>
  <c r="R153" i="167"/>
  <c r="T153" i="167"/>
  <c r="R129" i="167"/>
  <c r="T129" i="167"/>
  <c r="T117" i="167"/>
  <c r="R117" i="167"/>
  <c r="R105" i="167"/>
  <c r="T105" i="167"/>
  <c r="S105" i="167" s="1"/>
  <c r="R93" i="167"/>
  <c r="T93" i="167"/>
  <c r="S93" i="167" s="1"/>
  <c r="R81" i="167"/>
  <c r="T81" i="167"/>
  <c r="S81" i="167" s="1"/>
  <c r="W81" i="167" s="1"/>
  <c r="V81" i="167" s="1" a="1"/>
  <c r="V81" i="167" s="1"/>
  <c r="R69" i="167"/>
  <c r="T69" i="167"/>
  <c r="T57" i="167"/>
  <c r="R57" i="167"/>
  <c r="R45" i="167"/>
  <c r="T45" i="167"/>
  <c r="R33" i="167"/>
  <c r="T33" i="167"/>
  <c r="T21" i="167"/>
  <c r="R21" i="167"/>
  <c r="R9" i="167"/>
  <c r="T9" i="167"/>
  <c r="R6" i="167"/>
  <c r="T152" i="167"/>
  <c r="T143" i="167"/>
  <c r="R140" i="167"/>
  <c r="T140" i="167"/>
  <c r="R128" i="167"/>
  <c r="T128" i="167"/>
  <c r="R104" i="167"/>
  <c r="T104" i="167"/>
  <c r="R92" i="167"/>
  <c r="T92" i="167"/>
  <c r="S92" i="167" s="1"/>
  <c r="R80" i="167"/>
  <c r="T80" i="167"/>
  <c r="R68" i="167"/>
  <c r="T68" i="167"/>
  <c r="R56" i="167"/>
  <c r="T56" i="167"/>
  <c r="R44" i="167"/>
  <c r="T44" i="167"/>
  <c r="S44" i="167" s="1"/>
  <c r="T32" i="167"/>
  <c r="R32" i="167"/>
  <c r="R20" i="167"/>
  <c r="T20" i="167"/>
  <c r="R8" i="167"/>
  <c r="T8" i="167"/>
  <c r="T155" i="167"/>
  <c r="R151" i="167"/>
  <c r="T151" i="167"/>
  <c r="R139" i="167"/>
  <c r="T139" i="167"/>
  <c r="R127" i="167"/>
  <c r="T127" i="167"/>
  <c r="T115" i="167"/>
  <c r="R115" i="167"/>
  <c r="R103" i="167"/>
  <c r="T103" i="167"/>
  <c r="R91" i="167"/>
  <c r="T91" i="167"/>
  <c r="S91" i="167" s="1"/>
  <c r="R79" i="167"/>
  <c r="T79" i="167"/>
  <c r="R67" i="167"/>
  <c r="T67" i="167"/>
  <c r="S67" i="167" s="1"/>
  <c r="R55" i="167"/>
  <c r="T55" i="167"/>
  <c r="S55" i="167" s="1"/>
  <c r="R43" i="167"/>
  <c r="T43" i="167"/>
  <c r="S43" i="167" s="1"/>
  <c r="T31" i="167"/>
  <c r="R31" i="167"/>
  <c r="R19" i="167"/>
  <c r="T19" i="167"/>
  <c r="R7" i="167"/>
  <c r="T7" i="167"/>
  <c r="R146" i="167"/>
  <c r="R150" i="167"/>
  <c r="T150" i="167"/>
  <c r="S150" i="167" s="1"/>
  <c r="R138" i="167"/>
  <c r="T138" i="167"/>
  <c r="R126" i="167"/>
  <c r="T126" i="167"/>
  <c r="S126" i="167" s="1"/>
  <c r="R114" i="167"/>
  <c r="T114" i="167"/>
  <c r="R102" i="167"/>
  <c r="T102" i="167"/>
  <c r="S102" i="167" s="1"/>
  <c r="R90" i="167"/>
  <c r="T90" i="167"/>
  <c r="R78" i="167"/>
  <c r="T78" i="167"/>
  <c r="R66" i="167"/>
  <c r="T66" i="167"/>
  <c r="S66" i="167" s="1"/>
  <c r="R54" i="167"/>
  <c r="T54" i="167"/>
  <c r="S54" i="167" s="1"/>
  <c r="R42" i="167"/>
  <c r="T42" i="167"/>
  <c r="S42" i="167" s="1"/>
  <c r="R30" i="167"/>
  <c r="T30" i="167"/>
  <c r="R18" i="167"/>
  <c r="T18" i="167"/>
  <c r="T161" i="167"/>
  <c r="R161" i="167"/>
  <c r="R149" i="167"/>
  <c r="T149" i="167"/>
  <c r="R137" i="167"/>
  <c r="T137" i="167"/>
  <c r="S137" i="167" s="1"/>
  <c r="T125" i="167"/>
  <c r="R125" i="167"/>
  <c r="R113" i="167"/>
  <c r="T113" i="167"/>
  <c r="S113" i="167" s="1"/>
  <c r="R101" i="167"/>
  <c r="T101" i="167"/>
  <c r="R89" i="167"/>
  <c r="T89" i="167"/>
  <c r="T77" i="167"/>
  <c r="R77" i="167"/>
  <c r="R65" i="167"/>
  <c r="T65" i="167"/>
  <c r="R53" i="167"/>
  <c r="T53" i="167"/>
  <c r="S53" i="167" s="1"/>
  <c r="AB53" i="167" s="1"/>
  <c r="R41" i="167"/>
  <c r="T41" i="167"/>
  <c r="S41" i="167" s="1"/>
  <c r="R29" i="167"/>
  <c r="T29" i="167"/>
  <c r="S29" i="167" s="1"/>
  <c r="T17" i="167"/>
  <c r="R17" i="167"/>
  <c r="T142" i="167"/>
  <c r="S142" i="167" s="1"/>
  <c r="R160" i="167"/>
  <c r="T160" i="167"/>
  <c r="R148" i="167"/>
  <c r="T148" i="167"/>
  <c r="R136" i="167"/>
  <c r="T136" i="167"/>
  <c r="T124" i="167"/>
  <c r="R124" i="167"/>
  <c r="T112" i="167"/>
  <c r="R112" i="167"/>
  <c r="R100" i="167"/>
  <c r="T100" i="167"/>
  <c r="R88" i="167"/>
  <c r="T88" i="167"/>
  <c r="R64" i="167"/>
  <c r="T64" i="167"/>
  <c r="R52" i="167"/>
  <c r="T52" i="167"/>
  <c r="R40" i="167"/>
  <c r="T40" i="167"/>
  <c r="R28" i="167"/>
  <c r="T28" i="167"/>
  <c r="R16" i="167"/>
  <c r="T16" i="167"/>
  <c r="R159" i="167"/>
  <c r="T159" i="167"/>
  <c r="R147" i="167"/>
  <c r="T147" i="167"/>
  <c r="R135" i="167"/>
  <c r="T135" i="167"/>
  <c r="R123" i="167"/>
  <c r="T123" i="167"/>
  <c r="R111" i="167"/>
  <c r="T111" i="167"/>
  <c r="R99" i="167"/>
  <c r="T99" i="167"/>
  <c r="R87" i="167"/>
  <c r="T87" i="167"/>
  <c r="S87" i="167" s="1"/>
  <c r="R75" i="167"/>
  <c r="T75" i="167"/>
  <c r="S75" i="167" s="1"/>
  <c r="T63" i="167"/>
  <c r="R63" i="167"/>
  <c r="R51" i="167"/>
  <c r="T51" i="167"/>
  <c r="T39" i="167"/>
  <c r="R39" i="167"/>
  <c r="R27" i="167"/>
  <c r="T27" i="167"/>
  <c r="R15" i="167"/>
  <c r="T15" i="167"/>
  <c r="T141" i="167"/>
  <c r="R158" i="167"/>
  <c r="T158" i="167"/>
  <c r="R134" i="167"/>
  <c r="T134" i="167"/>
  <c r="R122" i="167"/>
  <c r="T122" i="167"/>
  <c r="R110" i="167"/>
  <c r="T110" i="167"/>
  <c r="T98" i="167"/>
  <c r="R98" i="167"/>
  <c r="R86" i="167"/>
  <c r="T86" i="167"/>
  <c r="T74" i="167"/>
  <c r="R74" i="167"/>
  <c r="R62" i="167"/>
  <c r="T62" i="167"/>
  <c r="S62" i="167" s="1"/>
  <c r="T50" i="167"/>
  <c r="R50" i="167"/>
  <c r="R38" i="167"/>
  <c r="T38" i="167"/>
  <c r="T26" i="167"/>
  <c r="R26" i="167"/>
  <c r="R14" i="167"/>
  <c r="T14" i="167"/>
  <c r="R145" i="167"/>
  <c r="R133" i="167"/>
  <c r="T133" i="167"/>
  <c r="R121" i="167"/>
  <c r="T121" i="167"/>
  <c r="R109" i="167"/>
  <c r="T109" i="167"/>
  <c r="R97" i="167"/>
  <c r="T97" i="167"/>
  <c r="S97" i="167" s="1"/>
  <c r="R85" i="167"/>
  <c r="T85" i="167"/>
  <c r="S85" i="167" s="1"/>
  <c r="R73" i="167"/>
  <c r="T73" i="167"/>
  <c r="R61" i="167"/>
  <c r="T61" i="167"/>
  <c r="R49" i="167"/>
  <c r="T49" i="167"/>
  <c r="R37" i="167"/>
  <c r="T37" i="167"/>
  <c r="T25" i="167"/>
  <c r="R25" i="167"/>
  <c r="R13" i="167"/>
  <c r="T13" i="167"/>
  <c r="T144" i="167"/>
  <c r="S144" i="167" s="1"/>
  <c r="T76" i="167"/>
  <c r="S76" i="167" s="1"/>
  <c r="T156" i="167"/>
  <c r="S156" i="167" s="1"/>
  <c r="R156" i="167"/>
  <c r="R132" i="167"/>
  <c r="T132" i="167"/>
  <c r="S132" i="167" s="1"/>
  <c r="R120" i="167"/>
  <c r="T120" i="167"/>
  <c r="S120" i="167" s="1"/>
  <c r="R108" i="167"/>
  <c r="T108" i="167"/>
  <c r="R96" i="167"/>
  <c r="T96" i="167"/>
  <c r="R84" i="167"/>
  <c r="T84" i="167"/>
  <c r="S84" i="167" s="1"/>
  <c r="R72" i="167"/>
  <c r="T72" i="167"/>
  <c r="R60" i="167"/>
  <c r="T60" i="167"/>
  <c r="S60" i="167" s="1"/>
  <c r="R48" i="167"/>
  <c r="T48" i="167"/>
  <c r="S48" i="167" s="1"/>
  <c r="R36" i="167"/>
  <c r="T36" i="167"/>
  <c r="R24" i="167"/>
  <c r="T24" i="167"/>
  <c r="R12" i="167"/>
  <c r="T12" i="167"/>
  <c r="S12" i="167" s="1"/>
  <c r="T157" i="167"/>
  <c r="S157" i="167" s="1"/>
  <c r="M6" i="167"/>
  <c r="R131" i="167"/>
  <c r="T131" i="167"/>
  <c r="R119" i="167"/>
  <c r="T119" i="167"/>
  <c r="T107" i="167"/>
  <c r="R107" i="167"/>
  <c r="T95" i="167"/>
  <c r="S95" i="167" s="1"/>
  <c r="R95" i="167"/>
  <c r="R83" i="167"/>
  <c r="T83" i="167"/>
  <c r="R71" i="167"/>
  <c r="T71" i="167"/>
  <c r="S71" i="167" s="1"/>
  <c r="R59" i="167"/>
  <c r="T59" i="167"/>
  <c r="R47" i="167"/>
  <c r="T47" i="167"/>
  <c r="R35" i="167"/>
  <c r="T35" i="167"/>
  <c r="R23" i="167"/>
  <c r="T23" i="167"/>
  <c r="R11" i="167"/>
  <c r="T11" i="167"/>
  <c r="S35" i="167" l="1"/>
  <c r="AB35" i="167" s="1"/>
  <c r="S16" i="167"/>
  <c r="AB87" i="167"/>
  <c r="S31" i="167"/>
  <c r="AB31" i="167" s="1"/>
  <c r="W94" i="167"/>
  <c r="V94" i="167" s="1" a="1"/>
  <c r="V94" i="167" s="1"/>
  <c r="W150" i="167"/>
  <c r="V150" i="167" s="1" a="1"/>
  <c r="V150" i="167" s="1"/>
  <c r="W84" i="167"/>
  <c r="W22" i="167"/>
  <c r="W120" i="167"/>
  <c r="W137" i="167"/>
  <c r="W126" i="167"/>
  <c r="V126" i="167" s="1" a="1"/>
  <c r="V126" i="167" s="1"/>
  <c r="S36" i="167"/>
  <c r="AB36" i="167" s="1"/>
  <c r="AB132" i="167"/>
  <c r="S6" i="167"/>
  <c r="W6" i="167" s="1"/>
  <c r="S24" i="167"/>
  <c r="W24" i="167" s="1"/>
  <c r="W118" i="167"/>
  <c r="V118" i="167" s="1" a="1"/>
  <c r="V118" i="167" s="1"/>
  <c r="AB85" i="167"/>
  <c r="W76" i="167"/>
  <c r="V76" i="167" s="1" a="1"/>
  <c r="V76" i="167" s="1"/>
  <c r="W29" i="167"/>
  <c r="AB97" i="167"/>
  <c r="W54" i="167"/>
  <c r="V54" i="167" s="1" a="1"/>
  <c r="V54" i="167" s="1"/>
  <c r="S30" i="167"/>
  <c r="AB30" i="167" s="1"/>
  <c r="S146" i="167"/>
  <c r="AB146" i="167" s="1"/>
  <c r="W66" i="167"/>
  <c r="V66" i="167" s="1" a="1"/>
  <c r="V66" i="167" s="1"/>
  <c r="W156" i="167"/>
  <c r="V156" i="167" s="1" a="1"/>
  <c r="V156" i="167" s="1"/>
  <c r="W60" i="167"/>
  <c r="V60" i="167" s="1" a="1"/>
  <c r="V60" i="167" s="1"/>
  <c r="S10" i="167"/>
  <c r="W10" i="167" s="1"/>
  <c r="W62" i="167"/>
  <c r="V62" i="167" s="1" a="1"/>
  <c r="V62" i="167" s="1"/>
  <c r="W12" i="167"/>
  <c r="V12" i="167" s="1" a="1"/>
  <c r="V12" i="167" s="1"/>
  <c r="AB66" i="167"/>
  <c r="S68" i="167"/>
  <c r="W68" i="167" s="1"/>
  <c r="V68" i="167" s="1" a="1"/>
  <c r="V68" i="167" s="1"/>
  <c r="AB41" i="167"/>
  <c r="W113" i="167"/>
  <c r="V113" i="167" s="1" a="1"/>
  <c r="V113" i="167" s="1"/>
  <c r="S7" i="167"/>
  <c r="AB7" i="167" s="1"/>
  <c r="W130" i="167"/>
  <c r="V130" i="167" s="1" a="1"/>
  <c r="V130" i="167" s="1"/>
  <c r="S19" i="167"/>
  <c r="AB19" i="167" s="1"/>
  <c r="S57" i="167"/>
  <c r="W57" i="167" s="1"/>
  <c r="V57" i="167" s="1" a="1"/>
  <c r="V57" i="167" s="1"/>
  <c r="AB22" i="167"/>
  <c r="AB58" i="167"/>
  <c r="S143" i="167"/>
  <c r="AB143" i="167" s="1"/>
  <c r="S18" i="167"/>
  <c r="AB18" i="167" s="1"/>
  <c r="S70" i="167"/>
  <c r="AB70" i="167" s="1"/>
  <c r="S90" i="167"/>
  <c r="W90" i="167" s="1"/>
  <c r="V90" i="167" s="1" a="1"/>
  <c r="V90" i="167" s="1"/>
  <c r="S34" i="167"/>
  <c r="AB34" i="167" s="1"/>
  <c r="S82" i="167"/>
  <c r="W82" i="167" s="1"/>
  <c r="V82" i="167" s="1" a="1"/>
  <c r="V82" i="167" s="1"/>
  <c r="AB12" i="167"/>
  <c r="S45" i="167"/>
  <c r="W45" i="167" s="1"/>
  <c r="V45" i="167" s="1" a="1"/>
  <c r="V45" i="167" s="1"/>
  <c r="AB46" i="167"/>
  <c r="AB67" i="167"/>
  <c r="W53" i="167"/>
  <c r="V53" i="167" s="1" a="1"/>
  <c r="V53" i="167" s="1"/>
  <c r="S15" i="167"/>
  <c r="W15" i="167" s="1"/>
  <c r="AB102" i="167"/>
  <c r="AB55" i="167"/>
  <c r="AB29" i="167"/>
  <c r="S151" i="167"/>
  <c r="AB151" i="167" s="1"/>
  <c r="S32" i="167"/>
  <c r="W32" i="167" s="1"/>
  <c r="W157" i="167"/>
  <c r="V157" i="167" s="1" a="1"/>
  <c r="V157" i="167" s="1"/>
  <c r="W142" i="167"/>
  <c r="V142" i="167" s="1" a="1"/>
  <c r="V142" i="167" s="1"/>
  <c r="S119" i="167"/>
  <c r="W119" i="167" s="1"/>
  <c r="V119" i="167" s="1" a="1"/>
  <c r="V119" i="167" s="1"/>
  <c r="S17" i="167"/>
  <c r="S21" i="167"/>
  <c r="W21" i="167" s="1"/>
  <c r="V21" i="167" s="1" a="1"/>
  <c r="V21" i="167" s="1"/>
  <c r="AB91" i="167"/>
  <c r="W95" i="167"/>
  <c r="V95" i="167" s="1" a="1"/>
  <c r="V95" i="167" s="1"/>
  <c r="AB105" i="167"/>
  <c r="W75" i="167"/>
  <c r="V75" i="167" s="1" a="1"/>
  <c r="V75" i="167" s="1"/>
  <c r="AB71" i="167"/>
  <c r="S11" i="167"/>
  <c r="AB11" i="167" s="1"/>
  <c r="AB42" i="167"/>
  <c r="S78" i="167"/>
  <c r="AB78" i="167" s="1"/>
  <c r="W87" i="167"/>
  <c r="V87" i="167" s="1" a="1"/>
  <c r="V87" i="167" s="1"/>
  <c r="S152" i="167"/>
  <c r="W152" i="167" s="1"/>
  <c r="V152" i="167" s="1" a="1"/>
  <c r="V152" i="167" s="1"/>
  <c r="S111" i="167"/>
  <c r="W111" i="167" s="1"/>
  <c r="V111" i="167" s="1" a="1"/>
  <c r="V111" i="167" s="1"/>
  <c r="W85" i="167"/>
  <c r="V85" i="167" s="1" a="1"/>
  <c r="V85" i="167" s="1"/>
  <c r="S69" i="167"/>
  <c r="W69" i="167" s="1"/>
  <c r="V69" i="167" s="1" a="1"/>
  <c r="V69" i="167" s="1"/>
  <c r="S159" i="167"/>
  <c r="AB159" i="167" s="1"/>
  <c r="W144" i="167"/>
  <c r="V144" i="167" s="1" a="1"/>
  <c r="V144" i="167" s="1"/>
  <c r="S26" i="167"/>
  <c r="W26" i="167" s="1"/>
  <c r="W48" i="167"/>
  <c r="V48" i="167" s="1" a="1"/>
  <c r="V48" i="167" s="1"/>
  <c r="W16" i="167"/>
  <c r="V84" i="167" a="1"/>
  <c r="V84" i="167" s="1"/>
  <c r="V29" i="167" a="1"/>
  <c r="V29" i="167" s="1"/>
  <c r="V137" i="167" a="1"/>
  <c r="V137" i="167" s="1"/>
  <c r="AB106" i="167"/>
  <c r="S145" i="167"/>
  <c r="W145" i="167" s="1"/>
  <c r="V145" i="167" s="1" a="1"/>
  <c r="V145" i="167" s="1"/>
  <c r="S131" i="167"/>
  <c r="AB131" i="167" s="1"/>
  <c r="AB43" i="167"/>
  <c r="S88" i="167"/>
  <c r="W88" i="167" s="1"/>
  <c r="V88" i="167" s="1" a="1"/>
  <c r="V88" i="167" s="1"/>
  <c r="S74" i="167"/>
  <c r="AB74" i="167" s="1"/>
  <c r="S134" i="167"/>
  <c r="W134" i="167" s="1"/>
  <c r="V134" i="167" s="1" a="1"/>
  <c r="V134" i="167" s="1"/>
  <c r="AB154" i="167"/>
  <c r="AB44" i="167"/>
  <c r="AB93" i="167"/>
  <c r="S100" i="167"/>
  <c r="W100" i="167" s="1"/>
  <c r="V100" i="167" s="1" a="1"/>
  <c r="V100" i="167" s="1"/>
  <c r="S140" i="167"/>
  <c r="AB140" i="167" s="1"/>
  <c r="S33" i="167"/>
  <c r="AB33" i="167" s="1"/>
  <c r="W42" i="167"/>
  <c r="V42" i="167" s="1" a="1"/>
  <c r="V42" i="167" s="1"/>
  <c r="S136" i="167"/>
  <c r="AB136" i="167" s="1"/>
  <c r="S83" i="167"/>
  <c r="W83" i="167" s="1"/>
  <c r="V83" i="167" s="1" a="1"/>
  <c r="V83" i="167" s="1"/>
  <c r="S73" i="167"/>
  <c r="W73" i="167" s="1"/>
  <c r="V73" i="167" s="1" a="1"/>
  <c r="V73" i="167" s="1"/>
  <c r="S56" i="167"/>
  <c r="W56" i="167" s="1"/>
  <c r="V56" i="167" s="1" a="1"/>
  <c r="V56" i="167" s="1"/>
  <c r="W132" i="167"/>
  <c r="V132" i="167" s="1" a="1"/>
  <c r="V132" i="167" s="1"/>
  <c r="AB60" i="167"/>
  <c r="S116" i="167"/>
  <c r="AB116" i="167" s="1"/>
  <c r="S99" i="167"/>
  <c r="W99" i="167" s="1"/>
  <c r="V99" i="167" s="1" a="1"/>
  <c r="V99" i="167" s="1"/>
  <c r="S14" i="167"/>
  <c r="W14" i="167" s="1"/>
  <c r="V14" i="167" s="1" a="1"/>
  <c r="V14" i="167" s="1"/>
  <c r="S112" i="167"/>
  <c r="W112" i="167" s="1"/>
  <c r="V112" i="167" s="1" a="1"/>
  <c r="V112" i="167" s="1"/>
  <c r="S27" i="167"/>
  <c r="AB27" i="167" s="1"/>
  <c r="AB113" i="167"/>
  <c r="AB118" i="167"/>
  <c r="W55" i="167"/>
  <c r="V55" i="167" s="1" a="1"/>
  <c r="V55" i="167" s="1"/>
  <c r="AB24" i="167"/>
  <c r="W41" i="167"/>
  <c r="V41" i="167" s="1" a="1"/>
  <c r="V41" i="167" s="1"/>
  <c r="AB150" i="167"/>
  <c r="AB130" i="167"/>
  <c r="W97" i="167"/>
  <c r="V97" i="167" s="1" a="1"/>
  <c r="V97" i="167" s="1"/>
  <c r="W43" i="167"/>
  <c r="V43" i="167" s="1" a="1"/>
  <c r="V43" i="167" s="1"/>
  <c r="W46" i="167"/>
  <c r="V46" i="167" s="1" a="1"/>
  <c r="V46" i="167" s="1"/>
  <c r="AB75" i="167"/>
  <c r="S37" i="167"/>
  <c r="AB37" i="167" s="1"/>
  <c r="AB54" i="167"/>
  <c r="AB157" i="167"/>
  <c r="AB156" i="167"/>
  <c r="AB94" i="167"/>
  <c r="W105" i="167"/>
  <c r="V105" i="167" s="1" a="1"/>
  <c r="V105" i="167" s="1"/>
  <c r="S72" i="167"/>
  <c r="S23" i="167"/>
  <c r="AB23" i="167" s="1"/>
  <c r="AB144" i="167"/>
  <c r="W93" i="167"/>
  <c r="V93" i="167" s="1" a="1"/>
  <c r="V93" i="167" s="1"/>
  <c r="S128" i="167"/>
  <c r="W128" i="167" s="1"/>
  <c r="V128" i="167" s="1" a="1"/>
  <c r="V128" i="167" s="1"/>
  <c r="W91" i="167"/>
  <c r="V91" i="167" s="1" a="1"/>
  <c r="V91" i="167" s="1"/>
  <c r="AB142" i="167"/>
  <c r="V16" i="167" a="1"/>
  <c r="V16" i="167" s="1"/>
  <c r="V120" i="167" a="1"/>
  <c r="V120" i="167" s="1"/>
  <c r="W71" i="167"/>
  <c r="V71" i="167" s="1" a="1"/>
  <c r="V71" i="167" s="1"/>
  <c r="W67" i="167"/>
  <c r="V67" i="167" s="1" a="1"/>
  <c r="V67" i="167" s="1"/>
  <c r="AB76" i="167"/>
  <c r="AB48" i="167"/>
  <c r="AB81" i="167"/>
  <c r="AB120" i="167"/>
  <c r="V106" i="167" a="1"/>
  <c r="V106" i="167" s="1"/>
  <c r="W102" i="167"/>
  <c r="V102" i="167" s="1" a="1"/>
  <c r="V102" i="167" s="1"/>
  <c r="W154" i="167"/>
  <c r="V154" i="167" s="1" a="1"/>
  <c r="V154" i="167" s="1"/>
  <c r="V6" i="167" a="1"/>
  <c r="V6" i="167" s="1"/>
  <c r="S13" i="167"/>
  <c r="W13" i="167" s="1"/>
  <c r="V13" i="167" s="1" a="1"/>
  <c r="V13" i="167" s="1"/>
  <c r="S38" i="167"/>
  <c r="W38" i="167" s="1"/>
  <c r="V38" i="167" s="1" a="1"/>
  <c r="V38" i="167" s="1"/>
  <c r="S20" i="167"/>
  <c r="S28" i="167"/>
  <c r="S8" i="167"/>
  <c r="V22" i="167" a="1"/>
  <c r="V22" i="167" s="1"/>
  <c r="S51" i="167"/>
  <c r="S123" i="167"/>
  <c r="S104" i="167"/>
  <c r="S129" i="167"/>
  <c r="W35" i="167"/>
  <c r="S96" i="167"/>
  <c r="S64" i="167"/>
  <c r="S148" i="167"/>
  <c r="S138" i="167"/>
  <c r="AB16" i="167"/>
  <c r="AB84" i="167"/>
  <c r="V24" i="167" a="1"/>
  <c r="V24" i="167" s="1"/>
  <c r="S86" i="167"/>
  <c r="S135" i="167"/>
  <c r="S108" i="167"/>
  <c r="S63" i="167"/>
  <c r="S160" i="167"/>
  <c r="S125" i="167"/>
  <c r="S115" i="167"/>
  <c r="S25" i="167"/>
  <c r="S141" i="167"/>
  <c r="S147" i="167"/>
  <c r="S65" i="167"/>
  <c r="S127" i="167"/>
  <c r="S9" i="167"/>
  <c r="S153" i="167"/>
  <c r="S103" i="167"/>
  <c r="S158" i="167"/>
  <c r="S109" i="167"/>
  <c r="S98" i="167"/>
  <c r="S110" i="167"/>
  <c r="S149" i="167"/>
  <c r="S139" i="167"/>
  <c r="AB62" i="167"/>
  <c r="S49" i="167"/>
  <c r="S121" i="167"/>
  <c r="S77" i="167"/>
  <c r="S155" i="167"/>
  <c r="S107" i="167"/>
  <c r="S122" i="167"/>
  <c r="S89" i="167"/>
  <c r="S79" i="167"/>
  <c r="S80" i="167"/>
  <c r="S47" i="167"/>
  <c r="S61" i="167"/>
  <c r="S133" i="167"/>
  <c r="S50" i="167"/>
  <c r="S40" i="167"/>
  <c r="S161" i="167"/>
  <c r="S114" i="167"/>
  <c r="S124" i="167"/>
  <c r="S101" i="167"/>
  <c r="S59" i="167"/>
  <c r="S39" i="167"/>
  <c r="S52" i="167"/>
  <c r="S117" i="167"/>
  <c r="W44" i="167"/>
  <c r="V44" i="167" s="1" a="1"/>
  <c r="V44" i="167" s="1"/>
  <c r="AB137" i="167"/>
  <c r="AB126" i="167"/>
  <c r="AB95" i="167"/>
  <c r="AB92" i="167"/>
  <c r="W92" i="167"/>
  <c r="V92" i="167" s="1" a="1"/>
  <c r="V92" i="167" s="1"/>
  <c r="W31" i="167" l="1"/>
  <c r="W36" i="167"/>
  <c r="V35" i="167" a="1"/>
  <c r="V35" i="167" s="1"/>
  <c r="V15" i="167" a="1"/>
  <c r="V15" i="167" s="1"/>
  <c r="AB6" i="167"/>
  <c r="V10" i="167" a="1"/>
  <c r="V10" i="167" s="1"/>
  <c r="V36" i="167" a="1"/>
  <c r="V36" i="167" s="1"/>
  <c r="W34" i="167"/>
  <c r="W30" i="167"/>
  <c r="V30" i="167" s="1" a="1"/>
  <c r="V30" i="167" s="1"/>
  <c r="W146" i="167"/>
  <c r="V146" i="167" s="1" a="1"/>
  <c r="V146" i="167" s="1"/>
  <c r="AB10" i="167"/>
  <c r="W151" i="167"/>
  <c r="V151" i="167" s="1" a="1"/>
  <c r="V151" i="167" s="1"/>
  <c r="W19" i="167"/>
  <c r="V19" i="167" s="1" a="1"/>
  <c r="V19" i="167" s="1"/>
  <c r="W7" i="167"/>
  <c r="V7" i="167" s="1" a="1"/>
  <c r="V7" i="167" s="1"/>
  <c r="AB68" i="167"/>
  <c r="AB57" i="167"/>
  <c r="W18" i="167"/>
  <c r="V18" i="167" s="1" a="1"/>
  <c r="V18" i="167" s="1"/>
  <c r="AB32" i="167"/>
  <c r="W143" i="167"/>
  <c r="V143" i="167" s="1" a="1"/>
  <c r="V143" i="167" s="1"/>
  <c r="AB82" i="167"/>
  <c r="AB90" i="167"/>
  <c r="AB21" i="167"/>
  <c r="AB111" i="167"/>
  <c r="W70" i="167"/>
  <c r="V70" i="167" s="1" a="1"/>
  <c r="V70" i="167" s="1"/>
  <c r="AB15" i="167"/>
  <c r="W11" i="167"/>
  <c r="AB45" i="167"/>
  <c r="AB119" i="167"/>
  <c r="AB69" i="167"/>
  <c r="V32" i="167" a="1"/>
  <c r="V32" i="167" s="1"/>
  <c r="W17" i="167"/>
  <c r="V17" i="167" s="1" a="1"/>
  <c r="V17" i="167" s="1"/>
  <c r="AB17" i="167"/>
  <c r="AB88" i="167"/>
  <c r="AB83" i="167"/>
  <c r="AB112" i="167"/>
  <c r="AB26" i="167"/>
  <c r="AB152" i="167"/>
  <c r="V34" i="167" a="1"/>
  <c r="V34" i="167" s="1"/>
  <c r="W159" i="167"/>
  <c r="V159" i="167" s="1" a="1"/>
  <c r="V159" i="167" s="1"/>
  <c r="W78" i="167"/>
  <c r="V78" i="167" s="1" a="1"/>
  <c r="V78" i="167" s="1"/>
  <c r="V26" i="167" a="1"/>
  <c r="V26" i="167" s="1"/>
  <c r="AB56" i="167"/>
  <c r="V31" i="167" a="1"/>
  <c r="V31" i="167" s="1"/>
  <c r="AB145" i="167"/>
  <c r="W140" i="167"/>
  <c r="V140" i="167" s="1" a="1"/>
  <c r="V140" i="167" s="1"/>
  <c r="W74" i="167"/>
  <c r="V74" i="167" s="1" a="1"/>
  <c r="V74" i="167" s="1"/>
  <c r="AB99" i="167"/>
  <c r="W116" i="167"/>
  <c r="V116" i="167" s="1" a="1"/>
  <c r="V116" i="167" s="1"/>
  <c r="W136" i="167"/>
  <c r="V136" i="167" s="1" a="1"/>
  <c r="V136" i="167" s="1"/>
  <c r="AB134" i="167"/>
  <c r="W33" i="167"/>
  <c r="V33" i="167" s="1" a="1"/>
  <c r="V33" i="167" s="1"/>
  <c r="AB100" i="167"/>
  <c r="AB73" i="167"/>
  <c r="W131" i="167"/>
  <c r="V131" i="167" s="1" a="1"/>
  <c r="V131" i="167" s="1"/>
  <c r="W37" i="167"/>
  <c r="V37" i="167" s="1" a="1"/>
  <c r="V37" i="167" s="1"/>
  <c r="AB14" i="167"/>
  <c r="V11" i="167" a="1"/>
  <c r="V11" i="167" s="1"/>
  <c r="AB13" i="167"/>
  <c r="W27" i="167"/>
  <c r="V27" i="167" s="1" a="1"/>
  <c r="V27" i="167" s="1"/>
  <c r="W23" i="167"/>
  <c r="V23" i="167" s="1" a="1"/>
  <c r="V23" i="167" s="1"/>
  <c r="AB128" i="167"/>
  <c r="AB72" i="167"/>
  <c r="W72" i="167"/>
  <c r="V72" i="167" s="1" a="1"/>
  <c r="V72" i="167" s="1"/>
  <c r="AB38" i="167"/>
  <c r="AB20" i="167"/>
  <c r="W20" i="167"/>
  <c r="V20" i="167" s="1" a="1"/>
  <c r="V20" i="167" s="1"/>
  <c r="W8" i="167"/>
  <c r="V8" i="167" s="1" a="1"/>
  <c r="V8" i="167" s="1"/>
  <c r="AB8" i="167"/>
  <c r="W28" i="167"/>
  <c r="V28" i="167" s="1" a="1"/>
  <c r="V28" i="167" s="1"/>
  <c r="AB28" i="167"/>
  <c r="AB39" i="167"/>
  <c r="W39" i="167"/>
  <c r="V39" i="167" s="1" a="1"/>
  <c r="V39" i="167" s="1"/>
  <c r="AB50" i="167"/>
  <c r="W50" i="167"/>
  <c r="V50" i="167" s="1" a="1"/>
  <c r="V50" i="167" s="1"/>
  <c r="AB147" i="167"/>
  <c r="W147" i="167"/>
  <c r="V147" i="167" s="1" a="1"/>
  <c r="V147" i="167" s="1"/>
  <c r="AB160" i="167"/>
  <c r="W160" i="167"/>
  <c r="V160" i="167" s="1" a="1"/>
  <c r="V160" i="167" s="1"/>
  <c r="W129" i="167"/>
  <c r="V129" i="167" s="1" a="1"/>
  <c r="V129" i="167" s="1"/>
  <c r="AB129" i="167"/>
  <c r="AB124" i="167"/>
  <c r="W124" i="167"/>
  <c r="V124" i="167" s="1" a="1"/>
  <c r="V124" i="167" s="1"/>
  <c r="W89" i="167"/>
  <c r="V89" i="167" s="1" a="1"/>
  <c r="V89" i="167" s="1"/>
  <c r="AB89" i="167"/>
  <c r="W98" i="167"/>
  <c r="V98" i="167" s="1" a="1"/>
  <c r="V98" i="167" s="1"/>
  <c r="AB98" i="167"/>
  <c r="AB153" i="167"/>
  <c r="W153" i="167"/>
  <c r="V153" i="167" s="1" a="1"/>
  <c r="V153" i="167" s="1"/>
  <c r="AB96" i="167"/>
  <c r="W96" i="167"/>
  <c r="V96" i="167" s="1" a="1"/>
  <c r="V96" i="167" s="1"/>
  <c r="W122" i="167"/>
  <c r="V122" i="167" s="1" a="1"/>
  <c r="V122" i="167" s="1"/>
  <c r="AB122" i="167"/>
  <c r="AB63" i="167"/>
  <c r="W63" i="167"/>
  <c r="V63" i="167" s="1" a="1"/>
  <c r="V63" i="167" s="1"/>
  <c r="AB51" i="167"/>
  <c r="W51" i="167"/>
  <c r="V51" i="167" s="1" a="1"/>
  <c r="V51" i="167" s="1"/>
  <c r="W9" i="167"/>
  <c r="V9" i="167" s="1" a="1"/>
  <c r="V9" i="167" s="1"/>
  <c r="AB9" i="167"/>
  <c r="W141" i="167"/>
  <c r="V141" i="167" s="1" a="1"/>
  <c r="V141" i="167" s="1"/>
  <c r="AB141" i="167"/>
  <c r="W138" i="167"/>
  <c r="V138" i="167" s="1" a="1"/>
  <c r="V138" i="167" s="1"/>
  <c r="AB138" i="167"/>
  <c r="AB59" i="167"/>
  <c r="W59" i="167"/>
  <c r="V59" i="167" s="1" a="1"/>
  <c r="V59" i="167" s="1"/>
  <c r="W114" i="167"/>
  <c r="V114" i="167" s="1" a="1"/>
  <c r="V114" i="167" s="1"/>
  <c r="AB114" i="167"/>
  <c r="W133" i="167"/>
  <c r="V133" i="167" s="1" a="1"/>
  <c r="V133" i="167" s="1"/>
  <c r="AB133" i="167"/>
  <c r="W139" i="167"/>
  <c r="V139" i="167" s="1" a="1"/>
  <c r="V139" i="167" s="1"/>
  <c r="AB139" i="167"/>
  <c r="AB108" i="167"/>
  <c r="W108" i="167"/>
  <c r="V108" i="167" s="1" a="1"/>
  <c r="V108" i="167" s="1"/>
  <c r="AB104" i="167"/>
  <c r="W104" i="167"/>
  <c r="V104" i="167" s="1" a="1"/>
  <c r="V104" i="167" s="1"/>
  <c r="W80" i="167"/>
  <c r="V80" i="167" s="1" a="1"/>
  <c r="V80" i="167" s="1"/>
  <c r="AB80" i="167"/>
  <c r="W121" i="167"/>
  <c r="V121" i="167" s="1" a="1"/>
  <c r="V121" i="167" s="1"/>
  <c r="AB121" i="167"/>
  <c r="AB47" i="167"/>
  <c r="W47" i="167"/>
  <c r="V47" i="167" s="1" a="1"/>
  <c r="V47" i="167" s="1"/>
  <c r="W155" i="167"/>
  <c r="V155" i="167" s="1" a="1"/>
  <c r="V155" i="167" s="1"/>
  <c r="AB155" i="167"/>
  <c r="AB127" i="167"/>
  <c r="W127" i="167"/>
  <c r="V127" i="167" s="1" a="1"/>
  <c r="V127" i="167" s="1"/>
  <c r="AB115" i="167"/>
  <c r="W115" i="167"/>
  <c r="V115" i="167" s="1" a="1"/>
  <c r="V115" i="167" s="1"/>
  <c r="AB148" i="167"/>
  <c r="W148" i="167"/>
  <c r="V148" i="167" s="1" a="1"/>
  <c r="V148" i="167" s="1"/>
  <c r="AB123" i="167"/>
  <c r="W123" i="167"/>
  <c r="V123" i="167" s="1" a="1"/>
  <c r="V123" i="167" s="1"/>
  <c r="AB52" i="167"/>
  <c r="W52" i="167"/>
  <c r="V52" i="167" s="1" a="1"/>
  <c r="V52" i="167" s="1"/>
  <c r="AB61" i="167"/>
  <c r="W61" i="167"/>
  <c r="V61" i="167" s="1" a="1"/>
  <c r="V61" i="167" s="1"/>
  <c r="AB79" i="167"/>
  <c r="W79" i="167"/>
  <c r="V79" i="167" s="1" a="1"/>
  <c r="V79" i="167" s="1"/>
  <c r="W149" i="167"/>
  <c r="V149" i="167" s="1" a="1"/>
  <c r="V149" i="167" s="1"/>
  <c r="AB149" i="167"/>
  <c r="AB109" i="167"/>
  <c r="W109" i="167"/>
  <c r="V109" i="167" s="1" a="1"/>
  <c r="V109" i="167" s="1"/>
  <c r="AB25" i="167"/>
  <c r="W25" i="167"/>
  <c r="V25" i="167" s="1" a="1"/>
  <c r="V25" i="167" s="1"/>
  <c r="AB135" i="167"/>
  <c r="W135" i="167"/>
  <c r="V135" i="167" s="1" a="1"/>
  <c r="V135" i="167" s="1"/>
  <c r="AB101" i="167"/>
  <c r="W101" i="167"/>
  <c r="V101" i="167" s="1" a="1"/>
  <c r="V101" i="167" s="1"/>
  <c r="W161" i="167"/>
  <c r="V161" i="167" s="1" a="1"/>
  <c r="V161" i="167" s="1"/>
  <c r="AB161" i="167"/>
  <c r="W77" i="167"/>
  <c r="V77" i="167" s="1" a="1"/>
  <c r="V77" i="167" s="1"/>
  <c r="AB77" i="167"/>
  <c r="AB49" i="167"/>
  <c r="W49" i="167"/>
  <c r="V49" i="167" s="1" a="1"/>
  <c r="V49" i="167" s="1"/>
  <c r="AB110" i="167"/>
  <c r="W110" i="167"/>
  <c r="V110" i="167" s="1" a="1"/>
  <c r="V110" i="167" s="1"/>
  <c r="W158" i="167"/>
  <c r="V158" i="167" s="1" a="1"/>
  <c r="V158" i="167" s="1"/>
  <c r="AB158" i="167"/>
  <c r="AB65" i="167"/>
  <c r="W65" i="167"/>
  <c r="V65" i="167" s="1" a="1"/>
  <c r="V65" i="167" s="1"/>
  <c r="AB40" i="167"/>
  <c r="W40" i="167"/>
  <c r="V40" i="167" s="1" a="1"/>
  <c r="V40" i="167" s="1"/>
  <c r="W107" i="167"/>
  <c r="V107" i="167" s="1" a="1"/>
  <c r="V107" i="167" s="1"/>
  <c r="AB107" i="167"/>
  <c r="W86" i="167"/>
  <c r="V86" i="167" s="1" a="1"/>
  <c r="V86" i="167" s="1"/>
  <c r="AB86" i="167"/>
  <c r="AB117" i="167"/>
  <c r="W117" i="167"/>
  <c r="V117" i="167" s="1" a="1"/>
  <c r="V117" i="167" s="1"/>
  <c r="W103" i="167"/>
  <c r="V103" i="167" s="1" a="1"/>
  <c r="V103" i="167" s="1"/>
  <c r="AB103" i="167"/>
  <c r="W125" i="167"/>
  <c r="V125" i="167" s="1" a="1"/>
  <c r="V125" i="167" s="1"/>
  <c r="AB125" i="167"/>
  <c r="AB64" i="167"/>
  <c r="W64" i="167"/>
  <c r="V64" i="167" s="1" a="1"/>
  <c r="V64" i="167" s="1"/>
  <c r="AA5" i="167" l="1"/>
  <c r="Z5" i="167"/>
  <c r="Y5" i="167"/>
  <c r="X5" i="167"/>
  <c r="U5" i="167"/>
  <c r="T5" i="167"/>
  <c r="R5" i="167"/>
  <c r="Q5" i="167"/>
  <c r="P5" i="167"/>
  <c r="O5" i="167" l="1"/>
  <c r="N5" i="167"/>
  <c r="M5" i="167" l="1"/>
  <c r="J5" i="167"/>
  <c r="L5" i="167" a="1"/>
  <c r="L5" i="167" s="1"/>
  <c r="K5" i="167"/>
  <c r="I5" i="167"/>
  <c r="F5" i="167"/>
  <c r="S5" i="167" s="1"/>
  <c r="E5" i="167"/>
  <c r="D5" i="167"/>
  <c r="C5" i="167"/>
  <c r="B5" i="167"/>
  <c r="W5" i="167" l="1"/>
  <c r="V5" i="167" l="1" a="1"/>
  <c r="V5" i="167" s="1"/>
  <c r="A5" i="167"/>
  <c r="AB5" i="167" l="1"/>
  <c r="X1" i="16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tc={D8395307-482F-4F99-A4E8-2186668CAE5E}</author>
  </authors>
  <commentList>
    <comment ref="Z1" authorId="0" shapeId="0" xr:uid="{D8395307-482F-4F99-A4E8-2186668CAE5E}">
      <text>
        <t>[Yorum yazışması]
Excel sürümünüz bu yorum yazışmasını okumanıza izin veriyor, ancak dosya daha yeni bir Excel sürümünde açılırsa, yapılan düzenlemeler kaldırılır. Daha fazla bilgi: https://go.microsoft.com/fwlink/?linkid=870924.
Açıklama:
    06:30:00	09:30:00	16:00:00	19:30:00
Şeklinde idi. Şartname 2.2.5 deki ‘’a) Sabah ve Akşam doruk saat (07:00 -9:00, 17:00-19:00) süreçleri istenilen hizmet verilebilirlik &gt; %98.5’’ değerinden veirler alınıp değiştirildi.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B77EE-CF2F-4593-8BE2-053ACD625AFD}" keepAlive="1" name="Sorgu - Table039 (Page 18)" description="Çalışma kitabındaki 'Table039 (Page 18)' sorgusuna yönelik bağlantı." type="5" refreshedVersion="0" background="1" saveData="1">
    <dbPr connection="Provider=Microsoft.Mashup.OleDb.1;Data Source=$Workbook$;Location=&quot;Table039 (Page 18)&quot;;Extended Properties=&quot;&quot;" command="SELECT * FROM [Table039 (Page 18)]"/>
  </connection>
  <connection id="2" xr16:uid="{4CCC6426-CBB1-4CDE-B069-4EA1D2EF5243}" keepAlive="1" name="Sorgu - Table040 (Page 19)" description="Çalışma kitabındaki 'Table040 (Page 19)' sorgusuna yönelik bağlantı." type="5" refreshedVersion="0" background="1" saveData="1">
    <dbPr connection="Provider=Microsoft.Mashup.OleDb.1;Data Source=$Workbook$;Location=&quot;Table040 (Page 19)&quot;;Extended Properties=&quot;&quot;" command="SELECT * FROM [Table040 (Page 1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<sst xmlns="http://schemas.openxmlformats.org/spreadsheetml/2006/main" count="69" uniqueCount="49">
  <si>
    <r>
      <rPr>
        <b/>
        <sz val="12"/>
        <color theme="1"/>
        <rFont val="Calibri"/>
        <family val="2"/>
        <charset val="162"/>
        <scheme val="minor"/>
      </rPr>
      <t>Araç Bilgileri</t>
    </r>
    <r>
      <rPr>
        <sz val="12"/>
        <color theme="1"/>
        <rFont val="Calibri"/>
        <family val="2"/>
        <charset val="162"/>
        <scheme val="minor"/>
      </rPr>
      <t xml:space="preserve">
Vhicle Information</t>
    </r>
  </si>
  <si>
    <r>
      <rPr>
        <b/>
        <sz val="12"/>
        <color theme="1"/>
        <rFont val="Calibri"/>
        <family val="2"/>
        <charset val="162"/>
        <scheme val="minor"/>
      </rPr>
      <t>Problem Bilgileri</t>
    </r>
    <r>
      <rPr>
        <sz val="12"/>
        <color theme="1"/>
        <rFont val="Calibri"/>
        <family val="2"/>
        <charset val="162"/>
        <scheme val="minor"/>
      </rPr>
      <t xml:space="preserve">
Failure Information</t>
    </r>
  </si>
  <si>
    <t>(EN 50126-1:2017 Tabl C.3</t>
  </si>
  <si>
    <t>Project</t>
  </si>
  <si>
    <t>FRACAS ID</t>
  </si>
  <si>
    <r>
      <rPr>
        <b/>
        <sz val="16"/>
        <rFont val="Calibri"/>
        <family val="2"/>
        <charset val="162"/>
        <scheme val="minor"/>
      </rPr>
      <t>FRACAS(Hata Raporlama Analizi ve Düzeltici Aksiyon Sitemi) Formu</t>
    </r>
    <r>
      <rPr>
        <sz val="16"/>
        <rFont val="Calibri"/>
        <family val="2"/>
        <charset val="162"/>
        <scheme val="minor"/>
      </rPr>
      <t xml:space="preserve">
FRACAS(Failure Reporting Analysis And Corrective Action System) Form </t>
    </r>
  </si>
  <si>
    <t>Doküman No / Document Code; FR-549
Yayımlama Tarih / Publish Datei; 23.05.2023
Revizyon Tarihi / Revision; 23.05.2023
Revizyon No; 2</t>
  </si>
  <si>
    <t>x</t>
  </si>
  <si>
    <t xml:space="preserve">Proje Pik Saatleri
Proje Peak Times </t>
  </si>
  <si>
    <r>
      <rPr>
        <b/>
        <sz val="12"/>
        <rFont val="Calibri"/>
        <family val="2"/>
        <charset val="162"/>
        <scheme val="minor"/>
      </rPr>
      <t>Çözüm Adımları ve Bilgileri</t>
    </r>
    <r>
      <rPr>
        <sz val="12"/>
        <rFont val="Calibri"/>
        <family val="2"/>
        <charset val="162"/>
        <scheme val="minor"/>
      </rPr>
      <t xml:space="preserve">
Solution Steps And Information</t>
    </r>
  </si>
  <si>
    <r>
      <t xml:space="preserve">Araç Numarası
</t>
    </r>
    <r>
      <rPr>
        <sz val="11"/>
        <color rgb="FFFF0000"/>
        <rFont val="Arial Nova"/>
        <family val="2"/>
      </rPr>
      <t>Vehicle Number</t>
    </r>
  </si>
  <si>
    <r>
      <t xml:space="preserve">Araç Module
</t>
    </r>
    <r>
      <rPr>
        <sz val="11"/>
        <color rgb="FFFF0000"/>
        <rFont val="Arial Nova"/>
        <family val="2"/>
      </rPr>
      <t>Vehicle Module</t>
    </r>
  </si>
  <si>
    <r>
      <t xml:space="preserve">Araç Kilometresi
</t>
    </r>
    <r>
      <rPr>
        <sz val="11"/>
        <color rgb="FFFF0000"/>
        <rFont val="Arial Nova"/>
        <family val="2"/>
      </rPr>
      <t>Vehicle Kilometer</t>
    </r>
  </si>
  <si>
    <r>
      <t xml:space="preserve">İlgili Tedarikçi
</t>
    </r>
    <r>
      <rPr>
        <sz val="10"/>
        <color rgb="FFFF0000"/>
        <rFont val="Arial Nova"/>
        <family val="2"/>
      </rPr>
      <t>Relevant Supplier</t>
    </r>
  </si>
  <si>
    <r>
      <rPr>
        <b/>
        <sz val="10"/>
        <color rgb="FFFF0000"/>
        <rFont val="Arial Nova"/>
        <family val="2"/>
      </rPr>
      <t>Arıza Tanımı</t>
    </r>
    <r>
      <rPr>
        <sz val="10"/>
        <color rgb="FFFF0000"/>
        <rFont val="Arial Nova"/>
        <family val="2"/>
      </rPr>
      <t xml:space="preserve">
Failure Description</t>
    </r>
  </si>
  <si>
    <r>
      <rPr>
        <b/>
        <sz val="10"/>
        <color rgb="FFFF0000"/>
        <rFont val="Arial Nova"/>
        <family val="2"/>
      </rPr>
      <t xml:space="preserve">Arıza Sınıfı
</t>
    </r>
    <r>
      <rPr>
        <sz val="10"/>
        <color rgb="FFFF0000"/>
        <rFont val="Arial Nova"/>
        <family val="2"/>
      </rPr>
      <t xml:space="preserve">
Failure Class</t>
    </r>
  </si>
  <si>
    <r>
      <rPr>
        <b/>
        <sz val="10"/>
        <color rgb="FFFF0000"/>
        <rFont val="Arial Nova"/>
        <family val="2"/>
      </rPr>
      <t xml:space="preserve">Arıza Kaynağı
</t>
    </r>
    <r>
      <rPr>
        <sz val="10"/>
        <color rgb="FFFF0000"/>
        <rFont val="Arial Nova"/>
        <family val="2"/>
      </rPr>
      <t xml:space="preserve">
Source of Failure</t>
    </r>
  </si>
  <si>
    <r>
      <rPr>
        <b/>
        <sz val="10"/>
        <color rgb="FFFF0000"/>
        <rFont val="Arial Nova"/>
        <family val="2"/>
      </rPr>
      <t>Arıza Tespitini Takiben Yapılan İşlem</t>
    </r>
    <r>
      <rPr>
        <sz val="10"/>
        <color rgb="FFFF0000"/>
        <rFont val="Arial Nova"/>
        <family val="2"/>
      </rPr>
      <t xml:space="preserve">
Action Followed by Fault Detection</t>
    </r>
  </si>
  <si>
    <r>
      <rPr>
        <b/>
        <sz val="10"/>
        <color rgb="FFFF0000"/>
        <rFont val="Arial Nova"/>
        <family val="2"/>
      </rPr>
      <t xml:space="preserve">Aksiyon
</t>
    </r>
    <r>
      <rPr>
        <sz val="10"/>
        <color rgb="FFFF0000"/>
        <rFont val="Arial Nova"/>
        <family val="2"/>
      </rPr>
      <t xml:space="preserve">
Action</t>
    </r>
  </si>
  <si>
    <r>
      <rPr>
        <b/>
        <sz val="10"/>
        <color rgb="FFFF0000"/>
        <rFont val="Arial Nova"/>
        <family val="2"/>
      </rPr>
      <t xml:space="preserve">Garanti Kapsamı
</t>
    </r>
    <r>
      <rPr>
        <sz val="10"/>
        <color rgb="FFFF0000"/>
        <rFont val="Arial Nova"/>
        <family val="2"/>
      </rPr>
      <t xml:space="preserve">
Warranty Coverage</t>
    </r>
  </si>
  <si>
    <r>
      <rPr>
        <b/>
        <sz val="10"/>
        <color rgb="FFFF0000"/>
        <rFont val="Arial Nova"/>
        <family val="2"/>
      </rPr>
      <t xml:space="preserve">Tamir için Gerekli Personel Sayısı
</t>
    </r>
    <r>
      <rPr>
        <sz val="10"/>
        <color rgb="FFFF0000"/>
        <rFont val="Arial Nova"/>
        <family val="2"/>
      </rPr>
      <t xml:space="preserve">
Required Personnel Quantity for Repair</t>
    </r>
  </si>
  <si>
    <t>Tamir Süresi (dakika)
Repair Time (dakika)</t>
  </si>
  <si>
    <r>
      <rPr>
        <b/>
        <sz val="10"/>
        <color rgb="FFFF0000"/>
        <rFont val="Arial Nova"/>
        <family val="2"/>
      </rPr>
      <t xml:space="preserve">Arıza Tipi
</t>
    </r>
    <r>
      <rPr>
        <sz val="10"/>
        <color rgb="FFFF0000"/>
        <rFont val="Arial Nova"/>
        <family val="2"/>
      </rPr>
      <t xml:space="preserve">
Failure Type</t>
    </r>
  </si>
  <si>
    <r>
      <rPr>
        <b/>
        <sz val="10"/>
        <color rgb="FFFF0000"/>
        <rFont val="Arial Nova"/>
        <family val="2"/>
      </rPr>
      <t xml:space="preserve">Parça Kodu
</t>
    </r>
    <r>
      <rPr>
        <sz val="10"/>
        <color rgb="FFFF0000"/>
        <rFont val="Arial Nova"/>
        <family val="2"/>
      </rPr>
      <t xml:space="preserve">
Part Code</t>
    </r>
  </si>
  <si>
    <r>
      <rPr>
        <b/>
        <sz val="10"/>
        <color rgb="FFFF0000"/>
        <rFont val="Arial Nova"/>
        <family val="2"/>
      </rPr>
      <t xml:space="preserve">Seri Numarası
</t>
    </r>
    <r>
      <rPr>
        <sz val="10"/>
        <color rgb="FFFF0000"/>
        <rFont val="Arial Nova"/>
        <family val="2"/>
      </rPr>
      <t xml:space="preserve">
Serial Number</t>
    </r>
  </si>
  <si>
    <r>
      <rPr>
        <b/>
        <sz val="10"/>
        <color rgb="FFFF0000"/>
        <rFont val="Arial Nova"/>
        <family val="2"/>
      </rPr>
      <t xml:space="preserve">Parça Adı
</t>
    </r>
    <r>
      <rPr>
        <sz val="10"/>
        <color rgb="FFFF0000"/>
        <rFont val="Arial Nova"/>
        <family val="2"/>
      </rPr>
      <t xml:space="preserve">
Part Name</t>
    </r>
  </si>
  <si>
    <r>
      <rPr>
        <b/>
        <sz val="10"/>
        <color rgb="FFFF0000"/>
        <rFont val="Arial Nova"/>
        <family val="2"/>
      </rPr>
      <t>Adeti</t>
    </r>
    <r>
      <rPr>
        <sz val="10"/>
        <color rgb="FFFF0000"/>
        <rFont val="Arial Nova"/>
        <family val="2"/>
      </rPr>
      <t xml:space="preserve">
Quantity</t>
    </r>
  </si>
  <si>
    <r>
      <t xml:space="preserve">İşçilik Maliyeti
</t>
    </r>
    <r>
      <rPr>
        <sz val="10"/>
        <rFont val="Arial Nova"/>
        <family val="2"/>
      </rPr>
      <t xml:space="preserve">
Labor Cost</t>
    </r>
  </si>
  <si>
    <t>Internal_Trim</t>
  </si>
  <si>
    <t>CCTV</t>
  </si>
  <si>
    <t>Emniyet Sistemi</t>
  </si>
  <si>
    <t>Sanding_System</t>
  </si>
  <si>
    <t>Door_System</t>
  </si>
  <si>
    <t>Other</t>
  </si>
  <si>
    <t>Bogie</t>
  </si>
  <si>
    <t>Cab Desk</t>
  </si>
  <si>
    <t>Wiper_System</t>
  </si>
  <si>
    <t>External_Trim</t>
  </si>
  <si>
    <t>Brake_System</t>
  </si>
  <si>
    <t>Motor</t>
  </si>
  <si>
    <t>Pantograf</t>
  </si>
  <si>
    <t>Sistem</t>
  </si>
  <si>
    <t>Alt Sistemler</t>
  </si>
  <si>
    <t>Araç MTTR</t>
  </si>
  <si>
    <t xml:space="preserve">Kompanent MTTR </t>
  </si>
  <si>
    <t>Hata Tarih Saat</t>
  </si>
  <si>
    <t>Tamir Başlama Tarih Saat</t>
  </si>
  <si>
    <t>Tamir Bitiş Tarih Saat</t>
  </si>
  <si>
    <t>Servise Veriliş Tarih Saat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</si>
</sst>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1F]d\ mmmm\ yyyy;@"/>
    <numFmt numFmtId="165" formatCode="[$-41F]d\ mmmm\ yy;@"/>
    <numFmt numFmtId="166" formatCode="dd/mm/yy;@"/>
    <numFmt numFmtId="167" formatCode="_-[$€-2]\ * #,##0.00_-;\-[$€-2]\ * #,##0.00_-;_-[$€-2]\ * &quot;-&quot;??_-;_-@_-"/>
    <numFmt numFmtId="168" formatCode="d/m/yy\ hh:mm;@"/>
    <numFmt numFmtId="169" formatCode="[$-F400]h:mm:ss\ AM/PM"/>
    <numFmt numFmtId="170" formatCode="d/m/yy\ h:mm;@"/>
  </numFmts>
  <fonts count="40" x14ac:knownFonts="1">
    <font>
      <sz val="11"/>
      <color theme="1"/>
      <name val="Calibri"/>
      <family val="2"/>
      <charset val="162"/>
      <scheme val="minor"/>
    </font>
    <font>
      <sz val="10"/>
      <name val="Arial"/>
      <family val="2"/>
      <charset val="162"/>
    </font>
    <font>
      <sz val="11"/>
      <color theme="1"/>
      <name val="Calibri"/>
      <family val="2"/>
      <scheme val="minor"/>
    </font>
    <font>
      <sz val="10"/>
      <name val="Arial"/>
      <family val="2"/>
      <charset val="162"/>
    </font>
    <font>
      <u/>
      <sz val="11"/>
      <color theme="10"/>
      <name val="Calibri"/>
      <family val="2"/>
      <charset val="162"/>
    </font>
    <font>
      <u/>
      <sz val="10"/>
      <color theme="10"/>
      <name val="Arial"/>
      <family val="2"/>
      <charset val="162"/>
    </font>
    <font>
      <sz val="10"/>
      <name val="Arial"/>
      <family val="2"/>
      <charset val="162"/>
    </font>
    <font>
      <sz val="11"/>
      <color theme="1"/>
      <name val="Calibri"/>
      <family val="2"/>
      <charset val="162"/>
      <scheme val="minor"/>
    </font>
    <font>
      <sz val="8"/>
      <name val="Calibri"/>
      <family val="2"/>
      <charset val="162"/>
      <scheme val="minor"/>
    </font>
    <font>
      <u/>
      <sz val="11"/>
      <color theme="10"/>
      <name val="Calibri"/>
      <family val="2"/>
      <scheme val="minor"/>
    </font>
    <font>
      <sz val="11"/>
      <name val="Calibri"/>
      <family val="2"/>
      <charset val="162"/>
      <scheme val="minor"/>
    </font>
    <font>
      <b/>
      <sz val="8"/>
      <name val="Calibri"/>
      <family val="2"/>
      <charset val="162"/>
      <scheme val="minor"/>
    </font>
    <font>
      <b/>
      <sz val="12"/>
      <color theme="1"/>
      <name val="Calibri"/>
      <family val="2"/>
      <charset val="162"/>
      <scheme val="minor"/>
    </font>
    <font>
      <sz val="12"/>
      <color theme="1"/>
      <name val="Calibri"/>
      <family val="2"/>
      <charset val="162"/>
      <scheme val="minor"/>
    </font>
    <font>
      <sz val="12"/>
      <name val="Calibri"/>
      <family val="2"/>
      <charset val="162"/>
      <scheme val="minor"/>
    </font>
    <font>
      <b/>
      <sz val="12"/>
      <name val="Calibri"/>
      <family val="2"/>
      <charset val="162"/>
      <scheme val="minor"/>
    </font>
    <font>
      <sz val="16"/>
      <name val="Calibri"/>
      <family val="2"/>
      <charset val="162"/>
      <scheme val="minor"/>
    </font>
    <font>
      <b/>
      <sz val="16"/>
      <name val="Calibri"/>
      <family val="2"/>
      <charset val="162"/>
      <scheme val="minor"/>
    </font>
    <font>
      <b/>
      <sz val="10"/>
      <name val="Arial Nova"/>
      <family val="2"/>
    </font>
    <font>
      <sz val="10"/>
      <name val="Arial Nova"/>
      <family val="2"/>
    </font>
    <font>
      <sz val="10"/>
      <color rgb="FFFF0000"/>
      <name val="Arial Nova"/>
      <family val="2"/>
    </font>
    <font>
      <sz val="11"/>
      <name val="Arial Nova"/>
      <family val="2"/>
    </font>
    <font>
      <b/>
      <sz val="11"/>
      <name val="Arial Nova"/>
      <family val="2"/>
    </font>
    <font>
      <sz val="11"/>
      <color theme="1"/>
      <name val="Arial Nova"/>
      <family val="2"/>
    </font>
    <font>
      <sz val="8"/>
      <name val="Arial Nova"/>
      <family val="2"/>
    </font>
    <font>
      <sz val="24"/>
      <name val="Calibri"/>
      <family val="2"/>
      <charset val="162"/>
      <scheme val="minor"/>
    </font>
    <font>
      <b/>
      <sz val="10"/>
      <color rgb="FFFF0000"/>
      <name val="Arial Nova"/>
      <family val="2"/>
    </font>
    <font>
      <sz val="8"/>
      <color theme="1"/>
      <name val="Arial Nova"/>
      <family val="2"/>
    </font>
    <font>
      <sz val="11"/>
      <color rgb="FFFF0000"/>
      <name val="Arial Nova"/>
      <family val="2"/>
    </font>
    <font>
      <b/>
      <sz val="22"/>
      <color rgb="FFFF0000"/>
      <name val="Arial Nova"/>
      <family val="2"/>
      <charset val="162"/>
    </font>
    <font>
      <b/>
      <sz val="11"/>
      <name val="Arial Nova"/>
      <family val="2"/>
      <charset val="162"/>
    </font>
    <font>
      <b/>
      <sz val="8"/>
      <name val="Arial Nova"/>
      <family val="2"/>
      <charset val="162"/>
    </font>
    <font>
      <b/>
      <sz val="12"/>
      <name val="Arial Nova"/>
      <family val="2"/>
      <charset val="162"/>
    </font>
    <font>
      <b/>
      <sz val="16"/>
      <name val="Arial Nova"/>
      <family val="2"/>
      <charset val="162"/>
    </font>
    <font>
      <b/>
      <sz val="28"/>
      <color rgb="FFFF0000"/>
      <name val="Arial Nova"/>
      <family val="2"/>
      <charset val="162"/>
    </font>
    <font>
      <b/>
      <sz val="14"/>
      <name val="Arial Nova"/>
      <family val="2"/>
    </font>
    <font>
      <sz val="14"/>
      <name val="Arial Nova"/>
      <family val="2"/>
    </font>
    <font>
      <b/>
      <sz val="72"/>
      <color rgb="FFFF0000"/>
      <name val="Arial Nova"/>
      <family val="2"/>
      <charset val="162"/>
    </font>
    <font>
      <b/>
      <sz val="11"/>
      <color rgb="FFFF0000"/>
      <name val="Arial Nova"/>
      <family val="2"/>
    </font>
    <font>
      <b/>
      <sz val="12"/>
      <name val="Arial Nova"/>
      <family val="2"/>
    </font>
  </fonts>
  <fills count="1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FEFFF7"/>
        <bgColor indexed="64"/>
      </patternFill>
    </fill>
    <fill>
      <patternFill patternType="solid">
        <fgColor rgb="FFFEF8F8"/>
        <bgColor indexed="64"/>
      </patternFill>
    </fill>
    <fill>
      <patternFill patternType="solid">
        <fgColor rgb="FFEFF6FB"/>
        <bgColor indexed="64"/>
      </patternFill>
    </fill>
    <fill>
      <patternFill patternType="solid">
        <fgColor rgb="FFF2F8EE"/>
        <bgColor indexed="64"/>
      </patternFill>
    </fill>
    <fill>
      <patternFill patternType="solid">
        <fgColor rgb="FFFFEFFD"/>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s>
  <cellStyleXfs count="35">
    <xf numFmtId="0" fontId="0" fillId="0" borderId="0"/>
    <xf numFmtId="0" fontId="2" fillId="0" borderId="0"/>
    <xf numFmtId="0" fontId="3" fillId="0" borderId="0"/>
    <xf numFmtId="0" fontId="4" fillId="0" borderId="0" applyNumberFormat="0" applyFill="0" applyBorder="0" applyAlignment="0" applyProtection="0">
      <alignment vertical="top"/>
      <protection locked="0"/>
    </xf>
    <xf numFmtId="0" fontId="1" fillId="0" borderId="0"/>
    <xf numFmtId="0" fontId="5" fillId="0" borderId="0" applyNumberFormat="0" applyFill="0" applyBorder="0" applyAlignment="0" applyProtection="0">
      <alignment vertical="top"/>
      <protection locked="0"/>
    </xf>
    <xf numFmtId="0" fontId="6"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applyNumberFormat="0" applyFill="0" applyBorder="0" applyAlignment="0" applyProtection="0"/>
    <xf numFmtId="0" fontId="5" fillId="0" borderId="0" applyNumberFormat="0" applyFill="0" applyBorder="0" applyAlignment="0" applyProtection="0"/>
  </cellStyleXfs>
  <cellXfs count="88">
    <xf numFmtId="0" fontId="0" fillId="0" borderId="0" xfId="0"/>
    <xf numFmtId="0" fontId="8" fillId="2" borderId="7" xfId="0" applyFont="1" applyFill="1" applyBorder="1" applyProtection="1">
      <protection locked="0"/>
    </xf>
    <xf numFmtId="0" fontId="8" fillId="0" borderId="0" xfId="0" applyFont="1" applyProtection="1">
      <protection locked="0"/>
    </xf>
    <xf numFmtId="0" fontId="8" fillId="2" borderId="7" xfId="0" applyFont="1" applyFill="1" applyBorder="1" applyAlignment="1" applyProtection="1">
      <alignment textRotation="90"/>
      <protection locked="0"/>
    </xf>
    <xf numFmtId="0" fontId="8" fillId="0" borderId="5" xfId="8" applyFont="1" applyBorder="1" applyProtection="1">
      <protection locked="0"/>
    </xf>
    <xf numFmtId="0" fontId="8" fillId="0" borderId="5" xfId="8" applyFont="1" applyBorder="1" applyAlignment="1" applyProtection="1">
      <alignment vertical="center" wrapText="1"/>
      <protection locked="0"/>
    </xf>
    <xf numFmtId="0" fontId="8" fillId="0" borderId="0" xfId="8" applyFont="1" applyProtection="1">
      <protection locked="0"/>
    </xf>
    <xf numFmtId="0" fontId="14" fillId="0" borderId="0" xfId="0" applyFont="1" applyProtection="1">
      <protection locked="0"/>
    </xf>
    <xf numFmtId="0" fontId="8" fillId="2" borderId="15" xfId="0" applyFont="1" applyFill="1" applyBorder="1" applyProtection="1">
      <protection locked="0"/>
    </xf>
    <xf numFmtId="0" fontId="8" fillId="2" borderId="7" xfId="0" applyFont="1" applyFill="1" applyBorder="1" applyAlignment="1" applyProtection="1">
      <alignment horizontal="left" vertical="center"/>
      <protection locked="0"/>
    </xf>
    <xf numFmtId="0" fontId="11" fillId="2" borderId="7" xfId="0" applyFont="1" applyFill="1" applyBorder="1" applyAlignment="1" applyProtection="1">
      <alignment textRotation="90"/>
      <protection locked="0"/>
    </xf>
    <xf numFmtId="0" fontId="8" fillId="3" borderId="5" xfId="8" applyFont="1" applyFill="1" applyBorder="1" applyAlignment="1" applyProtection="1">
      <alignment horizontal="center" vertical="center" textRotation="90" wrapText="1"/>
      <protection locked="0"/>
    </xf>
    <xf numFmtId="0" fontId="19" fillId="0" borderId="0" xfId="0" applyFont="1" applyProtection="1">
      <protection locked="0"/>
    </xf>
    <xf numFmtId="0" fontId="21" fillId="5" borderId="1" xfId="0" applyFont="1" applyFill="1" applyBorder="1" applyAlignment="1" applyProtection="1">
      <alignment horizontal="center" vertical="center" textRotation="90"/>
      <protection locked="0"/>
    </xf>
    <xf numFmtId="49" fontId="21" fillId="5" borderId="1" xfId="0" applyNumberFormat="1" applyFont="1" applyFill="1" applyBorder="1" applyAlignment="1" applyProtection="1">
      <alignment horizontal="center" vertical="center" textRotation="90"/>
      <protection locked="0"/>
    </xf>
    <xf numFmtId="49" fontId="21" fillId="0" borderId="1" xfId="0" applyNumberFormat="1" applyFont="1" applyBorder="1" applyAlignment="1" applyProtection="1">
      <alignment horizontal="center" vertical="center" textRotation="90" wrapText="1"/>
      <protection locked="0"/>
    </xf>
    <xf numFmtId="49" fontId="21" fillId="3" borderId="1" xfId="0" applyNumberFormat="1" applyFont="1" applyFill="1" applyBorder="1" applyAlignment="1" applyProtection="1">
      <alignment horizontal="center" vertical="center" textRotation="90" wrapText="1"/>
      <protection locked="0"/>
    </xf>
    <xf numFmtId="1" fontId="22" fillId="0" borderId="1" xfId="0" applyNumberFormat="1" applyFont="1" applyBorder="1" applyAlignment="1" applyProtection="1">
      <alignment horizontal="center" vertical="center" textRotation="90"/>
      <protection locked="0"/>
    </xf>
    <xf numFmtId="0" fontId="21"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24" fillId="3" borderId="0" xfId="0" applyFont="1" applyFill="1" applyAlignment="1" applyProtection="1">
      <alignment horizontal="center" vertical="center" textRotation="90"/>
      <protection locked="0"/>
    </xf>
    <xf numFmtId="0" fontId="24" fillId="0" borderId="0" xfId="0" applyFont="1" applyAlignment="1" applyProtection="1">
      <alignment horizontal="center" vertical="center" textRotation="90"/>
      <protection locked="0"/>
    </xf>
    <xf numFmtId="0" fontId="8" fillId="2" borderId="6" xfId="0" applyFont="1" applyFill="1" applyBorder="1" applyProtection="1">
      <protection locked="0"/>
    </xf>
    <xf numFmtId="49" fontId="27" fillId="9" borderId="1" xfId="0" applyNumberFormat="1" applyFont="1" applyFill="1" applyBorder="1" applyAlignment="1" applyProtection="1">
      <alignment horizontal="left" vertical="top" wrapText="1"/>
      <protection locked="0"/>
    </xf>
    <xf numFmtId="165" fontId="23" fillId="5" borderId="1" xfId="0" applyNumberFormat="1" applyFont="1" applyFill="1" applyBorder="1" applyAlignment="1" applyProtection="1">
      <alignment horizontal="center" vertical="center" textRotation="90"/>
      <protection locked="0"/>
    </xf>
    <xf numFmtId="165" fontId="23" fillId="5" borderId="1" xfId="0" applyNumberFormat="1" applyFont="1" applyFill="1" applyBorder="1" applyAlignment="1" applyProtection="1">
      <alignment horizontal="center" vertical="center" textRotation="90" wrapText="1"/>
      <protection locked="0"/>
    </xf>
    <xf numFmtId="0" fontId="8" fillId="9" borderId="9" xfId="0" applyFont="1" applyFill="1" applyBorder="1" applyAlignment="1" applyProtection="1">
      <alignment horizontal="left" vertical="center" textRotation="90" wrapText="1"/>
      <protection locked="0"/>
    </xf>
    <xf numFmtId="0" fontId="26" fillId="5" borderId="14" xfId="0" applyFont="1" applyFill="1" applyBorder="1" applyAlignment="1" applyProtection="1">
      <alignment horizontal="left" vertical="center" textRotation="90" wrapText="1"/>
      <protection locked="0"/>
    </xf>
    <xf numFmtId="165" fontId="20" fillId="9" borderId="14" xfId="0" applyNumberFormat="1" applyFont="1" applyFill="1" applyBorder="1" applyAlignment="1" applyProtection="1">
      <alignment horizontal="center" vertical="center" wrapText="1"/>
      <protection locked="0"/>
    </xf>
    <xf numFmtId="0" fontId="20" fillId="5" borderId="14" xfId="0" applyFont="1" applyFill="1" applyBorder="1" applyAlignment="1" applyProtection="1">
      <alignment horizontal="left" vertical="center" textRotation="90" wrapText="1"/>
      <protection locked="0"/>
    </xf>
    <xf numFmtId="165" fontId="20" fillId="5" borderId="14" xfId="0" applyNumberFormat="1" applyFont="1" applyFill="1" applyBorder="1" applyAlignment="1" applyProtection="1">
      <alignment horizontal="left" vertical="center" textRotation="90" wrapText="1"/>
      <protection locked="0"/>
    </xf>
    <xf numFmtId="165" fontId="20" fillId="0" borderId="14" xfId="0" applyNumberFormat="1" applyFont="1" applyBorder="1" applyAlignment="1" applyProtection="1">
      <alignment horizontal="left" vertical="center" textRotation="90" wrapText="1"/>
      <protection locked="0"/>
    </xf>
    <xf numFmtId="0" fontId="20" fillId="12" borderId="14" xfId="0" applyFont="1" applyFill="1" applyBorder="1" applyAlignment="1" applyProtection="1">
      <alignment horizontal="left" vertical="center" textRotation="90" wrapText="1"/>
      <protection locked="0"/>
    </xf>
    <xf numFmtId="1" fontId="20" fillId="12" borderId="14" xfId="0" quotePrefix="1" applyNumberFormat="1" applyFont="1" applyFill="1" applyBorder="1" applyAlignment="1" applyProtection="1">
      <alignment horizontal="left" vertical="center" textRotation="90" wrapText="1"/>
      <protection locked="0"/>
    </xf>
    <xf numFmtId="0" fontId="18" fillId="4" borderId="11" xfId="0" applyFont="1" applyFill="1" applyBorder="1" applyAlignment="1" applyProtection="1">
      <alignment horizontal="left" vertical="center" textRotation="90" wrapText="1"/>
      <protection locked="0"/>
    </xf>
    <xf numFmtId="49" fontId="21" fillId="5" borderId="12" xfId="0" applyNumberFormat="1" applyFont="1" applyFill="1" applyBorder="1" applyAlignment="1" applyProtection="1">
      <alignment horizontal="center" vertical="center" textRotation="90"/>
      <protection locked="0"/>
    </xf>
    <xf numFmtId="49" fontId="23" fillId="5" borderId="1" xfId="0" applyNumberFormat="1" applyFont="1" applyFill="1" applyBorder="1" applyAlignment="1" applyProtection="1">
      <alignment horizontal="center" vertical="center" textRotation="90" wrapText="1"/>
      <protection locked="0"/>
    </xf>
    <xf numFmtId="164" fontId="25" fillId="3" borderId="2" xfId="8" applyNumberFormat="1" applyFont="1" applyFill="1" applyBorder="1" applyAlignment="1" applyProtection="1">
      <alignment horizontal="center" vertical="center" textRotation="90"/>
      <protection locked="0"/>
    </xf>
    <xf numFmtId="0" fontId="11" fillId="6" borderId="4" xfId="8" applyFont="1" applyFill="1" applyBorder="1" applyAlignment="1" applyProtection="1">
      <alignment horizontal="right" vertical="center" textRotation="90" wrapText="1"/>
      <protection locked="0"/>
    </xf>
    <xf numFmtId="1" fontId="21" fillId="12" borderId="1" xfId="0" quotePrefix="1" applyNumberFormat="1" applyFont="1" applyFill="1" applyBorder="1" applyAlignment="1" applyProtection="1">
      <alignment horizontal="center" vertical="center" textRotation="90" wrapText="1"/>
      <protection locked="0"/>
    </xf>
    <xf numFmtId="165" fontId="19" fillId="5" borderId="1" xfId="0" applyNumberFormat="1" applyFont="1" applyFill="1" applyBorder="1" applyAlignment="1" applyProtection="1">
      <alignment horizontal="center" vertical="center" textRotation="90" wrapText="1"/>
      <protection locked="0"/>
    </xf>
    <xf numFmtId="0" fontId="11" fillId="2" borderId="7" xfId="0" applyFont="1" applyFill="1" applyBorder="1" applyProtection="1">
      <protection locked="0"/>
    </xf>
    <xf numFmtId="0" fontId="31" fillId="0" borderId="0" xfId="0" applyFont="1" applyAlignment="1" applyProtection="1">
      <alignment horizontal="center" vertical="center"/>
      <protection locked="0"/>
    </xf>
    <xf numFmtId="0" fontId="31" fillId="0" borderId="0" xfId="0" applyFont="1" applyAlignment="1" applyProtection="1">
      <alignment horizontal="center" vertical="center" textRotation="90"/>
      <protection locked="0"/>
    </xf>
    <xf numFmtId="0" fontId="11" fillId="0" borderId="5" xfId="8" applyFont="1" applyBorder="1" applyAlignment="1" applyProtection="1">
      <alignment horizontal="center" vertical="center"/>
      <protection locked="0"/>
    </xf>
    <xf numFmtId="2" fontId="33" fillId="4" borderId="1" xfId="0" applyNumberFormat="1" applyFont="1" applyFill="1" applyBorder="1" applyAlignment="1">
      <alignment horizontal="center" vertical="center" textRotation="90"/>
    </xf>
    <xf numFmtId="0" fontId="33" fillId="0" borderId="0" xfId="0" applyFont="1" applyAlignment="1" applyProtection="1">
      <alignment horizontal="center" vertical="center" textRotation="90"/>
      <protection locked="0"/>
    </xf>
    <xf numFmtId="0" fontId="17" fillId="2" borderId="7" xfId="0" applyFont="1" applyFill="1" applyBorder="1" applyAlignment="1" applyProtection="1">
      <alignment textRotation="90"/>
      <protection locked="0"/>
    </xf>
    <xf numFmtId="166" fontId="10" fillId="3" borderId="1" xfId="8" applyNumberFormat="1" applyFont="1" applyFill="1" applyBorder="1" applyAlignment="1" applyProtection="1">
      <alignment horizontal="center" vertical="center" textRotation="90"/>
      <protection locked="0"/>
    </xf>
    <xf numFmtId="2" fontId="17" fillId="2" borderId="7" xfId="0" applyNumberFormat="1" applyFont="1" applyFill="1" applyBorder="1" applyAlignment="1" applyProtection="1">
      <alignment horizontal="left" vertical="center"/>
      <protection locked="0"/>
    </xf>
    <xf numFmtId="2" fontId="17" fillId="0" borderId="7" xfId="0" applyNumberFormat="1" applyFont="1" applyBorder="1" applyAlignment="1" applyProtection="1">
      <alignment horizontal="left" vertical="center" wrapText="1"/>
      <protection locked="0"/>
    </xf>
    <xf numFmtId="2" fontId="32" fillId="4" borderId="14" xfId="0" applyNumberFormat="1" applyFont="1" applyFill="1" applyBorder="1" applyAlignment="1">
      <alignment horizontal="center" vertical="center" textRotation="90" wrapText="1"/>
    </xf>
    <xf numFmtId="2" fontId="33" fillId="0" borderId="0" xfId="0" applyNumberFormat="1" applyFont="1" applyAlignment="1" applyProtection="1">
      <alignment horizontal="center" vertical="center"/>
      <protection locked="0"/>
    </xf>
    <xf numFmtId="168" fontId="34" fillId="4" borderId="14" xfId="0" applyNumberFormat="1" applyFont="1" applyFill="1" applyBorder="1" applyAlignment="1">
      <alignment horizontal="center" vertical="center"/>
    </xf>
    <xf numFmtId="168" fontId="29" fillId="4" borderId="14" xfId="0" applyNumberFormat="1" applyFont="1" applyFill="1" applyBorder="1" applyAlignment="1">
      <alignment horizontal="center" vertical="top"/>
    </xf>
    <xf numFmtId="2" fontId="17" fillId="2" borderId="3" xfId="0" applyNumberFormat="1" applyFont="1" applyFill="1" applyBorder="1" applyAlignment="1" applyProtection="1">
      <alignment horizontal="left" vertical="center"/>
      <protection locked="0"/>
    </xf>
    <xf numFmtId="2" fontId="17" fillId="0" borderId="8" xfId="0" applyNumberFormat="1" applyFont="1" applyBorder="1" applyAlignment="1" applyProtection="1">
      <alignment horizontal="left" vertical="center" wrapText="1"/>
      <protection locked="0"/>
    </xf>
    <xf numFmtId="167" fontId="35" fillId="4" borderId="13" xfId="0" applyNumberFormat="1" applyFont="1" applyFill="1" applyBorder="1" applyAlignment="1">
      <alignment horizontal="center" vertical="center" textRotation="90"/>
    </xf>
    <xf numFmtId="0" fontId="36" fillId="0" borderId="0" xfId="0" applyFont="1" applyAlignment="1" applyProtection="1">
      <alignment horizontal="center" vertical="center"/>
      <protection locked="0"/>
    </xf>
    <xf numFmtId="168" fontId="37" fillId="4" borderId="14" xfId="0" applyNumberFormat="1" applyFont="1" applyFill="1" applyBorder="1" applyAlignment="1">
      <alignment horizontal="center" vertical="center"/>
    </xf>
    <xf numFmtId="165" fontId="20" fillId="0" borderId="14" xfId="0" applyNumberFormat="1" applyFont="1" applyBorder="1" applyAlignment="1" applyProtection="1">
      <alignment horizontal="center" vertical="top" wrapText="1"/>
      <protection locked="0"/>
    </xf>
    <xf numFmtId="2" fontId="27" fillId="0" borderId="1" xfId="0" applyNumberFormat="1" applyFont="1" applyBorder="1" applyAlignment="1" applyProtection="1">
      <alignment horizontal="center" vertical="top" wrapText="1"/>
      <protection locked="0"/>
    </xf>
    <xf numFmtId="170" fontId="30" fillId="4" borderId="1" xfId="0" applyNumberFormat="1" applyFont="1" applyFill="1" applyBorder="1" applyAlignment="1">
      <alignment horizontal="center" vertical="center" textRotation="90"/>
    </xf>
    <xf numFmtId="169" fontId="14" fillId="6" borderId="2" xfId="8" applyNumberFormat="1" applyFont="1" applyFill="1" applyBorder="1" applyAlignment="1" applyProtection="1">
      <alignment horizontal="center" vertical="center" textRotation="90"/>
      <protection locked="0"/>
    </xf>
    <xf numFmtId="0" fontId="38" fillId="5" borderId="10" xfId="3" applyFont="1" applyFill="1" applyBorder="1" applyAlignment="1" applyProtection="1">
      <alignment horizontal="left" vertical="center" textRotation="90" wrapText="1"/>
      <protection locked="0"/>
    </xf>
    <xf numFmtId="0" fontId="38" fillId="5" borderId="14" xfId="3" applyFont="1" applyFill="1" applyBorder="1" applyAlignment="1" applyProtection="1">
      <alignment horizontal="left" vertical="center" textRotation="90" wrapText="1"/>
      <protection locked="0"/>
    </xf>
    <xf numFmtId="0" fontId="38" fillId="7" borderId="14" xfId="0" applyFont="1" applyFill="1" applyBorder="1" applyAlignment="1" applyProtection="1">
      <alignment horizontal="left" vertical="center" textRotation="90" wrapText="1"/>
      <protection locked="0"/>
    </xf>
    <xf numFmtId="0" fontId="38" fillId="3" borderId="14" xfId="3" applyFont="1" applyFill="1" applyBorder="1" applyAlignment="1" applyProtection="1">
      <alignment horizontal="left" vertical="center" textRotation="90" wrapText="1"/>
      <protection locked="0"/>
    </xf>
    <xf numFmtId="168" fontId="38" fillId="4" borderId="14" xfId="0" applyNumberFormat="1" applyFont="1" applyFill="1" applyBorder="1" applyAlignment="1">
      <alignment horizontal="left" vertical="top"/>
    </xf>
    <xf numFmtId="0" fontId="38" fillId="5" borderId="14" xfId="0" applyFont="1" applyFill="1" applyBorder="1" applyAlignment="1" applyProtection="1">
      <alignment horizontal="left" vertical="center" textRotation="90" wrapText="1"/>
      <protection locked="0"/>
    </xf>
    <xf numFmtId="165" fontId="39" fillId="4" borderId="14" xfId="0" applyNumberFormat="1" applyFont="1" applyFill="1" applyBorder="1" applyAlignment="1" applyProtection="1">
      <alignment horizontal="left" vertical="center" textRotation="90" wrapText="1"/>
      <protection locked="0"/>
    </xf>
    <xf numFmtId="49" fontId="21" fillId="6" borderId="1" xfId="0" applyNumberFormat="1" applyFont="1" applyFill="1" applyBorder="1" applyAlignment="1" applyProtection="1">
      <alignment horizontal="center" vertical="center" textRotation="90" wrapText="1"/>
      <protection locked="0"/>
    </xf>
    <xf numFmtId="0" fontId="8" fillId="6" borderId="3" xfId="8" applyFont="1" applyFill="1" applyBorder="1" applyAlignment="1" applyProtection="1">
      <alignment horizontal="center" vertical="center" wrapText="1"/>
      <protection locked="0"/>
    </xf>
    <xf numFmtId="0" fontId="8" fillId="2" borderId="0" xfId="0" applyFont="1" applyFill="1" applyAlignment="1" applyProtection="1">
      <alignment horizontal="center" textRotation="90"/>
      <protection locked="0"/>
    </xf>
    <xf numFmtId="0" fontId="14" fillId="11" borderId="9" xfId="0" applyFont="1" applyFill="1" applyBorder="1" applyAlignment="1" applyProtection="1">
      <alignment horizontal="center" vertical="center" wrapText="1"/>
      <protection locked="0"/>
    </xf>
    <xf numFmtId="0" fontId="8" fillId="0" borderId="5" xfId="8" applyFont="1" applyBorder="1" applyAlignment="1" applyProtection="1">
      <alignment horizontal="left" vertical="center" wrapText="1"/>
      <protection locked="0"/>
    </xf>
    <xf numFmtId="0" fontId="16" fillId="0" borderId="5" xfId="8" applyFont="1" applyBorder="1" applyAlignment="1" applyProtection="1">
      <alignment horizontal="left" vertical="center" wrapText="1"/>
      <protection locked="0"/>
    </xf>
    <xf numFmtId="2" fontId="16" fillId="0" borderId="5" xfId="8" applyNumberFormat="1" applyFont="1" applyBorder="1" applyAlignment="1" applyProtection="1">
      <alignment horizontal="left" vertical="center" wrapText="1"/>
      <protection locked="0"/>
    </xf>
    <xf numFmtId="0" fontId="16" fillId="0" borderId="5" xfId="8" applyFont="1" applyBorder="1" applyAlignment="1" applyProtection="1">
      <alignment horizontal="center" vertical="center" wrapText="1"/>
      <protection locked="0"/>
    </xf>
    <xf numFmtId="0" fontId="13" fillId="8" borderId="15" xfId="0" applyFont="1" applyFill="1" applyBorder="1" applyAlignment="1" applyProtection="1">
      <alignment horizontal="center" vertical="center" wrapText="1"/>
      <protection locked="0"/>
    </xf>
    <xf numFmtId="0" fontId="13" fillId="8" borderId="7" xfId="0" applyFont="1" applyFill="1" applyBorder="1" applyAlignment="1" applyProtection="1">
      <alignment horizontal="center" vertical="center" wrapText="1"/>
      <protection locked="0"/>
    </xf>
    <xf numFmtId="0" fontId="13" fillId="8" borderId="8" xfId="0" applyFont="1" applyFill="1" applyBorder="1" applyAlignment="1" applyProtection="1">
      <alignment horizontal="center" vertical="center" wrapText="1"/>
      <protection locked="0"/>
    </xf>
    <xf numFmtId="0" fontId="13" fillId="3" borderId="15" xfId="0" applyFont="1" applyFill="1" applyBorder="1" applyAlignment="1" applyProtection="1">
      <alignment horizontal="center" vertical="center" wrapText="1"/>
      <protection locked="0"/>
    </xf>
    <xf numFmtId="0" fontId="13" fillId="3" borderId="7" xfId="0" applyFont="1" applyFill="1" applyBorder="1" applyAlignment="1" applyProtection="1">
      <alignment horizontal="center" vertical="center" wrapText="1"/>
      <protection locked="0"/>
    </xf>
    <xf numFmtId="0" fontId="14" fillId="10" borderId="7" xfId="0" applyFont="1" applyFill="1" applyBorder="1" applyAlignment="1" applyProtection="1">
      <alignment horizontal="center" vertical="center" wrapText="1"/>
      <protection locked="0"/>
    </xf>
    <xf numFmtId="165" fontId="14" fillId="0" borderId="15" xfId="0" applyNumberFormat="1" applyFont="1" applyBorder="1" applyAlignment="1" applyProtection="1">
      <alignment horizontal="center" vertical="center" wrapText="1"/>
      <protection locked="0"/>
    </xf>
    <xf numFmtId="165" fontId="14" fillId="0" borderId="7" xfId="0" applyNumberFormat="1" applyFont="1" applyBorder="1" applyAlignment="1" applyProtection="1">
      <alignment horizontal="center" vertical="center" wrapText="1"/>
      <protection locked="0"/>
    </xf>
    <xf numFmtId="165" fontId="16" fillId="0" borderId="7" xfId="0" applyNumberFormat="1" applyFont="1" applyBorder="1" applyAlignment="1" applyProtection="1">
      <alignment horizontal="center" vertical="center" wrapText="1"/>
      <protection locked="0"/>
    </xf>
  </cellXfs>
  <cellStyles count="35">
    <cellStyle name="Hyperlink" xfId="34" xr:uid="{05558C03-07E7-40A6-953F-C8D105479326}"/>
    <cellStyle name="Köprü" xfId="3" builtinId="8"/>
    <cellStyle name="Köprü 2" xfId="5" xr:uid="{00000000-0005-0000-0000-000001000000}"/>
    <cellStyle name="Köprü 3" xfId="33" xr:uid="{C68A16F6-1799-4F79-94B4-E57170820083}"/>
    <cellStyle name="Normal" xfId="0" builtinId="0"/>
    <cellStyle name="Normal 2" xfId="1" xr:uid="{00000000-0005-0000-0000-000003000000}"/>
    <cellStyle name="Normal 2 2" xfId="9" xr:uid="{00000000-0005-0000-0000-000004000000}"/>
    <cellStyle name="Normal 2 3" xfId="10" xr:uid="{00000000-0005-0000-0000-000005000000}"/>
    <cellStyle name="Normal 3" xfId="2" xr:uid="{00000000-0005-0000-0000-000006000000}"/>
    <cellStyle name="Normal 3 2" xfId="7" xr:uid="{00000000-0005-0000-0000-000007000000}"/>
    <cellStyle name="Normal 3 2 2" xfId="27" xr:uid="{00000000-0005-0000-0000-000008000000}"/>
    <cellStyle name="Normal 3 2 3" xfId="24" xr:uid="{00000000-0005-0000-0000-000009000000}"/>
    <cellStyle name="Normal 3 2 4" xfId="30" xr:uid="{00000000-0005-0000-0000-00000A000000}"/>
    <cellStyle name="Normal 3 2 5" xfId="21" xr:uid="{00000000-0005-0000-0000-00000B000000}"/>
    <cellStyle name="Normal 3 2 6" xfId="18" xr:uid="{00000000-0005-0000-0000-00000C000000}"/>
    <cellStyle name="Normal 3 2 7" xfId="15" xr:uid="{00000000-0005-0000-0000-00000D000000}"/>
    <cellStyle name="Normal 3 3" xfId="11" xr:uid="{00000000-0005-0000-0000-00000E000000}"/>
    <cellStyle name="Normal 4" xfId="4" xr:uid="{00000000-0005-0000-0000-00000F000000}"/>
    <cellStyle name="Normal 4 2" xfId="28" xr:uid="{00000000-0005-0000-0000-000010000000}"/>
    <cellStyle name="Normal 4 3" xfId="25" xr:uid="{00000000-0005-0000-0000-000011000000}"/>
    <cellStyle name="Normal 4 4" xfId="32" xr:uid="{00000000-0005-0000-0000-000012000000}"/>
    <cellStyle name="Normal 4 5" xfId="22" xr:uid="{00000000-0005-0000-0000-000013000000}"/>
    <cellStyle name="Normal 4 6" xfId="19" xr:uid="{00000000-0005-0000-0000-000014000000}"/>
    <cellStyle name="Normal 4 7" xfId="16" xr:uid="{00000000-0005-0000-0000-000015000000}"/>
    <cellStyle name="Normal 5" xfId="6" xr:uid="{00000000-0005-0000-0000-000016000000}"/>
    <cellStyle name="Normal 5 2" xfId="29" xr:uid="{00000000-0005-0000-0000-000017000000}"/>
    <cellStyle name="Normal 5 3" xfId="26" xr:uid="{00000000-0005-0000-0000-000018000000}"/>
    <cellStyle name="Normal 5 4" xfId="31" xr:uid="{00000000-0005-0000-0000-000019000000}"/>
    <cellStyle name="Normal 5 5" xfId="23" xr:uid="{00000000-0005-0000-0000-00001A000000}"/>
    <cellStyle name="Normal 5 6" xfId="20" xr:uid="{00000000-0005-0000-0000-00001B000000}"/>
    <cellStyle name="Normal 5 7" xfId="17" xr:uid="{00000000-0005-0000-0000-00001C000000}"/>
    <cellStyle name="Normal 5 8" xfId="12" xr:uid="{00000000-0005-0000-0000-00001D000000}"/>
    <cellStyle name="Normal 6" xfId="13" xr:uid="{00000000-0005-0000-0000-00001E000000}"/>
    <cellStyle name="Normal 7" xfId="14" xr:uid="{00000000-0005-0000-0000-00001F000000}"/>
    <cellStyle name="Normal_10273" xfId="8" xr:uid="{00000000-0005-0000-0000-000020000000}"/>
  </cellStyles>
  <dxfs count="3">
    <dxf>
      <font>
        <b/>
        <i val="0"/>
        <color rgb="FFFF0000"/>
      </font>
    </dxf>
    <dxf>
      <font>
        <b val="0"/>
        <i val="0"/>
        <color rgb="FFC00000"/>
      </font>
    </dxf>
    <dxf>
      <fill>
        <patternFill patternType="solid">
          <fgColor rgb="FFFFFFFF"/>
          <bgColor rgb="FF000000"/>
        </patternFill>
      </fill>
    </dxf>
  </dxfs>
  <tableStyles count="0" defaultTableStyle="TableStyleMedium9" defaultPivotStyle="PivotStyleLight16"/>
  <colors>
    <mruColors>
      <color rgb="FFEFFBF9"/>
      <color rgb="FFFF7C80"/>
      <color rgb="FFD6BBEB"/>
      <color rgb="FF0099CC"/>
      <color rgb="FFFF6600"/>
      <color rgb="FFFFFFD1"/>
      <color rgb="FFBF95DF"/>
      <color rgb="FFF1F7ED"/>
      <color rgb="FFEFF6FB"/>
      <color rgb="FFFFE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alcChain" Target="calcChain.xml"/><Relationship Id="rId5" Type="http://schemas.openxmlformats.org/officeDocument/2006/relationships/theme" Target="theme/theme1.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externalLink" Target="externalLinks/externalLink3.xml"/><Relationship Id="rId9" Type="http://schemas.openxmlformats.org/officeDocument/2006/relationships/sheetMetadata" Target="metadata.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952500</xdr:colOff>
      <xdr:row>60</xdr:row>
      <xdr:rowOff>0</xdr:rowOff>
    </xdr:from>
    <xdr:ext cx="184731" cy="264560"/>
    <xdr:sp macro="" textlink="">
      <xdr:nvSpPr>
        <xdr:cNvPr id="3" name="2 Metin kutusu">
          <a:extLst>
            <a:ext uri="{FF2B5EF4-FFF2-40B4-BE49-F238E27FC236}">
              <a16:creationId xmlns:a16="http://schemas.microsoft.com/office/drawing/2014/main" id="{00000000-0008-0000-0100-000003000000}"/>
            </a:ext>
          </a:extLst>
        </xdr:cNvPr>
        <xdr:cNvSpPr txBox="1"/>
      </xdr:nvSpPr>
      <xdr:spPr>
        <a:xfrm>
          <a:off x="3076575" y="91815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9</xdr:col>
      <xdr:colOff>952500</xdr:colOff>
      <xdr:row>60</xdr:row>
      <xdr:rowOff>0</xdr:rowOff>
    </xdr:from>
    <xdr:ext cx="184731" cy="264560"/>
    <xdr:sp macro="" textlink="">
      <xdr:nvSpPr>
        <xdr:cNvPr id="7" name="6 Metin kutusu">
          <a:extLst>
            <a:ext uri="{FF2B5EF4-FFF2-40B4-BE49-F238E27FC236}">
              <a16:creationId xmlns:a16="http://schemas.microsoft.com/office/drawing/2014/main" id="{00000000-0008-0000-0100-000007000000}"/>
            </a:ext>
          </a:extLst>
        </xdr:cNvPr>
        <xdr:cNvSpPr txBox="1"/>
      </xdr:nvSpPr>
      <xdr:spPr>
        <a:xfrm>
          <a:off x="5715000" y="18948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9</xdr:col>
      <xdr:colOff>952500</xdr:colOff>
      <xdr:row>60</xdr:row>
      <xdr:rowOff>0</xdr:rowOff>
    </xdr:from>
    <xdr:ext cx="184731" cy="264560"/>
    <xdr:sp macro="" textlink="">
      <xdr:nvSpPr>
        <xdr:cNvPr id="8" name="7 Metin kutusu">
          <a:extLst>
            <a:ext uri="{FF2B5EF4-FFF2-40B4-BE49-F238E27FC236}">
              <a16:creationId xmlns:a16="http://schemas.microsoft.com/office/drawing/2014/main" id="{00000000-0008-0000-0100-000008000000}"/>
            </a:ext>
          </a:extLst>
        </xdr:cNvPr>
        <xdr:cNvSpPr txBox="1"/>
      </xdr:nvSpPr>
      <xdr:spPr>
        <a:xfrm>
          <a:off x="5715000" y="55143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25117</xdr:colOff>
      <xdr:row>0</xdr:row>
      <xdr:rowOff>1</xdr:rowOff>
    </xdr:from>
    <xdr:to>
      <xdr:col>6</xdr:col>
      <xdr:colOff>312884</xdr:colOff>
      <xdr:row>0</xdr:row>
      <xdr:rowOff>495407</xdr:rowOff>
    </xdr:to>
    <xdr:pic>
      <xdr:nvPicPr>
        <xdr:cNvPr id="4" name="Resim 3">
          <a:extLst>
            <a:ext uri="{FF2B5EF4-FFF2-40B4-BE49-F238E27FC236}">
              <a16:creationId xmlns:a16="http://schemas.microsoft.com/office/drawing/2014/main" id="{0FA66A1D-B3B9-4BDC-A932-90243A30D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7" y="1"/>
          <a:ext cx="1472608" cy="495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40.4.1\ortak\ortak_tcv\Users\genceratalay\AppData\Local\Microsoft\Windows\Temporary%20Internet%20Files\Content.Outlook\RXUWHSVV\Hakan%20B&#246;cekli\1.%20Ara&#231;%20Kalite%20Kontrol%20Dol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zankayatr-my.sharepoint.com/personal/ahmetsaipdogan_bozankaya_com/Documents/SSH/6-Antalya(15)%20Tramway/5-RAMS/Bozankaya/2000_D&#305;&#351;%20Kaynak/100_Gebze-Dar&#305;ca%20Metrosu/Kupl&#246;r/RAM-LCC_v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POWERAPPS/BEL25/SAYFA1.xlsx" TargetMode="External"/><Relationship Id="rId1" Type="http://schemas.openxmlformats.org/officeDocument/2006/relationships/externalLinkPath" Target="https://bozankayatr.sharepoint.com/sites/ssharizatakip/Shared%20Documents/POWERAPPS/BEL25/SAYF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yfa"/>
      <sheetName val="1. Araç Kalite Kontrol Verileri"/>
      <sheetName val="Hata Sınıfları"/>
      <sheetName val="Hata Durumu"/>
      <sheetName val="Hata Kaynağı"/>
      <sheetName val="Hata Giderme Yöntemi"/>
      <sheetName val="Araç Bazı KM"/>
      <sheetName val="Hata Çeşidi&amp;Adet"/>
      <sheetName val="Hata Kaynağı&amp;Adet"/>
      <sheetName val="Kalitesizlik Maliytlerine Et."/>
      <sheetName val="123"/>
      <sheetName val="Maliyet Bazlı Hata Parato"/>
      <sheetName val="Sayfa2"/>
      <sheetName val="KG-F27 Toplantı Tutanağı"/>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Prerequisit"/>
      <sheetName val="PM"/>
      <sheetName val="SSL"/>
      <sheetName val="CM-REL"/>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el"/>
      <sheetName val="SayfaKOC"/>
      <sheetName val="KOC10 NCR"/>
      <sheetName val="Sayfa5"/>
      <sheetName val="SAYFA1"/>
    </sheetNames>
    <sheetDataSet>
      <sheetData sheetId="0">
        <row r="2">
          <cell r="A2" t="str">
            <v>ANA SIRA</v>
          </cell>
        </row>
        <row r="3">
          <cell r="C3" t="str">
            <v>BEL25</v>
          </cell>
          <cell r="D3" t="str">
            <v>1533(3)</v>
          </cell>
          <cell r="E3" t="str">
            <v>T</v>
          </cell>
          <cell r="F3">
            <v>12859</v>
          </cell>
          <cell r="G3" t="str">
            <v>BOZ-BEL25-FF-001</v>
          </cell>
          <cell r="H3">
            <v>45970.625</v>
          </cell>
          <cell r="O3" t="str">
            <v xml:space="preserve">MC ve T modüllerde yolcu ayakaltı kapaklardaki conta ve fitil bölgelerinden içeriye su girdi. </v>
          </cell>
          <cell r="P3" t="str">
            <v>MC ve T modüllerde yolcu koltuk altlarında bulunan iki adet kapaktan içeriye su girişi tespit edilmiştir. Bunun sebebi dışarıda yağmur yağdığından dolayı tekerlekler ilgili kısma su sıçratmış olmasından dolayıdır.</v>
          </cell>
          <cell r="T3" t="str">
            <v>C(Sisteme etki etmeyen arıza)</v>
          </cell>
          <cell r="V3" t="str">
            <v>(I) İlk Defa Karşılaşılan Arıza</v>
          </cell>
          <cell r="X3" t="str">
            <v>Tedarikçi</v>
          </cell>
          <cell r="Y3" t="str">
            <v/>
          </cell>
          <cell r="Z3" t="str">
            <v>Evet</v>
          </cell>
          <cell r="AG3" t="str">
            <v>Ekipman yenisi ile değiştirildi</v>
          </cell>
          <cell r="AH3">
            <v>45970.666666666701</v>
          </cell>
          <cell r="AK3" t="str">
            <v>fitil</v>
          </cell>
          <cell r="AL3" t="str">
            <v/>
          </cell>
          <cell r="AM3">
            <v>2</v>
          </cell>
          <cell r="AT3" t="str">
            <v/>
          </cell>
          <cell r="BB3">
            <v>1</v>
          </cell>
          <cell r="BC3">
            <v>45970.75</v>
          </cell>
        </row>
        <row r="4">
          <cell r="C4" t="str">
            <v>BEL25</v>
          </cell>
          <cell r="D4" t="str">
            <v>1539(9)</v>
          </cell>
          <cell r="E4" t="str">
            <v>MC</v>
          </cell>
          <cell r="F4">
            <v>12</v>
          </cell>
          <cell r="G4" t="str">
            <v>BOZ-BEL25-FF-002</v>
          </cell>
          <cell r="H4">
            <v>45970.416666666701</v>
          </cell>
          <cell r="O4" t="str">
            <v>CCTV kontrolü esnasında kameranın ters monte edildiği farkedildi.</v>
          </cell>
          <cell r="P4" t="str">
            <v>CCTV fonksiyon testi yapılırken ve depo içi sürüş esnasında vibrasyondan kaynaklı ön kameranın ters montaj yapıldığı tespit edildi.</v>
          </cell>
          <cell r="T4" t="str">
            <v>C(Sisteme etki etmeyen arıza)</v>
          </cell>
          <cell r="V4" t="str">
            <v>(I) İlk Defa Karşılaşılan Arıza</v>
          </cell>
          <cell r="X4" t="str">
            <v>Bozankaya</v>
          </cell>
          <cell r="Y4" t="str">
            <v>Kalite</v>
          </cell>
          <cell r="Z4" t="str">
            <v>Evet</v>
          </cell>
          <cell r="AG4" t="str">
            <v>Gevşek bağlantı vidaları sıkıldı</v>
          </cell>
          <cell r="AH4">
            <v>45970.416666666701</v>
          </cell>
          <cell r="AK4" t="str">
            <v/>
          </cell>
          <cell r="AL4" t="str">
            <v/>
          </cell>
          <cell r="AM4" t="str">
            <v/>
          </cell>
          <cell r="AT4" t="str">
            <v/>
          </cell>
          <cell r="BB4">
            <v>1</v>
          </cell>
          <cell r="BC4">
            <v>45970.458333333299</v>
          </cell>
        </row>
        <row r="5">
          <cell r="C5" t="str">
            <v>BEL25</v>
          </cell>
          <cell r="D5" t="str">
            <v>1532(2)</v>
          </cell>
          <cell r="E5" t="str">
            <v>T</v>
          </cell>
          <cell r="F5">
            <v>11532</v>
          </cell>
          <cell r="G5" t="str">
            <v>BOZ-BEL25-FF-003</v>
          </cell>
          <cell r="H5">
            <v>45962.458333333299</v>
          </cell>
          <cell r="O5" t="str">
            <v>HMI ekranında CAN1 ve CAN2 arızası</v>
          </cell>
          <cell r="P5" t="str">
            <v>HMI ekranı üzerinden CAN topology izlenmiş olup sonrasında MER(event recorder) cihazına yönelilerek kök neden analizi yapıldı.</v>
          </cell>
          <cell r="T5" t="str">
            <v>B(Servisten çekmeye etki eden arıza)</v>
          </cell>
          <cell r="V5" t="str">
            <v>(II) Aynı Araçta Tekrarlayan Arıza</v>
          </cell>
          <cell r="X5" t="str">
            <v>Tedarikçi</v>
          </cell>
          <cell r="Y5" t="str">
            <v>MEDCOM SP. Z O.O.</v>
          </cell>
          <cell r="Z5" t="str">
            <v>Evet</v>
          </cell>
          <cell r="AG5" t="str">
            <v>Ekipman yenisi ile değiştirildi</v>
          </cell>
          <cell r="AH5">
            <v>45962.5</v>
          </cell>
          <cell r="AK5" t="str">
            <v/>
          </cell>
          <cell r="AL5" t="str">
            <v/>
          </cell>
          <cell r="AM5" t="str">
            <v/>
          </cell>
          <cell r="AT5" t="str">
            <v/>
          </cell>
          <cell r="BB5">
            <v>1</v>
          </cell>
          <cell r="BC5">
            <v>45962.583333333299</v>
          </cell>
        </row>
        <row r="6">
          <cell r="C6" t="str">
            <v>BEL25</v>
          </cell>
          <cell r="D6" t="str">
            <v>1537(7)</v>
          </cell>
          <cell r="E6" t="str">
            <v>MC</v>
          </cell>
          <cell r="F6">
            <v>200</v>
          </cell>
          <cell r="G6" t="str">
            <v>BOZ-BEL25-FF-004</v>
          </cell>
          <cell r="H6">
            <v>45975.416666666701</v>
          </cell>
          <cell r="O6" t="str">
            <v>SA ve T Modül kameralarına ek olarak 4 adet ayna kameradan görüntü gelmemesi.</v>
          </cell>
          <cell r="P6" t="str">
            <v>Detaylı kontrol sonucunda modüller arası görüntü kontrolü ve ayna kamera kontrolleri yapıldığında belirtilen görüntülerin gelmediği tespit edildi.</v>
          </cell>
          <cell r="T6" t="str">
            <v>A(Hareket etmeyi engelleyen arıza)</v>
          </cell>
          <cell r="V6" t="str">
            <v>(III) Farklı Araçlarda Tekrarlayan Arıza</v>
          </cell>
          <cell r="X6" t="str">
            <v>Tedarikçi</v>
          </cell>
          <cell r="Y6" t="str">
            <v>NSC TEKNOLOJİ ve İNŞAAT LTD.ŞTİ.</v>
          </cell>
          <cell r="Z6" t="str">
            <v>Evet</v>
          </cell>
          <cell r="AG6" t="str">
            <v>Ekipman yenisi ile değiştirildi</v>
          </cell>
          <cell r="AH6">
            <v>45975.416666666701</v>
          </cell>
          <cell r="AK6" t="str">
            <v>CCTV EKRANI</v>
          </cell>
          <cell r="AL6" t="str">
            <v>E300-7456</v>
          </cell>
          <cell r="AM6">
            <v>1</v>
          </cell>
          <cell r="AT6" t="str">
            <v/>
          </cell>
          <cell r="BB6">
            <v>1</v>
          </cell>
          <cell r="BC6">
            <v>45975.458333333299</v>
          </cell>
        </row>
        <row r="7">
          <cell r="C7" t="str">
            <v>BEL25</v>
          </cell>
          <cell r="D7" t="str">
            <v>1533(3)</v>
          </cell>
          <cell r="E7" t="str">
            <v>M</v>
          </cell>
          <cell r="F7">
            <v>11000</v>
          </cell>
          <cell r="G7" t="str">
            <v>BOZ-BEL25-FF-005</v>
          </cell>
          <cell r="H7">
            <v>45968.375</v>
          </cell>
          <cell r="O7" t="str">
            <v>MC ve M Bogie kumlama sistem nozullerinden kum gelmemesi tespiti.</v>
          </cell>
          <cell r="P7" t="str">
            <v>Sorunu çözmek ve tespit için öncelikle kumlama kompresörü ve tank yanında bulunan MANYETİK kumlama bobini kontrolü yapıldı.</v>
          </cell>
          <cell r="T7" t="str">
            <v>A(Hareket etmeyi engelleyen arıza)</v>
          </cell>
          <cell r="V7" t="str">
            <v>(III) Farklı Araçlarda Tekrarlayan Arıza</v>
          </cell>
          <cell r="X7" t="str">
            <v>Tedarikçi</v>
          </cell>
          <cell r="Y7" t="str">
            <v>LOUIS WACHENHAUSEN GmbH</v>
          </cell>
          <cell r="Z7" t="str">
            <v>Evet</v>
          </cell>
          <cell r="AG7" t="str">
            <v>Ekipman yenisi ile değiştirildi</v>
          </cell>
          <cell r="AH7">
            <v>45968.375</v>
          </cell>
          <cell r="AK7" t="str">
            <v>MANYETIK BOBIN</v>
          </cell>
          <cell r="AL7" t="str">
            <v>S320-7140</v>
          </cell>
          <cell r="AM7">
            <v>4</v>
          </cell>
          <cell r="AT7" t="str">
            <v/>
          </cell>
          <cell r="BB7">
            <v>1</v>
          </cell>
          <cell r="BC7">
            <v>45968.543055555601</v>
          </cell>
        </row>
        <row r="8">
          <cell r="C8" t="str">
            <v>BEL25</v>
          </cell>
          <cell r="D8" t="str">
            <v>1533(3)</v>
          </cell>
          <cell r="E8" t="str">
            <v>MC</v>
          </cell>
          <cell r="F8">
            <v>11358</v>
          </cell>
          <cell r="G8" t="str">
            <v>BOZ-BEL25-FF-006</v>
          </cell>
          <cell r="H8">
            <v>45978.354861111096</v>
          </cell>
          <cell r="O8" t="str">
            <v>Sürücü Kapısında bulunan kapı sabitleme aparatının tutunma borusuna sabitlenmesini sağlayan parça kırılmıştır.</v>
          </cell>
          <cell r="P8" t="str">
            <v>İlgili malzeme yenisi ile değiştirildi.</v>
          </cell>
          <cell r="T8" t="str">
            <v>C(Sisteme etki etmeyen arıza)</v>
          </cell>
          <cell r="V8" t="str">
            <v>(I) İlk Defa Karşılaşılan Arıza</v>
          </cell>
          <cell r="X8" t="str">
            <v>Tedarikçi</v>
          </cell>
          <cell r="Y8" t="str">
            <v/>
          </cell>
          <cell r="Z8" t="str">
            <v>Evet</v>
          </cell>
          <cell r="AG8" t="str">
            <v>Ekipman yenisi ile değiştirildi</v>
          </cell>
          <cell r="AH8">
            <v>45978.395833333299</v>
          </cell>
          <cell r="AK8" t="str">
            <v/>
          </cell>
          <cell r="AL8" t="str">
            <v/>
          </cell>
          <cell r="AM8">
            <v>1</v>
          </cell>
          <cell r="AT8" t="str">
            <v/>
          </cell>
          <cell r="BB8">
            <v>1</v>
          </cell>
          <cell r="BC8">
            <v>45978.416666666701</v>
          </cell>
        </row>
        <row r="9">
          <cell r="C9" t="str">
            <v>BEL25</v>
          </cell>
          <cell r="D9" t="str">
            <v>1532(2)</v>
          </cell>
          <cell r="E9" t="str">
            <v>MC</v>
          </cell>
          <cell r="F9">
            <v>11958</v>
          </cell>
          <cell r="G9" t="str">
            <v>BOZ-BEL25-FF-007</v>
          </cell>
          <cell r="H9">
            <v>45978.552777777797</v>
          </cell>
          <cell r="O9" t="str">
            <v>Sürücü kabini yan perde alt tırnağı kırılmıştır.</v>
          </cell>
          <cell r="P9" t="str">
            <v>Braketten perde sökülmüş ve onarım yapılmaya çalışılmıştır.</v>
          </cell>
          <cell r="T9" t="str">
            <v>C(Sisteme etki etmeyen arıza)</v>
          </cell>
          <cell r="V9" t="str">
            <v>(I) İlk Defa Karşılaşılan Arıza</v>
          </cell>
          <cell r="X9" t="str">
            <v>Müşteri</v>
          </cell>
          <cell r="Y9" t="str">
            <v>GSP</v>
          </cell>
          <cell r="Z9" t="str">
            <v>Evet</v>
          </cell>
          <cell r="AG9" t="str">
            <v>Ekipman yenisi ile değiştirildi</v>
          </cell>
          <cell r="AH9">
            <v>45978.583333333299</v>
          </cell>
          <cell r="AK9" t="str">
            <v>SURUCU YAN PERDE</v>
          </cell>
          <cell r="AL9" t="str">
            <v>T910-7154</v>
          </cell>
          <cell r="AM9">
            <v>1</v>
          </cell>
          <cell r="AT9" t="str">
            <v/>
          </cell>
          <cell r="BB9">
            <v>1</v>
          </cell>
          <cell r="BC9">
            <v>45978.604166666701</v>
          </cell>
        </row>
        <row r="10">
          <cell r="C10" t="str">
            <v>BEL25</v>
          </cell>
          <cell r="D10" t="str">
            <v/>
          </cell>
          <cell r="E10" t="str">
            <v/>
          </cell>
          <cell r="F10" t="str">
            <v/>
          </cell>
          <cell r="G10" t="str">
            <v>BOZ-BEL25-FF-008</v>
          </cell>
          <cell r="H10" t="str">
            <v/>
          </cell>
          <cell r="O10" t="str">
            <v/>
          </cell>
          <cell r="P10" t="str">
            <v/>
          </cell>
          <cell r="T10" t="str">
            <v/>
          </cell>
          <cell r="V10" t="str">
            <v/>
          </cell>
          <cell r="X10" t="str">
            <v/>
          </cell>
          <cell r="Y10" t="str">
            <v/>
          </cell>
          <cell r="Z10" t="str">
            <v/>
          </cell>
          <cell r="AG10" t="str">
            <v/>
          </cell>
          <cell r="AH10" t="str">
            <v/>
          </cell>
          <cell r="AK10" t="str">
            <v/>
          </cell>
          <cell r="AL10" t="str">
            <v/>
          </cell>
          <cell r="AM10" t="str">
            <v/>
          </cell>
          <cell r="AT10" t="str">
            <v/>
          </cell>
          <cell r="BB10" t="str">
            <v/>
          </cell>
          <cell r="BC10" t="str">
            <v/>
          </cell>
        </row>
        <row r="11">
          <cell r="C11" t="str">
            <v>BEL25</v>
          </cell>
          <cell r="D11" t="str">
            <v>1534(4)</v>
          </cell>
          <cell r="E11" t="str">
            <v>MC</v>
          </cell>
          <cell r="F11">
            <v>11405</v>
          </cell>
          <cell r="G11" t="str">
            <v>BOZ-BEL25-FF-009</v>
          </cell>
          <cell r="H11">
            <v>45979.333333333299</v>
          </cell>
          <cell r="O11" t="str">
            <v>HMI ekranına No sanding/circuit breaker arızası gelmiştir.</v>
          </cell>
          <cell r="P11" t="str">
            <v>Araç kumlama sistemi kontrolü yapılmış ve nozullerden kum gelmediği ve bobin içindeki milin sıkıştığı tespit edilmiştir.</v>
          </cell>
          <cell r="T11" t="str">
            <v>C(Sisteme etki etmeyen arıza)</v>
          </cell>
          <cell r="V11" t="str">
            <v>(III) Farklı Araçlarda Tekrarlayan Arıza</v>
          </cell>
          <cell r="X11" t="str">
            <v>Müşteri</v>
          </cell>
          <cell r="Y11" t="str">
            <v>GSP</v>
          </cell>
          <cell r="Z11" t="str">
            <v>Evet</v>
          </cell>
          <cell r="AG11" t="str">
            <v>Temizlendi</v>
          </cell>
          <cell r="AH11">
            <v>45979.458333333299</v>
          </cell>
          <cell r="AK11" t="str">
            <v/>
          </cell>
          <cell r="AL11" t="str">
            <v/>
          </cell>
          <cell r="AM11" t="str">
            <v/>
          </cell>
          <cell r="AT11" t="str">
            <v/>
          </cell>
          <cell r="BB11">
            <v>2</v>
          </cell>
          <cell r="BC11">
            <v>45979.560416666704</v>
          </cell>
        </row>
        <row r="12">
          <cell r="C12" t="str">
            <v>BEL25</v>
          </cell>
          <cell r="D12" t="str">
            <v>1539(9)</v>
          </cell>
          <cell r="E12" t="str">
            <v>MC</v>
          </cell>
          <cell r="F12">
            <v>258</v>
          </cell>
          <cell r="G12" t="str">
            <v>BOZ-BEL25-FF-010</v>
          </cell>
          <cell r="H12">
            <v>45977.458333333299</v>
          </cell>
          <cell r="O12" t="str">
            <v>Driver cabin sağ trim yanlış montajı.</v>
          </cell>
          <cell r="P12" t="str">
            <v>Trim sökülerek kontrol edilmiş ve bunun sonucunda yapışkan montaj ürünün işlevini yerine getiremediği tespit edilmiştir.</v>
          </cell>
          <cell r="T12" t="str">
            <v>C(Sisteme etki etmeyen arıza)</v>
          </cell>
          <cell r="V12" t="str">
            <v>(I) İlk Defa Karşılaşılan Arıza</v>
          </cell>
          <cell r="X12" t="str">
            <v>Bozankaya</v>
          </cell>
          <cell r="Y12" t="str">
            <v>Üretim</v>
          </cell>
          <cell r="Z12" t="str">
            <v>Evet</v>
          </cell>
          <cell r="AG12" t="str">
            <v>Temizlendi</v>
          </cell>
          <cell r="AH12">
            <v>45977.5</v>
          </cell>
          <cell r="AK12" t="str">
            <v/>
          </cell>
          <cell r="AL12" t="str">
            <v/>
          </cell>
          <cell r="AM12" t="str">
            <v/>
          </cell>
          <cell r="AT12" t="str">
            <v/>
          </cell>
          <cell r="BB12">
            <v>1</v>
          </cell>
          <cell r="BC12">
            <v>45977.53125</v>
          </cell>
        </row>
        <row r="13">
          <cell r="C13" t="str">
            <v>BEL25</v>
          </cell>
          <cell r="D13" t="str">
            <v>1539(9)</v>
          </cell>
          <cell r="E13" t="str">
            <v>MC</v>
          </cell>
          <cell r="F13">
            <v>121</v>
          </cell>
          <cell r="G13" t="str">
            <v>BOZ-BEL25-FF-011</v>
          </cell>
          <cell r="H13">
            <v>45982.333333333299</v>
          </cell>
          <cell r="O13" t="str">
            <v>Driver Cabin kapısı kilitlenmiyor.</v>
          </cell>
          <cell r="P13" t="str">
            <v>Kilit ve kilit karşılığı kontrolü yapıldı.</v>
          </cell>
          <cell r="T13" t="str">
            <v>C(Sisteme etki etmeyen arıza)</v>
          </cell>
          <cell r="V13" t="str">
            <v>(I) İlk Defa Karşılaşılan Arıza</v>
          </cell>
          <cell r="X13" t="str">
            <v>Bozankaya</v>
          </cell>
          <cell r="Y13" t="str">
            <v>Kalite</v>
          </cell>
          <cell r="Z13" t="str">
            <v>Evet</v>
          </cell>
          <cell r="AG13" t="str">
            <v/>
          </cell>
          <cell r="AH13">
            <v>45982.354166666701</v>
          </cell>
          <cell r="AK13" t="str">
            <v/>
          </cell>
          <cell r="AL13" t="str">
            <v/>
          </cell>
          <cell r="AM13" t="str">
            <v/>
          </cell>
          <cell r="AT13" t="str">
            <v/>
          </cell>
          <cell r="BB13">
            <v>1</v>
          </cell>
          <cell r="BC13">
            <v>45982.385416666701</v>
          </cell>
        </row>
        <row r="14">
          <cell r="C14" t="str">
            <v>BEL25</v>
          </cell>
          <cell r="D14" t="str">
            <v>1539(9)</v>
          </cell>
          <cell r="E14" t="str">
            <v>MC</v>
          </cell>
          <cell r="F14">
            <v>121</v>
          </cell>
          <cell r="G14" t="str">
            <v>BOZ-BEL25-FF-012</v>
          </cell>
          <cell r="H14">
            <v>45982.416666666701</v>
          </cell>
          <cell r="O14" t="str">
            <v>MC modül 1. kapı açıldığı zaman bogie cover'a sürtme yapıyor.</v>
          </cell>
          <cell r="P14" t="str">
            <v>Kontroller sonucu MC modül 1. kapı açıldığı zaman bogie covera temas ederek , trim üzerinden boya kalkması ve yüzeye zarar verdiği tespit edilmiştir.</v>
          </cell>
          <cell r="T14" t="str">
            <v>C(Sisteme etki etmeyen arıza)</v>
          </cell>
          <cell r="V14" t="str">
            <v>(I) İlk Defa Karşılaşılan Arıza</v>
          </cell>
          <cell r="X14" t="str">
            <v>Bozankaya</v>
          </cell>
          <cell r="Y14" t="str">
            <v>Kalite</v>
          </cell>
          <cell r="Z14" t="str">
            <v>Evet</v>
          </cell>
          <cell r="AG14" t="str">
            <v>Temizlendi</v>
          </cell>
          <cell r="AH14">
            <v>45982.416666666701</v>
          </cell>
          <cell r="AK14" t="str">
            <v/>
          </cell>
          <cell r="AL14" t="str">
            <v/>
          </cell>
          <cell r="AM14" t="str">
            <v/>
          </cell>
          <cell r="AT14" t="str">
            <v/>
          </cell>
          <cell r="BB14">
            <v>1</v>
          </cell>
          <cell r="BC14">
            <v>45982.444444444402</v>
          </cell>
        </row>
        <row r="15">
          <cell r="C15" t="str">
            <v>BEL25</v>
          </cell>
          <cell r="D15" t="str">
            <v>1541(11)</v>
          </cell>
          <cell r="E15" t="str">
            <v>MC</v>
          </cell>
          <cell r="F15">
            <v>2</v>
          </cell>
          <cell r="G15" t="str">
            <v>BOZ-BEL25-FF-013</v>
          </cell>
          <cell r="H15">
            <v>45982.25</v>
          </cell>
          <cell r="O15" t="str">
            <v>Dashboard sol panel üst plate montaj yerinden çıkmıştır.</v>
          </cell>
          <cell r="P15" t="str">
            <v>Sol sürücü paneli sağ kısım montaj yuvasında vida ve somun olmadığı tespit edilmiştir.</v>
          </cell>
          <cell r="T15" t="str">
            <v>C(Sisteme etki etmeyen arıza)</v>
          </cell>
          <cell r="V15" t="str">
            <v>(I) İlk Defa Karşılaşılan Arıza</v>
          </cell>
          <cell r="X15" t="str">
            <v>Bozankaya</v>
          </cell>
          <cell r="Y15" t="str">
            <v>Kalite</v>
          </cell>
          <cell r="Z15" t="str">
            <v>Evet</v>
          </cell>
          <cell r="AG15" t="str">
            <v>Gevşek bağlantı vidaları sıkıldı</v>
          </cell>
          <cell r="AH15">
            <v>45982.25</v>
          </cell>
          <cell r="AK15" t="str">
            <v/>
          </cell>
          <cell r="AL15" t="str">
            <v/>
          </cell>
          <cell r="AM15" t="str">
            <v/>
          </cell>
          <cell r="AT15" t="str">
            <v/>
          </cell>
          <cell r="BB15">
            <v>1</v>
          </cell>
          <cell r="BC15">
            <v>45982.260416666701</v>
          </cell>
        </row>
        <row r="16">
          <cell r="C16" t="str">
            <v>BEL25</v>
          </cell>
          <cell r="D16" t="str">
            <v>1541(11)</v>
          </cell>
          <cell r="E16" t="str">
            <v>MC</v>
          </cell>
          <cell r="F16">
            <v>2</v>
          </cell>
          <cell r="G16" t="str">
            <v>BOZ-BEL25-FF-014</v>
          </cell>
          <cell r="H16">
            <v>45982.222222222197</v>
          </cell>
          <cell r="O16" t="str">
            <v>Silecek su tankı kapağı mevcut değil.</v>
          </cell>
          <cell r="P16" t="str">
            <v>Su tankı kapağı montajı sağlandı.</v>
          </cell>
          <cell r="T16" t="str">
            <v>C(Sisteme etki etmeyen arıza)</v>
          </cell>
          <cell r="V16" t="str">
            <v>(I) İlk Defa Karşılaşılan Arıza</v>
          </cell>
          <cell r="X16" t="str">
            <v>Bozankaya</v>
          </cell>
          <cell r="Y16" t="str">
            <v>Kalite</v>
          </cell>
          <cell r="Z16" t="str">
            <v>Evet</v>
          </cell>
          <cell r="AG16" t="str">
            <v>Ekipman yenisi ile değiştirildi</v>
          </cell>
          <cell r="AH16">
            <v>45982.229166666701</v>
          </cell>
          <cell r="AK16" t="str">
            <v>SİLECEK SU TANKI</v>
          </cell>
          <cell r="AL16" t="str">
            <v>M100-7047</v>
          </cell>
          <cell r="AM16">
            <v>1</v>
          </cell>
          <cell r="AT16" t="str">
            <v/>
          </cell>
          <cell r="BB16" t="str">
            <v/>
          </cell>
          <cell r="BC16">
            <v>45982.239583333299</v>
          </cell>
        </row>
        <row r="17">
          <cell r="C17" t="str">
            <v>BEL25</v>
          </cell>
          <cell r="D17" t="str">
            <v>1539(9)</v>
          </cell>
          <cell r="E17" t="str">
            <v>M</v>
          </cell>
          <cell r="F17">
            <v>121</v>
          </cell>
          <cell r="G17" t="str">
            <v>BOZ-BEL25-FF-015</v>
          </cell>
          <cell r="H17">
            <v>45982.291666666701</v>
          </cell>
          <cell r="O17" t="str">
            <v>MC,T ve M bogielerde dikey damperler yanında bulunan topraklama kablolarının somun vida bağlantılarının tümünün gevşemiş olduğu tespit edilmiştir.</v>
          </cell>
          <cell r="P17" t="str">
            <v>Gerekli standart torklama yardımıyla olması gereken montaj sağlanmıştır</v>
          </cell>
          <cell r="T17" t="str">
            <v>C(Sisteme etki etmeyen arıza)</v>
          </cell>
          <cell r="V17" t="str">
            <v>(I) İlk Defa Karşılaşılan Arıza</v>
          </cell>
          <cell r="X17" t="str">
            <v>Bozankaya</v>
          </cell>
          <cell r="Y17" t="str">
            <v>Kalite</v>
          </cell>
          <cell r="Z17" t="str">
            <v>Evet</v>
          </cell>
          <cell r="AG17" t="str">
            <v>Gevşek bağlantı vidaları sıkıldı</v>
          </cell>
          <cell r="AH17">
            <v>45982.305555555598</v>
          </cell>
          <cell r="AK17" t="str">
            <v/>
          </cell>
          <cell r="AL17" t="str">
            <v/>
          </cell>
          <cell r="AM17" t="str">
            <v/>
          </cell>
          <cell r="AT17" t="str">
            <v/>
          </cell>
          <cell r="BB17">
            <v>1</v>
          </cell>
          <cell r="BC17">
            <v>45982.3125</v>
          </cell>
        </row>
        <row r="18">
          <cell r="C18" t="str">
            <v>BEL25</v>
          </cell>
          <cell r="D18" t="str">
            <v>1537(7)</v>
          </cell>
          <cell r="E18" t="str">
            <v>MC</v>
          </cell>
          <cell r="F18">
            <v>1288</v>
          </cell>
          <cell r="G18" t="str">
            <v>BOZ-BEL25-FF-016</v>
          </cell>
          <cell r="H18">
            <v>45982.886111111096</v>
          </cell>
          <cell r="O18" t="str">
            <v>Silecek kolu sefer esnasında düşmüştür.</v>
          </cell>
          <cell r="P18" t="str">
            <v>Araç depo sahasına çekildikten sonra yapılan ilk kontrollerde daha önce olduğu gibi silecek kolu dişlisinin aşındığı tespit edilmiştir.</v>
          </cell>
          <cell r="T18" t="str">
            <v>A(Hareket etmeyi engelleyen arıza)</v>
          </cell>
          <cell r="V18" t="str">
            <v>(III) Farklı Araçlarda Tekrarlayan Arıza</v>
          </cell>
          <cell r="X18" t="str">
            <v>Tedarikçi</v>
          </cell>
          <cell r="Y18" t="str">
            <v>PSV Wipers Ltd</v>
          </cell>
          <cell r="Z18" t="str">
            <v>Evet</v>
          </cell>
          <cell r="AG18" t="str">
            <v>Gevşek bağlantı vidaları sıkıldı</v>
          </cell>
          <cell r="AH18">
            <v>45982.902777777803</v>
          </cell>
          <cell r="AK18" t="str">
            <v/>
          </cell>
          <cell r="AL18" t="str">
            <v/>
          </cell>
          <cell r="AM18" t="str">
            <v/>
          </cell>
          <cell r="AT18" t="str">
            <v/>
          </cell>
          <cell r="BB18">
            <v>1</v>
          </cell>
          <cell r="BC18">
            <v>45982.929861111101</v>
          </cell>
        </row>
        <row r="19">
          <cell r="C19" t="str">
            <v>BEL25</v>
          </cell>
          <cell r="D19" t="str">
            <v>1536(6)</v>
          </cell>
          <cell r="E19" t="str">
            <v>MC</v>
          </cell>
          <cell r="F19">
            <v>10286</v>
          </cell>
          <cell r="G19" t="str">
            <v>BOZ-BEL25-FF-017</v>
          </cell>
          <cell r="H19">
            <v>45983.846527777801</v>
          </cell>
          <cell r="O19" t="str">
            <v>Silecek kolu sefer esnasında işlevini yerine getirirken düşmüştür.</v>
          </cell>
          <cell r="P19" t="str">
            <v>Yapılan kontroller sonucunda silecek kolu dişlisinde aşınma olduğu tahmn edilmektedir.</v>
          </cell>
          <cell r="T19" t="str">
            <v>A(Hareket etmeyi engelleyen arıza)</v>
          </cell>
          <cell r="V19" t="str">
            <v>(III) Farklı Araçlarda Tekrarlayan Arıza</v>
          </cell>
          <cell r="X19" t="str">
            <v>Tedarikçi</v>
          </cell>
          <cell r="Y19" t="str">
            <v>PSV Wipers Ltd</v>
          </cell>
          <cell r="Z19" t="str">
            <v>Evet</v>
          </cell>
          <cell r="AG19" t="str">
            <v>Gevşek bağlantı vidaları sıkıldı</v>
          </cell>
          <cell r="AH19">
            <v>45983.875</v>
          </cell>
          <cell r="AK19" t="str">
            <v/>
          </cell>
          <cell r="AL19" t="str">
            <v/>
          </cell>
          <cell r="AM19" t="str">
            <v/>
          </cell>
          <cell r="AT19" t="str">
            <v/>
          </cell>
          <cell r="BB19">
            <v>1</v>
          </cell>
          <cell r="BC19">
            <v>45983.904861111099</v>
          </cell>
        </row>
        <row r="20">
          <cell r="C20" t="str">
            <v>BEL25</v>
          </cell>
          <cell r="D20" t="str">
            <v>1536(6)</v>
          </cell>
          <cell r="E20" t="str">
            <v>MC</v>
          </cell>
          <cell r="F20">
            <v>11367</v>
          </cell>
          <cell r="G20" t="str">
            <v>BOZ-BEL25-FF-018</v>
          </cell>
          <cell r="H20">
            <v>45987.328472222202</v>
          </cell>
          <cell r="O20" t="str">
            <v>Silecek sefer esnasındayken düşmüştür.</v>
          </cell>
          <cell r="P20" t="str">
            <v>Silecek kolu dişlisinde aşınma tespit edilmiştir.</v>
          </cell>
          <cell r="T20" t="str">
            <v>A(Hareket etmeyi engelleyen arıza)</v>
          </cell>
          <cell r="V20" t="str">
            <v>(III) Farklı Araçlarda Tekrarlayan Arıza</v>
          </cell>
          <cell r="X20" t="str">
            <v>Tedarikçi</v>
          </cell>
          <cell r="Y20" t="str">
            <v>PSV Wipers Ltd</v>
          </cell>
          <cell r="Z20" t="str">
            <v/>
          </cell>
          <cell r="AG20" t="str">
            <v>*Arıza çözülecek</v>
          </cell>
          <cell r="AH20" t="str">
            <v/>
          </cell>
          <cell r="AK20" t="str">
            <v/>
          </cell>
          <cell r="AL20" t="str">
            <v/>
          </cell>
          <cell r="AM20" t="str">
            <v/>
          </cell>
          <cell r="AT20" t="str">
            <v/>
          </cell>
          <cell r="BB20">
            <v>1</v>
          </cell>
          <cell r="BC20" t="str">
            <v/>
          </cell>
        </row>
        <row r="21">
          <cell r="C21" t="str">
            <v>BEL25</v>
          </cell>
          <cell r="D21" t="str">
            <v>1531(1)</v>
          </cell>
          <cell r="E21" t="str">
            <v>MC</v>
          </cell>
          <cell r="F21">
            <v>3</v>
          </cell>
          <cell r="G21" t="str">
            <v>BOZ-BEL25-FF-019</v>
          </cell>
          <cell r="H21">
            <v>45814.333333333299</v>
          </cell>
          <cell r="O21" t="str">
            <v>Driver cabin sol yan sürücü perde braketi yerinden çıkmıştır.</v>
          </cell>
          <cell r="P21" t="str">
            <v>Arıza kök nedeni braket yapıştırmasının eksk uygulanmasının tespitidir.</v>
          </cell>
          <cell r="T21" t="str">
            <v>C(Sisteme etki etmeyen arıza)</v>
          </cell>
          <cell r="V21" t="str">
            <v>(I) İlk Defa Karşılaşılan Arıza</v>
          </cell>
          <cell r="X21" t="str">
            <v>Bozankaya</v>
          </cell>
          <cell r="Y21" t="str">
            <v>Kalite</v>
          </cell>
          <cell r="Z21" t="str">
            <v>Evet</v>
          </cell>
          <cell r="AG21" t="str">
            <v>Temizlendi</v>
          </cell>
          <cell r="AH21">
            <v>45814.347916666702</v>
          </cell>
          <cell r="AK21" t="str">
            <v/>
          </cell>
          <cell r="AL21" t="str">
            <v/>
          </cell>
          <cell r="AM21" t="str">
            <v/>
          </cell>
          <cell r="AT21" t="str">
            <v/>
          </cell>
          <cell r="BB21">
            <v>1</v>
          </cell>
          <cell r="BC21">
            <v>45814.5</v>
          </cell>
        </row>
        <row r="22">
          <cell r="C22" t="str">
            <v>BEL25</v>
          </cell>
          <cell r="D22" t="str">
            <v>1531(1)</v>
          </cell>
          <cell r="E22" t="str">
            <v>MC</v>
          </cell>
          <cell r="F22">
            <v>3</v>
          </cell>
          <cell r="G22" t="str">
            <v>BOZ-BEL25-FF-020</v>
          </cell>
          <cell r="H22">
            <v>45814.25</v>
          </cell>
          <cell r="O22" t="str">
            <v>Araç sağ ön tampon kilitlendiğinde yerine tam olarak oturmuyor.</v>
          </cell>
          <cell r="P22" t="str">
            <v>Sağ ön tamponun gerekli kontroller sonucunda yuvasına tam oturmadığı ve toleransında bir boşluk olduğu tespit edildi. Özellikle araç hareket halinde iken vibrasyondan dolayı ses yaptığı tespiti edildi.</v>
          </cell>
          <cell r="T22" t="str">
            <v>C(Sisteme etki etmeyen arıza)</v>
          </cell>
          <cell r="V22" t="str">
            <v>(I) İlk Defa Karşılaşılan Arıza</v>
          </cell>
          <cell r="X22" t="str">
            <v>Bozankaya</v>
          </cell>
          <cell r="Y22" t="str">
            <v>Kalite</v>
          </cell>
          <cell r="Z22" t="str">
            <v>Evet</v>
          </cell>
          <cell r="AG22" t="str">
            <v>Gevşek bağlantı vidaları sıkıldı</v>
          </cell>
          <cell r="AH22">
            <v>45814.270833333299</v>
          </cell>
          <cell r="AK22" t="str">
            <v/>
          </cell>
          <cell r="AL22" t="str">
            <v/>
          </cell>
          <cell r="AM22" t="str">
            <v/>
          </cell>
          <cell r="AT22" t="str">
            <v/>
          </cell>
          <cell r="BB22">
            <v>1</v>
          </cell>
          <cell r="BC22">
            <v>45814.541666666701</v>
          </cell>
        </row>
        <row r="23">
          <cell r="C23" t="str">
            <v>BEL25</v>
          </cell>
          <cell r="D23" t="str">
            <v>1531(1)</v>
          </cell>
          <cell r="E23" t="str">
            <v>M</v>
          </cell>
          <cell r="F23">
            <v>10</v>
          </cell>
          <cell r="G23" t="str">
            <v>BOZ-BEL25-FF-021</v>
          </cell>
          <cell r="H23">
            <v>45821.25</v>
          </cell>
          <cell r="O23" t="str">
            <v>Araç M modülde konveks sapma(yanlış hizalanma) tespiti.</v>
          </cell>
          <cell r="P23" t="str">
            <v>Yapılan kontrol, şasi modülleri arasındaki geometrik hizalanma çerçevesinde değerlendirilmiş olup, M modülünün MC vee geri kalan modüllere
 göre eksenel sapma gösterdiği görülmüştür</v>
          </cell>
          <cell r="T23" t="str">
            <v>C(Sisteme etki etmeyen arıza)</v>
          </cell>
          <cell r="V23" t="str">
            <v>(I) İlk Defa Karşılaşılan Arıza</v>
          </cell>
          <cell r="X23" t="str">
            <v>Bozankaya</v>
          </cell>
          <cell r="Y23" t="str">
            <v>Kalite</v>
          </cell>
          <cell r="Z23" t="str">
            <v>Evet</v>
          </cell>
          <cell r="AG23" t="str">
            <v>*Bir çalışma yapılmadı</v>
          </cell>
          <cell r="AH23" t="str">
            <v/>
          </cell>
          <cell r="AK23" t="str">
            <v/>
          </cell>
          <cell r="AL23" t="str">
            <v/>
          </cell>
          <cell r="AM23" t="str">
            <v/>
          </cell>
          <cell r="AT23" t="str">
            <v/>
          </cell>
          <cell r="BB23" t="str">
            <v/>
          </cell>
          <cell r="BC23" t="str">
            <v/>
          </cell>
        </row>
        <row r="24">
          <cell r="C24" t="str">
            <v>BEL25</v>
          </cell>
          <cell r="D24" t="str">
            <v>1531(1)</v>
          </cell>
          <cell r="E24" t="str">
            <v>MC</v>
          </cell>
          <cell r="F24">
            <v>15</v>
          </cell>
          <cell r="G24" t="str">
            <v>BOZ-BEL25-FF-022</v>
          </cell>
          <cell r="H24">
            <v>45821.333333333299</v>
          </cell>
          <cell r="O24" t="str">
            <v>Tramvayın ön cam silecek sistemi üzerinde yapılan fonksiyonel kontroller sırasında, silecek mekanizmasının düzgün çalışmadığı tespit edilmiştir</v>
          </cell>
          <cell r="P24" t="str">
            <v xml:space="preserve"> Silecek, cam yüzeyi 
üzerinde çalışması gereken sınırları aşarak aracın yan kısımlarına doğru hareket etmektedir. Bu durum, sistemin strok limitleri dışında çalıştığını ve potansiyel olarak 
cam, gövde veya silecek yapısına zarar verebileceğini göstermektedir.</v>
          </cell>
          <cell r="T24" t="str">
            <v>A(Hareket etmeyi engelleyen arıza)</v>
          </cell>
          <cell r="V24" t="str">
            <v>(I) İlk Defa Karşılaşılan Arıza</v>
          </cell>
          <cell r="X24" t="str">
            <v>Tedarikçi</v>
          </cell>
          <cell r="Y24" t="str">
            <v>PSV Wipers Ltd</v>
          </cell>
          <cell r="Z24" t="str">
            <v/>
          </cell>
          <cell r="AG24" t="str">
            <v>Gevşek bağlantı vidaları sıkıldı</v>
          </cell>
          <cell r="AH24">
            <v>45821.341666666704</v>
          </cell>
          <cell r="AK24" t="str">
            <v/>
          </cell>
          <cell r="AL24" t="str">
            <v/>
          </cell>
          <cell r="AM24" t="str">
            <v/>
          </cell>
          <cell r="AT24" t="str">
            <v/>
          </cell>
          <cell r="BB24">
            <v>1</v>
          </cell>
          <cell r="BC24">
            <v>45821.375</v>
          </cell>
        </row>
        <row r="25">
          <cell r="C25" t="str">
            <v>BEL25</v>
          </cell>
          <cell r="D25" t="str">
            <v>1531(1)</v>
          </cell>
          <cell r="E25" t="str">
            <v>M</v>
          </cell>
          <cell r="F25">
            <v>19</v>
          </cell>
          <cell r="G25" t="str">
            <v>BOZ-BEL25-FF-023</v>
          </cell>
          <cell r="H25">
            <v>45828.337500000001</v>
          </cell>
          <cell r="O25" t="str">
            <v>M modül havalandırma ızgarasından su sızıntısı.</v>
          </cell>
          <cell r="P25" t="str">
            <v>Gerçekleştirilen detaylı inceleme kapsamında ilgili havalandırma ızgarası demonte edilmiş ve suyun, araç tavanının iç konstrüksiyon profilleri boyunca ilerleyerek söz 
konusu noktaya ulaştığı tespit edilmiştir</v>
          </cell>
          <cell r="T25" t="str">
            <v>C(Sisteme etki etmeyen arıza)</v>
          </cell>
          <cell r="V25" t="str">
            <v>(I) İlk Defa Karşılaşılan Arıza</v>
          </cell>
          <cell r="X25" t="str">
            <v>Bozankaya</v>
          </cell>
          <cell r="Y25" t="str">
            <v>Kalite</v>
          </cell>
          <cell r="Z25" t="str">
            <v>Evet</v>
          </cell>
          <cell r="AG25" t="str">
            <v>Temizlendi</v>
          </cell>
          <cell r="AH25">
            <v>45828.375</v>
          </cell>
          <cell r="AK25" t="str">
            <v/>
          </cell>
          <cell r="AL25" t="str">
            <v/>
          </cell>
          <cell r="AM25" t="str">
            <v/>
          </cell>
          <cell r="AT25" t="str">
            <v/>
          </cell>
          <cell r="BB25">
            <v>1</v>
          </cell>
          <cell r="BC25">
            <v>45828.583333333299</v>
          </cell>
        </row>
        <row r="26">
          <cell r="C26" t="str">
            <v>BEL25</v>
          </cell>
          <cell r="D26" t="str">
            <v>1531(1)</v>
          </cell>
          <cell r="E26" t="str">
            <v>M</v>
          </cell>
          <cell r="F26">
            <v>19</v>
          </cell>
          <cell r="G26" t="str">
            <v>BOZ-BEL25-FF-024</v>
          </cell>
          <cell r="H26">
            <v>45828.541666666701</v>
          </cell>
          <cell r="O26" t="str">
            <v>MC modül ön tampon ve M modül arka tampon yuvasına oturmuyor.</v>
          </cell>
          <cell r="P26" t="str">
            <v xml:space="preserve"> Özellikle sağ ve sol alt köşe bölgelerinde, tampon ile gövde arasında olması gerekenden fazla açıklık (gap) bulunduğu ve bu durumun araç genel 
tasarım bütünlüğünü bozduğu gözlemlenmiştir.</v>
          </cell>
          <cell r="T26" t="str">
            <v>C(Sisteme etki etmeyen arıza)</v>
          </cell>
          <cell r="V26" t="str">
            <v>(I) İlk Defa Karşılaşılan Arıza</v>
          </cell>
          <cell r="X26" t="str">
            <v>Bozankaya</v>
          </cell>
          <cell r="Y26" t="str">
            <v>Kalite</v>
          </cell>
          <cell r="Z26" t="str">
            <v>Evet</v>
          </cell>
          <cell r="AG26" t="str">
            <v>Gevşek bağlantı vidaları sıkıldı</v>
          </cell>
          <cell r="AH26">
            <v>45828.552083333299</v>
          </cell>
          <cell r="AK26" t="str">
            <v/>
          </cell>
          <cell r="AL26" t="str">
            <v/>
          </cell>
          <cell r="AM26" t="str">
            <v/>
          </cell>
          <cell r="AT26" t="str">
            <v/>
          </cell>
          <cell r="BB26">
            <v>1</v>
          </cell>
          <cell r="BC26">
            <v>45828.576388888898</v>
          </cell>
        </row>
        <row r="27">
          <cell r="C27" t="str">
            <v>BEL25</v>
          </cell>
          <cell r="D27" t="str">
            <v>1532(2)</v>
          </cell>
          <cell r="E27" t="str">
            <v>M</v>
          </cell>
          <cell r="F27">
            <v>0</v>
          </cell>
          <cell r="G27" t="str">
            <v>BOZ-BEL25-FF-025</v>
          </cell>
          <cell r="H27">
            <v>45833.333333333299</v>
          </cell>
          <cell r="O27" t="str">
            <v>M modül arka sol yan cam çatlaması.</v>
          </cell>
          <cell r="P27" t="str">
            <v>Arızanın lojistik işlemi sürecinde çatladığı düşünülmektedir.</v>
          </cell>
          <cell r="T27" t="str">
            <v>C(Sisteme etki etmeyen arıza)</v>
          </cell>
          <cell r="V27" t="str">
            <v>(I) İlk Defa Karşılaşılan Arıza</v>
          </cell>
          <cell r="X27" t="str">
            <v>Bozankaya</v>
          </cell>
          <cell r="Y27" t="str">
            <v>Kalite</v>
          </cell>
          <cell r="Z27" t="str">
            <v>Evet</v>
          </cell>
          <cell r="AG27" t="str">
            <v>*Bir çalışma yapılmadı</v>
          </cell>
          <cell r="AH27" t="str">
            <v/>
          </cell>
          <cell r="AK27" t="str">
            <v/>
          </cell>
          <cell r="AL27" t="str">
            <v/>
          </cell>
          <cell r="AM27" t="str">
            <v/>
          </cell>
          <cell r="AT27" t="str">
            <v/>
          </cell>
          <cell r="BB27" t="str">
            <v/>
          </cell>
          <cell r="BC27" t="str">
            <v/>
          </cell>
        </row>
        <row r="28">
          <cell r="C28" t="str">
            <v>BEL25</v>
          </cell>
          <cell r="D28" t="str">
            <v>1532(2)</v>
          </cell>
          <cell r="E28" t="str">
            <v>MC</v>
          </cell>
          <cell r="F28">
            <v>2</v>
          </cell>
          <cell r="G28" t="str">
            <v>BOZ-BEL25-FF-026</v>
          </cell>
          <cell r="H28">
            <v>45834.416666666701</v>
          </cell>
          <cell r="O28" t="str">
            <v>Dashboard altı kapama monte değildi.</v>
          </cell>
          <cell r="P28" t="str">
            <v>Yapılan  kontroller esnasında, sürücü kabininde yer alan dashboard altı bölümde bulunması gereken kapama sacının monte edilmediği tespit edilmiştir. İlgili 
alanın açık bırakılması sonucu, bu bölgede bulunan elektrik ve haberleşme kabloları dış ortamdan doğrudan görülebilir ve müdahaleye açık hale gelmiştir .</v>
          </cell>
          <cell r="T28" t="str">
            <v>C(Sisteme etki etmeyen arıza)</v>
          </cell>
          <cell r="V28" t="str">
            <v>(I) İlk Defa Karşılaşılan Arıza</v>
          </cell>
          <cell r="X28" t="str">
            <v>Bozankaya</v>
          </cell>
          <cell r="Y28" t="str">
            <v>Kalite</v>
          </cell>
          <cell r="Z28" t="str">
            <v>Evet</v>
          </cell>
          <cell r="AG28" t="str">
            <v>Ekipman yenisi ile değiştirildi</v>
          </cell>
          <cell r="AH28">
            <v>45834.440277777801</v>
          </cell>
          <cell r="AK28" t="str">
            <v>BAKIM KAPAGI</v>
          </cell>
          <cell r="AL28" t="str">
            <v>T100-7263</v>
          </cell>
          <cell r="AM28" t="str">
            <v/>
          </cell>
          <cell r="AT28" t="str">
            <v/>
          </cell>
          <cell r="BB28">
            <v>1</v>
          </cell>
          <cell r="BC28">
            <v>45864.583333333299</v>
          </cell>
        </row>
        <row r="29">
          <cell r="C29" t="str">
            <v>BEL25</v>
          </cell>
          <cell r="D29" t="str">
            <v>1532(2)</v>
          </cell>
          <cell r="E29" t="str">
            <v>T</v>
          </cell>
          <cell r="F29">
            <v>30</v>
          </cell>
          <cell r="G29" t="str">
            <v>BOZ-BEL25-FF-027</v>
          </cell>
          <cell r="H29">
            <v>45853.333333333299</v>
          </cell>
          <cell r="O29" t="str">
            <v>MC ve T bogie hidrolik sistem borularda sızıntı ve terleme tespiti.</v>
          </cell>
          <cell r="P29" t="str">
            <v>Yapılan  kontroller esnasında, aracın bogiesinde bulunan MC ve T bogie hidrolik hatlara ait T redüktör ve adaptör bağlantı noktalarında yağ terlemesi (hafif 
sızıntı) tespit edilmiştir.
Yağ sızıntısı, her iki parçanın dişli bağlantı alanlarında ve sızdırmazlık sağlanması gereken yüzey birleşimlerinde gözlemlenmiş olup, çevrede yağ kalıntısı ve kirlenme 
oluşmuştur.</v>
          </cell>
          <cell r="T29" t="str">
            <v>C(Sisteme etki etmeyen arıza)</v>
          </cell>
          <cell r="V29" t="str">
            <v>(I) İlk Defa Karşılaşılan Arıza</v>
          </cell>
          <cell r="X29" t="str">
            <v>Bozankaya</v>
          </cell>
          <cell r="Y29" t="str">
            <v>Üretim</v>
          </cell>
          <cell r="Z29" t="str">
            <v>Evet</v>
          </cell>
          <cell r="AG29" t="str">
            <v>Gevşek bağlantı vidaları sıkıldı</v>
          </cell>
          <cell r="AH29">
            <v>45853.375</v>
          </cell>
          <cell r="AK29" t="str">
            <v/>
          </cell>
          <cell r="AL29" t="str">
            <v/>
          </cell>
          <cell r="AM29" t="str">
            <v/>
          </cell>
          <cell r="AT29" t="str">
            <v/>
          </cell>
          <cell r="BB29">
            <v>1</v>
          </cell>
          <cell r="BC29">
            <v>45853.416666666701</v>
          </cell>
        </row>
        <row r="30">
          <cell r="C30" t="str">
            <v>BEL25</v>
          </cell>
          <cell r="D30" t="str">
            <v>1533(3)</v>
          </cell>
          <cell r="E30" t="str">
            <v>MC</v>
          </cell>
          <cell r="F30">
            <v>0</v>
          </cell>
          <cell r="G30" t="str">
            <v>BOZ-BEL25-FF-028</v>
          </cell>
          <cell r="H30">
            <v>45862.291666666701</v>
          </cell>
          <cell r="O30" t="str">
            <v>MC modül ön tampon kilit mekanizması yerinden çıkmıştır.</v>
          </cell>
          <cell r="P30" t="str">
            <v xml:space="preserve">Yapılan kontroller sırasında, 3. tramvayın ön tampon iç yüzeyinde yer alan kilit mekanizmasının, çift taraflı yapışkan komponent ile sabitlendiği yüzeyden ayrıldığı tespit edilmiştir. </v>
          </cell>
          <cell r="T30" t="str">
            <v>C(Sisteme etki etmeyen arıza)</v>
          </cell>
          <cell r="V30" t="str">
            <v>(I) İlk Defa Karşılaşılan Arıza</v>
          </cell>
          <cell r="X30" t="str">
            <v>Bozankaya</v>
          </cell>
          <cell r="Y30" t="str">
            <v>Kalite</v>
          </cell>
          <cell r="Z30" t="str">
            <v>Evet</v>
          </cell>
          <cell r="AG30" t="str">
            <v/>
          </cell>
          <cell r="AH30">
            <v>45862.375</v>
          </cell>
          <cell r="AK30" t="str">
            <v/>
          </cell>
          <cell r="AL30" t="str">
            <v/>
          </cell>
          <cell r="AM30" t="str">
            <v/>
          </cell>
          <cell r="AT30" t="str">
            <v/>
          </cell>
          <cell r="BB30">
            <v>1</v>
          </cell>
          <cell r="BC30">
            <v>45862.541666666701</v>
          </cell>
        </row>
        <row r="31">
          <cell r="C31" t="str">
            <v>BEL25</v>
          </cell>
          <cell r="D31" t="str">
            <v>1533(3)</v>
          </cell>
          <cell r="E31" t="str">
            <v>M</v>
          </cell>
          <cell r="F31">
            <v>250</v>
          </cell>
          <cell r="G31" t="str">
            <v>BOZ-BEL25-FF-029</v>
          </cell>
          <cell r="H31">
            <v>45874.375</v>
          </cell>
          <cell r="O31" t="str">
            <v>Speed sensör kablolarının riskli konumlandırılması.</v>
          </cell>
          <cell r="P31" t="str">
            <v>Yapılan gözlemlere göre, bu sensörler hat üzerindeki yapısal engellerle (örneğin ray bağlantı 
elemanları veya altyapı unsurları) temasa geçebilecek bir pozisyonda yer almakta ve bu durum, sensörün fiziksel olarak hasar görmesine veya kırılmasına sebep olabilir</v>
          </cell>
          <cell r="T31" t="str">
            <v>C(Sisteme etki etmeyen arıza)</v>
          </cell>
          <cell r="V31" t="str">
            <v>(I) İlk Defa Karşılaşılan Arıza</v>
          </cell>
          <cell r="X31" t="str">
            <v>Bozankaya</v>
          </cell>
          <cell r="Y31" t="str">
            <v>Tasarım</v>
          </cell>
          <cell r="Z31" t="str">
            <v>Evet</v>
          </cell>
          <cell r="AG31" t="str">
            <v/>
          </cell>
          <cell r="AH31" t="str">
            <v/>
          </cell>
          <cell r="AK31" t="str">
            <v/>
          </cell>
          <cell r="AL31" t="str">
            <v/>
          </cell>
          <cell r="AM31" t="str">
            <v/>
          </cell>
          <cell r="AT31" t="str">
            <v/>
          </cell>
          <cell r="BB31" t="str">
            <v/>
          </cell>
          <cell r="BC31" t="str">
            <v/>
          </cell>
        </row>
        <row r="32">
          <cell r="C32" t="str">
            <v>BEL25</v>
          </cell>
          <cell r="D32" t="str">
            <v>1533(3)</v>
          </cell>
          <cell r="E32" t="str">
            <v>MC</v>
          </cell>
          <cell r="F32" t="str">
            <v/>
          </cell>
          <cell r="G32" t="str">
            <v>BOZ-BEL25-FF-030</v>
          </cell>
          <cell r="H32">
            <v>45874.458333333299</v>
          </cell>
          <cell r="O32" t="str">
            <v>Sürücü kapısı kabine doğru son kademede sabitlenmiyor.</v>
          </cell>
          <cell r="P32" t="str">
            <v>Müşteri sürücü kapısının son kademede kabin duvarına sabitlenmesini talep etmektedir.</v>
          </cell>
          <cell r="T32" t="str">
            <v>C(Sisteme etki etmeyen arıza)</v>
          </cell>
          <cell r="V32" t="str">
            <v>(I) İlk Defa Karşılaşılan Arıza</v>
          </cell>
          <cell r="X32" t="str">
            <v>Bozankaya</v>
          </cell>
          <cell r="Y32" t="str">
            <v/>
          </cell>
          <cell r="Z32" t="str">
            <v>Evet</v>
          </cell>
          <cell r="AG32" t="str">
            <v>*Bir çalışma yapılmadı</v>
          </cell>
          <cell r="AH32" t="str">
            <v/>
          </cell>
          <cell r="AK32" t="str">
            <v/>
          </cell>
          <cell r="AL32" t="str">
            <v/>
          </cell>
          <cell r="AM32" t="str">
            <v/>
          </cell>
          <cell r="AT32" t="str">
            <v/>
          </cell>
          <cell r="BB32" t="str">
            <v/>
          </cell>
          <cell r="BC32">
            <v>45874.5</v>
          </cell>
        </row>
        <row r="33">
          <cell r="C33" t="str">
            <v>BEL25</v>
          </cell>
          <cell r="D33" t="str">
            <v>1533(3)</v>
          </cell>
          <cell r="E33" t="str">
            <v>MC</v>
          </cell>
          <cell r="F33" t="str">
            <v/>
          </cell>
          <cell r="G33" t="str">
            <v>BOZ-BEL25-FF-031</v>
          </cell>
          <cell r="H33">
            <v>45874.458333333299</v>
          </cell>
          <cell r="O33" t="str">
            <v>Müşteri tarafından, araçta kullanılan point switch butonuna ilişkin bir iyileştirme talep edilmiştir.</v>
          </cell>
          <cell r="P33" t="str">
            <v xml:space="preserve"> Mevcut durumda buton, sağa veya sola yön verildikten sonra o konumda kalmaktadır. Ancak 
müşteri, butonun yön verildikten sonra otomatik olarak tekrar (nötr) konumuna geri dönmesini istemektedir.</v>
          </cell>
          <cell r="T33" t="str">
            <v>C(Sisteme etki etmeyen arıza)</v>
          </cell>
          <cell r="V33" t="str">
            <v>(I) İlk Defa Karşılaşılan Arıza</v>
          </cell>
          <cell r="X33" t="str">
            <v>Bozankaya</v>
          </cell>
          <cell r="Y33" t="str">
            <v/>
          </cell>
          <cell r="Z33" t="str">
            <v/>
          </cell>
          <cell r="AG33" t="str">
            <v/>
          </cell>
          <cell r="AH33" t="str">
            <v/>
          </cell>
          <cell r="AK33" t="str">
            <v/>
          </cell>
          <cell r="AL33" t="str">
            <v/>
          </cell>
          <cell r="AM33" t="str">
            <v/>
          </cell>
          <cell r="AT33" t="str">
            <v/>
          </cell>
          <cell r="BB33" t="str">
            <v/>
          </cell>
          <cell r="BC33">
            <v>45874.5</v>
          </cell>
        </row>
        <row r="34">
          <cell r="C34" t="str">
            <v>BEL25</v>
          </cell>
          <cell r="D34" t="str">
            <v>1532(2)</v>
          </cell>
          <cell r="E34" t="str">
            <v>T</v>
          </cell>
          <cell r="F34" t="str">
            <v/>
          </cell>
          <cell r="G34" t="str">
            <v>BOZ-BEL25-FF-032</v>
          </cell>
          <cell r="H34">
            <v>45874.208333333299</v>
          </cell>
          <cell r="O34" t="str">
            <v>T bogie hidrolik sistemde sızıntı mevcut.</v>
          </cell>
          <cell r="P34" t="str">
            <v xml:space="preserve"> T bogiedeki hidrolik ünitenin adaptör bağlantı noktasında hidrolik sıvı sızıntısı tespit edilmiştir. Sızıntı, metal boru ile adaptör üzerinde meydana 
gelmekte olup bağlantı çevresinde yağ birikintisi ve ıslaklık gözlemlenmiştir.</v>
          </cell>
          <cell r="T34" t="str">
            <v>C(Sisteme etki etmeyen arıza)</v>
          </cell>
          <cell r="V34" t="str">
            <v>(II) Aynı Araçta Tekrarlayan Arıza</v>
          </cell>
          <cell r="X34" t="str">
            <v>Bozankaya</v>
          </cell>
          <cell r="Y34" t="str">
            <v/>
          </cell>
          <cell r="Z34" t="str">
            <v>Evet</v>
          </cell>
          <cell r="AG34" t="str">
            <v>Gevşek bağlantı vidaları sıkıldı</v>
          </cell>
          <cell r="AH34">
            <v>45874.21875</v>
          </cell>
          <cell r="AK34" t="str">
            <v/>
          </cell>
          <cell r="AL34" t="str">
            <v/>
          </cell>
          <cell r="AM34" t="str">
            <v/>
          </cell>
          <cell r="AT34" t="str">
            <v/>
          </cell>
          <cell r="BB34">
            <v>1</v>
          </cell>
          <cell r="BC34">
            <v>45874.291666666701</v>
          </cell>
        </row>
        <row r="35">
          <cell r="C35" t="str">
            <v>BEL25</v>
          </cell>
          <cell r="D35" t="str">
            <v>1533(3)</v>
          </cell>
          <cell r="E35" t="str">
            <v>MC</v>
          </cell>
          <cell r="F35" t="str">
            <v/>
          </cell>
          <cell r="G35" t="str">
            <v>BOZ-BEL25-FF-033</v>
          </cell>
          <cell r="H35">
            <v>45874.291666666701</v>
          </cell>
          <cell r="O35" t="str">
            <v>Pantograf up and down hareketi esnasında gürültü çıkarmaktadır.</v>
          </cell>
          <cell r="P35" t="str">
            <v>Özellikle down hareketi esnasında araç tavanına iniş noktasında yüksek ses çıkmaktadır.</v>
          </cell>
          <cell r="T35" t="str">
            <v>C(Sisteme etki etmeyen arıza)</v>
          </cell>
          <cell r="V35" t="str">
            <v>(I) İlk Defa Karşılaşılan Arıza</v>
          </cell>
          <cell r="X35" t="str">
            <v>Tedarikçi</v>
          </cell>
          <cell r="Y35" t="str">
            <v>Minel General Electric</v>
          </cell>
          <cell r="Z35" t="str">
            <v/>
          </cell>
          <cell r="AG35" t="str">
            <v>*Bir çalışma yapılmadı</v>
          </cell>
          <cell r="AH35">
            <v>45874.291666666701</v>
          </cell>
          <cell r="AK35" t="str">
            <v/>
          </cell>
          <cell r="AL35" t="str">
            <v/>
          </cell>
          <cell r="AM35" t="str">
            <v/>
          </cell>
          <cell r="AT35" t="str">
            <v/>
          </cell>
          <cell r="BB35" t="str">
            <v/>
          </cell>
          <cell r="BC35">
            <v>45874.333333333299</v>
          </cell>
        </row>
        <row r="36">
          <cell r="C36" t="str">
            <v>BEL25</v>
          </cell>
          <cell r="D36" t="str">
            <v>1534(4)</v>
          </cell>
          <cell r="E36" t="str">
            <v>MC</v>
          </cell>
          <cell r="F36" t="str">
            <v/>
          </cell>
          <cell r="G36" t="str">
            <v>BOZ-BEL25-FF-034</v>
          </cell>
          <cell r="H36">
            <v>45884.333333333299</v>
          </cell>
          <cell r="O36" t="str">
            <v>1534 nolu araçta motor üzerinde kullanılan Leonard &amp; Bauer marka hız sensörü arıza vermiştir</v>
          </cell>
          <cell r="P36" t="str">
            <v xml:space="preserve"> Arızalı sensör farklı araçlarda da denenmiş, ancak her kullanımda FB053 Speed Sensor Fault hatası alınmış ve bu hata HMI ekranında görüntülenmiştir</v>
          </cell>
          <cell r="T36" t="str">
            <v>A(Hareket etmeyi engelleyen arıza)</v>
          </cell>
          <cell r="V36" t="str">
            <v>(I) İlk Defa Karşılaşılan Arıza</v>
          </cell>
          <cell r="X36" t="str">
            <v>Tedarikçi</v>
          </cell>
          <cell r="Y36" t="str">
            <v/>
          </cell>
          <cell r="Z36" t="str">
            <v/>
          </cell>
          <cell r="AG36" t="str">
            <v>Ekipman yenisi ile değiştirildi</v>
          </cell>
          <cell r="AH36">
            <v>45884.375</v>
          </cell>
          <cell r="AK36" t="str">
            <v/>
          </cell>
          <cell r="AL36" t="str">
            <v/>
          </cell>
          <cell r="AM36" t="str">
            <v/>
          </cell>
          <cell r="AT36" t="str">
            <v/>
          </cell>
          <cell r="BB36">
            <v>1</v>
          </cell>
          <cell r="BC36">
            <v>45884.5</v>
          </cell>
        </row>
        <row r="37">
          <cell r="C37" t="str">
            <v>BEL25</v>
          </cell>
          <cell r="D37" t="str">
            <v>1539(9)</v>
          </cell>
          <cell r="E37" t="str">
            <v>MC</v>
          </cell>
          <cell r="F37">
            <v>289</v>
          </cell>
          <cell r="G37" t="str">
            <v>BOZ-BEL25-FF-035</v>
          </cell>
          <cell r="H37">
            <v>45993.277777777803</v>
          </cell>
          <cell r="O37" t="str">
            <v>Mastercontroller deadman arızası.</v>
          </cell>
          <cell r="P37" t="str">
            <v>Detaylı kontrollerde deadman işlevini yerine getiren sensivity touch işlevini yerine getirmiyor, dolayısıyla araç yalnızca belli bir süre DEADMAN ayak butonu ile sınırlı sürüş yapabiliyor.</v>
          </cell>
          <cell r="T37" t="str">
            <v>A(Hareket etmeyi engelleyen arıza)</v>
          </cell>
          <cell r="V37" t="str">
            <v>(III) Farklı Araçlarda Tekrarlayan Arıza</v>
          </cell>
          <cell r="X37" t="str">
            <v>Tedarikçi</v>
          </cell>
          <cell r="Y37" t="str">
            <v>ALFA UNİON, A.S.</v>
          </cell>
          <cell r="Z37" t="str">
            <v>Evet</v>
          </cell>
          <cell r="AG37" t="str">
            <v>Ekipman yenisi ile değiştirildi</v>
          </cell>
          <cell r="AH37">
            <v>45993.320833333302</v>
          </cell>
          <cell r="AK37" t="str">
            <v>MASTER CONTROLLER</v>
          </cell>
          <cell r="AL37" t="str">
            <v>E300-7078</v>
          </cell>
          <cell r="AM37" t="str">
            <v/>
          </cell>
          <cell r="AT37" t="str">
            <v/>
          </cell>
          <cell r="BB37">
            <v>1</v>
          </cell>
          <cell r="BC37">
            <v>45993.323611111096</v>
          </cell>
        </row>
        <row r="38">
          <cell r="C38" t="str">
            <v/>
          </cell>
          <cell r="D38" t="str">
            <v/>
          </cell>
          <cell r="E38" t="str">
            <v/>
          </cell>
          <cell r="F38" t="str">
            <v/>
          </cell>
          <cell r="G38" t="str">
            <v/>
          </cell>
          <cell r="H38" t="str">
            <v/>
          </cell>
          <cell r="N38" t="str">
            <v/>
          </cell>
          <cell r="O38" t="str">
            <v/>
          </cell>
          <cell r="P38" t="str">
            <v/>
          </cell>
          <cell r="T38" t="str">
            <v/>
          </cell>
          <cell r="V38" t="str">
            <v/>
          </cell>
          <cell r="X38" t="str">
            <v/>
          </cell>
          <cell r="Y38" t="str">
            <v/>
          </cell>
          <cell r="Z38" t="str">
            <v/>
          </cell>
          <cell r="AG38" t="str">
            <v/>
          </cell>
          <cell r="AH38" t="str">
            <v/>
          </cell>
          <cell r="AK38" t="str">
            <v/>
          </cell>
          <cell r="AL38" t="str">
            <v/>
          </cell>
          <cell r="AM38" t="str">
            <v/>
          </cell>
          <cell r="AT38" t="str">
            <v/>
          </cell>
          <cell r="BB38" t="str">
            <v/>
          </cell>
          <cell r="BC38" t="str">
            <v/>
          </cell>
        </row>
        <row r="39">
          <cell r="C39" t="str">
            <v/>
          </cell>
          <cell r="D39" t="str">
            <v/>
          </cell>
          <cell r="E39" t="str">
            <v/>
          </cell>
          <cell r="F39" t="str">
            <v/>
          </cell>
          <cell r="G39" t="str">
            <v/>
          </cell>
          <cell r="H39" t="str">
            <v/>
          </cell>
          <cell r="N39" t="str">
            <v/>
          </cell>
          <cell r="O39" t="str">
            <v/>
          </cell>
          <cell r="P39" t="str">
            <v/>
          </cell>
          <cell r="T39" t="str">
            <v/>
          </cell>
          <cell r="V39" t="str">
            <v/>
          </cell>
          <cell r="X39" t="str">
            <v/>
          </cell>
          <cell r="Y39" t="str">
            <v/>
          </cell>
          <cell r="Z39" t="str">
            <v/>
          </cell>
          <cell r="AG39" t="str">
            <v/>
          </cell>
          <cell r="AH39" t="str">
            <v/>
          </cell>
          <cell r="AK39" t="str">
            <v/>
          </cell>
          <cell r="AL39" t="str">
            <v/>
          </cell>
          <cell r="AM39" t="str">
            <v/>
          </cell>
          <cell r="AT39" t="str">
            <v/>
          </cell>
          <cell r="BB39" t="str">
            <v/>
          </cell>
          <cell r="BC39" t="str">
            <v/>
          </cell>
        </row>
        <row r="40">
          <cell r="C40" t="str">
            <v/>
          </cell>
          <cell r="D40" t="str">
            <v/>
          </cell>
          <cell r="E40" t="str">
            <v/>
          </cell>
          <cell r="F40" t="str">
            <v/>
          </cell>
          <cell r="G40" t="str">
            <v/>
          </cell>
          <cell r="H40" t="str">
            <v/>
          </cell>
          <cell r="N40" t="str">
            <v/>
          </cell>
          <cell r="O40" t="str">
            <v/>
          </cell>
          <cell r="P40" t="str">
            <v/>
          </cell>
          <cell r="T40" t="str">
            <v/>
          </cell>
          <cell r="V40" t="str">
            <v/>
          </cell>
          <cell r="X40" t="str">
            <v/>
          </cell>
          <cell r="Y40" t="str">
            <v/>
          </cell>
          <cell r="Z40" t="str">
            <v/>
          </cell>
          <cell r="AG40" t="str">
            <v/>
          </cell>
          <cell r="AH40" t="str">
            <v/>
          </cell>
          <cell r="AK40" t="str">
            <v/>
          </cell>
          <cell r="AL40" t="str">
            <v/>
          </cell>
          <cell r="AM40" t="str">
            <v/>
          </cell>
          <cell r="AT40" t="str">
            <v/>
          </cell>
          <cell r="BB40" t="str">
            <v/>
          </cell>
          <cell r="BC40" t="str">
            <v/>
          </cell>
        </row>
        <row r="41">
          <cell r="C41" t="str">
            <v/>
          </cell>
          <cell r="D41" t="str">
            <v/>
          </cell>
          <cell r="E41" t="str">
            <v/>
          </cell>
          <cell r="F41" t="str">
            <v/>
          </cell>
          <cell r="G41" t="str">
            <v/>
          </cell>
          <cell r="H41" t="str">
            <v/>
          </cell>
          <cell r="N41" t="str">
            <v/>
          </cell>
          <cell r="O41" t="str">
            <v/>
          </cell>
          <cell r="P41" t="str">
            <v/>
          </cell>
          <cell r="T41" t="str">
            <v/>
          </cell>
          <cell r="V41" t="str">
            <v/>
          </cell>
          <cell r="X41" t="str">
            <v/>
          </cell>
          <cell r="Y41" t="str">
            <v/>
          </cell>
          <cell r="Z41" t="str">
            <v/>
          </cell>
          <cell r="AG41" t="str">
            <v/>
          </cell>
          <cell r="AH41" t="str">
            <v/>
          </cell>
          <cell r="AK41" t="str">
            <v/>
          </cell>
          <cell r="AL41" t="str">
            <v/>
          </cell>
          <cell r="AM41" t="str">
            <v/>
          </cell>
          <cell r="AT41" t="str">
            <v/>
          </cell>
          <cell r="BB41" t="str">
            <v/>
          </cell>
          <cell r="BC41" t="str">
            <v/>
          </cell>
        </row>
        <row r="42">
          <cell r="C42" t="str">
            <v/>
          </cell>
          <cell r="D42" t="str">
            <v/>
          </cell>
          <cell r="E42" t="str">
            <v/>
          </cell>
          <cell r="F42" t="str">
            <v/>
          </cell>
          <cell r="G42" t="str">
            <v/>
          </cell>
          <cell r="H42" t="str">
            <v/>
          </cell>
          <cell r="N42" t="str">
            <v/>
          </cell>
          <cell r="O42" t="str">
            <v/>
          </cell>
          <cell r="P42" t="str">
            <v/>
          </cell>
          <cell r="T42" t="str">
            <v/>
          </cell>
          <cell r="V42" t="str">
            <v/>
          </cell>
          <cell r="X42" t="str">
            <v/>
          </cell>
          <cell r="Y42" t="str">
            <v/>
          </cell>
          <cell r="Z42" t="str">
            <v/>
          </cell>
          <cell r="AG42" t="str">
            <v/>
          </cell>
          <cell r="AH42" t="str">
            <v/>
          </cell>
          <cell r="AK42" t="str">
            <v/>
          </cell>
          <cell r="AL42" t="str">
            <v/>
          </cell>
          <cell r="AM42" t="str">
            <v/>
          </cell>
          <cell r="AT42" t="str">
            <v/>
          </cell>
          <cell r="BB42" t="str">
            <v/>
          </cell>
          <cell r="BC42" t="str">
            <v/>
          </cell>
        </row>
        <row r="43">
          <cell r="C43" t="str">
            <v/>
          </cell>
          <cell r="D43" t="str">
            <v/>
          </cell>
          <cell r="E43" t="str">
            <v/>
          </cell>
          <cell r="F43" t="str">
            <v/>
          </cell>
          <cell r="G43" t="str">
            <v/>
          </cell>
          <cell r="H43" t="str">
            <v/>
          </cell>
          <cell r="N43" t="str">
            <v/>
          </cell>
          <cell r="O43" t="str">
            <v/>
          </cell>
          <cell r="P43" t="str">
            <v/>
          </cell>
          <cell r="T43" t="str">
            <v/>
          </cell>
          <cell r="V43" t="str">
            <v/>
          </cell>
          <cell r="X43" t="str">
            <v/>
          </cell>
          <cell r="Y43" t="str">
            <v/>
          </cell>
          <cell r="Z43" t="str">
            <v/>
          </cell>
          <cell r="AG43" t="str">
            <v/>
          </cell>
          <cell r="AH43" t="str">
            <v/>
          </cell>
          <cell r="AK43" t="str">
            <v/>
          </cell>
          <cell r="AL43" t="str">
            <v/>
          </cell>
          <cell r="AM43" t="str">
            <v/>
          </cell>
          <cell r="AT43" t="str">
            <v/>
          </cell>
          <cell r="BB43" t="str">
            <v/>
          </cell>
          <cell r="BC43" t="str">
            <v/>
          </cell>
        </row>
        <row r="44">
          <cell r="C44" t="str">
            <v/>
          </cell>
          <cell r="D44" t="str">
            <v/>
          </cell>
          <cell r="E44" t="str">
            <v/>
          </cell>
          <cell r="F44" t="str">
            <v/>
          </cell>
          <cell r="G44" t="str">
            <v/>
          </cell>
          <cell r="H44" t="str">
            <v/>
          </cell>
          <cell r="N44" t="str">
            <v/>
          </cell>
          <cell r="O44" t="str">
            <v/>
          </cell>
          <cell r="P44" t="str">
            <v/>
          </cell>
          <cell r="T44" t="str">
            <v/>
          </cell>
          <cell r="V44" t="str">
            <v/>
          </cell>
          <cell r="X44" t="str">
            <v/>
          </cell>
          <cell r="Y44" t="str">
            <v/>
          </cell>
          <cell r="Z44" t="str">
            <v/>
          </cell>
          <cell r="AG44" t="str">
            <v/>
          </cell>
          <cell r="AH44" t="str">
            <v/>
          </cell>
          <cell r="AK44" t="str">
            <v/>
          </cell>
          <cell r="AL44" t="str">
            <v/>
          </cell>
          <cell r="AM44" t="str">
            <v/>
          </cell>
          <cell r="AT44" t="str">
            <v/>
          </cell>
          <cell r="BB44" t="str">
            <v/>
          </cell>
          <cell r="BC44" t="str">
            <v/>
          </cell>
        </row>
        <row r="45">
          <cell r="C45" t="str">
            <v/>
          </cell>
          <cell r="D45" t="str">
            <v/>
          </cell>
          <cell r="E45" t="str">
            <v/>
          </cell>
          <cell r="F45" t="str">
            <v/>
          </cell>
          <cell r="G45" t="str">
            <v/>
          </cell>
          <cell r="H45" t="str">
            <v/>
          </cell>
          <cell r="N45" t="str">
            <v/>
          </cell>
          <cell r="O45" t="str">
            <v/>
          </cell>
          <cell r="P45" t="str">
            <v/>
          </cell>
          <cell r="T45" t="str">
            <v/>
          </cell>
          <cell r="V45" t="str">
            <v/>
          </cell>
          <cell r="X45" t="str">
            <v/>
          </cell>
          <cell r="Y45" t="str">
            <v/>
          </cell>
          <cell r="Z45" t="str">
            <v/>
          </cell>
          <cell r="AG45" t="str">
            <v/>
          </cell>
          <cell r="AH45" t="str">
            <v/>
          </cell>
          <cell r="AK45" t="str">
            <v/>
          </cell>
          <cell r="AL45" t="str">
            <v/>
          </cell>
          <cell r="AM45" t="str">
            <v/>
          </cell>
          <cell r="AT45" t="str">
            <v/>
          </cell>
          <cell r="BB45" t="str">
            <v/>
          </cell>
          <cell r="BC45" t="str">
            <v/>
          </cell>
        </row>
        <row r="46">
          <cell r="C46" t="str">
            <v/>
          </cell>
          <cell r="D46" t="str">
            <v/>
          </cell>
          <cell r="E46" t="str">
            <v/>
          </cell>
          <cell r="F46" t="str">
            <v/>
          </cell>
          <cell r="G46" t="str">
            <v/>
          </cell>
          <cell r="H46" t="str">
            <v/>
          </cell>
          <cell r="N46" t="str">
            <v/>
          </cell>
          <cell r="O46" t="str">
            <v/>
          </cell>
          <cell r="P46" t="str">
            <v/>
          </cell>
          <cell r="T46" t="str">
            <v/>
          </cell>
          <cell r="V46" t="str">
            <v/>
          </cell>
          <cell r="X46" t="str">
            <v/>
          </cell>
          <cell r="Y46" t="str">
            <v/>
          </cell>
          <cell r="Z46" t="str">
            <v/>
          </cell>
          <cell r="AG46" t="str">
            <v/>
          </cell>
          <cell r="AH46" t="str">
            <v/>
          </cell>
          <cell r="AK46" t="str">
            <v/>
          </cell>
          <cell r="AL46" t="str">
            <v/>
          </cell>
          <cell r="AM46" t="str">
            <v/>
          </cell>
          <cell r="AT46" t="str">
            <v/>
          </cell>
          <cell r="BB46" t="str">
            <v/>
          </cell>
          <cell r="BC46" t="str">
            <v/>
          </cell>
        </row>
        <row r="47">
          <cell r="C47" t="str">
            <v/>
          </cell>
          <cell r="D47" t="str">
            <v/>
          </cell>
          <cell r="E47" t="str">
            <v/>
          </cell>
          <cell r="F47" t="str">
            <v/>
          </cell>
          <cell r="G47" t="str">
            <v/>
          </cell>
          <cell r="H47" t="str">
            <v/>
          </cell>
          <cell r="N47" t="str">
            <v/>
          </cell>
          <cell r="O47" t="str">
            <v/>
          </cell>
          <cell r="P47" t="str">
            <v/>
          </cell>
          <cell r="T47" t="str">
            <v/>
          </cell>
          <cell r="V47" t="str">
            <v/>
          </cell>
          <cell r="X47" t="str">
            <v/>
          </cell>
          <cell r="Y47" t="str">
            <v/>
          </cell>
          <cell r="Z47" t="str">
            <v/>
          </cell>
          <cell r="AG47" t="str">
            <v/>
          </cell>
          <cell r="AH47" t="str">
            <v/>
          </cell>
          <cell r="AK47" t="str">
            <v/>
          </cell>
          <cell r="AL47" t="str">
            <v/>
          </cell>
          <cell r="AM47" t="str">
            <v/>
          </cell>
          <cell r="AT47" t="str">
            <v/>
          </cell>
          <cell r="BB47" t="str">
            <v/>
          </cell>
          <cell r="BC47" t="str">
            <v/>
          </cell>
        </row>
        <row r="48">
          <cell r="C48" t="str">
            <v/>
          </cell>
          <cell r="D48" t="str">
            <v/>
          </cell>
          <cell r="E48" t="str">
            <v/>
          </cell>
          <cell r="F48" t="str">
            <v/>
          </cell>
          <cell r="G48" t="str">
            <v/>
          </cell>
          <cell r="H48" t="str">
            <v/>
          </cell>
          <cell r="N48" t="str">
            <v/>
          </cell>
          <cell r="O48" t="str">
            <v/>
          </cell>
          <cell r="P48" t="str">
            <v/>
          </cell>
          <cell r="T48" t="str">
            <v/>
          </cell>
          <cell r="V48" t="str">
            <v/>
          </cell>
          <cell r="X48" t="str">
            <v/>
          </cell>
          <cell r="Y48" t="str">
            <v/>
          </cell>
          <cell r="Z48" t="str">
            <v/>
          </cell>
          <cell r="AG48" t="str">
            <v/>
          </cell>
          <cell r="AH48" t="str">
            <v/>
          </cell>
          <cell r="AK48" t="str">
            <v/>
          </cell>
          <cell r="AL48" t="str">
            <v/>
          </cell>
          <cell r="AM48" t="str">
            <v/>
          </cell>
          <cell r="AT48" t="str">
            <v/>
          </cell>
          <cell r="BB48" t="str">
            <v/>
          </cell>
          <cell r="BC48" t="str">
            <v/>
          </cell>
        </row>
        <row r="49">
          <cell r="C49" t="str">
            <v/>
          </cell>
          <cell r="D49" t="str">
            <v/>
          </cell>
          <cell r="E49" t="str">
            <v/>
          </cell>
          <cell r="F49" t="str">
            <v/>
          </cell>
          <cell r="G49" t="str">
            <v/>
          </cell>
          <cell r="H49" t="str">
            <v/>
          </cell>
          <cell r="N49" t="str">
            <v/>
          </cell>
          <cell r="O49" t="str">
            <v/>
          </cell>
          <cell r="P49" t="str">
            <v/>
          </cell>
          <cell r="T49" t="str">
            <v/>
          </cell>
          <cell r="V49" t="str">
            <v/>
          </cell>
          <cell r="X49" t="str">
            <v/>
          </cell>
          <cell r="Y49" t="str">
            <v/>
          </cell>
          <cell r="Z49" t="str">
            <v/>
          </cell>
          <cell r="AG49" t="str">
            <v/>
          </cell>
          <cell r="AH49" t="str">
            <v/>
          </cell>
          <cell r="AK49" t="str">
            <v/>
          </cell>
          <cell r="AL49" t="str">
            <v/>
          </cell>
          <cell r="AM49" t="str">
            <v/>
          </cell>
          <cell r="AT49" t="str">
            <v/>
          </cell>
          <cell r="BB49" t="str">
            <v/>
          </cell>
          <cell r="BC49" t="str">
            <v/>
          </cell>
        </row>
        <row r="50">
          <cell r="C50" t="str">
            <v/>
          </cell>
          <cell r="D50" t="str">
            <v/>
          </cell>
          <cell r="E50" t="str">
            <v/>
          </cell>
          <cell r="F50" t="str">
            <v/>
          </cell>
          <cell r="G50" t="str">
            <v/>
          </cell>
          <cell r="H50" t="str">
            <v/>
          </cell>
          <cell r="N50" t="str">
            <v/>
          </cell>
          <cell r="O50" t="str">
            <v/>
          </cell>
          <cell r="P50" t="str">
            <v/>
          </cell>
          <cell r="T50" t="str">
            <v/>
          </cell>
          <cell r="V50" t="str">
            <v/>
          </cell>
          <cell r="X50" t="str">
            <v/>
          </cell>
          <cell r="Y50" t="str">
            <v/>
          </cell>
          <cell r="Z50" t="str">
            <v/>
          </cell>
          <cell r="AG50" t="str">
            <v/>
          </cell>
          <cell r="AH50" t="str">
            <v/>
          </cell>
          <cell r="AK50" t="str">
            <v/>
          </cell>
          <cell r="AL50" t="str">
            <v/>
          </cell>
          <cell r="AM50" t="str">
            <v/>
          </cell>
          <cell r="AT50" t="str">
            <v/>
          </cell>
          <cell r="BB50" t="str">
            <v/>
          </cell>
          <cell r="BC50" t="str">
            <v/>
          </cell>
        </row>
        <row r="51">
          <cell r="C51" t="str">
            <v/>
          </cell>
          <cell r="D51" t="str">
            <v/>
          </cell>
          <cell r="E51" t="str">
            <v/>
          </cell>
          <cell r="F51" t="str">
            <v/>
          </cell>
          <cell r="G51" t="str">
            <v/>
          </cell>
          <cell r="H51" t="str">
            <v/>
          </cell>
          <cell r="N51" t="str">
            <v/>
          </cell>
          <cell r="O51" t="str">
            <v/>
          </cell>
          <cell r="P51" t="str">
            <v/>
          </cell>
          <cell r="T51" t="str">
            <v/>
          </cell>
          <cell r="V51" t="str">
            <v/>
          </cell>
          <cell r="X51" t="str">
            <v/>
          </cell>
          <cell r="Y51" t="str">
            <v/>
          </cell>
          <cell r="Z51" t="str">
            <v/>
          </cell>
          <cell r="AG51" t="str">
            <v/>
          </cell>
          <cell r="AH51" t="str">
            <v/>
          </cell>
          <cell r="AK51" t="str">
            <v/>
          </cell>
          <cell r="AL51" t="str">
            <v/>
          </cell>
          <cell r="AM51" t="str">
            <v/>
          </cell>
          <cell r="AT51" t="str">
            <v/>
          </cell>
          <cell r="BB51" t="str">
            <v/>
          </cell>
          <cell r="BC51" t="str">
            <v/>
          </cell>
        </row>
        <row r="52">
          <cell r="C52" t="str">
            <v/>
          </cell>
          <cell r="D52" t="str">
            <v/>
          </cell>
          <cell r="E52" t="str">
            <v/>
          </cell>
          <cell r="F52" t="str">
            <v/>
          </cell>
          <cell r="G52" t="str">
            <v/>
          </cell>
          <cell r="H52" t="str">
            <v/>
          </cell>
          <cell r="N52" t="str">
            <v/>
          </cell>
          <cell r="O52" t="str">
            <v/>
          </cell>
          <cell r="P52" t="str">
            <v/>
          </cell>
          <cell r="T52" t="str">
            <v/>
          </cell>
          <cell r="V52" t="str">
            <v/>
          </cell>
          <cell r="X52" t="str">
            <v/>
          </cell>
          <cell r="Y52" t="str">
            <v/>
          </cell>
          <cell r="Z52" t="str">
            <v/>
          </cell>
          <cell r="AG52" t="str">
            <v/>
          </cell>
          <cell r="AH52" t="str">
            <v/>
          </cell>
          <cell r="AK52" t="str">
            <v/>
          </cell>
          <cell r="AL52" t="str">
            <v/>
          </cell>
          <cell r="AM52" t="str">
            <v/>
          </cell>
          <cell r="AT52" t="str">
            <v/>
          </cell>
          <cell r="BB52" t="str">
            <v/>
          </cell>
          <cell r="BC52" t="str">
            <v/>
          </cell>
        </row>
        <row r="53">
          <cell r="C53" t="str">
            <v/>
          </cell>
          <cell r="D53" t="str">
            <v/>
          </cell>
          <cell r="E53" t="str">
            <v/>
          </cell>
          <cell r="F53" t="str">
            <v/>
          </cell>
          <cell r="G53" t="str">
            <v/>
          </cell>
          <cell r="H53" t="str">
            <v/>
          </cell>
          <cell r="N53" t="str">
            <v/>
          </cell>
          <cell r="O53" t="str">
            <v/>
          </cell>
          <cell r="P53" t="str">
            <v/>
          </cell>
          <cell r="T53" t="str">
            <v/>
          </cell>
          <cell r="V53" t="str">
            <v/>
          </cell>
          <cell r="X53" t="str">
            <v/>
          </cell>
          <cell r="Y53" t="str">
            <v/>
          </cell>
          <cell r="Z53" t="str">
            <v/>
          </cell>
          <cell r="AG53" t="str">
            <v/>
          </cell>
          <cell r="AH53" t="str">
            <v/>
          </cell>
          <cell r="AK53" t="str">
            <v/>
          </cell>
          <cell r="AL53" t="str">
            <v/>
          </cell>
          <cell r="AM53" t="str">
            <v/>
          </cell>
          <cell r="AT53" t="str">
            <v/>
          </cell>
          <cell r="BB53" t="str">
            <v/>
          </cell>
          <cell r="BC53" t="str">
            <v/>
          </cell>
        </row>
        <row r="54">
          <cell r="C54" t="str">
            <v/>
          </cell>
          <cell r="D54" t="str">
            <v/>
          </cell>
          <cell r="E54" t="str">
            <v/>
          </cell>
          <cell r="F54" t="str">
            <v/>
          </cell>
          <cell r="G54" t="str">
            <v/>
          </cell>
          <cell r="H54" t="str">
            <v/>
          </cell>
          <cell r="N54" t="str">
            <v/>
          </cell>
          <cell r="O54" t="str">
            <v/>
          </cell>
          <cell r="P54" t="str">
            <v/>
          </cell>
          <cell r="T54" t="str">
            <v/>
          </cell>
          <cell r="V54" t="str">
            <v/>
          </cell>
          <cell r="X54" t="str">
            <v/>
          </cell>
          <cell r="Y54" t="str">
            <v/>
          </cell>
          <cell r="Z54" t="str">
            <v/>
          </cell>
          <cell r="AG54" t="str">
            <v/>
          </cell>
          <cell r="AH54" t="str">
            <v/>
          </cell>
          <cell r="AK54" t="str">
            <v/>
          </cell>
          <cell r="AL54" t="str">
            <v/>
          </cell>
          <cell r="AM54" t="str">
            <v/>
          </cell>
          <cell r="AT54" t="str">
            <v/>
          </cell>
          <cell r="BB54" t="str">
            <v/>
          </cell>
          <cell r="BC54" t="str">
            <v/>
          </cell>
        </row>
        <row r="55">
          <cell r="C55" t="str">
            <v/>
          </cell>
          <cell r="D55" t="str">
            <v/>
          </cell>
          <cell r="E55" t="str">
            <v/>
          </cell>
          <cell r="F55" t="str">
            <v/>
          </cell>
          <cell r="G55" t="str">
            <v/>
          </cell>
          <cell r="H55" t="str">
            <v/>
          </cell>
          <cell r="N55" t="str">
            <v/>
          </cell>
          <cell r="O55" t="str">
            <v/>
          </cell>
          <cell r="P55" t="str">
            <v/>
          </cell>
          <cell r="T55" t="str">
            <v/>
          </cell>
          <cell r="V55" t="str">
            <v/>
          </cell>
          <cell r="X55" t="str">
            <v/>
          </cell>
          <cell r="Y55" t="str">
            <v/>
          </cell>
          <cell r="Z55" t="str">
            <v/>
          </cell>
          <cell r="AG55" t="str">
            <v/>
          </cell>
          <cell r="AH55" t="str">
            <v/>
          </cell>
          <cell r="AK55" t="str">
            <v/>
          </cell>
          <cell r="AL55" t="str">
            <v/>
          </cell>
          <cell r="AM55" t="str">
            <v/>
          </cell>
          <cell r="AT55" t="str">
            <v/>
          </cell>
          <cell r="BB55" t="str">
            <v/>
          </cell>
          <cell r="BC55" t="str">
            <v/>
          </cell>
        </row>
        <row r="56">
          <cell r="C56" t="str">
            <v/>
          </cell>
          <cell r="D56" t="str">
            <v/>
          </cell>
          <cell r="E56" t="str">
            <v/>
          </cell>
          <cell r="F56" t="str">
            <v/>
          </cell>
          <cell r="G56" t="str">
            <v/>
          </cell>
          <cell r="H56" t="str">
            <v/>
          </cell>
          <cell r="N56" t="str">
            <v/>
          </cell>
          <cell r="O56" t="str">
            <v/>
          </cell>
          <cell r="P56" t="str">
            <v/>
          </cell>
          <cell r="T56" t="str">
            <v/>
          </cell>
          <cell r="V56" t="str">
            <v/>
          </cell>
          <cell r="X56" t="str">
            <v/>
          </cell>
          <cell r="Y56" t="str">
            <v/>
          </cell>
          <cell r="Z56" t="str">
            <v/>
          </cell>
          <cell r="AG56" t="str">
            <v/>
          </cell>
          <cell r="AH56" t="str">
            <v/>
          </cell>
          <cell r="AK56" t="str">
            <v/>
          </cell>
          <cell r="AL56" t="str">
            <v/>
          </cell>
          <cell r="AM56" t="str">
            <v/>
          </cell>
          <cell r="AT56" t="str">
            <v/>
          </cell>
          <cell r="BB56" t="str">
            <v/>
          </cell>
          <cell r="BC56" t="str">
            <v/>
          </cell>
        </row>
        <row r="57">
          <cell r="C57" t="str">
            <v/>
          </cell>
          <cell r="D57" t="str">
            <v/>
          </cell>
          <cell r="E57" t="str">
            <v/>
          </cell>
          <cell r="F57" t="str">
            <v/>
          </cell>
          <cell r="G57" t="str">
            <v/>
          </cell>
          <cell r="H57" t="str">
            <v/>
          </cell>
          <cell r="N57" t="str">
            <v/>
          </cell>
          <cell r="O57" t="str">
            <v/>
          </cell>
          <cell r="P57" t="str">
            <v/>
          </cell>
          <cell r="T57" t="str">
            <v/>
          </cell>
          <cell r="V57" t="str">
            <v/>
          </cell>
          <cell r="X57" t="str">
            <v/>
          </cell>
          <cell r="Y57" t="str">
            <v/>
          </cell>
          <cell r="Z57" t="str">
            <v/>
          </cell>
          <cell r="AG57" t="str">
            <v/>
          </cell>
          <cell r="AH57" t="str">
            <v/>
          </cell>
          <cell r="AK57" t="str">
            <v/>
          </cell>
          <cell r="AL57" t="str">
            <v/>
          </cell>
          <cell r="AM57" t="str">
            <v/>
          </cell>
          <cell r="AT57" t="str">
            <v/>
          </cell>
          <cell r="BB57" t="str">
            <v/>
          </cell>
          <cell r="BC57" t="str">
            <v/>
          </cell>
        </row>
        <row r="58">
          <cell r="C58" t="str">
            <v/>
          </cell>
          <cell r="D58" t="str">
            <v/>
          </cell>
          <cell r="E58" t="str">
            <v/>
          </cell>
          <cell r="F58" t="str">
            <v/>
          </cell>
          <cell r="G58" t="str">
            <v/>
          </cell>
          <cell r="H58" t="str">
            <v/>
          </cell>
          <cell r="N58" t="str">
            <v/>
          </cell>
          <cell r="O58" t="str">
            <v/>
          </cell>
          <cell r="P58" t="str">
            <v/>
          </cell>
          <cell r="T58" t="str">
            <v/>
          </cell>
          <cell r="V58" t="str">
            <v/>
          </cell>
          <cell r="X58" t="str">
            <v/>
          </cell>
          <cell r="Y58" t="str">
            <v/>
          </cell>
          <cell r="Z58" t="str">
            <v/>
          </cell>
          <cell r="AG58" t="str">
            <v/>
          </cell>
          <cell r="AH58" t="str">
            <v/>
          </cell>
          <cell r="AK58" t="str">
            <v/>
          </cell>
          <cell r="AL58" t="str">
            <v/>
          </cell>
          <cell r="AM58" t="str">
            <v/>
          </cell>
          <cell r="AT58" t="str">
            <v/>
          </cell>
          <cell r="BB58" t="str">
            <v/>
          </cell>
          <cell r="BC58" t="str">
            <v/>
          </cell>
        </row>
        <row r="59">
          <cell r="C59" t="str">
            <v/>
          </cell>
          <cell r="D59" t="str">
            <v/>
          </cell>
          <cell r="E59" t="str">
            <v/>
          </cell>
          <cell r="F59" t="str">
            <v/>
          </cell>
          <cell r="G59" t="str">
            <v/>
          </cell>
          <cell r="H59" t="str">
            <v/>
          </cell>
          <cell r="N59" t="str">
            <v/>
          </cell>
          <cell r="O59" t="str">
            <v/>
          </cell>
          <cell r="P59" t="str">
            <v/>
          </cell>
          <cell r="T59" t="str">
            <v/>
          </cell>
          <cell r="V59" t="str">
            <v/>
          </cell>
          <cell r="X59" t="str">
            <v/>
          </cell>
          <cell r="Y59" t="str">
            <v/>
          </cell>
          <cell r="Z59" t="str">
            <v/>
          </cell>
          <cell r="AG59" t="str">
            <v/>
          </cell>
          <cell r="AH59" t="str">
            <v/>
          </cell>
          <cell r="AK59" t="str">
            <v/>
          </cell>
          <cell r="AL59" t="str">
            <v/>
          </cell>
          <cell r="AM59" t="str">
            <v/>
          </cell>
          <cell r="AT59" t="str">
            <v/>
          </cell>
          <cell r="BB59" t="str">
            <v/>
          </cell>
          <cell r="BC59" t="str">
            <v/>
          </cell>
        </row>
        <row r="60">
          <cell r="C60" t="str">
            <v/>
          </cell>
          <cell r="D60" t="str">
            <v/>
          </cell>
          <cell r="E60" t="str">
            <v/>
          </cell>
          <cell r="F60" t="str">
            <v/>
          </cell>
          <cell r="G60" t="str">
            <v/>
          </cell>
          <cell r="H60" t="str">
            <v/>
          </cell>
          <cell r="N60" t="str">
            <v/>
          </cell>
          <cell r="O60" t="str">
            <v/>
          </cell>
          <cell r="P60" t="str">
            <v/>
          </cell>
          <cell r="T60" t="str">
            <v/>
          </cell>
          <cell r="V60" t="str">
            <v/>
          </cell>
          <cell r="X60" t="str">
            <v/>
          </cell>
          <cell r="Y60" t="str">
            <v/>
          </cell>
          <cell r="Z60" t="str">
            <v/>
          </cell>
          <cell r="AG60" t="str">
            <v/>
          </cell>
          <cell r="AH60" t="str">
            <v/>
          </cell>
          <cell r="AK60" t="str">
            <v/>
          </cell>
          <cell r="AL60" t="str">
            <v/>
          </cell>
          <cell r="AM60" t="str">
            <v/>
          </cell>
          <cell r="AT60" t="str">
            <v/>
          </cell>
          <cell r="BB60" t="str">
            <v/>
          </cell>
          <cell r="BC60" t="str">
            <v/>
          </cell>
        </row>
        <row r="61">
          <cell r="C61" t="str">
            <v/>
          </cell>
          <cell r="D61" t="str">
            <v/>
          </cell>
          <cell r="E61" t="str">
            <v/>
          </cell>
          <cell r="F61" t="str">
            <v/>
          </cell>
          <cell r="G61" t="str">
            <v/>
          </cell>
          <cell r="H61" t="str">
            <v/>
          </cell>
          <cell r="N61" t="str">
            <v/>
          </cell>
          <cell r="O61" t="str">
            <v/>
          </cell>
          <cell r="P61" t="str">
            <v/>
          </cell>
          <cell r="T61" t="str">
            <v/>
          </cell>
          <cell r="V61" t="str">
            <v/>
          </cell>
          <cell r="X61" t="str">
            <v/>
          </cell>
          <cell r="Y61" t="str">
            <v/>
          </cell>
          <cell r="Z61" t="str">
            <v/>
          </cell>
          <cell r="AG61" t="str">
            <v/>
          </cell>
          <cell r="AH61" t="str">
            <v/>
          </cell>
          <cell r="AK61" t="str">
            <v/>
          </cell>
          <cell r="AL61" t="str">
            <v/>
          </cell>
          <cell r="AM61" t="str">
            <v/>
          </cell>
          <cell r="AT61" t="str">
            <v/>
          </cell>
          <cell r="BB61" t="str">
            <v/>
          </cell>
          <cell r="BC61" t="str">
            <v/>
          </cell>
        </row>
        <row r="62">
          <cell r="C62" t="str">
            <v/>
          </cell>
          <cell r="D62" t="str">
            <v/>
          </cell>
          <cell r="E62" t="str">
            <v/>
          </cell>
          <cell r="F62" t="str">
            <v/>
          </cell>
          <cell r="G62" t="str">
            <v/>
          </cell>
          <cell r="H62" t="str">
            <v/>
          </cell>
          <cell r="N62" t="str">
            <v/>
          </cell>
          <cell r="O62" t="str">
            <v/>
          </cell>
          <cell r="P62" t="str">
            <v/>
          </cell>
          <cell r="T62" t="str">
            <v/>
          </cell>
          <cell r="V62" t="str">
            <v/>
          </cell>
          <cell r="X62" t="str">
            <v/>
          </cell>
          <cell r="Y62" t="str">
            <v/>
          </cell>
          <cell r="Z62" t="str">
            <v/>
          </cell>
          <cell r="AG62" t="str">
            <v/>
          </cell>
          <cell r="AH62" t="str">
            <v/>
          </cell>
          <cell r="AK62" t="str">
            <v/>
          </cell>
          <cell r="AL62" t="str">
            <v/>
          </cell>
          <cell r="AM62" t="str">
            <v/>
          </cell>
          <cell r="AT62" t="str">
            <v/>
          </cell>
          <cell r="BB62" t="str">
            <v/>
          </cell>
          <cell r="BC62" t="str">
            <v/>
          </cell>
        </row>
        <row r="63">
          <cell r="C63" t="str">
            <v/>
          </cell>
          <cell r="D63" t="str">
            <v/>
          </cell>
          <cell r="E63" t="str">
            <v/>
          </cell>
          <cell r="F63" t="str">
            <v/>
          </cell>
          <cell r="G63" t="str">
            <v/>
          </cell>
          <cell r="H63" t="str">
            <v/>
          </cell>
          <cell r="N63" t="str">
            <v/>
          </cell>
          <cell r="O63" t="str">
            <v/>
          </cell>
          <cell r="P63" t="str">
            <v/>
          </cell>
          <cell r="T63" t="str">
            <v/>
          </cell>
          <cell r="V63" t="str">
            <v/>
          </cell>
          <cell r="X63" t="str">
            <v/>
          </cell>
          <cell r="Y63" t="str">
            <v/>
          </cell>
          <cell r="Z63" t="str">
            <v/>
          </cell>
          <cell r="AG63" t="str">
            <v/>
          </cell>
          <cell r="AH63" t="str">
            <v/>
          </cell>
          <cell r="AK63" t="str">
            <v/>
          </cell>
          <cell r="AL63" t="str">
            <v/>
          </cell>
          <cell r="AM63" t="str">
            <v/>
          </cell>
          <cell r="AT63" t="str">
            <v/>
          </cell>
          <cell r="BB63" t="str">
            <v/>
          </cell>
          <cell r="BC63" t="str">
            <v/>
          </cell>
        </row>
        <row r="64">
          <cell r="C64" t="str">
            <v/>
          </cell>
          <cell r="D64" t="str">
            <v/>
          </cell>
          <cell r="E64" t="str">
            <v/>
          </cell>
          <cell r="F64" t="str">
            <v/>
          </cell>
          <cell r="G64" t="str">
            <v/>
          </cell>
          <cell r="H64" t="str">
            <v/>
          </cell>
          <cell r="N64" t="str">
            <v/>
          </cell>
          <cell r="O64" t="str">
            <v/>
          </cell>
          <cell r="P64" t="str">
            <v/>
          </cell>
          <cell r="T64" t="str">
            <v/>
          </cell>
          <cell r="V64" t="str">
            <v/>
          </cell>
          <cell r="X64" t="str">
            <v/>
          </cell>
          <cell r="Y64" t="str">
            <v/>
          </cell>
          <cell r="Z64" t="str">
            <v/>
          </cell>
          <cell r="AG64" t="str">
            <v/>
          </cell>
          <cell r="AH64" t="str">
            <v/>
          </cell>
          <cell r="AK64" t="str">
            <v/>
          </cell>
          <cell r="AL64" t="str">
            <v/>
          </cell>
          <cell r="AM64" t="str">
            <v/>
          </cell>
          <cell r="AT64" t="str">
            <v/>
          </cell>
          <cell r="BB64" t="str">
            <v/>
          </cell>
          <cell r="BC64" t="str">
            <v/>
          </cell>
        </row>
        <row r="65">
          <cell r="C65" t="str">
            <v/>
          </cell>
          <cell r="D65" t="str">
            <v/>
          </cell>
          <cell r="E65" t="str">
            <v/>
          </cell>
          <cell r="F65" t="str">
            <v/>
          </cell>
          <cell r="G65" t="str">
            <v/>
          </cell>
          <cell r="H65" t="str">
            <v/>
          </cell>
          <cell r="N65" t="str">
            <v/>
          </cell>
          <cell r="O65" t="str">
            <v/>
          </cell>
          <cell r="P65" t="str">
            <v/>
          </cell>
          <cell r="T65" t="str">
            <v/>
          </cell>
          <cell r="V65" t="str">
            <v/>
          </cell>
          <cell r="X65" t="str">
            <v/>
          </cell>
          <cell r="Y65" t="str">
            <v/>
          </cell>
          <cell r="Z65" t="str">
            <v/>
          </cell>
          <cell r="AG65" t="str">
            <v/>
          </cell>
          <cell r="AH65" t="str">
            <v/>
          </cell>
          <cell r="AK65" t="str">
            <v/>
          </cell>
          <cell r="AL65" t="str">
            <v/>
          </cell>
          <cell r="AM65" t="str">
            <v/>
          </cell>
          <cell r="AT65" t="str">
            <v/>
          </cell>
          <cell r="BB65" t="str">
            <v/>
          </cell>
          <cell r="BC65" t="str">
            <v/>
          </cell>
        </row>
        <row r="66">
          <cell r="C66" t="str">
            <v/>
          </cell>
          <cell r="D66" t="str">
            <v/>
          </cell>
          <cell r="E66" t="str">
            <v/>
          </cell>
          <cell r="F66" t="str">
            <v/>
          </cell>
          <cell r="G66" t="str">
            <v/>
          </cell>
          <cell r="H66" t="str">
            <v/>
          </cell>
          <cell r="N66" t="str">
            <v/>
          </cell>
          <cell r="O66" t="str">
            <v/>
          </cell>
          <cell r="P66" t="str">
            <v/>
          </cell>
          <cell r="T66" t="str">
            <v/>
          </cell>
          <cell r="V66" t="str">
            <v/>
          </cell>
          <cell r="X66" t="str">
            <v/>
          </cell>
          <cell r="Y66" t="str">
            <v/>
          </cell>
          <cell r="Z66" t="str">
            <v/>
          </cell>
          <cell r="AG66" t="str">
            <v/>
          </cell>
          <cell r="AH66" t="str">
            <v/>
          </cell>
          <cell r="AK66" t="str">
            <v/>
          </cell>
          <cell r="AL66" t="str">
            <v/>
          </cell>
          <cell r="AM66" t="str">
            <v/>
          </cell>
          <cell r="AT66" t="str">
            <v/>
          </cell>
          <cell r="BB66" t="str">
            <v/>
          </cell>
          <cell r="BC66" t="str">
            <v/>
          </cell>
        </row>
        <row r="67">
          <cell r="C67" t="str">
            <v/>
          </cell>
          <cell r="D67" t="str">
            <v/>
          </cell>
          <cell r="E67" t="str">
            <v/>
          </cell>
          <cell r="F67" t="str">
            <v/>
          </cell>
          <cell r="G67" t="str">
            <v/>
          </cell>
          <cell r="H67" t="str">
            <v/>
          </cell>
          <cell r="N67" t="str">
            <v/>
          </cell>
          <cell r="O67" t="str">
            <v/>
          </cell>
          <cell r="P67" t="str">
            <v/>
          </cell>
          <cell r="T67" t="str">
            <v/>
          </cell>
          <cell r="V67" t="str">
            <v/>
          </cell>
          <cell r="X67" t="str">
            <v/>
          </cell>
          <cell r="Y67" t="str">
            <v/>
          </cell>
          <cell r="Z67" t="str">
            <v/>
          </cell>
          <cell r="AG67" t="str">
            <v/>
          </cell>
          <cell r="AH67" t="str">
            <v/>
          </cell>
          <cell r="AK67" t="str">
            <v/>
          </cell>
          <cell r="AL67" t="str">
            <v/>
          </cell>
          <cell r="AM67" t="str">
            <v/>
          </cell>
          <cell r="AT67" t="str">
            <v/>
          </cell>
          <cell r="BB67" t="str">
            <v/>
          </cell>
          <cell r="BC67" t="str">
            <v/>
          </cell>
        </row>
        <row r="68">
          <cell r="C68" t="str">
            <v/>
          </cell>
          <cell r="D68" t="str">
            <v/>
          </cell>
          <cell r="E68" t="str">
            <v/>
          </cell>
          <cell r="F68" t="str">
            <v/>
          </cell>
          <cell r="G68" t="str">
            <v/>
          </cell>
          <cell r="H68" t="str">
            <v/>
          </cell>
          <cell r="N68" t="str">
            <v/>
          </cell>
          <cell r="O68" t="str">
            <v/>
          </cell>
          <cell r="P68" t="str">
            <v/>
          </cell>
          <cell r="T68" t="str">
            <v/>
          </cell>
          <cell r="V68" t="str">
            <v/>
          </cell>
          <cell r="X68" t="str">
            <v/>
          </cell>
          <cell r="Y68" t="str">
            <v/>
          </cell>
          <cell r="Z68" t="str">
            <v/>
          </cell>
          <cell r="AG68" t="str">
            <v/>
          </cell>
          <cell r="AH68" t="str">
            <v/>
          </cell>
          <cell r="AK68" t="str">
            <v/>
          </cell>
          <cell r="AL68" t="str">
            <v/>
          </cell>
          <cell r="AM68" t="str">
            <v/>
          </cell>
          <cell r="AT68" t="str">
            <v/>
          </cell>
          <cell r="BB68" t="str">
            <v/>
          </cell>
          <cell r="BC68" t="str">
            <v/>
          </cell>
        </row>
        <row r="69">
          <cell r="C69" t="str">
            <v/>
          </cell>
          <cell r="D69" t="str">
            <v/>
          </cell>
          <cell r="E69" t="str">
            <v/>
          </cell>
          <cell r="F69" t="str">
            <v/>
          </cell>
          <cell r="G69" t="str">
            <v/>
          </cell>
          <cell r="H69" t="str">
            <v/>
          </cell>
          <cell r="N69" t="str">
            <v/>
          </cell>
          <cell r="O69" t="str">
            <v/>
          </cell>
          <cell r="P69" t="str">
            <v/>
          </cell>
          <cell r="T69" t="str">
            <v/>
          </cell>
          <cell r="V69" t="str">
            <v/>
          </cell>
          <cell r="X69" t="str">
            <v/>
          </cell>
          <cell r="Y69" t="str">
            <v/>
          </cell>
          <cell r="Z69" t="str">
            <v/>
          </cell>
          <cell r="AG69" t="str">
            <v/>
          </cell>
          <cell r="AH69" t="str">
            <v/>
          </cell>
          <cell r="AK69" t="str">
            <v/>
          </cell>
          <cell r="AL69" t="str">
            <v/>
          </cell>
          <cell r="AM69" t="str">
            <v/>
          </cell>
          <cell r="AT69" t="str">
            <v/>
          </cell>
          <cell r="BB69" t="str">
            <v/>
          </cell>
          <cell r="BC69" t="str">
            <v/>
          </cell>
        </row>
        <row r="70">
          <cell r="C70" t="str">
            <v/>
          </cell>
          <cell r="D70" t="str">
            <v/>
          </cell>
          <cell r="E70" t="str">
            <v/>
          </cell>
          <cell r="F70" t="str">
            <v/>
          </cell>
          <cell r="G70" t="str">
            <v/>
          </cell>
          <cell r="H70" t="str">
            <v/>
          </cell>
          <cell r="N70" t="str">
            <v/>
          </cell>
          <cell r="O70" t="str">
            <v/>
          </cell>
          <cell r="P70" t="str">
            <v/>
          </cell>
          <cell r="T70" t="str">
            <v/>
          </cell>
          <cell r="V70" t="str">
            <v/>
          </cell>
          <cell r="X70" t="str">
            <v/>
          </cell>
          <cell r="Y70" t="str">
            <v/>
          </cell>
          <cell r="Z70" t="str">
            <v/>
          </cell>
          <cell r="AG70" t="str">
            <v/>
          </cell>
          <cell r="AH70" t="str">
            <v/>
          </cell>
          <cell r="AK70" t="str">
            <v/>
          </cell>
          <cell r="AL70" t="str">
            <v/>
          </cell>
          <cell r="AM70" t="str">
            <v/>
          </cell>
          <cell r="AT70" t="str">
            <v/>
          </cell>
          <cell r="BB70" t="str">
            <v/>
          </cell>
          <cell r="BC70" t="str">
            <v/>
          </cell>
        </row>
        <row r="71">
          <cell r="C71" t="str">
            <v/>
          </cell>
          <cell r="D71" t="str">
            <v/>
          </cell>
          <cell r="E71" t="str">
            <v/>
          </cell>
          <cell r="F71" t="str">
            <v/>
          </cell>
          <cell r="G71" t="str">
            <v/>
          </cell>
          <cell r="H71" t="str">
            <v/>
          </cell>
          <cell r="N71" t="str">
            <v/>
          </cell>
          <cell r="O71" t="str">
            <v/>
          </cell>
          <cell r="P71" t="str">
            <v/>
          </cell>
          <cell r="T71" t="str">
            <v/>
          </cell>
          <cell r="V71" t="str">
            <v/>
          </cell>
          <cell r="X71" t="str">
            <v/>
          </cell>
          <cell r="Y71" t="str">
            <v/>
          </cell>
          <cell r="Z71" t="str">
            <v/>
          </cell>
          <cell r="AG71" t="str">
            <v/>
          </cell>
          <cell r="AH71" t="str">
            <v/>
          </cell>
          <cell r="AK71" t="str">
            <v/>
          </cell>
          <cell r="AL71" t="str">
            <v/>
          </cell>
          <cell r="AM71" t="str">
            <v/>
          </cell>
          <cell r="AT71" t="str">
            <v/>
          </cell>
          <cell r="BB71" t="str">
            <v/>
          </cell>
          <cell r="BC71" t="str">
            <v/>
          </cell>
        </row>
        <row r="72">
          <cell r="C72" t="str">
            <v/>
          </cell>
          <cell r="D72" t="str">
            <v/>
          </cell>
          <cell r="E72" t="str">
            <v/>
          </cell>
          <cell r="F72" t="str">
            <v/>
          </cell>
          <cell r="G72" t="str">
            <v/>
          </cell>
          <cell r="H72" t="str">
            <v/>
          </cell>
          <cell r="N72" t="str">
            <v/>
          </cell>
          <cell r="O72" t="str">
            <v/>
          </cell>
          <cell r="P72" t="str">
            <v/>
          </cell>
          <cell r="T72" t="str">
            <v/>
          </cell>
          <cell r="V72" t="str">
            <v/>
          </cell>
          <cell r="X72" t="str">
            <v/>
          </cell>
          <cell r="Y72" t="str">
            <v/>
          </cell>
          <cell r="Z72" t="str">
            <v/>
          </cell>
          <cell r="AG72" t="str">
            <v/>
          </cell>
          <cell r="AH72" t="str">
            <v/>
          </cell>
          <cell r="AK72" t="str">
            <v/>
          </cell>
          <cell r="AL72" t="str">
            <v/>
          </cell>
          <cell r="AM72" t="str">
            <v/>
          </cell>
          <cell r="AT72" t="str">
            <v/>
          </cell>
          <cell r="BB72" t="str">
            <v/>
          </cell>
          <cell r="BC72" t="str">
            <v/>
          </cell>
        </row>
        <row r="73">
          <cell r="C73" t="str">
            <v/>
          </cell>
          <cell r="D73" t="str">
            <v/>
          </cell>
          <cell r="E73" t="str">
            <v/>
          </cell>
          <cell r="F73" t="str">
            <v/>
          </cell>
          <cell r="G73" t="str">
            <v/>
          </cell>
          <cell r="H73" t="str">
            <v/>
          </cell>
          <cell r="N73" t="str">
            <v/>
          </cell>
          <cell r="O73" t="str">
            <v/>
          </cell>
          <cell r="P73" t="str">
            <v/>
          </cell>
          <cell r="T73" t="str">
            <v/>
          </cell>
          <cell r="V73" t="str">
            <v/>
          </cell>
          <cell r="X73" t="str">
            <v/>
          </cell>
          <cell r="Y73" t="str">
            <v/>
          </cell>
          <cell r="Z73" t="str">
            <v/>
          </cell>
          <cell r="AG73" t="str">
            <v/>
          </cell>
          <cell r="AH73" t="str">
            <v/>
          </cell>
          <cell r="AK73" t="str">
            <v/>
          </cell>
          <cell r="AL73" t="str">
            <v/>
          </cell>
          <cell r="AM73" t="str">
            <v/>
          </cell>
          <cell r="AT73" t="str">
            <v/>
          </cell>
          <cell r="BB73" t="str">
            <v/>
          </cell>
          <cell r="BC73" t="str">
            <v/>
          </cell>
        </row>
        <row r="74">
          <cell r="C74" t="str">
            <v/>
          </cell>
          <cell r="D74" t="str">
            <v/>
          </cell>
          <cell r="E74" t="str">
            <v/>
          </cell>
          <cell r="F74" t="str">
            <v/>
          </cell>
          <cell r="G74" t="str">
            <v/>
          </cell>
          <cell r="H74" t="str">
            <v/>
          </cell>
          <cell r="N74" t="str">
            <v/>
          </cell>
          <cell r="O74" t="str">
            <v/>
          </cell>
          <cell r="P74" t="str">
            <v/>
          </cell>
          <cell r="T74" t="str">
            <v/>
          </cell>
          <cell r="V74" t="str">
            <v/>
          </cell>
          <cell r="X74" t="str">
            <v/>
          </cell>
          <cell r="Y74" t="str">
            <v/>
          </cell>
          <cell r="Z74" t="str">
            <v/>
          </cell>
          <cell r="AG74" t="str">
            <v/>
          </cell>
          <cell r="AH74" t="str">
            <v/>
          </cell>
          <cell r="AK74" t="str">
            <v/>
          </cell>
          <cell r="AL74" t="str">
            <v/>
          </cell>
          <cell r="AM74" t="str">
            <v/>
          </cell>
          <cell r="AT74" t="str">
            <v/>
          </cell>
          <cell r="BB74" t="str">
            <v/>
          </cell>
          <cell r="BC74" t="str">
            <v/>
          </cell>
        </row>
        <row r="75">
          <cell r="C75" t="str">
            <v/>
          </cell>
          <cell r="D75" t="str">
            <v/>
          </cell>
          <cell r="E75" t="str">
            <v/>
          </cell>
          <cell r="F75" t="str">
            <v/>
          </cell>
          <cell r="G75" t="str">
            <v/>
          </cell>
          <cell r="H75" t="str">
            <v/>
          </cell>
          <cell r="N75" t="str">
            <v/>
          </cell>
          <cell r="O75" t="str">
            <v/>
          </cell>
          <cell r="P75" t="str">
            <v/>
          </cell>
          <cell r="T75" t="str">
            <v/>
          </cell>
          <cell r="V75" t="str">
            <v/>
          </cell>
          <cell r="X75" t="str">
            <v/>
          </cell>
          <cell r="Y75" t="str">
            <v/>
          </cell>
          <cell r="Z75" t="str">
            <v/>
          </cell>
          <cell r="AG75" t="str">
            <v/>
          </cell>
          <cell r="AH75" t="str">
            <v/>
          </cell>
          <cell r="AK75" t="str">
            <v/>
          </cell>
          <cell r="AL75" t="str">
            <v/>
          </cell>
          <cell r="AM75" t="str">
            <v/>
          </cell>
          <cell r="AT75" t="str">
            <v/>
          </cell>
          <cell r="BB75" t="str">
            <v/>
          </cell>
          <cell r="BC75" t="str">
            <v/>
          </cell>
        </row>
        <row r="76">
          <cell r="C76" t="str">
            <v/>
          </cell>
          <cell r="D76" t="str">
            <v/>
          </cell>
          <cell r="E76" t="str">
            <v/>
          </cell>
          <cell r="F76" t="str">
            <v/>
          </cell>
          <cell r="G76" t="str">
            <v/>
          </cell>
          <cell r="H76" t="str">
            <v/>
          </cell>
          <cell r="N76" t="str">
            <v/>
          </cell>
          <cell r="O76" t="str">
            <v/>
          </cell>
          <cell r="P76" t="str">
            <v/>
          </cell>
          <cell r="T76" t="str">
            <v/>
          </cell>
          <cell r="V76" t="str">
            <v/>
          </cell>
          <cell r="X76" t="str">
            <v/>
          </cell>
          <cell r="Y76" t="str">
            <v/>
          </cell>
          <cell r="Z76" t="str">
            <v/>
          </cell>
          <cell r="AG76" t="str">
            <v/>
          </cell>
          <cell r="AH76" t="str">
            <v/>
          </cell>
          <cell r="AK76" t="str">
            <v/>
          </cell>
          <cell r="AL76" t="str">
            <v/>
          </cell>
          <cell r="AM76" t="str">
            <v/>
          </cell>
          <cell r="AT76" t="str">
            <v/>
          </cell>
          <cell r="BB76" t="str">
            <v/>
          </cell>
          <cell r="BC76" t="str">
            <v/>
          </cell>
        </row>
        <row r="77">
          <cell r="C77" t="str">
            <v/>
          </cell>
          <cell r="D77" t="str">
            <v/>
          </cell>
          <cell r="E77" t="str">
            <v/>
          </cell>
          <cell r="F77" t="str">
            <v/>
          </cell>
          <cell r="G77" t="str">
            <v/>
          </cell>
          <cell r="H77" t="str">
            <v/>
          </cell>
          <cell r="N77" t="str">
            <v/>
          </cell>
          <cell r="O77" t="str">
            <v/>
          </cell>
          <cell r="P77" t="str">
            <v/>
          </cell>
          <cell r="T77" t="str">
            <v/>
          </cell>
          <cell r="V77" t="str">
            <v/>
          </cell>
          <cell r="X77" t="str">
            <v/>
          </cell>
          <cell r="Y77" t="str">
            <v/>
          </cell>
          <cell r="Z77" t="str">
            <v/>
          </cell>
          <cell r="AG77" t="str">
            <v/>
          </cell>
          <cell r="AH77" t="str">
            <v/>
          </cell>
          <cell r="AK77" t="str">
            <v/>
          </cell>
          <cell r="AL77" t="str">
            <v/>
          </cell>
          <cell r="AM77" t="str">
            <v/>
          </cell>
          <cell r="AT77" t="str">
            <v/>
          </cell>
          <cell r="BB77" t="str">
            <v/>
          </cell>
          <cell r="BC77" t="str">
            <v/>
          </cell>
        </row>
        <row r="78">
          <cell r="C78" t="str">
            <v/>
          </cell>
          <cell r="D78" t="str">
            <v/>
          </cell>
          <cell r="E78" t="str">
            <v/>
          </cell>
          <cell r="F78" t="str">
            <v/>
          </cell>
          <cell r="G78" t="str">
            <v/>
          </cell>
          <cell r="H78" t="str">
            <v/>
          </cell>
          <cell r="N78" t="str">
            <v/>
          </cell>
          <cell r="O78" t="str">
            <v/>
          </cell>
          <cell r="P78" t="str">
            <v/>
          </cell>
          <cell r="T78" t="str">
            <v/>
          </cell>
          <cell r="V78" t="str">
            <v/>
          </cell>
          <cell r="X78" t="str">
            <v/>
          </cell>
          <cell r="Y78" t="str">
            <v/>
          </cell>
          <cell r="Z78" t="str">
            <v/>
          </cell>
          <cell r="AG78" t="str">
            <v/>
          </cell>
          <cell r="AH78" t="str">
            <v/>
          </cell>
          <cell r="AK78" t="str">
            <v/>
          </cell>
          <cell r="AL78" t="str">
            <v/>
          </cell>
          <cell r="AM78" t="str">
            <v/>
          </cell>
          <cell r="AT78" t="str">
            <v/>
          </cell>
          <cell r="BB78" t="str">
            <v/>
          </cell>
          <cell r="BC78" t="str">
            <v/>
          </cell>
        </row>
        <row r="79">
          <cell r="C79" t="str">
            <v/>
          </cell>
          <cell r="D79" t="str">
            <v/>
          </cell>
          <cell r="E79" t="str">
            <v/>
          </cell>
          <cell r="F79" t="str">
            <v/>
          </cell>
          <cell r="G79" t="str">
            <v/>
          </cell>
          <cell r="H79" t="str">
            <v/>
          </cell>
          <cell r="N79" t="str">
            <v/>
          </cell>
          <cell r="O79" t="str">
            <v/>
          </cell>
          <cell r="P79" t="str">
            <v/>
          </cell>
          <cell r="T79" t="str">
            <v/>
          </cell>
          <cell r="V79" t="str">
            <v/>
          </cell>
          <cell r="X79" t="str">
            <v/>
          </cell>
          <cell r="Y79" t="str">
            <v/>
          </cell>
          <cell r="Z79" t="str">
            <v/>
          </cell>
          <cell r="AG79" t="str">
            <v/>
          </cell>
          <cell r="AH79" t="str">
            <v/>
          </cell>
          <cell r="AK79" t="str">
            <v/>
          </cell>
          <cell r="AL79" t="str">
            <v/>
          </cell>
          <cell r="AM79" t="str">
            <v/>
          </cell>
          <cell r="AT79" t="str">
            <v/>
          </cell>
          <cell r="BB79" t="str">
            <v/>
          </cell>
          <cell r="BC79" t="str">
            <v/>
          </cell>
        </row>
        <row r="80">
          <cell r="C80" t="str">
            <v/>
          </cell>
          <cell r="D80" t="str">
            <v/>
          </cell>
          <cell r="E80" t="str">
            <v/>
          </cell>
          <cell r="F80" t="str">
            <v/>
          </cell>
          <cell r="G80" t="str">
            <v/>
          </cell>
          <cell r="H80" t="str">
            <v/>
          </cell>
          <cell r="N80" t="str">
            <v/>
          </cell>
          <cell r="O80" t="str">
            <v/>
          </cell>
          <cell r="P80" t="str">
            <v/>
          </cell>
          <cell r="T80" t="str">
            <v/>
          </cell>
          <cell r="V80" t="str">
            <v/>
          </cell>
          <cell r="X80" t="str">
            <v/>
          </cell>
          <cell r="Y80" t="str">
            <v/>
          </cell>
          <cell r="Z80" t="str">
            <v/>
          </cell>
          <cell r="AG80" t="str">
            <v/>
          </cell>
          <cell r="AH80" t="str">
            <v/>
          </cell>
          <cell r="AK80" t="str">
            <v/>
          </cell>
          <cell r="AL80" t="str">
            <v/>
          </cell>
          <cell r="AM80" t="str">
            <v/>
          </cell>
          <cell r="AT80" t="str">
            <v/>
          </cell>
          <cell r="BB80" t="str">
            <v/>
          </cell>
          <cell r="BC80" t="str">
            <v/>
          </cell>
        </row>
        <row r="81">
          <cell r="C81" t="str">
            <v/>
          </cell>
          <cell r="D81" t="str">
            <v/>
          </cell>
          <cell r="E81" t="str">
            <v/>
          </cell>
          <cell r="F81" t="str">
            <v/>
          </cell>
          <cell r="G81" t="str">
            <v/>
          </cell>
          <cell r="H81" t="str">
            <v/>
          </cell>
          <cell r="N81" t="str">
            <v/>
          </cell>
          <cell r="O81" t="str">
            <v/>
          </cell>
          <cell r="P81" t="str">
            <v/>
          </cell>
          <cell r="T81" t="str">
            <v/>
          </cell>
          <cell r="V81" t="str">
            <v/>
          </cell>
          <cell r="X81" t="str">
            <v/>
          </cell>
          <cell r="Y81" t="str">
            <v/>
          </cell>
          <cell r="Z81" t="str">
            <v/>
          </cell>
          <cell r="AG81" t="str">
            <v/>
          </cell>
          <cell r="AH81" t="str">
            <v/>
          </cell>
          <cell r="AK81" t="str">
            <v/>
          </cell>
          <cell r="AL81" t="str">
            <v/>
          </cell>
          <cell r="AM81" t="str">
            <v/>
          </cell>
          <cell r="AT81" t="str">
            <v/>
          </cell>
          <cell r="BB81" t="str">
            <v/>
          </cell>
          <cell r="BC81" t="str">
            <v/>
          </cell>
        </row>
        <row r="82">
          <cell r="C82" t="str">
            <v/>
          </cell>
          <cell r="D82" t="str">
            <v/>
          </cell>
          <cell r="E82" t="str">
            <v/>
          </cell>
          <cell r="F82" t="str">
            <v/>
          </cell>
          <cell r="G82" t="str">
            <v/>
          </cell>
          <cell r="H82" t="str">
            <v/>
          </cell>
          <cell r="N82" t="str">
            <v/>
          </cell>
          <cell r="O82" t="str">
            <v/>
          </cell>
          <cell r="P82" t="str">
            <v/>
          </cell>
          <cell r="T82" t="str">
            <v/>
          </cell>
          <cell r="V82" t="str">
            <v/>
          </cell>
          <cell r="X82" t="str">
            <v/>
          </cell>
          <cell r="Y82" t="str">
            <v/>
          </cell>
          <cell r="Z82" t="str">
            <v/>
          </cell>
          <cell r="AG82" t="str">
            <v/>
          </cell>
          <cell r="AH82" t="str">
            <v/>
          </cell>
          <cell r="AK82" t="str">
            <v/>
          </cell>
          <cell r="AL82" t="str">
            <v/>
          </cell>
          <cell r="AM82" t="str">
            <v/>
          </cell>
          <cell r="AT82" t="str">
            <v/>
          </cell>
          <cell r="BB82" t="str">
            <v/>
          </cell>
          <cell r="BC82" t="str">
            <v/>
          </cell>
        </row>
        <row r="83">
          <cell r="C83" t="str">
            <v/>
          </cell>
          <cell r="D83" t="str">
            <v/>
          </cell>
          <cell r="E83" t="str">
            <v/>
          </cell>
          <cell r="F83" t="str">
            <v/>
          </cell>
          <cell r="G83" t="str">
            <v/>
          </cell>
          <cell r="H83" t="str">
            <v/>
          </cell>
          <cell r="N83" t="str">
            <v/>
          </cell>
          <cell r="O83" t="str">
            <v/>
          </cell>
          <cell r="P83" t="str">
            <v/>
          </cell>
          <cell r="T83" t="str">
            <v/>
          </cell>
          <cell r="V83" t="str">
            <v/>
          </cell>
          <cell r="X83" t="str">
            <v/>
          </cell>
          <cell r="Y83" t="str">
            <v/>
          </cell>
          <cell r="Z83" t="str">
            <v/>
          </cell>
          <cell r="AG83" t="str">
            <v/>
          </cell>
          <cell r="AH83" t="str">
            <v/>
          </cell>
          <cell r="AK83" t="str">
            <v/>
          </cell>
          <cell r="AL83" t="str">
            <v/>
          </cell>
          <cell r="AM83" t="str">
            <v/>
          </cell>
          <cell r="AT83" t="str">
            <v/>
          </cell>
          <cell r="BB83" t="str">
            <v/>
          </cell>
          <cell r="BC83" t="str">
            <v/>
          </cell>
        </row>
        <row r="84">
          <cell r="C84" t="str">
            <v/>
          </cell>
          <cell r="D84" t="str">
            <v/>
          </cell>
          <cell r="E84" t="str">
            <v/>
          </cell>
          <cell r="F84" t="str">
            <v/>
          </cell>
          <cell r="G84" t="str">
            <v/>
          </cell>
          <cell r="H84" t="str">
            <v/>
          </cell>
          <cell r="N84" t="str">
            <v/>
          </cell>
          <cell r="O84" t="str">
            <v/>
          </cell>
          <cell r="P84" t="str">
            <v/>
          </cell>
          <cell r="T84" t="str">
            <v/>
          </cell>
          <cell r="V84" t="str">
            <v/>
          </cell>
          <cell r="X84" t="str">
            <v/>
          </cell>
          <cell r="Y84" t="str">
            <v/>
          </cell>
          <cell r="Z84" t="str">
            <v/>
          </cell>
          <cell r="AG84" t="str">
            <v/>
          </cell>
          <cell r="AH84" t="str">
            <v/>
          </cell>
          <cell r="AK84" t="str">
            <v/>
          </cell>
          <cell r="AL84" t="str">
            <v/>
          </cell>
          <cell r="AM84" t="str">
            <v/>
          </cell>
          <cell r="AT84" t="str">
            <v/>
          </cell>
          <cell r="BB84" t="str">
            <v/>
          </cell>
          <cell r="BC84" t="str">
            <v/>
          </cell>
        </row>
        <row r="85">
          <cell r="C85" t="str">
            <v/>
          </cell>
          <cell r="D85" t="str">
            <v/>
          </cell>
          <cell r="E85" t="str">
            <v/>
          </cell>
          <cell r="F85" t="str">
            <v/>
          </cell>
          <cell r="G85" t="str">
            <v/>
          </cell>
          <cell r="H85" t="str">
            <v/>
          </cell>
          <cell r="N85" t="str">
            <v/>
          </cell>
          <cell r="O85" t="str">
            <v/>
          </cell>
          <cell r="P85" t="str">
            <v/>
          </cell>
          <cell r="T85" t="str">
            <v/>
          </cell>
          <cell r="V85" t="str">
            <v/>
          </cell>
          <cell r="X85" t="str">
            <v/>
          </cell>
          <cell r="Y85" t="str">
            <v/>
          </cell>
          <cell r="Z85" t="str">
            <v/>
          </cell>
          <cell r="AG85" t="str">
            <v/>
          </cell>
          <cell r="AH85" t="str">
            <v/>
          </cell>
          <cell r="AK85" t="str">
            <v/>
          </cell>
          <cell r="AL85" t="str">
            <v/>
          </cell>
          <cell r="AM85" t="str">
            <v/>
          </cell>
          <cell r="AT85" t="str">
            <v/>
          </cell>
          <cell r="BB85" t="str">
            <v/>
          </cell>
          <cell r="BC85" t="str">
            <v/>
          </cell>
        </row>
        <row r="86">
          <cell r="C86" t="str">
            <v/>
          </cell>
          <cell r="D86" t="str">
            <v/>
          </cell>
          <cell r="E86" t="str">
            <v/>
          </cell>
          <cell r="F86" t="str">
            <v/>
          </cell>
          <cell r="G86" t="str">
            <v/>
          </cell>
          <cell r="H86" t="str">
            <v/>
          </cell>
          <cell r="N86" t="str">
            <v/>
          </cell>
          <cell r="O86" t="str">
            <v/>
          </cell>
          <cell r="P86" t="str">
            <v/>
          </cell>
          <cell r="T86" t="str">
            <v/>
          </cell>
          <cell r="V86" t="str">
            <v/>
          </cell>
          <cell r="X86" t="str">
            <v/>
          </cell>
          <cell r="Y86" t="str">
            <v/>
          </cell>
          <cell r="Z86" t="str">
            <v/>
          </cell>
          <cell r="AG86" t="str">
            <v/>
          </cell>
          <cell r="AH86" t="str">
            <v/>
          </cell>
          <cell r="AK86" t="str">
            <v/>
          </cell>
          <cell r="AL86" t="str">
            <v/>
          </cell>
          <cell r="AM86" t="str">
            <v/>
          </cell>
          <cell r="AT86" t="str">
            <v/>
          </cell>
          <cell r="BB86" t="str">
            <v/>
          </cell>
          <cell r="BC86" t="str">
            <v/>
          </cell>
        </row>
        <row r="87">
          <cell r="C87" t="str">
            <v/>
          </cell>
          <cell r="D87" t="str">
            <v/>
          </cell>
          <cell r="E87" t="str">
            <v/>
          </cell>
          <cell r="F87" t="str">
            <v/>
          </cell>
          <cell r="G87" t="str">
            <v/>
          </cell>
          <cell r="H87" t="str">
            <v/>
          </cell>
          <cell r="N87" t="str">
            <v/>
          </cell>
          <cell r="O87" t="str">
            <v/>
          </cell>
          <cell r="P87" t="str">
            <v/>
          </cell>
          <cell r="T87" t="str">
            <v/>
          </cell>
          <cell r="V87" t="str">
            <v/>
          </cell>
          <cell r="X87" t="str">
            <v/>
          </cell>
          <cell r="Y87" t="str">
            <v/>
          </cell>
          <cell r="Z87" t="str">
            <v/>
          </cell>
          <cell r="AG87" t="str">
            <v/>
          </cell>
          <cell r="AH87" t="str">
            <v/>
          </cell>
          <cell r="AK87" t="str">
            <v/>
          </cell>
          <cell r="AL87" t="str">
            <v/>
          </cell>
          <cell r="AM87" t="str">
            <v/>
          </cell>
          <cell r="AT87" t="str">
            <v/>
          </cell>
          <cell r="BB87" t="str">
            <v/>
          </cell>
          <cell r="BC87" t="str">
            <v/>
          </cell>
        </row>
        <row r="88">
          <cell r="C88" t="str">
            <v/>
          </cell>
          <cell r="D88" t="str">
            <v/>
          </cell>
          <cell r="E88" t="str">
            <v/>
          </cell>
          <cell r="F88" t="str">
            <v/>
          </cell>
          <cell r="G88" t="str">
            <v/>
          </cell>
          <cell r="H88" t="str">
            <v/>
          </cell>
          <cell r="N88" t="str">
            <v/>
          </cell>
          <cell r="O88" t="str">
            <v/>
          </cell>
          <cell r="P88" t="str">
            <v/>
          </cell>
          <cell r="T88" t="str">
            <v/>
          </cell>
          <cell r="V88" t="str">
            <v/>
          </cell>
          <cell r="X88" t="str">
            <v/>
          </cell>
          <cell r="Y88" t="str">
            <v/>
          </cell>
          <cell r="Z88" t="str">
            <v/>
          </cell>
          <cell r="AG88" t="str">
            <v/>
          </cell>
          <cell r="AH88" t="str">
            <v/>
          </cell>
          <cell r="AK88" t="str">
            <v/>
          </cell>
          <cell r="AL88" t="str">
            <v/>
          </cell>
          <cell r="AM88" t="str">
            <v/>
          </cell>
          <cell r="AT88" t="str">
            <v/>
          </cell>
          <cell r="BB88" t="str">
            <v/>
          </cell>
          <cell r="BC88" t="str">
            <v/>
          </cell>
        </row>
        <row r="89">
          <cell r="C89" t="str">
            <v/>
          </cell>
          <cell r="D89" t="str">
            <v/>
          </cell>
          <cell r="E89" t="str">
            <v/>
          </cell>
          <cell r="F89" t="str">
            <v/>
          </cell>
          <cell r="G89" t="str">
            <v/>
          </cell>
          <cell r="H89" t="str">
            <v/>
          </cell>
          <cell r="N89" t="str">
            <v/>
          </cell>
          <cell r="O89" t="str">
            <v/>
          </cell>
          <cell r="P89" t="str">
            <v/>
          </cell>
          <cell r="T89" t="str">
            <v/>
          </cell>
          <cell r="V89" t="str">
            <v/>
          </cell>
          <cell r="X89" t="str">
            <v/>
          </cell>
          <cell r="Y89" t="str">
            <v/>
          </cell>
          <cell r="Z89" t="str">
            <v/>
          </cell>
          <cell r="AG89" t="str">
            <v/>
          </cell>
          <cell r="AH89" t="str">
            <v/>
          </cell>
          <cell r="AK89" t="str">
            <v/>
          </cell>
          <cell r="AL89" t="str">
            <v/>
          </cell>
          <cell r="AM89" t="str">
            <v/>
          </cell>
          <cell r="AT89" t="str">
            <v/>
          </cell>
          <cell r="BB89" t="str">
            <v/>
          </cell>
          <cell r="BC89" t="str">
            <v/>
          </cell>
        </row>
        <row r="90">
          <cell r="C90" t="str">
            <v/>
          </cell>
          <cell r="D90" t="str">
            <v/>
          </cell>
          <cell r="E90" t="str">
            <v/>
          </cell>
          <cell r="F90" t="str">
            <v/>
          </cell>
          <cell r="G90" t="str">
            <v/>
          </cell>
          <cell r="H90" t="str">
            <v/>
          </cell>
          <cell r="N90" t="str">
            <v/>
          </cell>
          <cell r="O90" t="str">
            <v/>
          </cell>
          <cell r="P90" t="str">
            <v/>
          </cell>
          <cell r="T90" t="str">
            <v/>
          </cell>
          <cell r="V90" t="str">
            <v/>
          </cell>
          <cell r="X90" t="str">
            <v/>
          </cell>
          <cell r="Y90" t="str">
            <v/>
          </cell>
          <cell r="Z90" t="str">
            <v/>
          </cell>
          <cell r="AG90" t="str">
            <v/>
          </cell>
          <cell r="AH90" t="str">
            <v/>
          </cell>
          <cell r="AK90" t="str">
            <v/>
          </cell>
          <cell r="AL90" t="str">
            <v/>
          </cell>
          <cell r="AM90" t="str">
            <v/>
          </cell>
          <cell r="AT90" t="str">
            <v/>
          </cell>
          <cell r="BB90" t="str">
            <v/>
          </cell>
          <cell r="BC90" t="str">
            <v/>
          </cell>
        </row>
        <row r="91">
          <cell r="C91" t="str">
            <v/>
          </cell>
          <cell r="D91" t="str">
            <v/>
          </cell>
          <cell r="E91" t="str">
            <v/>
          </cell>
          <cell r="F91" t="str">
            <v/>
          </cell>
          <cell r="G91" t="str">
            <v/>
          </cell>
          <cell r="H91" t="str">
            <v/>
          </cell>
          <cell r="N91" t="str">
            <v/>
          </cell>
          <cell r="O91" t="str">
            <v/>
          </cell>
          <cell r="P91" t="str">
            <v/>
          </cell>
          <cell r="T91" t="str">
            <v/>
          </cell>
          <cell r="V91" t="str">
            <v/>
          </cell>
          <cell r="X91" t="str">
            <v/>
          </cell>
          <cell r="Y91" t="str">
            <v/>
          </cell>
          <cell r="Z91" t="str">
            <v/>
          </cell>
          <cell r="AG91" t="str">
            <v/>
          </cell>
          <cell r="AH91" t="str">
            <v/>
          </cell>
          <cell r="AK91" t="str">
            <v/>
          </cell>
          <cell r="AL91" t="str">
            <v/>
          </cell>
          <cell r="AM91" t="str">
            <v/>
          </cell>
          <cell r="AT91" t="str">
            <v/>
          </cell>
          <cell r="BB91" t="str">
            <v/>
          </cell>
          <cell r="BC91" t="str">
            <v/>
          </cell>
        </row>
        <row r="92">
          <cell r="C92" t="str">
            <v/>
          </cell>
          <cell r="D92" t="str">
            <v/>
          </cell>
          <cell r="E92" t="str">
            <v/>
          </cell>
          <cell r="F92" t="str">
            <v/>
          </cell>
          <cell r="G92" t="str">
            <v/>
          </cell>
          <cell r="H92" t="str">
            <v/>
          </cell>
          <cell r="N92" t="str">
            <v/>
          </cell>
          <cell r="O92" t="str">
            <v/>
          </cell>
          <cell r="P92" t="str">
            <v/>
          </cell>
          <cell r="T92" t="str">
            <v/>
          </cell>
          <cell r="V92" t="str">
            <v/>
          </cell>
          <cell r="X92" t="str">
            <v/>
          </cell>
          <cell r="Y92" t="str">
            <v/>
          </cell>
          <cell r="Z92" t="str">
            <v/>
          </cell>
          <cell r="AG92" t="str">
            <v/>
          </cell>
          <cell r="AH92" t="str">
            <v/>
          </cell>
          <cell r="AK92" t="str">
            <v/>
          </cell>
          <cell r="AL92" t="str">
            <v/>
          </cell>
          <cell r="AM92" t="str">
            <v/>
          </cell>
          <cell r="AT92" t="str">
            <v/>
          </cell>
          <cell r="BB92" t="str">
            <v/>
          </cell>
          <cell r="BC92" t="str">
            <v/>
          </cell>
        </row>
        <row r="93">
          <cell r="C93" t="str">
            <v/>
          </cell>
          <cell r="D93" t="str">
            <v/>
          </cell>
          <cell r="E93" t="str">
            <v/>
          </cell>
          <cell r="F93" t="str">
            <v/>
          </cell>
          <cell r="G93" t="str">
            <v/>
          </cell>
          <cell r="H93" t="str">
            <v/>
          </cell>
          <cell r="N93" t="str">
            <v/>
          </cell>
          <cell r="O93" t="str">
            <v/>
          </cell>
          <cell r="P93" t="str">
            <v/>
          </cell>
          <cell r="T93" t="str">
            <v/>
          </cell>
          <cell r="V93" t="str">
            <v/>
          </cell>
          <cell r="X93" t="str">
            <v/>
          </cell>
          <cell r="Y93" t="str">
            <v/>
          </cell>
          <cell r="Z93" t="str">
            <v/>
          </cell>
          <cell r="AG93" t="str">
            <v/>
          </cell>
          <cell r="AH93" t="str">
            <v/>
          </cell>
          <cell r="AK93" t="str">
            <v/>
          </cell>
          <cell r="AL93" t="str">
            <v/>
          </cell>
          <cell r="AM93" t="str">
            <v/>
          </cell>
          <cell r="AT93" t="str">
            <v/>
          </cell>
          <cell r="BB93" t="str">
            <v/>
          </cell>
          <cell r="BC93" t="str">
            <v/>
          </cell>
        </row>
        <row r="94">
          <cell r="C94" t="str">
            <v/>
          </cell>
          <cell r="D94" t="str">
            <v/>
          </cell>
          <cell r="E94" t="str">
            <v/>
          </cell>
          <cell r="F94" t="str">
            <v/>
          </cell>
          <cell r="G94" t="str">
            <v/>
          </cell>
          <cell r="H94" t="str">
            <v/>
          </cell>
          <cell r="N94" t="str">
            <v/>
          </cell>
          <cell r="O94" t="str">
            <v/>
          </cell>
          <cell r="P94" t="str">
            <v/>
          </cell>
          <cell r="T94" t="str">
            <v/>
          </cell>
          <cell r="V94" t="str">
            <v/>
          </cell>
          <cell r="X94" t="str">
            <v/>
          </cell>
          <cell r="Y94" t="str">
            <v/>
          </cell>
          <cell r="Z94" t="str">
            <v/>
          </cell>
          <cell r="AG94" t="str">
            <v/>
          </cell>
          <cell r="AH94" t="str">
            <v/>
          </cell>
          <cell r="AK94" t="str">
            <v/>
          </cell>
          <cell r="AL94" t="str">
            <v/>
          </cell>
          <cell r="AM94" t="str">
            <v/>
          </cell>
          <cell r="AT94" t="str">
            <v/>
          </cell>
          <cell r="BB94" t="str">
            <v/>
          </cell>
          <cell r="BC94" t="str">
            <v/>
          </cell>
        </row>
        <row r="95">
          <cell r="C95" t="str">
            <v/>
          </cell>
          <cell r="D95" t="str">
            <v/>
          </cell>
          <cell r="E95" t="str">
            <v/>
          </cell>
          <cell r="F95" t="str">
            <v/>
          </cell>
          <cell r="G95" t="str">
            <v/>
          </cell>
          <cell r="H95" t="str">
            <v/>
          </cell>
          <cell r="N95" t="str">
            <v/>
          </cell>
          <cell r="O95" t="str">
            <v/>
          </cell>
          <cell r="P95" t="str">
            <v/>
          </cell>
          <cell r="T95" t="str">
            <v/>
          </cell>
          <cell r="V95" t="str">
            <v/>
          </cell>
          <cell r="X95" t="str">
            <v/>
          </cell>
          <cell r="Y95" t="str">
            <v/>
          </cell>
          <cell r="Z95" t="str">
            <v/>
          </cell>
          <cell r="AG95" t="str">
            <v/>
          </cell>
          <cell r="AH95" t="str">
            <v/>
          </cell>
          <cell r="AK95" t="str">
            <v/>
          </cell>
          <cell r="AL95" t="str">
            <v/>
          </cell>
          <cell r="AM95" t="str">
            <v/>
          </cell>
          <cell r="AT95" t="str">
            <v/>
          </cell>
          <cell r="BB95" t="str">
            <v/>
          </cell>
          <cell r="BC95" t="str">
            <v/>
          </cell>
        </row>
        <row r="96">
          <cell r="C96" t="str">
            <v/>
          </cell>
          <cell r="D96" t="str">
            <v/>
          </cell>
          <cell r="E96" t="str">
            <v/>
          </cell>
          <cell r="F96" t="str">
            <v/>
          </cell>
          <cell r="G96" t="str">
            <v/>
          </cell>
          <cell r="H96" t="str">
            <v/>
          </cell>
          <cell r="N96" t="str">
            <v/>
          </cell>
          <cell r="O96" t="str">
            <v/>
          </cell>
          <cell r="P96" t="str">
            <v/>
          </cell>
          <cell r="T96" t="str">
            <v/>
          </cell>
          <cell r="V96" t="str">
            <v/>
          </cell>
          <cell r="X96" t="str">
            <v/>
          </cell>
          <cell r="Y96" t="str">
            <v/>
          </cell>
          <cell r="Z96" t="str">
            <v/>
          </cell>
          <cell r="AG96" t="str">
            <v/>
          </cell>
          <cell r="AH96" t="str">
            <v/>
          </cell>
          <cell r="AK96" t="str">
            <v/>
          </cell>
          <cell r="AL96" t="str">
            <v/>
          </cell>
          <cell r="AM96" t="str">
            <v/>
          </cell>
          <cell r="AT96" t="str">
            <v/>
          </cell>
          <cell r="BB96" t="str">
            <v/>
          </cell>
          <cell r="BC96" t="str">
            <v/>
          </cell>
        </row>
        <row r="97">
          <cell r="C97" t="str">
            <v/>
          </cell>
          <cell r="D97" t="str">
            <v/>
          </cell>
          <cell r="E97" t="str">
            <v/>
          </cell>
          <cell r="F97" t="str">
            <v/>
          </cell>
          <cell r="G97" t="str">
            <v/>
          </cell>
          <cell r="H97" t="str">
            <v/>
          </cell>
          <cell r="N97" t="str">
            <v/>
          </cell>
          <cell r="O97" t="str">
            <v/>
          </cell>
          <cell r="P97" t="str">
            <v/>
          </cell>
          <cell r="T97" t="str">
            <v/>
          </cell>
          <cell r="V97" t="str">
            <v/>
          </cell>
          <cell r="X97" t="str">
            <v/>
          </cell>
          <cell r="Y97" t="str">
            <v/>
          </cell>
          <cell r="Z97" t="str">
            <v/>
          </cell>
          <cell r="AG97" t="str">
            <v/>
          </cell>
          <cell r="AH97" t="str">
            <v/>
          </cell>
          <cell r="AK97" t="str">
            <v/>
          </cell>
          <cell r="AL97" t="str">
            <v/>
          </cell>
          <cell r="AM97" t="str">
            <v/>
          </cell>
          <cell r="AT97" t="str">
            <v/>
          </cell>
          <cell r="BB97" t="str">
            <v/>
          </cell>
          <cell r="BC97" t="str">
            <v/>
          </cell>
        </row>
        <row r="98">
          <cell r="C98" t="str">
            <v/>
          </cell>
          <cell r="D98" t="str">
            <v/>
          </cell>
          <cell r="E98" t="str">
            <v/>
          </cell>
          <cell r="F98" t="str">
            <v/>
          </cell>
          <cell r="G98" t="str">
            <v/>
          </cell>
          <cell r="H98" t="str">
            <v/>
          </cell>
          <cell r="N98" t="str">
            <v/>
          </cell>
          <cell r="O98" t="str">
            <v/>
          </cell>
          <cell r="P98" t="str">
            <v/>
          </cell>
          <cell r="T98" t="str">
            <v/>
          </cell>
          <cell r="V98" t="str">
            <v/>
          </cell>
          <cell r="X98" t="str">
            <v/>
          </cell>
          <cell r="Y98" t="str">
            <v/>
          </cell>
          <cell r="Z98" t="str">
            <v/>
          </cell>
          <cell r="AG98" t="str">
            <v/>
          </cell>
          <cell r="AH98" t="str">
            <v/>
          </cell>
          <cell r="AK98" t="str">
            <v/>
          </cell>
          <cell r="AL98" t="str">
            <v/>
          </cell>
          <cell r="AM98" t="str">
            <v/>
          </cell>
          <cell r="AT98" t="str">
            <v/>
          </cell>
          <cell r="BB98" t="str">
            <v/>
          </cell>
          <cell r="BC98" t="str">
            <v/>
          </cell>
        </row>
        <row r="99">
          <cell r="C99" t="str">
            <v/>
          </cell>
          <cell r="D99" t="str">
            <v/>
          </cell>
          <cell r="E99" t="str">
            <v/>
          </cell>
          <cell r="F99" t="str">
            <v/>
          </cell>
          <cell r="G99" t="str">
            <v/>
          </cell>
          <cell r="H99" t="str">
            <v/>
          </cell>
          <cell r="N99" t="str">
            <v/>
          </cell>
          <cell r="O99" t="str">
            <v/>
          </cell>
          <cell r="P99" t="str">
            <v/>
          </cell>
          <cell r="T99" t="str">
            <v/>
          </cell>
          <cell r="V99" t="str">
            <v/>
          </cell>
          <cell r="X99" t="str">
            <v/>
          </cell>
          <cell r="Y99" t="str">
            <v/>
          </cell>
          <cell r="Z99" t="str">
            <v/>
          </cell>
          <cell r="AG99" t="str">
            <v/>
          </cell>
          <cell r="AH99" t="str">
            <v/>
          </cell>
          <cell r="AK99" t="str">
            <v/>
          </cell>
          <cell r="AL99" t="str">
            <v/>
          </cell>
          <cell r="AM99" t="str">
            <v/>
          </cell>
          <cell r="AT99" t="str">
            <v/>
          </cell>
          <cell r="BB99" t="str">
            <v/>
          </cell>
          <cell r="BC99" t="str">
            <v/>
          </cell>
        </row>
        <row r="100">
          <cell r="C100" t="str">
            <v/>
          </cell>
          <cell r="D100" t="str">
            <v/>
          </cell>
          <cell r="E100" t="str">
            <v/>
          </cell>
          <cell r="F100" t="str">
            <v/>
          </cell>
          <cell r="G100" t="str">
            <v/>
          </cell>
          <cell r="H100" t="str">
            <v/>
          </cell>
          <cell r="N100" t="str">
            <v/>
          </cell>
          <cell r="O100" t="str">
            <v/>
          </cell>
          <cell r="P100" t="str">
            <v/>
          </cell>
          <cell r="T100" t="str">
            <v/>
          </cell>
          <cell r="V100" t="str">
            <v/>
          </cell>
          <cell r="X100" t="str">
            <v/>
          </cell>
          <cell r="Y100" t="str">
            <v/>
          </cell>
          <cell r="Z100" t="str">
            <v/>
          </cell>
          <cell r="AG100" t="str">
            <v/>
          </cell>
          <cell r="AH100" t="str">
            <v/>
          </cell>
          <cell r="AK100" t="str">
            <v/>
          </cell>
          <cell r="AL100" t="str">
            <v/>
          </cell>
          <cell r="AM100" t="str">
            <v/>
          </cell>
          <cell r="AT100" t="str">
            <v/>
          </cell>
          <cell r="BB100" t="str">
            <v/>
          </cell>
          <cell r="BC100" t="str">
            <v/>
          </cell>
        </row>
        <row r="101">
          <cell r="C101" t="str">
            <v/>
          </cell>
          <cell r="D101" t="str">
            <v/>
          </cell>
          <cell r="E101" t="str">
            <v/>
          </cell>
          <cell r="F101" t="str">
            <v/>
          </cell>
          <cell r="G101" t="str">
            <v/>
          </cell>
          <cell r="H101" t="str">
            <v/>
          </cell>
          <cell r="N101" t="str">
            <v/>
          </cell>
          <cell r="O101" t="str">
            <v/>
          </cell>
          <cell r="P101" t="str">
            <v/>
          </cell>
          <cell r="T101" t="str">
            <v/>
          </cell>
          <cell r="V101" t="str">
            <v/>
          </cell>
          <cell r="X101" t="str">
            <v/>
          </cell>
          <cell r="Y101" t="str">
            <v/>
          </cell>
          <cell r="Z101" t="str">
            <v/>
          </cell>
          <cell r="AG101" t="str">
            <v/>
          </cell>
          <cell r="AH101" t="str">
            <v/>
          </cell>
          <cell r="AK101" t="str">
            <v/>
          </cell>
          <cell r="AL101" t="str">
            <v/>
          </cell>
          <cell r="AM101" t="str">
            <v/>
          </cell>
          <cell r="AT101" t="str">
            <v/>
          </cell>
          <cell r="BB101" t="str">
            <v/>
          </cell>
          <cell r="BC101" t="str">
            <v/>
          </cell>
        </row>
        <row r="102">
          <cell r="C102" t="str">
            <v/>
          </cell>
          <cell r="D102" t="str">
            <v/>
          </cell>
          <cell r="E102" t="str">
            <v/>
          </cell>
          <cell r="F102" t="str">
            <v/>
          </cell>
          <cell r="G102" t="str">
            <v/>
          </cell>
          <cell r="H102" t="str">
            <v/>
          </cell>
          <cell r="N102" t="str">
            <v/>
          </cell>
          <cell r="O102" t="str">
            <v/>
          </cell>
          <cell r="P102" t="str">
            <v/>
          </cell>
          <cell r="T102" t="str">
            <v/>
          </cell>
          <cell r="V102" t="str">
            <v/>
          </cell>
          <cell r="X102" t="str">
            <v/>
          </cell>
          <cell r="Y102" t="str">
            <v/>
          </cell>
          <cell r="Z102" t="str">
            <v/>
          </cell>
          <cell r="AG102" t="str">
            <v/>
          </cell>
          <cell r="AH102" t="str">
            <v/>
          </cell>
          <cell r="AK102" t="str">
            <v/>
          </cell>
          <cell r="AL102" t="str">
            <v/>
          </cell>
          <cell r="AM102" t="str">
            <v/>
          </cell>
          <cell r="AT102" t="str">
            <v/>
          </cell>
          <cell r="BB102" t="str">
            <v/>
          </cell>
          <cell r="BC102" t="str">
            <v/>
          </cell>
        </row>
        <row r="103">
          <cell r="C103" t="str">
            <v/>
          </cell>
          <cell r="D103" t="str">
            <v/>
          </cell>
          <cell r="E103" t="str">
            <v/>
          </cell>
          <cell r="F103" t="str">
            <v/>
          </cell>
          <cell r="G103" t="str">
            <v/>
          </cell>
          <cell r="H103" t="str">
            <v/>
          </cell>
          <cell r="N103" t="str">
            <v/>
          </cell>
          <cell r="O103" t="str">
            <v/>
          </cell>
          <cell r="P103" t="str">
            <v/>
          </cell>
          <cell r="T103" t="str">
            <v/>
          </cell>
          <cell r="V103" t="str">
            <v/>
          </cell>
          <cell r="X103" t="str">
            <v/>
          </cell>
          <cell r="Y103" t="str">
            <v/>
          </cell>
          <cell r="Z103" t="str">
            <v/>
          </cell>
          <cell r="AG103" t="str">
            <v/>
          </cell>
          <cell r="AH103" t="str">
            <v/>
          </cell>
          <cell r="AK103" t="str">
            <v/>
          </cell>
          <cell r="AL103" t="str">
            <v/>
          </cell>
          <cell r="AM103" t="str">
            <v/>
          </cell>
          <cell r="AT103" t="str">
            <v/>
          </cell>
          <cell r="BB103" t="str">
            <v/>
          </cell>
          <cell r="BC103" t="str">
            <v/>
          </cell>
        </row>
        <row r="104">
          <cell r="C104" t="str">
            <v/>
          </cell>
          <cell r="D104" t="str">
            <v/>
          </cell>
          <cell r="E104" t="str">
            <v/>
          </cell>
          <cell r="F104" t="str">
            <v/>
          </cell>
          <cell r="G104" t="str">
            <v/>
          </cell>
          <cell r="H104" t="str">
            <v/>
          </cell>
          <cell r="N104" t="str">
            <v/>
          </cell>
          <cell r="O104" t="str">
            <v/>
          </cell>
          <cell r="P104" t="str">
            <v/>
          </cell>
          <cell r="T104" t="str">
            <v/>
          </cell>
          <cell r="V104" t="str">
            <v/>
          </cell>
          <cell r="X104" t="str">
            <v/>
          </cell>
          <cell r="Y104" t="str">
            <v/>
          </cell>
          <cell r="Z104" t="str">
            <v/>
          </cell>
          <cell r="AG104" t="str">
            <v/>
          </cell>
          <cell r="AH104" t="str">
            <v/>
          </cell>
          <cell r="AK104" t="str">
            <v/>
          </cell>
          <cell r="AL104" t="str">
            <v/>
          </cell>
          <cell r="AM104" t="str">
            <v/>
          </cell>
          <cell r="AT104" t="str">
            <v/>
          </cell>
          <cell r="BB104" t="str">
            <v/>
          </cell>
          <cell r="BC104" t="str">
            <v/>
          </cell>
        </row>
        <row r="105">
          <cell r="C105" t="str">
            <v/>
          </cell>
          <cell r="D105" t="str">
            <v/>
          </cell>
          <cell r="E105" t="str">
            <v/>
          </cell>
          <cell r="F105" t="str">
            <v/>
          </cell>
          <cell r="G105" t="str">
            <v/>
          </cell>
          <cell r="H105" t="str">
            <v/>
          </cell>
          <cell r="N105" t="str">
            <v/>
          </cell>
          <cell r="O105" t="str">
            <v/>
          </cell>
          <cell r="P105" t="str">
            <v/>
          </cell>
          <cell r="T105" t="str">
            <v/>
          </cell>
          <cell r="V105" t="str">
            <v/>
          </cell>
          <cell r="X105" t="str">
            <v/>
          </cell>
          <cell r="Y105" t="str">
            <v/>
          </cell>
          <cell r="Z105" t="str">
            <v/>
          </cell>
          <cell r="AG105" t="str">
            <v/>
          </cell>
          <cell r="AH105" t="str">
            <v/>
          </cell>
          <cell r="AK105" t="str">
            <v/>
          </cell>
          <cell r="AL105" t="str">
            <v/>
          </cell>
          <cell r="AM105" t="str">
            <v/>
          </cell>
          <cell r="AT105" t="str">
            <v/>
          </cell>
          <cell r="BB105" t="str">
            <v/>
          </cell>
          <cell r="BC105" t="str">
            <v/>
          </cell>
        </row>
        <row r="106">
          <cell r="C106" t="str">
            <v/>
          </cell>
          <cell r="D106" t="str">
            <v/>
          </cell>
          <cell r="E106" t="str">
            <v/>
          </cell>
          <cell r="F106" t="str">
            <v/>
          </cell>
          <cell r="G106" t="str">
            <v/>
          </cell>
          <cell r="H106" t="str">
            <v/>
          </cell>
          <cell r="N106" t="str">
            <v/>
          </cell>
          <cell r="O106" t="str">
            <v/>
          </cell>
          <cell r="P106" t="str">
            <v/>
          </cell>
          <cell r="T106" t="str">
            <v/>
          </cell>
          <cell r="V106" t="str">
            <v/>
          </cell>
          <cell r="X106" t="str">
            <v/>
          </cell>
          <cell r="Y106" t="str">
            <v/>
          </cell>
          <cell r="Z106" t="str">
            <v/>
          </cell>
          <cell r="AG106" t="str">
            <v/>
          </cell>
          <cell r="AH106" t="str">
            <v/>
          </cell>
          <cell r="AK106" t="str">
            <v/>
          </cell>
          <cell r="AL106" t="str">
            <v/>
          </cell>
          <cell r="AM106" t="str">
            <v/>
          </cell>
          <cell r="AT106" t="str">
            <v/>
          </cell>
          <cell r="BB106" t="str">
            <v/>
          </cell>
          <cell r="BC106" t="str">
            <v/>
          </cell>
        </row>
        <row r="107">
          <cell r="C107" t="str">
            <v/>
          </cell>
          <cell r="D107" t="str">
            <v/>
          </cell>
          <cell r="E107" t="str">
            <v/>
          </cell>
          <cell r="F107" t="str">
            <v/>
          </cell>
          <cell r="G107" t="str">
            <v/>
          </cell>
          <cell r="H107" t="str">
            <v/>
          </cell>
          <cell r="N107" t="str">
            <v/>
          </cell>
          <cell r="O107" t="str">
            <v/>
          </cell>
          <cell r="P107" t="str">
            <v/>
          </cell>
          <cell r="T107" t="str">
            <v/>
          </cell>
          <cell r="V107" t="str">
            <v/>
          </cell>
          <cell r="X107" t="str">
            <v/>
          </cell>
          <cell r="Y107" t="str">
            <v/>
          </cell>
          <cell r="Z107" t="str">
            <v/>
          </cell>
          <cell r="AG107" t="str">
            <v/>
          </cell>
          <cell r="AH107" t="str">
            <v/>
          </cell>
          <cell r="AK107" t="str">
            <v/>
          </cell>
          <cell r="AL107" t="str">
            <v/>
          </cell>
          <cell r="AM107" t="str">
            <v/>
          </cell>
          <cell r="AT107" t="str">
            <v/>
          </cell>
          <cell r="BB107" t="str">
            <v/>
          </cell>
          <cell r="BC107" t="str">
            <v/>
          </cell>
        </row>
        <row r="108">
          <cell r="C108" t="str">
            <v/>
          </cell>
          <cell r="D108" t="str">
            <v/>
          </cell>
          <cell r="E108" t="str">
            <v/>
          </cell>
          <cell r="F108" t="str">
            <v/>
          </cell>
          <cell r="G108" t="str">
            <v/>
          </cell>
          <cell r="H108" t="str">
            <v/>
          </cell>
          <cell r="N108" t="str">
            <v/>
          </cell>
          <cell r="O108" t="str">
            <v/>
          </cell>
          <cell r="P108" t="str">
            <v/>
          </cell>
          <cell r="T108" t="str">
            <v/>
          </cell>
          <cell r="V108" t="str">
            <v/>
          </cell>
          <cell r="X108" t="str">
            <v/>
          </cell>
          <cell r="Y108" t="str">
            <v/>
          </cell>
          <cell r="Z108" t="str">
            <v/>
          </cell>
          <cell r="AG108" t="str">
            <v/>
          </cell>
          <cell r="AH108" t="str">
            <v/>
          </cell>
          <cell r="AK108" t="str">
            <v/>
          </cell>
          <cell r="AL108" t="str">
            <v/>
          </cell>
          <cell r="AM108" t="str">
            <v/>
          </cell>
          <cell r="AT108" t="str">
            <v/>
          </cell>
          <cell r="BB108" t="str">
            <v/>
          </cell>
          <cell r="BC108" t="str">
            <v/>
          </cell>
        </row>
        <row r="109">
          <cell r="C109" t="str">
            <v/>
          </cell>
          <cell r="D109" t="str">
            <v/>
          </cell>
          <cell r="E109" t="str">
            <v/>
          </cell>
          <cell r="F109" t="str">
            <v/>
          </cell>
          <cell r="G109" t="str">
            <v/>
          </cell>
          <cell r="H109" t="str">
            <v/>
          </cell>
          <cell r="N109" t="str">
            <v/>
          </cell>
          <cell r="O109" t="str">
            <v/>
          </cell>
          <cell r="P109" t="str">
            <v/>
          </cell>
          <cell r="T109" t="str">
            <v/>
          </cell>
          <cell r="V109" t="str">
            <v/>
          </cell>
          <cell r="X109" t="str">
            <v/>
          </cell>
          <cell r="Y109" t="str">
            <v/>
          </cell>
          <cell r="Z109" t="str">
            <v/>
          </cell>
          <cell r="AG109" t="str">
            <v/>
          </cell>
          <cell r="AH109" t="str">
            <v/>
          </cell>
          <cell r="AK109" t="str">
            <v/>
          </cell>
          <cell r="AL109" t="str">
            <v/>
          </cell>
          <cell r="AM109" t="str">
            <v/>
          </cell>
          <cell r="AT109" t="str">
            <v/>
          </cell>
          <cell r="BB109" t="str">
            <v/>
          </cell>
          <cell r="BC109" t="str">
            <v/>
          </cell>
        </row>
        <row r="110">
          <cell r="C110" t="str">
            <v/>
          </cell>
          <cell r="D110" t="str">
            <v/>
          </cell>
          <cell r="E110" t="str">
            <v/>
          </cell>
          <cell r="F110" t="str">
            <v/>
          </cell>
          <cell r="G110" t="str">
            <v/>
          </cell>
          <cell r="H110" t="str">
            <v/>
          </cell>
          <cell r="N110" t="str">
            <v/>
          </cell>
          <cell r="O110" t="str">
            <v/>
          </cell>
          <cell r="P110" t="str">
            <v/>
          </cell>
          <cell r="T110" t="str">
            <v/>
          </cell>
          <cell r="V110" t="str">
            <v/>
          </cell>
          <cell r="X110" t="str">
            <v/>
          </cell>
          <cell r="Y110" t="str">
            <v/>
          </cell>
          <cell r="Z110" t="str">
            <v/>
          </cell>
          <cell r="AG110" t="str">
            <v/>
          </cell>
          <cell r="AH110" t="str">
            <v/>
          </cell>
          <cell r="AK110" t="str">
            <v/>
          </cell>
          <cell r="AL110" t="str">
            <v/>
          </cell>
          <cell r="AM110" t="str">
            <v/>
          </cell>
          <cell r="AT110" t="str">
            <v/>
          </cell>
          <cell r="BB110" t="str">
            <v/>
          </cell>
          <cell r="BC110" t="str">
            <v/>
          </cell>
        </row>
        <row r="111">
          <cell r="C111" t="str">
            <v/>
          </cell>
          <cell r="D111" t="str">
            <v/>
          </cell>
          <cell r="E111" t="str">
            <v/>
          </cell>
          <cell r="F111" t="str">
            <v/>
          </cell>
          <cell r="G111" t="str">
            <v/>
          </cell>
          <cell r="H111" t="str">
            <v/>
          </cell>
          <cell r="N111" t="str">
            <v/>
          </cell>
          <cell r="O111" t="str">
            <v/>
          </cell>
          <cell r="P111" t="str">
            <v/>
          </cell>
          <cell r="T111" t="str">
            <v/>
          </cell>
          <cell r="V111" t="str">
            <v/>
          </cell>
          <cell r="X111" t="str">
            <v/>
          </cell>
          <cell r="Y111" t="str">
            <v/>
          </cell>
          <cell r="Z111" t="str">
            <v/>
          </cell>
          <cell r="AG111" t="str">
            <v/>
          </cell>
          <cell r="AH111" t="str">
            <v/>
          </cell>
          <cell r="AK111" t="str">
            <v/>
          </cell>
          <cell r="AL111" t="str">
            <v/>
          </cell>
          <cell r="AM111" t="str">
            <v/>
          </cell>
          <cell r="AT111" t="str">
            <v/>
          </cell>
          <cell r="BB111" t="str">
            <v/>
          </cell>
          <cell r="BC111" t="str">
            <v/>
          </cell>
        </row>
        <row r="112">
          <cell r="C112" t="str">
            <v/>
          </cell>
          <cell r="D112" t="str">
            <v/>
          </cell>
          <cell r="E112" t="str">
            <v/>
          </cell>
          <cell r="F112" t="str">
            <v/>
          </cell>
          <cell r="G112" t="str">
            <v/>
          </cell>
          <cell r="H112" t="str">
            <v/>
          </cell>
          <cell r="N112" t="str">
            <v/>
          </cell>
          <cell r="O112" t="str">
            <v/>
          </cell>
          <cell r="P112" t="str">
            <v/>
          </cell>
          <cell r="T112" t="str">
            <v/>
          </cell>
          <cell r="V112" t="str">
            <v/>
          </cell>
          <cell r="X112" t="str">
            <v/>
          </cell>
          <cell r="Y112" t="str">
            <v/>
          </cell>
          <cell r="Z112" t="str">
            <v/>
          </cell>
          <cell r="AG112" t="str">
            <v/>
          </cell>
          <cell r="AH112" t="str">
            <v/>
          </cell>
          <cell r="AK112" t="str">
            <v/>
          </cell>
          <cell r="AL112" t="str">
            <v/>
          </cell>
          <cell r="AM112" t="str">
            <v/>
          </cell>
          <cell r="AT112" t="str">
            <v/>
          </cell>
          <cell r="BB112" t="str">
            <v/>
          </cell>
          <cell r="BC112" t="str">
            <v/>
          </cell>
        </row>
        <row r="113">
          <cell r="C113" t="str">
            <v/>
          </cell>
          <cell r="D113" t="str">
            <v/>
          </cell>
          <cell r="E113" t="str">
            <v/>
          </cell>
          <cell r="F113" t="str">
            <v/>
          </cell>
          <cell r="G113" t="str">
            <v/>
          </cell>
          <cell r="H113" t="str">
            <v/>
          </cell>
          <cell r="N113" t="str">
            <v/>
          </cell>
          <cell r="O113" t="str">
            <v/>
          </cell>
          <cell r="P113" t="str">
            <v/>
          </cell>
          <cell r="T113" t="str">
            <v/>
          </cell>
          <cell r="V113" t="str">
            <v/>
          </cell>
          <cell r="X113" t="str">
            <v/>
          </cell>
          <cell r="Y113" t="str">
            <v/>
          </cell>
          <cell r="Z113" t="str">
            <v/>
          </cell>
          <cell r="AG113" t="str">
            <v/>
          </cell>
          <cell r="AH113" t="str">
            <v/>
          </cell>
          <cell r="AK113" t="str">
            <v/>
          </cell>
          <cell r="AL113" t="str">
            <v/>
          </cell>
          <cell r="AM113" t="str">
            <v/>
          </cell>
          <cell r="AT113" t="str">
            <v/>
          </cell>
          <cell r="BB113" t="str">
            <v/>
          </cell>
          <cell r="BC113" t="str">
            <v/>
          </cell>
        </row>
        <row r="114">
          <cell r="C114" t="str">
            <v/>
          </cell>
          <cell r="D114" t="str">
            <v/>
          </cell>
          <cell r="E114" t="str">
            <v/>
          </cell>
          <cell r="F114" t="str">
            <v/>
          </cell>
          <cell r="G114" t="str">
            <v/>
          </cell>
          <cell r="H114" t="str">
            <v/>
          </cell>
          <cell r="N114" t="str">
            <v/>
          </cell>
          <cell r="O114" t="str">
            <v/>
          </cell>
          <cell r="P114" t="str">
            <v/>
          </cell>
          <cell r="T114" t="str">
            <v/>
          </cell>
          <cell r="V114" t="str">
            <v/>
          </cell>
          <cell r="X114" t="str">
            <v/>
          </cell>
          <cell r="Y114" t="str">
            <v/>
          </cell>
          <cell r="Z114" t="str">
            <v/>
          </cell>
          <cell r="AG114" t="str">
            <v/>
          </cell>
          <cell r="AH114" t="str">
            <v/>
          </cell>
          <cell r="AK114" t="str">
            <v/>
          </cell>
          <cell r="AL114" t="str">
            <v/>
          </cell>
          <cell r="AM114" t="str">
            <v/>
          </cell>
          <cell r="AT114" t="str">
            <v/>
          </cell>
          <cell r="BB114" t="str">
            <v/>
          </cell>
          <cell r="BC114" t="str">
            <v/>
          </cell>
        </row>
        <row r="115">
          <cell r="C115" t="str">
            <v/>
          </cell>
          <cell r="D115" t="str">
            <v/>
          </cell>
          <cell r="E115" t="str">
            <v/>
          </cell>
          <cell r="F115" t="str">
            <v/>
          </cell>
          <cell r="G115" t="str">
            <v/>
          </cell>
          <cell r="H115" t="str">
            <v/>
          </cell>
          <cell r="N115" t="str">
            <v/>
          </cell>
          <cell r="O115" t="str">
            <v/>
          </cell>
          <cell r="P115" t="str">
            <v/>
          </cell>
          <cell r="T115" t="str">
            <v/>
          </cell>
          <cell r="V115" t="str">
            <v/>
          </cell>
          <cell r="X115" t="str">
            <v/>
          </cell>
          <cell r="Y115" t="str">
            <v/>
          </cell>
          <cell r="Z115" t="str">
            <v/>
          </cell>
          <cell r="AG115" t="str">
            <v/>
          </cell>
          <cell r="AH115" t="str">
            <v/>
          </cell>
          <cell r="AK115" t="str">
            <v/>
          </cell>
          <cell r="AL115" t="str">
            <v/>
          </cell>
          <cell r="AM115" t="str">
            <v/>
          </cell>
          <cell r="AT115" t="str">
            <v/>
          </cell>
          <cell r="BB115" t="str">
            <v/>
          </cell>
          <cell r="BC115" t="str">
            <v/>
          </cell>
        </row>
        <row r="116">
          <cell r="C116" t="str">
            <v/>
          </cell>
          <cell r="D116" t="str">
            <v/>
          </cell>
          <cell r="E116" t="str">
            <v/>
          </cell>
          <cell r="F116" t="str">
            <v/>
          </cell>
          <cell r="G116" t="str">
            <v/>
          </cell>
          <cell r="H116" t="str">
            <v/>
          </cell>
          <cell r="N116" t="str">
            <v/>
          </cell>
          <cell r="O116" t="str">
            <v/>
          </cell>
          <cell r="P116" t="str">
            <v/>
          </cell>
          <cell r="T116" t="str">
            <v/>
          </cell>
          <cell r="V116" t="str">
            <v/>
          </cell>
          <cell r="X116" t="str">
            <v/>
          </cell>
          <cell r="Y116" t="str">
            <v/>
          </cell>
          <cell r="Z116" t="str">
            <v/>
          </cell>
          <cell r="AG116" t="str">
            <v/>
          </cell>
          <cell r="AH116" t="str">
            <v/>
          </cell>
          <cell r="AK116" t="str">
            <v/>
          </cell>
          <cell r="AL116" t="str">
            <v/>
          </cell>
          <cell r="AM116" t="str">
            <v/>
          </cell>
          <cell r="AT116" t="str">
            <v/>
          </cell>
          <cell r="BB116" t="str">
            <v/>
          </cell>
          <cell r="BC116" t="str">
            <v/>
          </cell>
        </row>
        <row r="117">
          <cell r="C117" t="str">
            <v/>
          </cell>
          <cell r="D117" t="str">
            <v/>
          </cell>
          <cell r="E117" t="str">
            <v/>
          </cell>
          <cell r="F117" t="str">
            <v/>
          </cell>
          <cell r="G117" t="str">
            <v/>
          </cell>
          <cell r="H117" t="str">
            <v/>
          </cell>
          <cell r="N117" t="str">
            <v/>
          </cell>
          <cell r="O117" t="str">
            <v/>
          </cell>
          <cell r="P117" t="str">
            <v/>
          </cell>
          <cell r="T117" t="str">
            <v/>
          </cell>
          <cell r="V117" t="str">
            <v/>
          </cell>
          <cell r="X117" t="str">
            <v/>
          </cell>
          <cell r="Y117" t="str">
            <v/>
          </cell>
          <cell r="Z117" t="str">
            <v/>
          </cell>
          <cell r="AG117" t="str">
            <v/>
          </cell>
          <cell r="AH117" t="str">
            <v/>
          </cell>
          <cell r="AK117" t="str">
            <v/>
          </cell>
          <cell r="AL117" t="str">
            <v/>
          </cell>
          <cell r="AM117" t="str">
            <v/>
          </cell>
          <cell r="AT117" t="str">
            <v/>
          </cell>
          <cell r="BB117" t="str">
            <v/>
          </cell>
          <cell r="BC117" t="str">
            <v/>
          </cell>
        </row>
        <row r="118">
          <cell r="C118" t="str">
            <v/>
          </cell>
          <cell r="D118" t="str">
            <v/>
          </cell>
          <cell r="E118" t="str">
            <v/>
          </cell>
          <cell r="F118" t="str">
            <v/>
          </cell>
          <cell r="G118" t="str">
            <v/>
          </cell>
          <cell r="H118" t="str">
            <v/>
          </cell>
          <cell r="N118" t="str">
            <v/>
          </cell>
          <cell r="O118" t="str">
            <v/>
          </cell>
          <cell r="P118" t="str">
            <v/>
          </cell>
          <cell r="T118" t="str">
            <v/>
          </cell>
          <cell r="V118" t="str">
            <v/>
          </cell>
          <cell r="X118" t="str">
            <v/>
          </cell>
          <cell r="Y118" t="str">
            <v/>
          </cell>
          <cell r="Z118" t="str">
            <v/>
          </cell>
          <cell r="AG118" t="str">
            <v/>
          </cell>
          <cell r="AH118" t="str">
            <v/>
          </cell>
          <cell r="AK118" t="str">
            <v/>
          </cell>
          <cell r="AL118" t="str">
            <v/>
          </cell>
          <cell r="AM118" t="str">
            <v/>
          </cell>
          <cell r="AT118" t="str">
            <v/>
          </cell>
          <cell r="BB118" t="str">
            <v/>
          </cell>
          <cell r="BC118" t="str">
            <v/>
          </cell>
        </row>
        <row r="119">
          <cell r="C119" t="str">
            <v/>
          </cell>
          <cell r="D119" t="str">
            <v/>
          </cell>
          <cell r="E119" t="str">
            <v/>
          </cell>
          <cell r="F119" t="str">
            <v/>
          </cell>
          <cell r="G119" t="str">
            <v/>
          </cell>
          <cell r="H119" t="str">
            <v/>
          </cell>
          <cell r="N119" t="str">
            <v/>
          </cell>
          <cell r="O119" t="str">
            <v/>
          </cell>
          <cell r="P119" t="str">
            <v/>
          </cell>
          <cell r="T119" t="str">
            <v/>
          </cell>
          <cell r="V119" t="str">
            <v/>
          </cell>
          <cell r="X119" t="str">
            <v/>
          </cell>
          <cell r="Y119" t="str">
            <v/>
          </cell>
          <cell r="Z119" t="str">
            <v/>
          </cell>
          <cell r="AG119" t="str">
            <v/>
          </cell>
          <cell r="AH119" t="str">
            <v/>
          </cell>
          <cell r="AK119" t="str">
            <v/>
          </cell>
          <cell r="AL119" t="str">
            <v/>
          </cell>
          <cell r="AM119" t="str">
            <v/>
          </cell>
          <cell r="AT119" t="str">
            <v/>
          </cell>
          <cell r="BB119" t="str">
            <v/>
          </cell>
          <cell r="BC119" t="str">
            <v/>
          </cell>
        </row>
        <row r="120">
          <cell r="C120" t="str">
            <v/>
          </cell>
          <cell r="D120" t="str">
            <v/>
          </cell>
          <cell r="E120" t="str">
            <v/>
          </cell>
          <cell r="F120" t="str">
            <v/>
          </cell>
          <cell r="G120" t="str">
            <v/>
          </cell>
          <cell r="H120" t="str">
            <v/>
          </cell>
          <cell r="N120" t="str">
            <v/>
          </cell>
          <cell r="O120" t="str">
            <v/>
          </cell>
          <cell r="P120" t="str">
            <v/>
          </cell>
          <cell r="T120" t="str">
            <v/>
          </cell>
          <cell r="V120" t="str">
            <v/>
          </cell>
          <cell r="X120" t="str">
            <v/>
          </cell>
          <cell r="Y120" t="str">
            <v/>
          </cell>
          <cell r="Z120" t="str">
            <v/>
          </cell>
          <cell r="AG120" t="str">
            <v/>
          </cell>
          <cell r="AH120" t="str">
            <v/>
          </cell>
          <cell r="AK120" t="str">
            <v/>
          </cell>
          <cell r="AL120" t="str">
            <v/>
          </cell>
          <cell r="AM120" t="str">
            <v/>
          </cell>
          <cell r="AT120" t="str">
            <v/>
          </cell>
          <cell r="BB120" t="str">
            <v/>
          </cell>
          <cell r="BC120" t="str">
            <v/>
          </cell>
        </row>
        <row r="121">
          <cell r="C121" t="str">
            <v/>
          </cell>
          <cell r="D121" t="str">
            <v/>
          </cell>
          <cell r="E121" t="str">
            <v/>
          </cell>
          <cell r="F121" t="str">
            <v/>
          </cell>
          <cell r="G121" t="str">
            <v/>
          </cell>
          <cell r="H121" t="str">
            <v/>
          </cell>
          <cell r="N121" t="str">
            <v/>
          </cell>
          <cell r="O121" t="str">
            <v/>
          </cell>
          <cell r="P121" t="str">
            <v/>
          </cell>
          <cell r="T121" t="str">
            <v/>
          </cell>
          <cell r="V121" t="str">
            <v/>
          </cell>
          <cell r="X121" t="str">
            <v/>
          </cell>
          <cell r="Y121" t="str">
            <v/>
          </cell>
          <cell r="Z121" t="str">
            <v/>
          </cell>
          <cell r="AG121" t="str">
            <v/>
          </cell>
          <cell r="AH121" t="str">
            <v/>
          </cell>
          <cell r="AK121" t="str">
            <v/>
          </cell>
          <cell r="AL121" t="str">
            <v/>
          </cell>
          <cell r="AM121" t="str">
            <v/>
          </cell>
          <cell r="AT121" t="str">
            <v/>
          </cell>
          <cell r="BB121" t="str">
            <v/>
          </cell>
          <cell r="BC121" t="str">
            <v/>
          </cell>
        </row>
        <row r="122">
          <cell r="C122" t="str">
            <v/>
          </cell>
          <cell r="D122" t="str">
            <v/>
          </cell>
          <cell r="E122" t="str">
            <v/>
          </cell>
          <cell r="F122" t="str">
            <v/>
          </cell>
          <cell r="G122" t="str">
            <v/>
          </cell>
          <cell r="H122" t="str">
            <v/>
          </cell>
          <cell r="N122" t="str">
            <v/>
          </cell>
          <cell r="O122" t="str">
            <v/>
          </cell>
          <cell r="P122" t="str">
            <v/>
          </cell>
          <cell r="T122" t="str">
            <v/>
          </cell>
          <cell r="V122" t="str">
            <v/>
          </cell>
          <cell r="X122" t="str">
            <v/>
          </cell>
          <cell r="Y122" t="str">
            <v/>
          </cell>
          <cell r="Z122" t="str">
            <v/>
          </cell>
          <cell r="AG122" t="str">
            <v/>
          </cell>
          <cell r="AH122" t="str">
            <v/>
          </cell>
          <cell r="AK122" t="str">
            <v/>
          </cell>
          <cell r="AL122" t="str">
            <v/>
          </cell>
          <cell r="AM122" t="str">
            <v/>
          </cell>
          <cell r="AT122" t="str">
            <v/>
          </cell>
          <cell r="BB122" t="str">
            <v/>
          </cell>
          <cell r="BC122" t="str">
            <v/>
          </cell>
        </row>
        <row r="123">
          <cell r="C123" t="str">
            <v/>
          </cell>
          <cell r="D123" t="str">
            <v/>
          </cell>
          <cell r="E123" t="str">
            <v/>
          </cell>
          <cell r="F123" t="str">
            <v/>
          </cell>
          <cell r="G123" t="str">
            <v/>
          </cell>
          <cell r="H123" t="str">
            <v/>
          </cell>
          <cell r="N123" t="str">
            <v/>
          </cell>
          <cell r="O123" t="str">
            <v/>
          </cell>
          <cell r="P123" t="str">
            <v/>
          </cell>
          <cell r="T123" t="str">
            <v/>
          </cell>
          <cell r="V123" t="str">
            <v/>
          </cell>
          <cell r="X123" t="str">
            <v/>
          </cell>
          <cell r="Y123" t="str">
            <v/>
          </cell>
          <cell r="Z123" t="str">
            <v/>
          </cell>
          <cell r="AG123" t="str">
            <v/>
          </cell>
          <cell r="AH123" t="str">
            <v/>
          </cell>
          <cell r="AK123" t="str">
            <v/>
          </cell>
          <cell r="AL123" t="str">
            <v/>
          </cell>
          <cell r="AM123" t="str">
            <v/>
          </cell>
          <cell r="AT123" t="str">
            <v/>
          </cell>
          <cell r="BB123" t="str">
            <v/>
          </cell>
          <cell r="BC123" t="str">
            <v/>
          </cell>
        </row>
        <row r="124">
          <cell r="C124" t="str">
            <v/>
          </cell>
          <cell r="D124" t="str">
            <v/>
          </cell>
          <cell r="E124" t="str">
            <v/>
          </cell>
          <cell r="F124" t="str">
            <v/>
          </cell>
          <cell r="G124" t="str">
            <v/>
          </cell>
          <cell r="H124" t="str">
            <v/>
          </cell>
          <cell r="N124" t="str">
            <v/>
          </cell>
          <cell r="O124" t="str">
            <v/>
          </cell>
          <cell r="P124" t="str">
            <v/>
          </cell>
          <cell r="T124" t="str">
            <v/>
          </cell>
          <cell r="V124" t="str">
            <v/>
          </cell>
          <cell r="X124" t="str">
            <v/>
          </cell>
          <cell r="Y124" t="str">
            <v/>
          </cell>
          <cell r="Z124" t="str">
            <v/>
          </cell>
          <cell r="AG124" t="str">
            <v/>
          </cell>
          <cell r="AH124" t="str">
            <v/>
          </cell>
          <cell r="AK124" t="str">
            <v/>
          </cell>
          <cell r="AL124" t="str">
            <v/>
          </cell>
          <cell r="AM124" t="str">
            <v/>
          </cell>
          <cell r="AT124" t="str">
            <v/>
          </cell>
          <cell r="BB124" t="str">
            <v/>
          </cell>
          <cell r="BC124" t="str">
            <v/>
          </cell>
        </row>
        <row r="125">
          <cell r="C125" t="str">
            <v/>
          </cell>
          <cell r="D125" t="str">
            <v/>
          </cell>
          <cell r="E125" t="str">
            <v/>
          </cell>
          <cell r="F125" t="str">
            <v/>
          </cell>
          <cell r="G125" t="str">
            <v/>
          </cell>
          <cell r="H125" t="str">
            <v/>
          </cell>
          <cell r="N125" t="str">
            <v/>
          </cell>
          <cell r="O125" t="str">
            <v/>
          </cell>
          <cell r="P125" t="str">
            <v/>
          </cell>
          <cell r="T125" t="str">
            <v/>
          </cell>
          <cell r="V125" t="str">
            <v/>
          </cell>
          <cell r="X125" t="str">
            <v/>
          </cell>
          <cell r="Y125" t="str">
            <v/>
          </cell>
          <cell r="Z125" t="str">
            <v/>
          </cell>
          <cell r="AG125" t="str">
            <v/>
          </cell>
          <cell r="AH125" t="str">
            <v/>
          </cell>
          <cell r="AK125" t="str">
            <v/>
          </cell>
          <cell r="AL125" t="str">
            <v/>
          </cell>
          <cell r="AM125" t="str">
            <v/>
          </cell>
          <cell r="AT125" t="str">
            <v/>
          </cell>
          <cell r="BB125" t="str">
            <v/>
          </cell>
          <cell r="BC125" t="str">
            <v/>
          </cell>
        </row>
        <row r="126">
          <cell r="C126" t="str">
            <v/>
          </cell>
          <cell r="D126" t="str">
            <v/>
          </cell>
          <cell r="E126" t="str">
            <v/>
          </cell>
          <cell r="F126" t="str">
            <v/>
          </cell>
          <cell r="G126" t="str">
            <v/>
          </cell>
          <cell r="H126" t="str">
            <v/>
          </cell>
          <cell r="N126" t="str">
            <v/>
          </cell>
          <cell r="O126" t="str">
            <v/>
          </cell>
          <cell r="P126" t="str">
            <v/>
          </cell>
          <cell r="T126" t="str">
            <v/>
          </cell>
          <cell r="V126" t="str">
            <v/>
          </cell>
          <cell r="X126" t="str">
            <v/>
          </cell>
          <cell r="Y126" t="str">
            <v/>
          </cell>
          <cell r="Z126" t="str">
            <v/>
          </cell>
          <cell r="AG126" t="str">
            <v/>
          </cell>
          <cell r="AH126" t="str">
            <v/>
          </cell>
          <cell r="AK126" t="str">
            <v/>
          </cell>
          <cell r="AL126" t="str">
            <v/>
          </cell>
          <cell r="AM126" t="str">
            <v/>
          </cell>
          <cell r="AT126" t="str">
            <v/>
          </cell>
          <cell r="BB126" t="str">
            <v/>
          </cell>
          <cell r="BC126" t="str">
            <v/>
          </cell>
        </row>
        <row r="127">
          <cell r="C127" t="str">
            <v/>
          </cell>
          <cell r="D127" t="str">
            <v/>
          </cell>
          <cell r="E127" t="str">
            <v/>
          </cell>
          <cell r="F127" t="str">
            <v/>
          </cell>
          <cell r="G127" t="str">
            <v/>
          </cell>
          <cell r="H127" t="str">
            <v/>
          </cell>
          <cell r="N127" t="str">
            <v/>
          </cell>
          <cell r="O127" t="str">
            <v/>
          </cell>
          <cell r="P127" t="str">
            <v/>
          </cell>
          <cell r="T127" t="str">
            <v/>
          </cell>
          <cell r="V127" t="str">
            <v/>
          </cell>
          <cell r="X127" t="str">
            <v/>
          </cell>
          <cell r="Y127" t="str">
            <v/>
          </cell>
          <cell r="Z127" t="str">
            <v/>
          </cell>
          <cell r="AG127" t="str">
            <v/>
          </cell>
          <cell r="AH127" t="str">
            <v/>
          </cell>
          <cell r="AK127" t="str">
            <v/>
          </cell>
          <cell r="AL127" t="str">
            <v/>
          </cell>
          <cell r="AM127" t="str">
            <v/>
          </cell>
          <cell r="AT127" t="str">
            <v/>
          </cell>
          <cell r="BB127" t="str">
            <v/>
          </cell>
          <cell r="BC127" t="str">
            <v/>
          </cell>
        </row>
        <row r="128">
          <cell r="C128" t="str">
            <v/>
          </cell>
          <cell r="D128" t="str">
            <v/>
          </cell>
          <cell r="E128" t="str">
            <v/>
          </cell>
          <cell r="F128" t="str">
            <v/>
          </cell>
          <cell r="G128" t="str">
            <v/>
          </cell>
          <cell r="H128" t="str">
            <v/>
          </cell>
          <cell r="N128" t="str">
            <v/>
          </cell>
          <cell r="O128" t="str">
            <v/>
          </cell>
          <cell r="P128" t="str">
            <v/>
          </cell>
          <cell r="T128" t="str">
            <v/>
          </cell>
          <cell r="V128" t="str">
            <v/>
          </cell>
          <cell r="X128" t="str">
            <v/>
          </cell>
          <cell r="Y128" t="str">
            <v/>
          </cell>
          <cell r="Z128" t="str">
            <v/>
          </cell>
          <cell r="AG128" t="str">
            <v/>
          </cell>
          <cell r="AH128" t="str">
            <v/>
          </cell>
          <cell r="AK128" t="str">
            <v/>
          </cell>
          <cell r="AL128" t="str">
            <v/>
          </cell>
          <cell r="AM128" t="str">
            <v/>
          </cell>
          <cell r="AT128" t="str">
            <v/>
          </cell>
          <cell r="BB128" t="str">
            <v/>
          </cell>
          <cell r="BC128" t="str">
            <v/>
          </cell>
        </row>
        <row r="129">
          <cell r="C129" t="str">
            <v/>
          </cell>
          <cell r="D129" t="str">
            <v/>
          </cell>
          <cell r="E129" t="str">
            <v/>
          </cell>
          <cell r="F129" t="str">
            <v/>
          </cell>
          <cell r="G129" t="str">
            <v/>
          </cell>
          <cell r="H129" t="str">
            <v/>
          </cell>
          <cell r="N129" t="str">
            <v/>
          </cell>
          <cell r="O129" t="str">
            <v/>
          </cell>
          <cell r="P129" t="str">
            <v/>
          </cell>
          <cell r="T129" t="str">
            <v/>
          </cell>
          <cell r="V129" t="str">
            <v/>
          </cell>
          <cell r="X129" t="str">
            <v/>
          </cell>
          <cell r="Y129" t="str">
            <v/>
          </cell>
          <cell r="Z129" t="str">
            <v/>
          </cell>
          <cell r="AG129" t="str">
            <v/>
          </cell>
          <cell r="AH129" t="str">
            <v/>
          </cell>
          <cell r="AK129" t="str">
            <v/>
          </cell>
          <cell r="AL129" t="str">
            <v/>
          </cell>
          <cell r="AM129" t="str">
            <v/>
          </cell>
          <cell r="AT129" t="str">
            <v/>
          </cell>
          <cell r="BB129" t="str">
            <v/>
          </cell>
          <cell r="BC129" t="str">
            <v/>
          </cell>
        </row>
        <row r="130">
          <cell r="C130" t="str">
            <v/>
          </cell>
          <cell r="D130" t="str">
            <v/>
          </cell>
          <cell r="E130" t="str">
            <v/>
          </cell>
          <cell r="F130" t="str">
            <v/>
          </cell>
          <cell r="G130" t="str">
            <v/>
          </cell>
          <cell r="H130" t="str">
            <v/>
          </cell>
          <cell r="N130" t="str">
            <v/>
          </cell>
          <cell r="O130" t="str">
            <v/>
          </cell>
          <cell r="P130" t="str">
            <v/>
          </cell>
          <cell r="T130" t="str">
            <v/>
          </cell>
          <cell r="V130" t="str">
            <v/>
          </cell>
          <cell r="X130" t="str">
            <v/>
          </cell>
          <cell r="Y130" t="str">
            <v/>
          </cell>
          <cell r="Z130" t="str">
            <v/>
          </cell>
          <cell r="AG130" t="str">
            <v/>
          </cell>
          <cell r="AH130" t="str">
            <v/>
          </cell>
          <cell r="AK130" t="str">
            <v/>
          </cell>
          <cell r="AL130" t="str">
            <v/>
          </cell>
          <cell r="AM130" t="str">
            <v/>
          </cell>
          <cell r="AT130" t="str">
            <v/>
          </cell>
          <cell r="BB130" t="str">
            <v/>
          </cell>
          <cell r="BC130" t="str">
            <v/>
          </cell>
        </row>
        <row r="131">
          <cell r="C131" t="str">
            <v/>
          </cell>
          <cell r="D131" t="str">
            <v/>
          </cell>
          <cell r="E131" t="str">
            <v/>
          </cell>
          <cell r="F131" t="str">
            <v/>
          </cell>
          <cell r="G131" t="str">
            <v/>
          </cell>
          <cell r="H131" t="str">
            <v/>
          </cell>
          <cell r="N131" t="str">
            <v/>
          </cell>
          <cell r="O131" t="str">
            <v/>
          </cell>
          <cell r="P131" t="str">
            <v/>
          </cell>
          <cell r="T131" t="str">
            <v/>
          </cell>
          <cell r="V131" t="str">
            <v/>
          </cell>
          <cell r="X131" t="str">
            <v/>
          </cell>
          <cell r="Y131" t="str">
            <v/>
          </cell>
          <cell r="Z131" t="str">
            <v/>
          </cell>
          <cell r="AG131" t="str">
            <v/>
          </cell>
          <cell r="AH131" t="str">
            <v/>
          </cell>
          <cell r="AK131" t="str">
            <v/>
          </cell>
          <cell r="AL131" t="str">
            <v/>
          </cell>
          <cell r="AM131" t="str">
            <v/>
          </cell>
          <cell r="AT131" t="str">
            <v/>
          </cell>
          <cell r="BB131" t="str">
            <v/>
          </cell>
          <cell r="BC131" t="str">
            <v/>
          </cell>
        </row>
        <row r="132">
          <cell r="C132" t="str">
            <v/>
          </cell>
          <cell r="D132" t="str">
            <v/>
          </cell>
          <cell r="E132" t="str">
            <v/>
          </cell>
          <cell r="F132" t="str">
            <v/>
          </cell>
          <cell r="G132" t="str">
            <v/>
          </cell>
          <cell r="H132" t="str">
            <v/>
          </cell>
          <cell r="N132" t="str">
            <v/>
          </cell>
          <cell r="O132" t="str">
            <v/>
          </cell>
          <cell r="P132" t="str">
            <v/>
          </cell>
          <cell r="T132" t="str">
            <v/>
          </cell>
          <cell r="V132" t="str">
            <v/>
          </cell>
          <cell r="X132" t="str">
            <v/>
          </cell>
          <cell r="Y132" t="str">
            <v/>
          </cell>
          <cell r="Z132" t="str">
            <v/>
          </cell>
          <cell r="AG132" t="str">
            <v/>
          </cell>
          <cell r="AH132" t="str">
            <v/>
          </cell>
          <cell r="AK132" t="str">
            <v/>
          </cell>
          <cell r="AL132" t="str">
            <v/>
          </cell>
          <cell r="AM132" t="str">
            <v/>
          </cell>
          <cell r="AT132" t="str">
            <v/>
          </cell>
          <cell r="BB132" t="str">
            <v/>
          </cell>
          <cell r="BC132" t="str">
            <v/>
          </cell>
        </row>
        <row r="133">
          <cell r="C133" t="str">
            <v/>
          </cell>
          <cell r="D133" t="str">
            <v/>
          </cell>
          <cell r="E133" t="str">
            <v/>
          </cell>
          <cell r="F133" t="str">
            <v/>
          </cell>
          <cell r="G133" t="str">
            <v/>
          </cell>
          <cell r="H133" t="str">
            <v/>
          </cell>
          <cell r="N133" t="str">
            <v/>
          </cell>
          <cell r="O133" t="str">
            <v/>
          </cell>
          <cell r="P133" t="str">
            <v/>
          </cell>
          <cell r="T133" t="str">
            <v/>
          </cell>
          <cell r="V133" t="str">
            <v/>
          </cell>
          <cell r="X133" t="str">
            <v/>
          </cell>
          <cell r="Y133" t="str">
            <v/>
          </cell>
          <cell r="Z133" t="str">
            <v/>
          </cell>
          <cell r="AG133" t="str">
            <v/>
          </cell>
          <cell r="AH133" t="str">
            <v/>
          </cell>
          <cell r="AK133" t="str">
            <v/>
          </cell>
          <cell r="AL133" t="str">
            <v/>
          </cell>
          <cell r="AM133" t="str">
            <v/>
          </cell>
          <cell r="AT133" t="str">
            <v/>
          </cell>
          <cell r="BB133" t="str">
            <v/>
          </cell>
          <cell r="BC133" t="str">
            <v/>
          </cell>
        </row>
        <row r="134">
          <cell r="C134" t="str">
            <v/>
          </cell>
          <cell r="D134" t="str">
            <v/>
          </cell>
          <cell r="E134" t="str">
            <v/>
          </cell>
          <cell r="F134" t="str">
            <v/>
          </cell>
          <cell r="G134" t="str">
            <v/>
          </cell>
          <cell r="H134" t="str">
            <v/>
          </cell>
          <cell r="N134" t="str">
            <v/>
          </cell>
          <cell r="O134" t="str">
            <v/>
          </cell>
          <cell r="P134" t="str">
            <v/>
          </cell>
          <cell r="T134" t="str">
            <v/>
          </cell>
          <cell r="V134" t="str">
            <v/>
          </cell>
          <cell r="X134" t="str">
            <v/>
          </cell>
          <cell r="Y134" t="str">
            <v/>
          </cell>
          <cell r="Z134" t="str">
            <v/>
          </cell>
          <cell r="AG134" t="str">
            <v/>
          </cell>
          <cell r="AH134" t="str">
            <v/>
          </cell>
          <cell r="AK134" t="str">
            <v/>
          </cell>
          <cell r="AL134" t="str">
            <v/>
          </cell>
          <cell r="AM134" t="str">
            <v/>
          </cell>
          <cell r="AT134" t="str">
            <v/>
          </cell>
          <cell r="BB134" t="str">
            <v/>
          </cell>
          <cell r="BC134" t="str">
            <v/>
          </cell>
        </row>
        <row r="135">
          <cell r="C135" t="str">
            <v/>
          </cell>
          <cell r="D135" t="str">
            <v/>
          </cell>
          <cell r="E135" t="str">
            <v/>
          </cell>
          <cell r="F135" t="str">
            <v/>
          </cell>
          <cell r="G135" t="str">
            <v/>
          </cell>
          <cell r="H135" t="str">
            <v/>
          </cell>
          <cell r="N135" t="str">
            <v/>
          </cell>
          <cell r="O135" t="str">
            <v/>
          </cell>
          <cell r="P135" t="str">
            <v/>
          </cell>
          <cell r="T135" t="str">
            <v/>
          </cell>
          <cell r="V135" t="str">
            <v/>
          </cell>
          <cell r="X135" t="str">
            <v/>
          </cell>
          <cell r="Y135" t="str">
            <v/>
          </cell>
          <cell r="Z135" t="str">
            <v/>
          </cell>
          <cell r="AG135" t="str">
            <v/>
          </cell>
          <cell r="AH135" t="str">
            <v/>
          </cell>
          <cell r="AK135" t="str">
            <v/>
          </cell>
          <cell r="AL135" t="str">
            <v/>
          </cell>
          <cell r="AM135" t="str">
            <v/>
          </cell>
          <cell r="AT135" t="str">
            <v/>
          </cell>
          <cell r="BB135" t="str">
            <v/>
          </cell>
          <cell r="BC135" t="str">
            <v/>
          </cell>
        </row>
        <row r="136">
          <cell r="C136" t="str">
            <v/>
          </cell>
          <cell r="D136" t="str">
            <v/>
          </cell>
          <cell r="E136" t="str">
            <v/>
          </cell>
          <cell r="F136" t="str">
            <v/>
          </cell>
          <cell r="G136" t="str">
            <v/>
          </cell>
          <cell r="H136" t="str">
            <v/>
          </cell>
          <cell r="N136" t="str">
            <v/>
          </cell>
          <cell r="O136" t="str">
            <v/>
          </cell>
          <cell r="P136" t="str">
            <v/>
          </cell>
          <cell r="T136" t="str">
            <v/>
          </cell>
          <cell r="V136" t="str">
            <v/>
          </cell>
          <cell r="X136" t="str">
            <v/>
          </cell>
          <cell r="Y136" t="str">
            <v/>
          </cell>
          <cell r="Z136" t="str">
            <v/>
          </cell>
          <cell r="AG136" t="str">
            <v/>
          </cell>
          <cell r="AH136" t="str">
            <v/>
          </cell>
          <cell r="AK136" t="str">
            <v/>
          </cell>
          <cell r="AL136" t="str">
            <v/>
          </cell>
          <cell r="AM136" t="str">
            <v/>
          </cell>
          <cell r="AT136" t="str">
            <v/>
          </cell>
          <cell r="BB136" t="str">
            <v/>
          </cell>
          <cell r="BC136" t="str">
            <v/>
          </cell>
        </row>
        <row r="137">
          <cell r="C137" t="str">
            <v/>
          </cell>
          <cell r="D137" t="str">
            <v/>
          </cell>
          <cell r="E137" t="str">
            <v/>
          </cell>
          <cell r="F137" t="str">
            <v/>
          </cell>
          <cell r="G137" t="str">
            <v/>
          </cell>
          <cell r="H137" t="str">
            <v/>
          </cell>
          <cell r="N137" t="str">
            <v/>
          </cell>
          <cell r="O137" t="str">
            <v/>
          </cell>
          <cell r="P137" t="str">
            <v/>
          </cell>
          <cell r="T137" t="str">
            <v/>
          </cell>
          <cell r="V137" t="str">
            <v/>
          </cell>
          <cell r="X137" t="str">
            <v/>
          </cell>
          <cell r="Y137" t="str">
            <v/>
          </cell>
          <cell r="Z137" t="str">
            <v/>
          </cell>
          <cell r="AG137" t="str">
            <v/>
          </cell>
          <cell r="AH137" t="str">
            <v/>
          </cell>
          <cell r="AK137" t="str">
            <v/>
          </cell>
          <cell r="AL137" t="str">
            <v/>
          </cell>
          <cell r="AM137" t="str">
            <v/>
          </cell>
          <cell r="AT137" t="str">
            <v/>
          </cell>
          <cell r="BB137" t="str">
            <v/>
          </cell>
          <cell r="BC137" t="str">
            <v/>
          </cell>
        </row>
        <row r="138">
          <cell r="C138" t="str">
            <v/>
          </cell>
          <cell r="D138" t="str">
            <v/>
          </cell>
          <cell r="E138" t="str">
            <v/>
          </cell>
          <cell r="F138" t="str">
            <v/>
          </cell>
          <cell r="G138" t="str">
            <v/>
          </cell>
          <cell r="H138" t="str">
            <v/>
          </cell>
          <cell r="N138" t="str">
            <v/>
          </cell>
          <cell r="O138" t="str">
            <v/>
          </cell>
          <cell r="P138" t="str">
            <v/>
          </cell>
          <cell r="T138" t="str">
            <v/>
          </cell>
          <cell r="V138" t="str">
            <v/>
          </cell>
          <cell r="X138" t="str">
            <v/>
          </cell>
          <cell r="Y138" t="str">
            <v/>
          </cell>
          <cell r="Z138" t="str">
            <v/>
          </cell>
          <cell r="AG138" t="str">
            <v/>
          </cell>
          <cell r="AH138" t="str">
            <v/>
          </cell>
          <cell r="AK138" t="str">
            <v/>
          </cell>
          <cell r="AL138" t="str">
            <v/>
          </cell>
          <cell r="AM138" t="str">
            <v/>
          </cell>
          <cell r="AT138" t="str">
            <v/>
          </cell>
          <cell r="BB138" t="str">
            <v/>
          </cell>
          <cell r="BC138" t="str">
            <v/>
          </cell>
        </row>
        <row r="139">
          <cell r="C139" t="str">
            <v/>
          </cell>
          <cell r="D139" t="str">
            <v/>
          </cell>
          <cell r="E139" t="str">
            <v/>
          </cell>
          <cell r="F139" t="str">
            <v/>
          </cell>
          <cell r="G139" t="str">
            <v/>
          </cell>
          <cell r="H139" t="str">
            <v/>
          </cell>
          <cell r="N139" t="str">
            <v/>
          </cell>
          <cell r="O139" t="str">
            <v/>
          </cell>
          <cell r="P139" t="str">
            <v/>
          </cell>
          <cell r="T139" t="str">
            <v/>
          </cell>
          <cell r="V139" t="str">
            <v/>
          </cell>
          <cell r="X139" t="str">
            <v/>
          </cell>
          <cell r="Y139" t="str">
            <v/>
          </cell>
          <cell r="Z139" t="str">
            <v/>
          </cell>
          <cell r="AG139" t="str">
            <v/>
          </cell>
          <cell r="AH139" t="str">
            <v/>
          </cell>
          <cell r="AK139" t="str">
            <v/>
          </cell>
          <cell r="AL139" t="str">
            <v/>
          </cell>
          <cell r="AM139" t="str">
            <v/>
          </cell>
          <cell r="AT139" t="str">
            <v/>
          </cell>
          <cell r="BB139" t="str">
            <v/>
          </cell>
          <cell r="BC139" t="str">
            <v/>
          </cell>
        </row>
        <row r="140">
          <cell r="C140" t="str">
            <v/>
          </cell>
          <cell r="D140" t="str">
            <v/>
          </cell>
          <cell r="E140" t="str">
            <v/>
          </cell>
          <cell r="F140" t="str">
            <v/>
          </cell>
          <cell r="G140" t="str">
            <v/>
          </cell>
          <cell r="H140" t="str">
            <v/>
          </cell>
          <cell r="N140" t="str">
            <v/>
          </cell>
          <cell r="O140" t="str">
            <v/>
          </cell>
          <cell r="P140" t="str">
            <v/>
          </cell>
          <cell r="T140" t="str">
            <v/>
          </cell>
          <cell r="V140" t="str">
            <v/>
          </cell>
          <cell r="X140" t="str">
            <v/>
          </cell>
          <cell r="Y140" t="str">
            <v/>
          </cell>
          <cell r="Z140" t="str">
            <v/>
          </cell>
          <cell r="AG140" t="str">
            <v/>
          </cell>
          <cell r="AH140" t="str">
            <v/>
          </cell>
          <cell r="AK140" t="str">
            <v/>
          </cell>
          <cell r="AL140" t="str">
            <v/>
          </cell>
          <cell r="AM140" t="str">
            <v/>
          </cell>
          <cell r="AT140" t="str">
            <v/>
          </cell>
          <cell r="BB140" t="str">
            <v/>
          </cell>
          <cell r="BC140" t="str">
            <v/>
          </cell>
        </row>
        <row r="141">
          <cell r="C141" t="str">
            <v/>
          </cell>
          <cell r="D141" t="str">
            <v/>
          </cell>
          <cell r="E141" t="str">
            <v/>
          </cell>
          <cell r="F141" t="str">
            <v/>
          </cell>
          <cell r="G141" t="str">
            <v/>
          </cell>
          <cell r="H141" t="str">
            <v/>
          </cell>
          <cell r="N141" t="str">
            <v/>
          </cell>
          <cell r="O141" t="str">
            <v/>
          </cell>
          <cell r="P141" t="str">
            <v/>
          </cell>
          <cell r="T141" t="str">
            <v/>
          </cell>
          <cell r="V141" t="str">
            <v/>
          </cell>
          <cell r="X141" t="str">
            <v/>
          </cell>
          <cell r="Y141" t="str">
            <v/>
          </cell>
          <cell r="Z141" t="str">
            <v/>
          </cell>
          <cell r="AG141" t="str">
            <v/>
          </cell>
          <cell r="AH141" t="str">
            <v/>
          </cell>
          <cell r="AK141" t="str">
            <v/>
          </cell>
          <cell r="AL141" t="str">
            <v/>
          </cell>
          <cell r="AM141" t="str">
            <v/>
          </cell>
          <cell r="AT141" t="str">
            <v/>
          </cell>
          <cell r="BB141" t="str">
            <v/>
          </cell>
          <cell r="BC141" t="str">
            <v/>
          </cell>
        </row>
        <row r="142">
          <cell r="C142" t="str">
            <v/>
          </cell>
          <cell r="D142" t="str">
            <v/>
          </cell>
          <cell r="E142" t="str">
            <v/>
          </cell>
          <cell r="F142" t="str">
            <v/>
          </cell>
          <cell r="G142" t="str">
            <v/>
          </cell>
          <cell r="H142" t="str">
            <v/>
          </cell>
          <cell r="N142" t="str">
            <v/>
          </cell>
          <cell r="O142" t="str">
            <v/>
          </cell>
          <cell r="P142" t="str">
            <v/>
          </cell>
          <cell r="T142" t="str">
            <v/>
          </cell>
          <cell r="V142" t="str">
            <v/>
          </cell>
          <cell r="X142" t="str">
            <v/>
          </cell>
          <cell r="Y142" t="str">
            <v/>
          </cell>
          <cell r="Z142" t="str">
            <v/>
          </cell>
          <cell r="AG142" t="str">
            <v/>
          </cell>
          <cell r="AH142" t="str">
            <v/>
          </cell>
          <cell r="AK142" t="str">
            <v/>
          </cell>
          <cell r="AL142" t="str">
            <v/>
          </cell>
          <cell r="AM142" t="str">
            <v/>
          </cell>
          <cell r="AT142" t="str">
            <v/>
          </cell>
          <cell r="BB142" t="str">
            <v/>
          </cell>
          <cell r="BC142" t="str">
            <v/>
          </cell>
        </row>
        <row r="143">
          <cell r="C143" t="str">
            <v/>
          </cell>
          <cell r="D143" t="str">
            <v/>
          </cell>
          <cell r="E143" t="str">
            <v/>
          </cell>
          <cell r="F143" t="str">
            <v/>
          </cell>
          <cell r="G143" t="str">
            <v/>
          </cell>
          <cell r="H143" t="str">
            <v/>
          </cell>
          <cell r="N143" t="str">
            <v/>
          </cell>
          <cell r="O143" t="str">
            <v/>
          </cell>
          <cell r="P143" t="str">
            <v/>
          </cell>
          <cell r="T143" t="str">
            <v/>
          </cell>
          <cell r="V143" t="str">
            <v/>
          </cell>
          <cell r="X143" t="str">
            <v/>
          </cell>
          <cell r="Y143" t="str">
            <v/>
          </cell>
          <cell r="Z143" t="str">
            <v/>
          </cell>
          <cell r="AG143" t="str">
            <v/>
          </cell>
          <cell r="AH143" t="str">
            <v/>
          </cell>
          <cell r="AK143" t="str">
            <v/>
          </cell>
          <cell r="AL143" t="str">
            <v/>
          </cell>
          <cell r="AM143" t="str">
            <v/>
          </cell>
          <cell r="AT143" t="str">
            <v/>
          </cell>
          <cell r="BB143" t="str">
            <v/>
          </cell>
          <cell r="BC143" t="str">
            <v/>
          </cell>
        </row>
        <row r="144">
          <cell r="C144" t="str">
            <v/>
          </cell>
          <cell r="D144" t="str">
            <v/>
          </cell>
          <cell r="E144" t="str">
            <v/>
          </cell>
          <cell r="F144" t="str">
            <v/>
          </cell>
          <cell r="G144" t="str">
            <v/>
          </cell>
          <cell r="H144" t="str">
            <v/>
          </cell>
          <cell r="N144" t="str">
            <v/>
          </cell>
          <cell r="O144" t="str">
            <v/>
          </cell>
          <cell r="P144" t="str">
            <v/>
          </cell>
          <cell r="T144" t="str">
            <v/>
          </cell>
          <cell r="V144" t="str">
            <v/>
          </cell>
          <cell r="X144" t="str">
            <v/>
          </cell>
          <cell r="Y144" t="str">
            <v/>
          </cell>
          <cell r="Z144" t="str">
            <v/>
          </cell>
          <cell r="AG144" t="str">
            <v/>
          </cell>
          <cell r="AH144" t="str">
            <v/>
          </cell>
          <cell r="AK144" t="str">
            <v/>
          </cell>
          <cell r="AL144" t="str">
            <v/>
          </cell>
          <cell r="AM144" t="str">
            <v/>
          </cell>
          <cell r="AT144" t="str">
            <v/>
          </cell>
          <cell r="BB144" t="str">
            <v/>
          </cell>
          <cell r="BC144" t="str">
            <v/>
          </cell>
        </row>
        <row r="145">
          <cell r="C145" t="str">
            <v/>
          </cell>
          <cell r="D145" t="str">
            <v/>
          </cell>
          <cell r="E145" t="str">
            <v/>
          </cell>
          <cell r="F145" t="str">
            <v/>
          </cell>
          <cell r="G145" t="str">
            <v/>
          </cell>
          <cell r="H145" t="str">
            <v/>
          </cell>
          <cell r="N145" t="str">
            <v/>
          </cell>
          <cell r="O145" t="str">
            <v/>
          </cell>
          <cell r="P145" t="str">
            <v/>
          </cell>
          <cell r="T145" t="str">
            <v/>
          </cell>
          <cell r="V145" t="str">
            <v/>
          </cell>
          <cell r="X145" t="str">
            <v/>
          </cell>
          <cell r="Y145" t="str">
            <v/>
          </cell>
          <cell r="Z145" t="str">
            <v/>
          </cell>
          <cell r="AG145" t="str">
            <v/>
          </cell>
          <cell r="AH145" t="str">
            <v/>
          </cell>
          <cell r="AK145" t="str">
            <v/>
          </cell>
          <cell r="AL145" t="str">
            <v/>
          </cell>
          <cell r="AM145" t="str">
            <v/>
          </cell>
          <cell r="AT145" t="str">
            <v/>
          </cell>
          <cell r="BB145" t="str">
            <v/>
          </cell>
          <cell r="BC145" t="str">
            <v/>
          </cell>
        </row>
        <row r="146">
          <cell r="C146" t="str">
            <v/>
          </cell>
          <cell r="D146" t="str">
            <v/>
          </cell>
          <cell r="E146" t="str">
            <v/>
          </cell>
          <cell r="F146" t="str">
            <v/>
          </cell>
          <cell r="G146" t="str">
            <v/>
          </cell>
          <cell r="H146" t="str">
            <v/>
          </cell>
          <cell r="N146" t="str">
            <v/>
          </cell>
          <cell r="O146" t="str">
            <v/>
          </cell>
          <cell r="P146" t="str">
            <v/>
          </cell>
          <cell r="T146" t="str">
            <v/>
          </cell>
          <cell r="V146" t="str">
            <v/>
          </cell>
          <cell r="X146" t="str">
            <v/>
          </cell>
          <cell r="Y146" t="str">
            <v/>
          </cell>
          <cell r="Z146" t="str">
            <v/>
          </cell>
          <cell r="AG146" t="str">
            <v/>
          </cell>
          <cell r="AH146" t="str">
            <v/>
          </cell>
          <cell r="AK146" t="str">
            <v/>
          </cell>
          <cell r="AL146" t="str">
            <v/>
          </cell>
          <cell r="AM146" t="str">
            <v/>
          </cell>
          <cell r="AT146" t="str">
            <v/>
          </cell>
          <cell r="BB146" t="str">
            <v/>
          </cell>
          <cell r="BC146" t="str">
            <v/>
          </cell>
        </row>
        <row r="147">
          <cell r="C147" t="str">
            <v/>
          </cell>
          <cell r="D147" t="str">
            <v/>
          </cell>
          <cell r="E147" t="str">
            <v/>
          </cell>
          <cell r="F147" t="str">
            <v/>
          </cell>
          <cell r="G147" t="str">
            <v/>
          </cell>
          <cell r="H147" t="str">
            <v/>
          </cell>
          <cell r="N147" t="str">
            <v/>
          </cell>
          <cell r="O147" t="str">
            <v/>
          </cell>
          <cell r="P147" t="str">
            <v/>
          </cell>
          <cell r="T147" t="str">
            <v/>
          </cell>
          <cell r="V147" t="str">
            <v/>
          </cell>
          <cell r="X147" t="str">
            <v/>
          </cell>
          <cell r="Y147" t="str">
            <v/>
          </cell>
          <cell r="Z147" t="str">
            <v/>
          </cell>
          <cell r="AG147" t="str">
            <v/>
          </cell>
          <cell r="AH147" t="str">
            <v/>
          </cell>
          <cell r="AK147" t="str">
            <v/>
          </cell>
          <cell r="AL147" t="str">
            <v/>
          </cell>
          <cell r="AM147" t="str">
            <v/>
          </cell>
          <cell r="AT147" t="str">
            <v/>
          </cell>
          <cell r="BB147" t="str">
            <v/>
          </cell>
          <cell r="BC147" t="str">
            <v/>
          </cell>
        </row>
        <row r="148">
          <cell r="C148" t="str">
            <v/>
          </cell>
          <cell r="D148" t="str">
            <v/>
          </cell>
          <cell r="E148" t="str">
            <v/>
          </cell>
          <cell r="F148" t="str">
            <v/>
          </cell>
          <cell r="G148" t="str">
            <v/>
          </cell>
          <cell r="H148" t="str">
            <v/>
          </cell>
          <cell r="N148" t="str">
            <v/>
          </cell>
          <cell r="O148" t="str">
            <v/>
          </cell>
          <cell r="P148" t="str">
            <v/>
          </cell>
          <cell r="T148" t="str">
            <v/>
          </cell>
          <cell r="V148" t="str">
            <v/>
          </cell>
          <cell r="X148" t="str">
            <v/>
          </cell>
          <cell r="Y148" t="str">
            <v/>
          </cell>
          <cell r="Z148" t="str">
            <v/>
          </cell>
          <cell r="AG148" t="str">
            <v/>
          </cell>
          <cell r="AH148" t="str">
            <v/>
          </cell>
          <cell r="AK148" t="str">
            <v/>
          </cell>
          <cell r="AL148" t="str">
            <v/>
          </cell>
          <cell r="AM148" t="str">
            <v/>
          </cell>
          <cell r="AT148" t="str">
            <v/>
          </cell>
          <cell r="BB148" t="str">
            <v/>
          </cell>
          <cell r="BC148" t="str">
            <v/>
          </cell>
        </row>
        <row r="149">
          <cell r="C149" t="str">
            <v/>
          </cell>
          <cell r="D149" t="str">
            <v/>
          </cell>
          <cell r="E149" t="str">
            <v/>
          </cell>
          <cell r="F149" t="str">
            <v/>
          </cell>
          <cell r="G149" t="str">
            <v/>
          </cell>
          <cell r="H149" t="str">
            <v/>
          </cell>
          <cell r="N149" t="str">
            <v/>
          </cell>
          <cell r="O149" t="str">
            <v/>
          </cell>
          <cell r="P149" t="str">
            <v/>
          </cell>
          <cell r="T149" t="str">
            <v/>
          </cell>
          <cell r="V149" t="str">
            <v/>
          </cell>
          <cell r="X149" t="str">
            <v/>
          </cell>
          <cell r="Y149" t="str">
            <v/>
          </cell>
          <cell r="Z149" t="str">
            <v/>
          </cell>
          <cell r="AG149" t="str">
            <v/>
          </cell>
          <cell r="AH149" t="str">
            <v/>
          </cell>
          <cell r="AK149" t="str">
            <v/>
          </cell>
          <cell r="AL149" t="str">
            <v/>
          </cell>
          <cell r="AM149" t="str">
            <v/>
          </cell>
          <cell r="AT149" t="str">
            <v/>
          </cell>
          <cell r="BB149" t="str">
            <v/>
          </cell>
          <cell r="BC149" t="str">
            <v/>
          </cell>
        </row>
        <row r="150">
          <cell r="C150" t="str">
            <v/>
          </cell>
          <cell r="D150" t="str">
            <v/>
          </cell>
          <cell r="E150" t="str">
            <v/>
          </cell>
          <cell r="F150" t="str">
            <v/>
          </cell>
          <cell r="G150" t="str">
            <v/>
          </cell>
          <cell r="H150" t="str">
            <v/>
          </cell>
          <cell r="N150" t="str">
            <v/>
          </cell>
          <cell r="O150" t="str">
            <v/>
          </cell>
          <cell r="P150" t="str">
            <v/>
          </cell>
          <cell r="T150" t="str">
            <v/>
          </cell>
          <cell r="V150" t="str">
            <v/>
          </cell>
          <cell r="X150" t="str">
            <v/>
          </cell>
          <cell r="Y150" t="str">
            <v/>
          </cell>
          <cell r="Z150" t="str">
            <v/>
          </cell>
          <cell r="AG150" t="str">
            <v/>
          </cell>
          <cell r="AH150" t="str">
            <v/>
          </cell>
          <cell r="AK150" t="str">
            <v/>
          </cell>
          <cell r="AL150" t="str">
            <v/>
          </cell>
          <cell r="AM150" t="str">
            <v/>
          </cell>
          <cell r="AT150" t="str">
            <v/>
          </cell>
          <cell r="BB150" t="str">
            <v/>
          </cell>
          <cell r="BC150" t="str">
            <v/>
          </cell>
        </row>
        <row r="151">
          <cell r="C151" t="str">
            <v/>
          </cell>
          <cell r="D151" t="str">
            <v/>
          </cell>
          <cell r="E151" t="str">
            <v/>
          </cell>
          <cell r="F151" t="str">
            <v/>
          </cell>
          <cell r="G151" t="str">
            <v/>
          </cell>
          <cell r="H151" t="str">
            <v/>
          </cell>
          <cell r="N151" t="str">
            <v/>
          </cell>
          <cell r="O151" t="str">
            <v/>
          </cell>
          <cell r="P151" t="str">
            <v/>
          </cell>
          <cell r="T151" t="str">
            <v/>
          </cell>
          <cell r="V151" t="str">
            <v/>
          </cell>
          <cell r="X151" t="str">
            <v/>
          </cell>
          <cell r="Y151" t="str">
            <v/>
          </cell>
          <cell r="Z151" t="str">
            <v/>
          </cell>
          <cell r="AG151" t="str">
            <v/>
          </cell>
          <cell r="AH151" t="str">
            <v/>
          </cell>
          <cell r="AK151" t="str">
            <v/>
          </cell>
          <cell r="AL151" t="str">
            <v/>
          </cell>
          <cell r="AM151" t="str">
            <v/>
          </cell>
          <cell r="AT151" t="str">
            <v/>
          </cell>
          <cell r="BB151" t="str">
            <v/>
          </cell>
          <cell r="BC151" t="str">
            <v/>
          </cell>
        </row>
        <row r="152">
          <cell r="C152" t="str">
            <v/>
          </cell>
          <cell r="D152" t="str">
            <v/>
          </cell>
          <cell r="E152" t="str">
            <v/>
          </cell>
          <cell r="F152" t="str">
            <v/>
          </cell>
          <cell r="G152" t="str">
            <v/>
          </cell>
          <cell r="H152" t="str">
            <v/>
          </cell>
          <cell r="N152" t="str">
            <v/>
          </cell>
          <cell r="O152" t="str">
            <v/>
          </cell>
          <cell r="P152" t="str">
            <v/>
          </cell>
          <cell r="T152" t="str">
            <v/>
          </cell>
          <cell r="V152" t="str">
            <v/>
          </cell>
          <cell r="X152" t="str">
            <v/>
          </cell>
          <cell r="Y152" t="str">
            <v/>
          </cell>
          <cell r="Z152" t="str">
            <v/>
          </cell>
          <cell r="AG152" t="str">
            <v/>
          </cell>
          <cell r="AH152" t="str">
            <v/>
          </cell>
          <cell r="AK152" t="str">
            <v/>
          </cell>
          <cell r="AL152" t="str">
            <v/>
          </cell>
          <cell r="AM152" t="str">
            <v/>
          </cell>
          <cell r="AT152" t="str">
            <v/>
          </cell>
          <cell r="BB152" t="str">
            <v/>
          </cell>
          <cell r="BC152" t="str">
            <v/>
          </cell>
        </row>
        <row r="153">
          <cell r="C153" t="str">
            <v/>
          </cell>
          <cell r="D153" t="str">
            <v/>
          </cell>
          <cell r="E153" t="str">
            <v/>
          </cell>
          <cell r="F153" t="str">
            <v/>
          </cell>
          <cell r="G153" t="str">
            <v/>
          </cell>
          <cell r="H153" t="str">
            <v/>
          </cell>
          <cell r="N153" t="str">
            <v/>
          </cell>
          <cell r="O153" t="str">
            <v/>
          </cell>
          <cell r="P153" t="str">
            <v/>
          </cell>
          <cell r="T153" t="str">
            <v/>
          </cell>
          <cell r="V153" t="str">
            <v/>
          </cell>
          <cell r="X153" t="str">
            <v/>
          </cell>
          <cell r="Y153" t="str">
            <v/>
          </cell>
          <cell r="Z153" t="str">
            <v/>
          </cell>
          <cell r="AG153" t="str">
            <v/>
          </cell>
          <cell r="AH153" t="str">
            <v/>
          </cell>
          <cell r="AK153" t="str">
            <v/>
          </cell>
          <cell r="AL153" t="str">
            <v/>
          </cell>
          <cell r="AM153" t="str">
            <v/>
          </cell>
          <cell r="AT153" t="str">
            <v/>
          </cell>
          <cell r="BB153" t="str">
            <v/>
          </cell>
          <cell r="BC153" t="str">
            <v/>
          </cell>
        </row>
        <row r="154">
          <cell r="C154" t="str">
            <v/>
          </cell>
          <cell r="D154" t="str">
            <v/>
          </cell>
          <cell r="E154" t="str">
            <v/>
          </cell>
          <cell r="F154" t="str">
            <v/>
          </cell>
          <cell r="G154" t="str">
            <v/>
          </cell>
          <cell r="H154" t="str">
            <v/>
          </cell>
          <cell r="N154" t="str">
            <v/>
          </cell>
          <cell r="O154" t="str">
            <v/>
          </cell>
          <cell r="P154" t="str">
            <v/>
          </cell>
          <cell r="T154" t="str">
            <v/>
          </cell>
          <cell r="V154" t="str">
            <v/>
          </cell>
          <cell r="X154" t="str">
            <v/>
          </cell>
          <cell r="Y154" t="str">
            <v/>
          </cell>
          <cell r="Z154" t="str">
            <v/>
          </cell>
          <cell r="AG154" t="str">
            <v/>
          </cell>
          <cell r="AH154" t="str">
            <v/>
          </cell>
          <cell r="AK154" t="str">
            <v/>
          </cell>
          <cell r="AL154" t="str">
            <v/>
          </cell>
          <cell r="AM154" t="str">
            <v/>
          </cell>
          <cell r="AT154" t="str">
            <v/>
          </cell>
          <cell r="BB154" t="str">
            <v/>
          </cell>
          <cell r="BC154" t="str">
            <v/>
          </cell>
        </row>
        <row r="155">
          <cell r="C155" t="str">
            <v/>
          </cell>
          <cell r="D155" t="str">
            <v/>
          </cell>
          <cell r="E155" t="str">
            <v/>
          </cell>
          <cell r="F155" t="str">
            <v/>
          </cell>
          <cell r="G155" t="str">
            <v/>
          </cell>
          <cell r="H155" t="str">
            <v/>
          </cell>
          <cell r="N155" t="str">
            <v/>
          </cell>
          <cell r="O155" t="str">
            <v/>
          </cell>
          <cell r="P155" t="str">
            <v/>
          </cell>
          <cell r="T155" t="str">
            <v/>
          </cell>
          <cell r="V155" t="str">
            <v/>
          </cell>
          <cell r="X155" t="str">
            <v/>
          </cell>
          <cell r="Y155" t="str">
            <v/>
          </cell>
          <cell r="Z155" t="str">
            <v/>
          </cell>
          <cell r="AG155" t="str">
            <v/>
          </cell>
          <cell r="AH155" t="str">
            <v/>
          </cell>
          <cell r="AK155" t="str">
            <v/>
          </cell>
          <cell r="AL155" t="str">
            <v/>
          </cell>
          <cell r="AM155" t="str">
            <v/>
          </cell>
          <cell r="AT155" t="str">
            <v/>
          </cell>
          <cell r="BB155" t="str">
            <v/>
          </cell>
          <cell r="BC155" t="str">
            <v/>
          </cell>
        </row>
        <row r="156">
          <cell r="C156" t="str">
            <v/>
          </cell>
          <cell r="D156" t="str">
            <v/>
          </cell>
          <cell r="E156" t="str">
            <v/>
          </cell>
          <cell r="F156" t="str">
            <v/>
          </cell>
          <cell r="G156" t="str">
            <v/>
          </cell>
          <cell r="H156" t="str">
            <v/>
          </cell>
          <cell r="N156" t="str">
            <v/>
          </cell>
          <cell r="O156" t="str">
            <v/>
          </cell>
          <cell r="P156" t="str">
            <v/>
          </cell>
          <cell r="T156" t="str">
            <v/>
          </cell>
          <cell r="V156" t="str">
            <v/>
          </cell>
          <cell r="X156" t="str">
            <v/>
          </cell>
          <cell r="Y156" t="str">
            <v/>
          </cell>
          <cell r="Z156" t="str">
            <v/>
          </cell>
          <cell r="AG156" t="str">
            <v/>
          </cell>
          <cell r="AH156" t="str">
            <v/>
          </cell>
          <cell r="AK156" t="str">
            <v/>
          </cell>
          <cell r="AL156" t="str">
            <v/>
          </cell>
          <cell r="AM156" t="str">
            <v/>
          </cell>
          <cell r="AT156" t="str">
            <v/>
          </cell>
          <cell r="BB156" t="str">
            <v/>
          </cell>
          <cell r="BC156" t="str">
            <v/>
          </cell>
        </row>
        <row r="157">
          <cell r="C157" t="str">
            <v/>
          </cell>
          <cell r="D157" t="str">
            <v/>
          </cell>
          <cell r="E157" t="str">
            <v/>
          </cell>
          <cell r="F157" t="str">
            <v/>
          </cell>
          <cell r="G157" t="str">
            <v/>
          </cell>
          <cell r="H157" t="str">
            <v/>
          </cell>
          <cell r="N157" t="str">
            <v/>
          </cell>
          <cell r="O157" t="str">
            <v/>
          </cell>
          <cell r="P157" t="str">
            <v/>
          </cell>
          <cell r="T157" t="str">
            <v/>
          </cell>
          <cell r="V157" t="str">
            <v/>
          </cell>
          <cell r="X157" t="str">
            <v/>
          </cell>
          <cell r="Y157" t="str">
            <v/>
          </cell>
          <cell r="Z157" t="str">
            <v/>
          </cell>
          <cell r="AG157" t="str">
            <v/>
          </cell>
          <cell r="AH157" t="str">
            <v/>
          </cell>
          <cell r="AK157" t="str">
            <v/>
          </cell>
          <cell r="AL157" t="str">
            <v/>
          </cell>
          <cell r="AM157" t="str">
            <v/>
          </cell>
          <cell r="AT157" t="str">
            <v/>
          </cell>
          <cell r="BB157" t="str">
            <v/>
          </cell>
          <cell r="BC157" t="str">
            <v/>
          </cell>
        </row>
        <row r="158">
          <cell r="C158" t="str">
            <v/>
          </cell>
          <cell r="D158" t="str">
            <v/>
          </cell>
          <cell r="E158" t="str">
            <v/>
          </cell>
          <cell r="F158" t="str">
            <v/>
          </cell>
          <cell r="G158" t="str">
            <v/>
          </cell>
          <cell r="H158" t="str">
            <v/>
          </cell>
          <cell r="N158" t="str">
            <v/>
          </cell>
          <cell r="O158" t="str">
            <v/>
          </cell>
          <cell r="P158" t="str">
            <v/>
          </cell>
          <cell r="T158" t="str">
            <v/>
          </cell>
          <cell r="V158" t="str">
            <v/>
          </cell>
          <cell r="X158" t="str">
            <v/>
          </cell>
          <cell r="Y158" t="str">
            <v/>
          </cell>
          <cell r="Z158" t="str">
            <v/>
          </cell>
          <cell r="AG158" t="str">
            <v/>
          </cell>
          <cell r="AH158" t="str">
            <v/>
          </cell>
          <cell r="AK158" t="str">
            <v/>
          </cell>
          <cell r="AL158" t="str">
            <v/>
          </cell>
          <cell r="AM158" t="str">
            <v/>
          </cell>
          <cell r="AT158" t="str">
            <v/>
          </cell>
          <cell r="BB158" t="str">
            <v/>
          </cell>
          <cell r="BC158" t="str">
            <v/>
          </cell>
        </row>
        <row r="159">
          <cell r="C159" t="str">
            <v/>
          </cell>
          <cell r="D159" t="str">
            <v/>
          </cell>
          <cell r="E159" t="str">
            <v/>
          </cell>
          <cell r="F159" t="str">
            <v/>
          </cell>
          <cell r="G159" t="str">
            <v/>
          </cell>
          <cell r="H159" t="str">
            <v/>
          </cell>
          <cell r="N159" t="str">
            <v/>
          </cell>
          <cell r="O159" t="str">
            <v/>
          </cell>
          <cell r="P159" t="str">
            <v/>
          </cell>
          <cell r="T159" t="str">
            <v/>
          </cell>
          <cell r="V159" t="str">
            <v/>
          </cell>
          <cell r="X159" t="str">
            <v/>
          </cell>
          <cell r="Y159" t="str">
            <v/>
          </cell>
          <cell r="Z159" t="str">
            <v/>
          </cell>
          <cell r="AG159" t="str">
            <v/>
          </cell>
          <cell r="AH159" t="str">
            <v/>
          </cell>
          <cell r="AK159" t="str">
            <v/>
          </cell>
          <cell r="AL159" t="str">
            <v/>
          </cell>
          <cell r="AM159" t="str">
            <v/>
          </cell>
          <cell r="AT159" t="str">
            <v/>
          </cell>
          <cell r="BB159" t="str">
            <v/>
          </cell>
          <cell r="BC159" t="str">
            <v/>
          </cell>
        </row>
      </sheetData>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Onur KÖSEOĞLU" id="{024F3ED9-D54D-4EBA-80F8-D92CE11CC1CE}" userId="S::onurkoseoglu@bozankaya.com::1db081dd-b9a2-4cc4-9335-b00148c261c2" providerId="AD"/>
</personList>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1" dT="2024-11-13T11:05:28.75" personId="{024F3ED9-D54D-4EBA-80F8-D92CE11CC1CE}" id="{D8395307-482F-4F99-A4E8-2186668CAE5E}">
    <text>06:30:00	09:30:00	16:00:00	19:30:00
Şeklinde idi. Şartname 2.2.5 deki ‘’a) Sabah ve Akşam doruk saat (07:00 -9:00, 17:00-19:00) süreçleri istenilen hizmet verilebilirlik &gt; %98.5’’ değerinden veirler alınıp değiştirildi.</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1">
    <tabColor rgb="FF00B050"/>
    <pageSetUpPr fitToPage="1"/>
  </sheetPr>
  <dimension ref="A1:AB161"/>
  <sheetViews>
    <sheetView showGridLines="0" tabSelected="1" zoomScaleNormal="100" zoomScaleSheetLayoutView="70" workbookViewId="0">
      <pane ySplit="4" topLeftCell="A5" activePane="bottomLeft" state="frozen"/>
      <selection activeCell="A222" sqref="A222:XFD222"/>
      <selection pane="bottomLeft" activeCell="X4" sqref="X4"/>
    </sheetView>
  </sheetViews>
  <sheetFormatPr defaultColWidth="5.5703125" defaultRowHeight="118.5" customHeight="1" x14ac:dyDescent="0.25"/>
  <cols>
    <col min="1" max="1" width="3.85546875" style="19" customWidth="1"/>
    <col min="2" max="4" width="2.85546875" style="19" customWidth="1"/>
    <col min="5" max="5" width="2.85546875" style="20" customWidth="1"/>
    <col min="6" max="6" width="2.5703125" style="42" customWidth="1"/>
    <col min="7" max="7" width="10.7109375" style="19" bestFit="1" customWidth="1"/>
    <col min="8" max="8" width="10.7109375" style="19" customWidth="1"/>
    <col min="9" max="9" width="8.42578125" style="19" customWidth="1"/>
    <col min="10" max="10" width="17.140625" style="19" customWidth="1"/>
    <col min="11" max="11" width="5.7109375" style="19" customWidth="1"/>
    <col min="12" max="12" width="3.140625" style="21" customWidth="1"/>
    <col min="13" max="13" width="20.140625" style="21" customWidth="1"/>
    <col min="14" max="14" width="3" style="21" customWidth="1"/>
    <col min="15" max="15" width="2.7109375" style="21" customWidth="1"/>
    <col min="16" max="16" width="3" style="21" customWidth="1"/>
    <col min="17" max="17" width="2.5703125" style="43" customWidth="1"/>
    <col min="18" max="18" width="5.28515625" style="43" customWidth="1"/>
    <col min="19" max="19" width="6.85546875" style="46" customWidth="1"/>
    <col min="20" max="20" width="3" style="42" customWidth="1"/>
    <col min="21" max="21" width="5.140625" style="19" customWidth="1"/>
    <col min="22" max="22" width="6.28515625" style="52" customWidth="1"/>
    <col min="23" max="23" width="5.42578125" style="52" customWidth="1"/>
    <col min="24" max="24" width="3.42578125" style="20" customWidth="1"/>
    <col min="25" max="25" width="6" style="20" customWidth="1"/>
    <col min="26" max="26" width="5.7109375" style="21" customWidth="1"/>
    <col min="27" max="27" width="3.42578125" style="21" customWidth="1"/>
    <col min="28" max="28" width="4.28515625" style="58" customWidth="1"/>
    <col min="29" max="16384" width="5.5703125" style="19"/>
  </cols>
  <sheetData>
    <row r="1" spans="1:28" s="6" customFormat="1" ht="73.5" customHeight="1" x14ac:dyDescent="0.2">
      <c r="A1" s="4"/>
      <c r="B1" s="5"/>
      <c r="C1" s="5"/>
      <c r="D1" s="5"/>
      <c r="E1" s="11"/>
      <c r="F1" s="44"/>
      <c r="G1" s="5"/>
      <c r="H1" s="5"/>
      <c r="I1" s="5"/>
      <c r="J1" s="78" t="s">
        <v>5</v>
      </c>
      <c r="K1" s="78"/>
      <c r="L1" s="78"/>
      <c r="M1" s="78"/>
      <c r="N1" s="78"/>
      <c r="O1" s="78"/>
      <c r="P1" s="78"/>
      <c r="Q1" s="78"/>
      <c r="R1" s="75" t="s">
        <v>6</v>
      </c>
      <c r="S1" s="76"/>
      <c r="T1" s="75"/>
      <c r="U1" s="75"/>
      <c r="V1" s="77"/>
      <c r="W1" s="77"/>
      <c r="X1" s="48">
        <f ca="1">TODAY()</f>
        <v>46055</v>
      </c>
      <c r="Y1" s="37" t="s">
        <v>7</v>
      </c>
      <c r="Z1" s="38" t="s">
        <v>8</v>
      </c>
      <c r="AA1" s="63">
        <v>0.29166666666666669</v>
      </c>
      <c r="AB1" s="72"/>
    </row>
    <row r="2" spans="1:28" s="2" customFormat="1" ht="11.25" customHeight="1" x14ac:dyDescent="0.2">
      <c r="A2" s="8"/>
      <c r="B2" s="1"/>
      <c r="C2" s="1"/>
      <c r="D2" s="1"/>
      <c r="E2" s="1"/>
      <c r="F2" s="41"/>
      <c r="G2" s="1"/>
      <c r="H2" s="1"/>
      <c r="I2" s="1"/>
      <c r="J2" s="1"/>
      <c r="K2" s="1"/>
      <c r="L2" s="3"/>
      <c r="M2" s="3"/>
      <c r="N2" s="3"/>
      <c r="O2" s="3"/>
      <c r="P2" s="3"/>
      <c r="Q2" s="10"/>
      <c r="R2" s="10"/>
      <c r="S2" s="47"/>
      <c r="T2" s="41"/>
      <c r="U2" s="9"/>
      <c r="V2" s="49"/>
      <c r="W2" s="55"/>
      <c r="X2" s="3"/>
      <c r="Y2" s="3"/>
      <c r="Z2" s="3"/>
      <c r="AA2" s="73"/>
      <c r="AB2" s="22"/>
    </row>
    <row r="3" spans="1:28" s="7" customFormat="1" ht="45" customHeight="1" thickBot="1" x14ac:dyDescent="0.3">
      <c r="A3" s="79" t="s">
        <v>0</v>
      </c>
      <c r="B3" s="80"/>
      <c r="C3" s="80"/>
      <c r="D3" s="81"/>
      <c r="E3" s="82" t="s">
        <v>1</v>
      </c>
      <c r="F3" s="83"/>
      <c r="G3" s="83"/>
      <c r="H3" s="83"/>
      <c r="I3" s="83"/>
      <c r="J3" s="83"/>
      <c r="K3" s="26" t="s">
        <v>2</v>
      </c>
      <c r="L3" s="85" t="s">
        <v>9</v>
      </c>
      <c r="M3" s="86"/>
      <c r="N3" s="86"/>
      <c r="O3" s="86"/>
      <c r="P3" s="86"/>
      <c r="Q3" s="86"/>
      <c r="R3" s="86"/>
      <c r="S3" s="87"/>
      <c r="T3" s="86"/>
      <c r="U3" s="86"/>
      <c r="V3" s="50"/>
      <c r="W3" s="56"/>
      <c r="X3" s="84"/>
      <c r="Y3" s="84"/>
      <c r="Z3" s="84"/>
      <c r="AA3" s="84"/>
      <c r="AB3" s="74"/>
    </row>
    <row r="4" spans="1:28" s="12" customFormat="1" ht="108" customHeight="1" x14ac:dyDescent="0.2">
      <c r="A4" s="64" t="s">
        <v>3</v>
      </c>
      <c r="B4" s="65" t="s">
        <v>10</v>
      </c>
      <c r="C4" s="66" t="s">
        <v>11</v>
      </c>
      <c r="D4" s="66" t="s">
        <v>12</v>
      </c>
      <c r="E4" s="67" t="s">
        <v>4</v>
      </c>
      <c r="F4" s="68" t="s">
        <v>45</v>
      </c>
      <c r="G4" s="69" t="s">
        <v>41</v>
      </c>
      <c r="H4" s="69" t="s">
        <v>42</v>
      </c>
      <c r="I4" s="27" t="s">
        <v>13</v>
      </c>
      <c r="J4" s="28" t="s">
        <v>14</v>
      </c>
      <c r="K4" s="29" t="s">
        <v>15</v>
      </c>
      <c r="L4" s="29" t="s">
        <v>16</v>
      </c>
      <c r="M4" s="60" t="s">
        <v>17</v>
      </c>
      <c r="N4" s="30" t="s">
        <v>18</v>
      </c>
      <c r="O4" s="30" t="s">
        <v>19</v>
      </c>
      <c r="P4" s="31" t="s">
        <v>20</v>
      </c>
      <c r="Q4" s="53" t="s">
        <v>46</v>
      </c>
      <c r="R4" s="59" t="s">
        <v>47</v>
      </c>
      <c r="S4" s="70" t="s">
        <v>21</v>
      </c>
      <c r="T4" s="54" t="s">
        <v>48</v>
      </c>
      <c r="U4" s="30" t="s">
        <v>22</v>
      </c>
      <c r="V4" s="51" t="s">
        <v>43</v>
      </c>
      <c r="W4" s="51" t="s">
        <v>44</v>
      </c>
      <c r="X4" s="33" t="s">
        <v>23</v>
      </c>
      <c r="Y4" s="33" t="s">
        <v>24</v>
      </c>
      <c r="Z4" s="33" t="s">
        <v>25</v>
      </c>
      <c r="AA4" s="32" t="s">
        <v>26</v>
      </c>
      <c r="AB4" s="34" t="s">
        <v>27</v>
      </c>
    </row>
    <row r="5" spans="1:28" s="18" customFormat="1" ht="129" customHeight="1" x14ac:dyDescent="0.25">
      <c r="A5" s="35" t="str">
        <f>[3]bel!C3</f>
        <v>BEL25</v>
      </c>
      <c r="B5" s="35" t="str">
        <f>[3]bel!D3</f>
        <v>1533(3)</v>
      </c>
      <c r="C5" s="15" t="str">
        <f>[3]bel!E3</f>
        <v>T</v>
      </c>
      <c r="D5" s="15">
        <f>[3]bel!F3</f>
        <v>12859</v>
      </c>
      <c r="E5" s="16" t="str">
        <f>[3]bel!G3</f>
        <v>BOZ-BEL25-FF-001</v>
      </c>
      <c r="F5" s="62">
        <f>[3]bel!H3</f>
        <v>45970.625</v>
      </c>
      <c r="G5" s="13" t="s">
        <v>28</v>
      </c>
      <c r="H5" s="13"/>
      <c r="I5" s="14" t="str">
        <f>[3]bel!Y3</f>
        <v/>
      </c>
      <c r="J5" s="23" t="str">
        <f>[3]bel!O3</f>
        <v xml:space="preserve">MC ve T modüllerde yolcu ayakaltı kapaklardaki conta ve fitil bölgelerinden içeriye su girdi. </v>
      </c>
      <c r="K5" s="36" t="str">
        <f>[3]bel!T3</f>
        <v>C(Sisteme etki etmeyen arıza)</v>
      </c>
      <c r="L5" s="24" t="str" cm="1">
        <f t="array" ref="L5">_xlfn.IFS([3]bel!X3="Bozankaya","Bozankaya",[3]bel!X3="Müşteri","Customer",[3]bel!X3="Tedarikçi","Equipment Supplier")</f>
        <v>Equipment Supplier</v>
      </c>
      <c r="M5" s="61" t="str">
        <f>[3]bel!P3</f>
        <v>MC ve T modüllerde yolcu koltuk altlarında bulunan iki adet kapaktan içeriye su girişi tespit edilmiştir. Bunun sebebi dışarıda yağmur yağdığından dolayı tekerlekler ilgili kısma su sıçratmış olmasından dolayıdır.</v>
      </c>
      <c r="N5" s="25" t="str">
        <f>[3]bel!AG3</f>
        <v>Ekipman yenisi ile değiştirildi</v>
      </c>
      <c r="O5" s="25" t="str">
        <f>[3]bel!Z3</f>
        <v>Evet</v>
      </c>
      <c r="P5" s="17">
        <f>[3]bel!BB3</f>
        <v>1</v>
      </c>
      <c r="Q5" s="62">
        <f>[3]bel!AH3</f>
        <v>45970.666666666701</v>
      </c>
      <c r="R5" s="62">
        <f>[3]bel!BC3</f>
        <v>45970.75</v>
      </c>
      <c r="S5" s="45">
        <f t="shared" ref="S5:S36" si="0">IF(T5="","",(T5-F5)*24*60)</f>
        <v>180</v>
      </c>
      <c r="T5" s="62">
        <f>[3]bel!BC3</f>
        <v>45970.75</v>
      </c>
      <c r="U5" s="40" t="str">
        <f>[3]bel!V3</f>
        <v>(I) İlk Defa Karşılaşılan Arıza</v>
      </c>
      <c r="V5" s="45" cm="1">
        <f t="array" ref="V5">IFERROR(IF(AND(K5&lt;&gt;"D(Arıza Değil)",#REF!="Bu Arıza Aracın Servise Verilmesine Engel Değil"),
IF(#REF!-#REF!&gt;0,(R5-Q5)*24*60,
IF(OR(AND(#REF!&gt;$AA$1,#REF!&lt;#REF!),AND(#REF!&gt;#REF!,#REF!&lt;#REF!)),
(T5-F5)*24*60,     BH:BH0)),        W5),0)</f>
        <v>0</v>
      </c>
      <c r="W5" s="45">
        <f t="shared" ref="W5:W36" si="1">IFERROR(IF(K5&lt;&gt;"D(Arıza Değil)",S5,0),0)</f>
        <v>180</v>
      </c>
      <c r="X5" s="39" t="str">
        <f>[3]bel!AL3</f>
        <v/>
      </c>
      <c r="Y5" s="39" t="str">
        <f>[3]bel!AT3</f>
        <v/>
      </c>
      <c r="Z5" s="39" t="str">
        <f>[3]bel!AK3</f>
        <v>fitil</v>
      </c>
      <c r="AA5" s="39">
        <f>[3]bel!AM3</f>
        <v>2</v>
      </c>
      <c r="AB5" s="57" t="e">
        <f>P5*S5*#REF!</f>
        <v>#REF!</v>
      </c>
    </row>
    <row r="6" spans="1:28" s="18" customFormat="1" ht="118.5" customHeight="1" x14ac:dyDescent="0.25">
      <c r="A6" s="35" t="str">
        <f>[3]bel!C4</f>
        <v>BEL25</v>
      </c>
      <c r="B6" s="35" t="str">
        <f>[3]bel!D4</f>
        <v>1539(9)</v>
      </c>
      <c r="C6" s="15" t="str">
        <f>[3]bel!E4</f>
        <v>MC</v>
      </c>
      <c r="D6" s="15">
        <f>[3]bel!F4</f>
        <v>12</v>
      </c>
      <c r="E6" s="16" t="str">
        <f>[3]bel!G4</f>
        <v>BOZ-BEL25-FF-002</v>
      </c>
      <c r="F6" s="62">
        <f>[3]bel!H4</f>
        <v>45970.416666666701</v>
      </c>
      <c r="G6" s="13" t="s">
        <v>29</v>
      </c>
      <c r="H6" s="13"/>
      <c r="I6" s="14" t="str">
        <f>[3]bel!Y4</f>
        <v>Kalite</v>
      </c>
      <c r="J6" s="23" t="str">
        <f>[3]bel!O4</f>
        <v>CCTV kontrolü esnasında kameranın ters monte edildiği farkedildi.</v>
      </c>
      <c r="K6" s="36" t="str">
        <f>[3]bel!T4</f>
        <v>C(Sisteme etki etmeyen arıza)</v>
      </c>
      <c r="L6" s="24" t="str" cm="1">
        <f t="array" ref="L6">_xlfn.IFS([3]bel!X4="Bozankaya","Bozankaya",[3]bel!X4="Müşteri","Customer",[3]bel!X4="Tedarikçi","Equipment Supplier")</f>
        <v>Bozankaya</v>
      </c>
      <c r="M6" s="61" t="str">
        <f>[3]bel!P4</f>
        <v>CCTV fonksiyon testi yapılırken ve depo içi sürüş esnasında vibrasyondan kaynaklı ön kameranın ters montaj yapıldığı tespit edildi.</v>
      </c>
      <c r="N6" s="25" t="str">
        <f>[3]bel!AG4</f>
        <v>Gevşek bağlantı vidaları sıkıldı</v>
      </c>
      <c r="O6" s="25" t="str">
        <f>[3]bel!Z4</f>
        <v>Evet</v>
      </c>
      <c r="P6" s="17">
        <f>[3]bel!BB4</f>
        <v>1</v>
      </c>
      <c r="Q6" s="62">
        <f>[3]bel!AH4</f>
        <v>45970.416666666701</v>
      </c>
      <c r="R6" s="62">
        <f>[3]bel!BC4</f>
        <v>45970.458333333299</v>
      </c>
      <c r="S6" s="45">
        <f t="shared" si="0"/>
        <v>59.99999990221113</v>
      </c>
      <c r="T6" s="62">
        <f>[3]bel!BC4</f>
        <v>45970.458333333299</v>
      </c>
      <c r="U6" s="40" t="str">
        <f>[3]bel!V4</f>
        <v>(I) İlk Defa Karşılaşılan Arıza</v>
      </c>
      <c r="V6" s="45" cm="1">
        <f t="array" ref="V6">IFERROR(IF(AND(K6&lt;&gt;"D(Arıza Değil)",#REF!="Bu Arıza Aracın Servise Verilmesine Engel Değil"),
IF(#REF!-#REF!&gt;0,(R6-Q6)*24*60,
IF(OR(AND(#REF!&gt;$AA$1,#REF!&lt;#REF!),AND(#REF!&gt;#REF!,#REF!&lt;#REF!)),
(T6-F6)*24*60,     BH:BH0)),        W6),0)</f>
        <v>0</v>
      </c>
      <c r="W6" s="45">
        <f t="shared" si="1"/>
        <v>59.99999990221113</v>
      </c>
      <c r="X6" s="39" t="str">
        <f>[3]bel!AL4</f>
        <v/>
      </c>
      <c r="Y6" s="39" t="str">
        <f>[3]bel!AT4</f>
        <v/>
      </c>
      <c r="Z6" s="39" t="str">
        <f>[3]bel!AK4</f>
        <v/>
      </c>
      <c r="AA6" s="39" t="str">
        <f>[3]bel!AM4</f>
        <v/>
      </c>
      <c r="AB6" s="57" t="e">
        <f>P6*S6*#REF!</f>
        <v>#REF!</v>
      </c>
    </row>
    <row r="7" spans="1:28" s="18" customFormat="1" ht="118.5" customHeight="1" x14ac:dyDescent="0.25">
      <c r="A7" s="35" t="str">
        <f>[3]bel!C5</f>
        <v>BEL25</v>
      </c>
      <c r="B7" s="35" t="str">
        <f>[3]bel!D5</f>
        <v>1532(2)</v>
      </c>
      <c r="C7" s="15" t="str">
        <f>[3]bel!E5</f>
        <v>T</v>
      </c>
      <c r="D7" s="15">
        <f>[3]bel!F5</f>
        <v>11532</v>
      </c>
      <c r="E7" s="16" t="str">
        <f>[3]bel!G5</f>
        <v>BOZ-BEL25-FF-003</v>
      </c>
      <c r="F7" s="62">
        <f>[3]bel!H5</f>
        <v>45962.458333333299</v>
      </c>
      <c r="G7" s="13" t="s">
        <v>30</v>
      </c>
      <c r="H7" s="13"/>
      <c r="I7" s="14" t="str">
        <f>[3]bel!Y5</f>
        <v>MEDCOM SP. Z O.O.</v>
      </c>
      <c r="J7" s="23" t="str">
        <f>[3]bel!O5</f>
        <v>HMI ekranında CAN1 ve CAN2 arızası</v>
      </c>
      <c r="K7" s="36" t="str">
        <f>[3]bel!T5</f>
        <v>B(Servisten çekmeye etki eden arıza)</v>
      </c>
      <c r="L7" s="24" t="str" cm="1">
        <f t="array" ref="L7">_xlfn.IFS([3]bel!X5="Bozankaya","Bozankaya",[3]bel!X5="Müşteri","Customer",[3]bel!X5="Tedarikçi","Equipment Supplier")</f>
        <v>Equipment Supplier</v>
      </c>
      <c r="M7" s="61" t="str">
        <f>[3]bel!P5</f>
        <v>HMI ekranı üzerinden CAN topology izlenmiş olup sonrasında MER(event recorder) cihazına yönelilerek kök neden analizi yapıldı.</v>
      </c>
      <c r="N7" s="25" t="str">
        <f>[3]bel!AG5</f>
        <v>Ekipman yenisi ile değiştirildi</v>
      </c>
      <c r="O7" s="25" t="str">
        <f>[3]bel!Z5</f>
        <v>Evet</v>
      </c>
      <c r="P7" s="17">
        <f>[3]bel!BB5</f>
        <v>1</v>
      </c>
      <c r="Q7" s="62">
        <f>[3]bel!AH5</f>
        <v>45962.5</v>
      </c>
      <c r="R7" s="62">
        <f>[3]bel!BC5</f>
        <v>45962.583333333299</v>
      </c>
      <c r="S7" s="45">
        <f t="shared" si="0"/>
        <v>180</v>
      </c>
      <c r="T7" s="62">
        <f>[3]bel!BC5</f>
        <v>45962.583333333299</v>
      </c>
      <c r="U7" s="40" t="str">
        <f>[3]bel!V5</f>
        <v>(II) Aynı Araçta Tekrarlayan Arıza</v>
      </c>
      <c r="V7" s="45" cm="1">
        <f t="array" ref="V7">IFERROR(IF(AND(K7&lt;&gt;"D(Arıza Değil)",#REF!="Bu Arıza Aracın Servise Verilmesine Engel Değil"),
IF(#REF!-#REF!&gt;0,(R7-Q7)*24*60,
IF(OR(AND(#REF!&gt;$AA$1,#REF!&lt;#REF!),AND(#REF!&gt;#REF!,#REF!&lt;#REF!)),
(T7-F7)*24*60,     BH:BH0)),        W7),0)</f>
        <v>0</v>
      </c>
      <c r="W7" s="45">
        <f t="shared" si="1"/>
        <v>180</v>
      </c>
      <c r="X7" s="39" t="str">
        <f>[3]bel!AL5</f>
        <v/>
      </c>
      <c r="Y7" s="39" t="str">
        <f>[3]bel!AT5</f>
        <v/>
      </c>
      <c r="Z7" s="39" t="str">
        <f>[3]bel!AK5</f>
        <v/>
      </c>
      <c r="AA7" s="39" t="str">
        <f>[3]bel!AM5</f>
        <v/>
      </c>
      <c r="AB7" s="57" t="e">
        <f>P7*S7*#REF!</f>
        <v>#REF!</v>
      </c>
    </row>
    <row r="8" spans="1:28" s="18" customFormat="1" ht="120.75" customHeight="1" x14ac:dyDescent="0.25">
      <c r="A8" s="35" t="str">
        <f>[3]bel!C6</f>
        <v>BEL25</v>
      </c>
      <c r="B8" s="35" t="str">
        <f>[3]bel!D6</f>
        <v>1537(7)</v>
      </c>
      <c r="C8" s="15" t="str">
        <f>[3]bel!E6</f>
        <v>MC</v>
      </c>
      <c r="D8" s="15">
        <f>[3]bel!F6</f>
        <v>200</v>
      </c>
      <c r="E8" s="16" t="str">
        <f>[3]bel!G6</f>
        <v>BOZ-BEL25-FF-004</v>
      </c>
      <c r="F8" s="62">
        <f>[3]bel!H6</f>
        <v>45975.416666666701</v>
      </c>
      <c r="G8" s="13" t="s">
        <v>29</v>
      </c>
      <c r="H8" s="13"/>
      <c r="I8" s="14" t="str">
        <f>[3]bel!Y6</f>
        <v>NSC TEKNOLOJİ ve İNŞAAT LTD.ŞTİ.</v>
      </c>
      <c r="J8" s="23" t="str">
        <f>[3]bel!O6</f>
        <v>SA ve T Modül kameralarına ek olarak 4 adet ayna kameradan görüntü gelmemesi.</v>
      </c>
      <c r="K8" s="36" t="str">
        <f>[3]bel!T6</f>
        <v>A(Hareket etmeyi engelleyen arıza)</v>
      </c>
      <c r="L8" s="24" t="str" cm="1">
        <f t="array" ref="L8">_xlfn.IFS([3]bel!X6="Bozankaya","Bozankaya",[3]bel!X6="Müşteri","Customer",[3]bel!X6="Tedarikçi","Equipment Supplier")</f>
        <v>Equipment Supplier</v>
      </c>
      <c r="M8" s="61" t="str">
        <f>[3]bel!P6</f>
        <v>Detaylı kontrol sonucunda modüller arası görüntü kontrolü ve ayna kamera kontrolleri yapıldığında belirtilen görüntülerin gelmediği tespit edildi.</v>
      </c>
      <c r="N8" s="25" t="str">
        <f>[3]bel!AG6</f>
        <v>Ekipman yenisi ile değiştirildi</v>
      </c>
      <c r="O8" s="25" t="str">
        <f>[3]bel!Z6</f>
        <v>Evet</v>
      </c>
      <c r="P8" s="17">
        <f>[3]bel!BB6</f>
        <v>1</v>
      </c>
      <c r="Q8" s="62">
        <f>[3]bel!AH6</f>
        <v>45975.416666666701</v>
      </c>
      <c r="R8" s="62">
        <f>[3]bel!BC6</f>
        <v>45975.458333333299</v>
      </c>
      <c r="S8" s="45">
        <f t="shared" si="0"/>
        <v>59.99999990221113</v>
      </c>
      <c r="T8" s="62">
        <f>[3]bel!BC6</f>
        <v>45975.458333333299</v>
      </c>
      <c r="U8" s="40" t="str">
        <f>[3]bel!V6</f>
        <v>(III) Farklı Araçlarda Tekrarlayan Arıza</v>
      </c>
      <c r="V8" s="45" cm="1">
        <f t="array" ref="V8">IFERROR(IF(AND(K8&lt;&gt;"D(Arıza Değil)",#REF!="Bu Arıza Aracın Servise Verilmesine Engel Değil"),
IF(#REF!-#REF!&gt;0,(R8-Q8)*24*60,
IF(OR(AND(#REF!&gt;$AA$1,#REF!&lt;#REF!),AND(#REF!&gt;#REF!,#REF!&lt;#REF!)),
(T8-F8)*24*60,     BH:BH0)),        W8),0)</f>
        <v>0</v>
      </c>
      <c r="W8" s="45">
        <f t="shared" si="1"/>
        <v>59.99999990221113</v>
      </c>
      <c r="X8" s="39" t="str">
        <f>[3]bel!AL6</f>
        <v>E300-7456</v>
      </c>
      <c r="Y8" s="39" t="str">
        <f>[3]bel!AT6</f>
        <v/>
      </c>
      <c r="Z8" s="39" t="str">
        <f>[3]bel!AK6</f>
        <v>CCTV EKRANI</v>
      </c>
      <c r="AA8" s="39">
        <f>[3]bel!AM6</f>
        <v>1</v>
      </c>
      <c r="AB8" s="57" t="e">
        <f>P8*S8*#REF!</f>
        <v>#REF!</v>
      </c>
    </row>
    <row r="9" spans="1:28" s="18" customFormat="1" ht="120.75" customHeight="1" x14ac:dyDescent="0.25">
      <c r="A9" s="35" t="str">
        <f>[3]bel!C7</f>
        <v>BEL25</v>
      </c>
      <c r="B9" s="35" t="str">
        <f>[3]bel!D7</f>
        <v>1533(3)</v>
      </c>
      <c r="C9" s="15" t="str">
        <f>[3]bel!E7</f>
        <v>M</v>
      </c>
      <c r="D9" s="15">
        <f>[3]bel!F7</f>
        <v>11000</v>
      </c>
      <c r="E9" s="16" t="str">
        <f>[3]bel!G7</f>
        <v>BOZ-BEL25-FF-005</v>
      </c>
      <c r="F9" s="62">
        <f>[3]bel!H7</f>
        <v>45968.375</v>
      </c>
      <c r="G9" s="13" t="s">
        <v>31</v>
      </c>
      <c r="H9" s="13"/>
      <c r="I9" s="14" t="str">
        <f>[3]bel!Y7</f>
        <v>LOUIS WACHENHAUSEN GmbH</v>
      </c>
      <c r="J9" s="23" t="str">
        <f>[3]bel!O7</f>
        <v>MC ve M Bogie kumlama sistem nozullerinden kum gelmemesi tespiti.</v>
      </c>
      <c r="K9" s="36" t="str">
        <f>[3]bel!T7</f>
        <v>A(Hareket etmeyi engelleyen arıza)</v>
      </c>
      <c r="L9" s="24" t="str" cm="1">
        <f t="array" ref="L9">_xlfn.IFS([3]bel!X7="Bozankaya","Bozankaya",[3]bel!X7="Müşteri","Customer",[3]bel!X7="Tedarikçi","Equipment Supplier")</f>
        <v>Equipment Supplier</v>
      </c>
      <c r="M9" s="61" t="str">
        <f>[3]bel!P7</f>
        <v>Sorunu çözmek ve tespit için öncelikle kumlama kompresörü ve tank yanında bulunan MANYETİK kumlama bobini kontrolü yapıldı.</v>
      </c>
      <c r="N9" s="25" t="str">
        <f>[3]bel!AG7</f>
        <v>Ekipman yenisi ile değiştirildi</v>
      </c>
      <c r="O9" s="25" t="str">
        <f>[3]bel!Z7</f>
        <v>Evet</v>
      </c>
      <c r="P9" s="17">
        <f>[3]bel!BB7</f>
        <v>1</v>
      </c>
      <c r="Q9" s="62">
        <f>[3]bel!AH7</f>
        <v>45968.375</v>
      </c>
      <c r="R9" s="62">
        <f>[3]bel!BC7</f>
        <v>45968.543055555601</v>
      </c>
      <c r="S9" s="45">
        <f t="shared" si="0"/>
        <v>242.00000006589107</v>
      </c>
      <c r="T9" s="62">
        <f>[3]bel!BC7</f>
        <v>45968.543055555601</v>
      </c>
      <c r="U9" s="40" t="str">
        <f>[3]bel!V7</f>
        <v>(III) Farklı Araçlarda Tekrarlayan Arıza</v>
      </c>
      <c r="V9" s="45" cm="1">
        <f t="array" ref="V9">IFERROR(IF(AND(K9&lt;&gt;"D(Arıza Değil)",#REF!="Bu Arıza Aracın Servise Verilmesine Engel Değil"),
IF(#REF!-#REF!&gt;0,(R9-Q9)*24*60,
IF(OR(AND(#REF!&gt;$AA$1,#REF!&lt;#REF!),AND(#REF!&gt;#REF!,#REF!&lt;#REF!)),
(T9-F9)*24*60,     BH:BH0)),        W9),0)</f>
        <v>0</v>
      </c>
      <c r="W9" s="45">
        <f t="shared" si="1"/>
        <v>242.00000006589107</v>
      </c>
      <c r="X9" s="39" t="str">
        <f>[3]bel!AL7</f>
        <v>S320-7140</v>
      </c>
      <c r="Y9" s="39" t="str">
        <f>[3]bel!AT7</f>
        <v/>
      </c>
      <c r="Z9" s="39" t="str">
        <f>[3]bel!AK7</f>
        <v>MANYETIK BOBIN</v>
      </c>
      <c r="AA9" s="39">
        <f>[3]bel!AM7</f>
        <v>4</v>
      </c>
      <c r="AB9" s="57" t="e">
        <f>P9*S9*#REF!</f>
        <v>#REF!</v>
      </c>
    </row>
    <row r="10" spans="1:28" s="18" customFormat="1" ht="120.75" customHeight="1" x14ac:dyDescent="0.25">
      <c r="A10" s="35" t="str">
        <f>[3]bel!C8</f>
        <v>BEL25</v>
      </c>
      <c r="B10" s="35" t="str">
        <f>[3]bel!D8</f>
        <v>1533(3)</v>
      </c>
      <c r="C10" s="15" t="str">
        <f>[3]bel!E8</f>
        <v>MC</v>
      </c>
      <c r="D10" s="15">
        <f>[3]bel!F8</f>
        <v>11358</v>
      </c>
      <c r="E10" s="16" t="str">
        <f>[3]bel!G8</f>
        <v>BOZ-BEL25-FF-006</v>
      </c>
      <c r="F10" s="62">
        <f>[3]bel!H8</f>
        <v>45978.354861111096</v>
      </c>
      <c r="G10" s="13" t="s">
        <v>32</v>
      </c>
      <c r="H10" s="13"/>
      <c r="I10" s="14" t="str">
        <f>[3]bel!Y8</f>
        <v/>
      </c>
      <c r="J10" s="23" t="str">
        <f>[3]bel!O8</f>
        <v>Sürücü Kapısında bulunan kapı sabitleme aparatının tutunma borusuna sabitlenmesini sağlayan parça kırılmıştır.</v>
      </c>
      <c r="K10" s="36" t="str">
        <f>[3]bel!T8</f>
        <v>C(Sisteme etki etmeyen arıza)</v>
      </c>
      <c r="L10" s="24" t="str" cm="1">
        <f t="array" ref="L10">_xlfn.IFS([3]bel!X8="Bozankaya","Bozankaya",[3]bel!X8="Müşteri","Customer",[3]bel!X8="Tedarikçi","Equipment Supplier")</f>
        <v>Equipment Supplier</v>
      </c>
      <c r="M10" s="61" t="str">
        <f>[3]bel!P8</f>
        <v>İlgili malzeme yenisi ile değiştirildi.</v>
      </c>
      <c r="N10" s="25" t="str">
        <f>[3]bel!AG8</f>
        <v>Ekipman yenisi ile değiştirildi</v>
      </c>
      <c r="O10" s="25" t="str">
        <f>[3]bel!Z8</f>
        <v>Evet</v>
      </c>
      <c r="P10" s="17">
        <f>[3]bel!BB8</f>
        <v>1</v>
      </c>
      <c r="Q10" s="62">
        <f>[3]bel!AH8</f>
        <v>45978.395833333299</v>
      </c>
      <c r="R10" s="62">
        <f>[3]bel!BC8</f>
        <v>45978.416666666701</v>
      </c>
      <c r="S10" s="45">
        <f t="shared" si="0"/>
        <v>89.000000070082024</v>
      </c>
      <c r="T10" s="62">
        <f>[3]bel!BC8</f>
        <v>45978.416666666701</v>
      </c>
      <c r="U10" s="40" t="str">
        <f>[3]bel!V8</f>
        <v>(I) İlk Defa Karşılaşılan Arıza</v>
      </c>
      <c r="V10" s="45" cm="1">
        <f t="array" ref="V10">IFERROR(IF(AND(K10&lt;&gt;"D(Arıza Değil)",#REF!="Bu Arıza Aracın Servise Verilmesine Engel Değil"),
IF(#REF!-#REF!&gt;0,(R10-Q10)*24*60,
IF(OR(AND(#REF!&gt;$AA$1,#REF!&lt;#REF!),AND(#REF!&gt;#REF!,#REF!&lt;#REF!)),
(T10-F10)*24*60,     BH:BH0)),        W10),0)</f>
        <v>0</v>
      </c>
      <c r="W10" s="45">
        <f t="shared" si="1"/>
        <v>89.000000070082024</v>
      </c>
      <c r="X10" s="39" t="str">
        <f>[3]bel!AL8</f>
        <v/>
      </c>
      <c r="Y10" s="39" t="str">
        <f>[3]bel!AT8</f>
        <v/>
      </c>
      <c r="Z10" s="39" t="str">
        <f>[3]bel!AK8</f>
        <v/>
      </c>
      <c r="AA10" s="39">
        <f>[3]bel!AM8</f>
        <v>1</v>
      </c>
      <c r="AB10" s="57" t="e">
        <f>P10*S10*#REF!</f>
        <v>#REF!</v>
      </c>
    </row>
    <row r="11" spans="1:28" s="18" customFormat="1" ht="120.75" customHeight="1" x14ac:dyDescent="0.25">
      <c r="A11" s="35" t="str">
        <f>[3]bel!C9</f>
        <v>BEL25</v>
      </c>
      <c r="B11" s="35" t="str">
        <f>[3]bel!D9</f>
        <v>1532(2)</v>
      </c>
      <c r="C11" s="15" t="str">
        <f>[3]bel!E9</f>
        <v>MC</v>
      </c>
      <c r="D11" s="15">
        <f>[3]bel!F9</f>
        <v>11958</v>
      </c>
      <c r="E11" s="16" t="str">
        <f>[3]bel!G9</f>
        <v>BOZ-BEL25-FF-007</v>
      </c>
      <c r="F11" s="62">
        <f>[3]bel!H9</f>
        <v>45978.552777777797</v>
      </c>
      <c r="G11" s="13" t="s">
        <v>33</v>
      </c>
      <c r="H11" s="13"/>
      <c r="I11" s="14" t="str">
        <f>[3]bel!Y9</f>
        <v>GSP</v>
      </c>
      <c r="J11" s="23" t="str">
        <f>[3]bel!O9</f>
        <v>Sürücü kabini yan perde alt tırnağı kırılmıştır.</v>
      </c>
      <c r="K11" s="36" t="str">
        <f>[3]bel!T9</f>
        <v>C(Sisteme etki etmeyen arıza)</v>
      </c>
      <c r="L11" s="24" t="str" cm="1">
        <f t="array" ref="L11">_xlfn.IFS([3]bel!X9="Bozankaya","Bozankaya",[3]bel!X9="Müşteri","Customer",[3]bel!X9="Tedarikçi","Equipment Supplier")</f>
        <v>Customer</v>
      </c>
      <c r="M11" s="61" t="str">
        <f>[3]bel!P9</f>
        <v>Braketten perde sökülmüş ve onarım yapılmaya çalışılmıştır.</v>
      </c>
      <c r="N11" s="25" t="str">
        <f>[3]bel!AG9</f>
        <v>Ekipman yenisi ile değiştirildi</v>
      </c>
      <c r="O11" s="25" t="str">
        <f>[3]bel!Z9</f>
        <v>Evet</v>
      </c>
      <c r="P11" s="17">
        <f>[3]bel!BB9</f>
        <v>1</v>
      </c>
      <c r="Q11" s="62">
        <f>[3]bel!AH9</f>
        <v>45978.583333333299</v>
      </c>
      <c r="R11" s="62">
        <f>[3]bel!BC9</f>
        <v>45978.604166666701</v>
      </c>
      <c r="S11" s="45">
        <f t="shared" si="0"/>
        <v>74.000000021187589</v>
      </c>
      <c r="T11" s="62">
        <f>[3]bel!BC9</f>
        <v>45978.604166666701</v>
      </c>
      <c r="U11" s="40" t="str">
        <f>[3]bel!V9</f>
        <v>(I) İlk Defa Karşılaşılan Arıza</v>
      </c>
      <c r="V11" s="45" cm="1">
        <f t="array" ref="V11">IFERROR(IF(AND(K11&lt;&gt;"D(Arıza Değil)",#REF!="Bu Arıza Aracın Servise Verilmesine Engel Değil"),
IF(#REF!-#REF!&gt;0,(R11-Q11)*24*60,
IF(OR(AND(#REF!&gt;$AA$1,#REF!&lt;#REF!),AND(#REF!&gt;#REF!,#REF!&lt;#REF!)),
(T11-F11)*24*60,     BH:BH0)),        W11),0)</f>
        <v>0</v>
      </c>
      <c r="W11" s="45">
        <f t="shared" si="1"/>
        <v>74.000000021187589</v>
      </c>
      <c r="X11" s="39" t="str">
        <f>[3]bel!AL9</f>
        <v>T910-7154</v>
      </c>
      <c r="Y11" s="39" t="str">
        <f>[3]bel!AT9</f>
        <v/>
      </c>
      <c r="Z11" s="39" t="str">
        <f>[3]bel!AK9</f>
        <v>SURUCU YAN PERDE</v>
      </c>
      <c r="AA11" s="39">
        <f>[3]bel!AM9</f>
        <v>1</v>
      </c>
      <c r="AB11" s="57" t="e">
        <f>P11*S11*#REF!</f>
        <v>#REF!</v>
      </c>
    </row>
    <row r="12" spans="1:28" s="18" customFormat="1" ht="118.5" customHeight="1" x14ac:dyDescent="0.25">
      <c r="A12" s="35" t="str">
        <f>[3]bel!C10</f>
        <v>BEL25</v>
      </c>
      <c r="B12" s="35" t="str">
        <f>[3]bel!D10</f>
        <v/>
      </c>
      <c r="C12" s="15" t="str">
        <f>[3]bel!E10</f>
        <v/>
      </c>
      <c r="D12" s="15" t="str">
        <f>[3]bel!F10</f>
        <v/>
      </c>
      <c r="E12" s="16" t="str">
        <f>[3]bel!G10</f>
        <v>BOZ-BEL25-FF-008</v>
      </c>
      <c r="F12" s="62" t="str">
        <f>[3]bel!H10</f>
        <v/>
      </c>
      <c r="G12" s="13" t="e">
        <v>#N/A</v>
      </c>
      <c r="H12" s="13"/>
      <c r="I12" s="14" t="str">
        <f>[3]bel!Y10</f>
        <v/>
      </c>
      <c r="J12" s="23" t="str">
        <f>[3]bel!O10</f>
        <v/>
      </c>
      <c r="K12" s="36" t="str">
        <f>[3]bel!T10</f>
        <v/>
      </c>
      <c r="L12" s="24" t="e" cm="1">
        <f t="array" ref="L12">_xlfn.IFS([3]bel!X10="Bozankaya","Bozankaya",[3]bel!X10="Müşteri","Customer",[3]bel!X10="Tedarikçi","Equipment Supplier")</f>
        <v>#N/A</v>
      </c>
      <c r="M12" s="61" t="str">
        <f>[3]bel!P10</f>
        <v/>
      </c>
      <c r="N12" s="25" t="str">
        <f>[3]bel!AG10</f>
        <v/>
      </c>
      <c r="O12" s="25" t="str">
        <f>[3]bel!Z10</f>
        <v/>
      </c>
      <c r="P12" s="17" t="str">
        <f>[3]bel!BB10</f>
        <v/>
      </c>
      <c r="Q12" s="62" t="str">
        <f>[3]bel!AH10</f>
        <v/>
      </c>
      <c r="R12" s="62" t="str">
        <f>[3]bel!BC10</f>
        <v/>
      </c>
      <c r="S12" s="45" t="str">
        <f t="shared" si="0"/>
        <v/>
      </c>
      <c r="T12" s="62" t="str">
        <f>[3]bel!BC10</f>
        <v/>
      </c>
      <c r="U12" s="40" t="str">
        <f>[3]bel!V10</f>
        <v/>
      </c>
      <c r="V12" s="45" cm="1">
        <f t="array" ref="V12">IFERROR(IF(AND(K12&lt;&gt;"D(Arıza Değil)",#REF!="Bu Arıza Aracın Servise Verilmesine Engel Değil"),
IF(#REF!-#REF!&gt;0,(R12-Q12)*24*60,
IF(OR(AND(#REF!&gt;$AA$1,#REF!&lt;#REF!),AND(#REF!&gt;#REF!,#REF!&lt;#REF!)),
(T12-F12)*24*60,     BH:BH0)),        W12),0)</f>
        <v>0</v>
      </c>
      <c r="W12" s="45" t="str">
        <f t="shared" si="1"/>
        <v/>
      </c>
      <c r="X12" s="39" t="str">
        <f>[3]bel!AL10</f>
        <v/>
      </c>
      <c r="Y12" s="39" t="str">
        <f>[3]bel!AT10</f>
        <v/>
      </c>
      <c r="Z12" s="39" t="str">
        <f>[3]bel!AK10</f>
        <v/>
      </c>
      <c r="AA12" s="39" t="str">
        <f>[3]bel!AM10</f>
        <v/>
      </c>
      <c r="AB12" s="57" t="e">
        <f>P12*S12*#REF!</f>
        <v>#VALUE!</v>
      </c>
    </row>
    <row r="13" spans="1:28" s="18" customFormat="1" ht="118.5" customHeight="1" x14ac:dyDescent="0.25">
      <c r="A13" s="35" t="str">
        <f>[3]bel!C11</f>
        <v>BEL25</v>
      </c>
      <c r="B13" s="35" t="str">
        <f>[3]bel!D11</f>
        <v>1534(4)</v>
      </c>
      <c r="C13" s="15" t="str">
        <f>[3]bel!E11</f>
        <v>MC</v>
      </c>
      <c r="D13" s="15">
        <f>[3]bel!F11</f>
        <v>11405</v>
      </c>
      <c r="E13" s="16" t="str">
        <f>[3]bel!G11</f>
        <v>BOZ-BEL25-FF-009</v>
      </c>
      <c r="F13" s="62">
        <f>[3]bel!H11</f>
        <v>45979.333333333299</v>
      </c>
      <c r="G13" s="13" t="s">
        <v>31</v>
      </c>
      <c r="H13" s="13"/>
      <c r="I13" s="14" t="str">
        <f>[3]bel!Y11</f>
        <v>GSP</v>
      </c>
      <c r="J13" s="23" t="str">
        <f>[3]bel!O11</f>
        <v>HMI ekranına No sanding/circuit breaker arızası gelmiştir.</v>
      </c>
      <c r="K13" s="36" t="str">
        <f>[3]bel!T11</f>
        <v>C(Sisteme etki etmeyen arıza)</v>
      </c>
      <c r="L13" s="24" t="str" cm="1">
        <f t="array" ref="L13">_xlfn.IFS([3]bel!X11="Bozankaya","Bozankaya",[3]bel!X11="Müşteri","Customer",[3]bel!X11="Tedarikçi","Equipment Supplier")</f>
        <v>Customer</v>
      </c>
      <c r="M13" s="61" t="str">
        <f>[3]bel!P11</f>
        <v>Araç kumlama sistemi kontrolü yapılmış ve nozullerden kum gelmediği ve bobin içindeki milin sıkıştığı tespit edilmiştir.</v>
      </c>
      <c r="N13" s="25" t="str">
        <f>[3]bel!AG11</f>
        <v>Temizlendi</v>
      </c>
      <c r="O13" s="25" t="str">
        <f>[3]bel!Z11</f>
        <v>Evet</v>
      </c>
      <c r="P13" s="17">
        <f>[3]bel!BB11</f>
        <v>2</v>
      </c>
      <c r="Q13" s="62">
        <f>[3]bel!AH11</f>
        <v>45979.458333333299</v>
      </c>
      <c r="R13" s="62">
        <f>[3]bel!BC11</f>
        <v>45979.560416666704</v>
      </c>
      <c r="S13" s="45">
        <f t="shared" si="0"/>
        <v>327.00000010197982</v>
      </c>
      <c r="T13" s="62">
        <f>[3]bel!BC11</f>
        <v>45979.560416666704</v>
      </c>
      <c r="U13" s="40" t="str">
        <f>[3]bel!V11</f>
        <v>(III) Farklı Araçlarda Tekrarlayan Arıza</v>
      </c>
      <c r="V13" s="45" cm="1">
        <f t="array" ref="V13">IFERROR(IF(AND(K13&lt;&gt;"D(Arıza Değil)",#REF!="Bu Arıza Aracın Servise Verilmesine Engel Değil"),
IF(#REF!-#REF!&gt;0,(R13-Q13)*24*60,
IF(OR(AND(#REF!&gt;$AA$1,#REF!&lt;#REF!),AND(#REF!&gt;#REF!,#REF!&lt;#REF!)),
(T13-F13)*24*60,     BH:BH0)),        W13),0)</f>
        <v>0</v>
      </c>
      <c r="W13" s="45">
        <f t="shared" si="1"/>
        <v>327.00000010197982</v>
      </c>
      <c r="X13" s="39" t="str">
        <f>[3]bel!AL11</f>
        <v/>
      </c>
      <c r="Y13" s="39" t="str">
        <f>[3]bel!AT11</f>
        <v/>
      </c>
      <c r="Z13" s="39" t="str">
        <f>[3]bel!AK11</f>
        <v/>
      </c>
      <c r="AA13" s="39" t="str">
        <f>[3]bel!AM11</f>
        <v/>
      </c>
      <c r="AB13" s="57" t="e">
        <f>P13*S13*#REF!</f>
        <v>#REF!</v>
      </c>
    </row>
    <row r="14" spans="1:28" s="18" customFormat="1" ht="118.5" customHeight="1" x14ac:dyDescent="0.25">
      <c r="A14" s="35" t="str">
        <f>[3]bel!C12</f>
        <v>BEL25</v>
      </c>
      <c r="B14" s="35" t="str">
        <f>[3]bel!D12</f>
        <v>1539(9)</v>
      </c>
      <c r="C14" s="15" t="str">
        <f>[3]bel!E12</f>
        <v>MC</v>
      </c>
      <c r="D14" s="15">
        <f>[3]bel!F12</f>
        <v>258</v>
      </c>
      <c r="E14" s="16" t="str">
        <f>[3]bel!G12</f>
        <v>BOZ-BEL25-FF-010</v>
      </c>
      <c r="F14" s="62">
        <f>[3]bel!H12</f>
        <v>45977.458333333299</v>
      </c>
      <c r="G14" s="13" t="s">
        <v>28</v>
      </c>
      <c r="H14" s="13"/>
      <c r="I14" s="14" t="str">
        <f>[3]bel!Y12</f>
        <v>Üretim</v>
      </c>
      <c r="J14" s="23" t="str">
        <f>[3]bel!O12</f>
        <v>Driver cabin sağ trim yanlış montajı.</v>
      </c>
      <c r="K14" s="36" t="str">
        <f>[3]bel!T12</f>
        <v>C(Sisteme etki etmeyen arıza)</v>
      </c>
      <c r="L14" s="24" t="str" cm="1">
        <f t="array" ref="L14">_xlfn.IFS([3]bel!X12="Bozankaya","Bozankaya",[3]bel!X12="Müşteri","Customer",[3]bel!X12="Tedarikçi","Equipment Supplier")</f>
        <v>Bozankaya</v>
      </c>
      <c r="M14" s="61" t="str">
        <f>[3]bel!P12</f>
        <v>Trim sökülerek kontrol edilmiş ve bunun sonucunda yapışkan montaj ürünün işlevini yerine getiremediği tespit edilmiştir.</v>
      </c>
      <c r="N14" s="25" t="str">
        <f>[3]bel!AG12</f>
        <v>Temizlendi</v>
      </c>
      <c r="O14" s="25" t="str">
        <f>[3]bel!Z12</f>
        <v>Evet</v>
      </c>
      <c r="P14" s="17">
        <f>[3]bel!BB12</f>
        <v>1</v>
      </c>
      <c r="Q14" s="62">
        <f>[3]bel!AH12</f>
        <v>45977.5</v>
      </c>
      <c r="R14" s="62">
        <f>[3]bel!BC12</f>
        <v>45977.53125</v>
      </c>
      <c r="S14" s="45">
        <f t="shared" si="0"/>
        <v>105.00000004889444</v>
      </c>
      <c r="T14" s="62">
        <f>[3]bel!BC12</f>
        <v>45977.53125</v>
      </c>
      <c r="U14" s="40" t="str">
        <f>[3]bel!V12</f>
        <v>(I) İlk Defa Karşılaşılan Arıza</v>
      </c>
      <c r="V14" s="45" cm="1">
        <f t="array" ref="V14">IFERROR(IF(AND(K14&lt;&gt;"D(Arıza Değil)",#REF!="Bu Arıza Aracın Servise Verilmesine Engel Değil"),
IF(#REF!-#REF!&gt;0,(R14-Q14)*24*60,
IF(OR(AND(#REF!&gt;$AA$1,#REF!&lt;#REF!),AND(#REF!&gt;#REF!,#REF!&lt;#REF!)),
(T14-F14)*24*60,     BH:BH0)),        W14),0)</f>
        <v>0</v>
      </c>
      <c r="W14" s="45">
        <f t="shared" si="1"/>
        <v>105.00000004889444</v>
      </c>
      <c r="X14" s="39" t="str">
        <f>[3]bel!AL12</f>
        <v/>
      </c>
      <c r="Y14" s="39" t="str">
        <f>[3]bel!AT12</f>
        <v/>
      </c>
      <c r="Z14" s="39" t="str">
        <f>[3]bel!AK12</f>
        <v/>
      </c>
      <c r="AA14" s="39" t="str">
        <f>[3]bel!AM12</f>
        <v/>
      </c>
      <c r="AB14" s="57" t="e">
        <f>P14*S14*#REF!</f>
        <v>#REF!</v>
      </c>
    </row>
    <row r="15" spans="1:28" s="18" customFormat="1" ht="118.5" customHeight="1" x14ac:dyDescent="0.25">
      <c r="A15" s="35" t="str">
        <f>[3]bel!C13</f>
        <v>BEL25</v>
      </c>
      <c r="B15" s="35" t="str">
        <f>[3]bel!D13</f>
        <v>1539(9)</v>
      </c>
      <c r="C15" s="15" t="str">
        <f>[3]bel!E13</f>
        <v>MC</v>
      </c>
      <c r="D15" s="15">
        <f>[3]bel!F13</f>
        <v>121</v>
      </c>
      <c r="E15" s="16" t="str">
        <f>[3]bel!G13</f>
        <v>BOZ-BEL25-FF-011</v>
      </c>
      <c r="F15" s="62">
        <f>[3]bel!H13</f>
        <v>45982.333333333299</v>
      </c>
      <c r="G15" s="13" t="s">
        <v>32</v>
      </c>
      <c r="H15" s="13"/>
      <c r="I15" s="14" t="str">
        <f>[3]bel!Y13</f>
        <v>Kalite</v>
      </c>
      <c r="J15" s="23" t="str">
        <f>[3]bel!O13</f>
        <v>Driver Cabin kapısı kilitlenmiyor.</v>
      </c>
      <c r="K15" s="36" t="str">
        <f>[3]bel!T13</f>
        <v>C(Sisteme etki etmeyen arıza)</v>
      </c>
      <c r="L15" s="24" t="str" cm="1">
        <f t="array" ref="L15">_xlfn.IFS([3]bel!X13="Bozankaya","Bozankaya",[3]bel!X13="Müşteri","Customer",[3]bel!X13="Tedarikçi","Equipment Supplier")</f>
        <v>Bozankaya</v>
      </c>
      <c r="M15" s="61" t="str">
        <f>[3]bel!P13</f>
        <v>Kilit ve kilit karşılığı kontrolü yapıldı.</v>
      </c>
      <c r="N15" s="25" t="str">
        <f>[3]bel!AG13</f>
        <v/>
      </c>
      <c r="O15" s="25" t="str">
        <f>[3]bel!Z13</f>
        <v>Evet</v>
      </c>
      <c r="P15" s="17">
        <f>[3]bel!BB13</f>
        <v>1</v>
      </c>
      <c r="Q15" s="62">
        <f>[3]bel!AH13</f>
        <v>45982.354166666701</v>
      </c>
      <c r="R15" s="62">
        <f>[3]bel!BC13</f>
        <v>45982.385416666701</v>
      </c>
      <c r="S15" s="45">
        <f t="shared" si="0"/>
        <v>75.00000009778887</v>
      </c>
      <c r="T15" s="62">
        <f>[3]bel!BC13</f>
        <v>45982.385416666701</v>
      </c>
      <c r="U15" s="40" t="str">
        <f>[3]bel!V13</f>
        <v>(I) İlk Defa Karşılaşılan Arıza</v>
      </c>
      <c r="V15" s="45" cm="1">
        <f t="array" ref="V15">IFERROR(IF(AND(K15&lt;&gt;"D(Arıza Değil)",#REF!="Bu Arıza Aracın Servise Verilmesine Engel Değil"),
IF(#REF!-#REF!&gt;0,(R15-Q15)*24*60,
IF(OR(AND(#REF!&gt;$AA$1,#REF!&lt;#REF!),AND(#REF!&gt;#REF!,#REF!&lt;#REF!)),
(T15-F15)*24*60,     BH:BH0)),        W15),0)</f>
        <v>0</v>
      </c>
      <c r="W15" s="45">
        <f t="shared" si="1"/>
        <v>75.00000009778887</v>
      </c>
      <c r="X15" s="39" t="str">
        <f>[3]bel!AL13</f>
        <v/>
      </c>
      <c r="Y15" s="39" t="str">
        <f>[3]bel!AT13</f>
        <v/>
      </c>
      <c r="Z15" s="39" t="str">
        <f>[3]bel!AK13</f>
        <v/>
      </c>
      <c r="AA15" s="39" t="str">
        <f>[3]bel!AM13</f>
        <v/>
      </c>
      <c r="AB15" s="57" t="e">
        <f>P15*S15*#REF!</f>
        <v>#REF!</v>
      </c>
    </row>
    <row r="16" spans="1:28" s="18" customFormat="1" ht="118.5" customHeight="1" x14ac:dyDescent="0.25">
      <c r="A16" s="35" t="str">
        <f>[3]bel!C14</f>
        <v>BEL25</v>
      </c>
      <c r="B16" s="35" t="str">
        <f>[3]bel!D14</f>
        <v>1539(9)</v>
      </c>
      <c r="C16" s="15" t="str">
        <f>[3]bel!E14</f>
        <v>MC</v>
      </c>
      <c r="D16" s="15">
        <f>[3]bel!F14</f>
        <v>121</v>
      </c>
      <c r="E16" s="16" t="str">
        <f>[3]bel!G14</f>
        <v>BOZ-BEL25-FF-012</v>
      </c>
      <c r="F16" s="62">
        <f>[3]bel!H14</f>
        <v>45982.416666666701</v>
      </c>
      <c r="G16" s="13" t="s">
        <v>34</v>
      </c>
      <c r="H16" s="13"/>
      <c r="I16" s="14" t="str">
        <f>[3]bel!Y14</f>
        <v>Kalite</v>
      </c>
      <c r="J16" s="23" t="str">
        <f>[3]bel!O14</f>
        <v>MC modül 1. kapı açıldığı zaman bogie cover'a sürtme yapıyor.</v>
      </c>
      <c r="K16" s="36" t="str">
        <f>[3]bel!T14</f>
        <v>C(Sisteme etki etmeyen arıza)</v>
      </c>
      <c r="L16" s="24" t="str" cm="1">
        <f t="array" ref="L16">_xlfn.IFS([3]bel!X14="Bozankaya","Bozankaya",[3]bel!X14="Müşteri","Customer",[3]bel!X14="Tedarikçi","Equipment Supplier")</f>
        <v>Bozankaya</v>
      </c>
      <c r="M16" s="61" t="str">
        <f>[3]bel!P14</f>
        <v>Kontroller sonucu MC modül 1. kapı açıldığı zaman bogie covera temas ederek , trim üzerinden boya kalkması ve yüzeye zarar verdiği tespit edilmiştir.</v>
      </c>
      <c r="N16" s="25" t="str">
        <f>[3]bel!AG14</f>
        <v>Temizlendi</v>
      </c>
      <c r="O16" s="25" t="str">
        <f>[3]bel!Z14</f>
        <v>Evet</v>
      </c>
      <c r="P16" s="17">
        <f>[3]bel!BB14</f>
        <v>1</v>
      </c>
      <c r="Q16" s="62">
        <f>[3]bel!AH14</f>
        <v>45982.416666666701</v>
      </c>
      <c r="R16" s="62">
        <f>[3]bel!BC14</f>
        <v>45982.444444444402</v>
      </c>
      <c r="S16" s="45">
        <f t="shared" si="0"/>
        <v>39.999999889405444</v>
      </c>
      <c r="T16" s="62">
        <f>[3]bel!BC14</f>
        <v>45982.444444444402</v>
      </c>
      <c r="U16" s="40" t="str">
        <f>[3]bel!V14</f>
        <v>(I) İlk Defa Karşılaşılan Arıza</v>
      </c>
      <c r="V16" s="45" cm="1">
        <f t="array" ref="V16">IFERROR(IF(AND(K16&lt;&gt;"D(Arıza Değil)",#REF!="Bu Arıza Aracın Servise Verilmesine Engel Değil"),
IF(#REF!-#REF!&gt;0,(R16-Q16)*24*60,
IF(OR(AND(#REF!&gt;$AA$1,#REF!&lt;#REF!),AND(#REF!&gt;#REF!,#REF!&lt;#REF!)),
(T16-F16)*24*60,     BH:BH0)),        W16),0)</f>
        <v>0</v>
      </c>
      <c r="W16" s="45">
        <f t="shared" si="1"/>
        <v>39.999999889405444</v>
      </c>
      <c r="X16" s="39" t="str">
        <f>[3]bel!AL14</f>
        <v/>
      </c>
      <c r="Y16" s="39" t="str">
        <f>[3]bel!AT14</f>
        <v/>
      </c>
      <c r="Z16" s="39" t="str">
        <f>[3]bel!AK14</f>
        <v/>
      </c>
      <c r="AA16" s="39" t="str">
        <f>[3]bel!AM14</f>
        <v/>
      </c>
      <c r="AB16" s="57" t="e">
        <f>P16*S16*#REF!</f>
        <v>#REF!</v>
      </c>
    </row>
    <row r="17" spans="1:28" s="18" customFormat="1" ht="118.5" customHeight="1" x14ac:dyDescent="0.25">
      <c r="A17" s="35" t="str">
        <f>[3]bel!C15</f>
        <v>BEL25</v>
      </c>
      <c r="B17" s="35" t="str">
        <f>[3]bel!D15</f>
        <v>1541(11)</v>
      </c>
      <c r="C17" s="15" t="str">
        <f>[3]bel!E15</f>
        <v>MC</v>
      </c>
      <c r="D17" s="15">
        <f>[3]bel!F15</f>
        <v>2</v>
      </c>
      <c r="E17" s="16" t="str">
        <f>[3]bel!G15</f>
        <v>BOZ-BEL25-FF-013</v>
      </c>
      <c r="F17" s="62">
        <f>[3]bel!H15</f>
        <v>45982.25</v>
      </c>
      <c r="G17" s="13" t="s">
        <v>35</v>
      </c>
      <c r="H17" s="13"/>
      <c r="I17" s="14" t="str">
        <f>[3]bel!Y15</f>
        <v>Kalite</v>
      </c>
      <c r="J17" s="23" t="str">
        <f>[3]bel!O15</f>
        <v>Dashboard sol panel üst plate montaj yerinden çıkmıştır.</v>
      </c>
      <c r="K17" s="36" t="str">
        <f>[3]bel!T15</f>
        <v>C(Sisteme etki etmeyen arıza)</v>
      </c>
      <c r="L17" s="24" t="str" cm="1">
        <f t="array" ref="L17">_xlfn.IFS([3]bel!X15="Bozankaya","Bozankaya",[3]bel!X15="Müşteri","Customer",[3]bel!X15="Tedarikçi","Equipment Supplier")</f>
        <v>Bozankaya</v>
      </c>
      <c r="M17" s="61" t="str">
        <f>[3]bel!P15</f>
        <v>Sol sürücü paneli sağ kısım montaj yuvasında vida ve somun olmadığı tespit edilmiştir.</v>
      </c>
      <c r="N17" s="25" t="str">
        <f>[3]bel!AG15</f>
        <v>Gevşek bağlantı vidaları sıkıldı</v>
      </c>
      <c r="O17" s="25" t="str">
        <f>[3]bel!Z15</f>
        <v>Evet</v>
      </c>
      <c r="P17" s="17">
        <f>[3]bel!BB15</f>
        <v>1</v>
      </c>
      <c r="Q17" s="62">
        <f>[3]bel!AH15</f>
        <v>45982.25</v>
      </c>
      <c r="R17" s="62">
        <f>[3]bel!BC15</f>
        <v>45982.260416666701</v>
      </c>
      <c r="S17" s="45">
        <f t="shared" si="0"/>
        <v>15.000000048894435</v>
      </c>
      <c r="T17" s="62">
        <f>[3]bel!BC15</f>
        <v>45982.260416666701</v>
      </c>
      <c r="U17" s="40" t="str">
        <f>[3]bel!V15</f>
        <v>(I) İlk Defa Karşılaşılan Arıza</v>
      </c>
      <c r="V17" s="45" cm="1">
        <f t="array" ref="V17">IFERROR(IF(AND(K17&lt;&gt;"D(Arıza Değil)",#REF!="Bu Arıza Aracın Servise Verilmesine Engel Değil"),
IF(#REF!-#REF!&gt;0,(R17-Q17)*24*60,
IF(OR(AND(#REF!&gt;$AA$1,#REF!&lt;#REF!),AND(#REF!&gt;#REF!,#REF!&lt;#REF!)),
(T17-F17)*24*60,     BH:BH0)),        W17),0)</f>
        <v>0</v>
      </c>
      <c r="W17" s="45">
        <f t="shared" si="1"/>
        <v>15.000000048894435</v>
      </c>
      <c r="X17" s="39" t="str">
        <f>[3]bel!AL15</f>
        <v/>
      </c>
      <c r="Y17" s="39" t="str">
        <f>[3]bel!AT15</f>
        <v/>
      </c>
      <c r="Z17" s="39" t="str">
        <f>[3]bel!AK15</f>
        <v/>
      </c>
      <c r="AA17" s="39" t="str">
        <f>[3]bel!AM15</f>
        <v/>
      </c>
      <c r="AB17" s="57" t="e">
        <f>P17*S17*#REF!</f>
        <v>#REF!</v>
      </c>
    </row>
    <row r="18" spans="1:28" s="18" customFormat="1" ht="118.5" customHeight="1" x14ac:dyDescent="0.25">
      <c r="A18" s="35" t="str">
        <f>[3]bel!C16</f>
        <v>BEL25</v>
      </c>
      <c r="B18" s="35" t="str">
        <f>[3]bel!D16</f>
        <v>1541(11)</v>
      </c>
      <c r="C18" s="15" t="str">
        <f>[3]bel!E16</f>
        <v>MC</v>
      </c>
      <c r="D18" s="15">
        <f>[3]bel!F16</f>
        <v>2</v>
      </c>
      <c r="E18" s="16" t="str">
        <f>[3]bel!G16</f>
        <v>BOZ-BEL25-FF-014</v>
      </c>
      <c r="F18" s="62">
        <f>[3]bel!H16</f>
        <v>45982.222222222197</v>
      </c>
      <c r="G18" s="13" t="s">
        <v>36</v>
      </c>
      <c r="H18" s="13"/>
      <c r="I18" s="14" t="str">
        <f>[3]bel!Y16</f>
        <v>Kalite</v>
      </c>
      <c r="J18" s="23" t="str">
        <f>[3]bel!O16</f>
        <v>Silecek su tankı kapağı mevcut değil.</v>
      </c>
      <c r="K18" s="36" t="str">
        <f>[3]bel!T16</f>
        <v>C(Sisteme etki etmeyen arıza)</v>
      </c>
      <c r="L18" s="24" t="str" cm="1">
        <f t="array" ref="L18">_xlfn.IFS([3]bel!X16="Bozankaya","Bozankaya",[3]bel!X16="Müşteri","Customer",[3]bel!X16="Tedarikçi","Equipment Supplier")</f>
        <v>Bozankaya</v>
      </c>
      <c r="M18" s="61" t="str">
        <f>[3]bel!P16</f>
        <v>Su tankı kapağı montajı sağlandı.</v>
      </c>
      <c r="N18" s="25" t="str">
        <f>[3]bel!AG16</f>
        <v>Ekipman yenisi ile değiştirildi</v>
      </c>
      <c r="O18" s="25" t="str">
        <f>[3]bel!Z16</f>
        <v>Evet</v>
      </c>
      <c r="P18" s="17" t="str">
        <f>[3]bel!BB16</f>
        <v/>
      </c>
      <c r="Q18" s="62">
        <f>[3]bel!AH16</f>
        <v>45982.229166666701</v>
      </c>
      <c r="R18" s="62">
        <f>[3]bel!BC16</f>
        <v>45982.239583333299</v>
      </c>
      <c r="S18" s="45">
        <f t="shared" si="0"/>
        <v>24.999999987194315</v>
      </c>
      <c r="T18" s="62">
        <f>[3]bel!BC16</f>
        <v>45982.239583333299</v>
      </c>
      <c r="U18" s="40" t="str">
        <f>[3]bel!V16</f>
        <v>(I) İlk Defa Karşılaşılan Arıza</v>
      </c>
      <c r="V18" s="45" cm="1">
        <f t="array" ref="V18">IFERROR(IF(AND(K18&lt;&gt;"D(Arıza Değil)",#REF!="Bu Arıza Aracın Servise Verilmesine Engel Değil"),
IF(#REF!-#REF!&gt;0,(R18-Q18)*24*60,
IF(OR(AND(#REF!&gt;$AA$1,#REF!&lt;#REF!),AND(#REF!&gt;#REF!,#REF!&lt;#REF!)),
(T18-F18)*24*60,     BH:BH0)),        W18),0)</f>
        <v>0</v>
      </c>
      <c r="W18" s="45">
        <f t="shared" si="1"/>
        <v>24.999999987194315</v>
      </c>
      <c r="X18" s="39" t="str">
        <f>[3]bel!AL16</f>
        <v>M100-7047</v>
      </c>
      <c r="Y18" s="39" t="str">
        <f>[3]bel!AT16</f>
        <v/>
      </c>
      <c r="Z18" s="39" t="str">
        <f>[3]bel!AK16</f>
        <v>SİLECEK SU TANKI</v>
      </c>
      <c r="AA18" s="39">
        <f>[3]bel!AM16</f>
        <v>1</v>
      </c>
      <c r="AB18" s="57" t="e">
        <f>P18*S18*#REF!</f>
        <v>#VALUE!</v>
      </c>
    </row>
    <row r="19" spans="1:28" s="18" customFormat="1" ht="118.5" customHeight="1" x14ac:dyDescent="0.25">
      <c r="A19" s="35" t="str">
        <f>[3]bel!C17</f>
        <v>BEL25</v>
      </c>
      <c r="B19" s="35" t="str">
        <f>[3]bel!D17</f>
        <v>1539(9)</v>
      </c>
      <c r="C19" s="15" t="str">
        <f>[3]bel!E17</f>
        <v>M</v>
      </c>
      <c r="D19" s="15">
        <f>[3]bel!F17</f>
        <v>121</v>
      </c>
      <c r="E19" s="16" t="str">
        <f>[3]bel!G17</f>
        <v>BOZ-BEL25-FF-015</v>
      </c>
      <c r="F19" s="62">
        <f>[3]bel!H17</f>
        <v>45982.291666666701</v>
      </c>
      <c r="G19" s="13" t="s">
        <v>34</v>
      </c>
      <c r="H19" s="13"/>
      <c r="I19" s="14" t="str">
        <f>[3]bel!Y17</f>
        <v>Kalite</v>
      </c>
      <c r="J19" s="23" t="str">
        <f>[3]bel!O17</f>
        <v>MC,T ve M bogielerde dikey damperler yanında bulunan topraklama kablolarının somun vida bağlantılarının tümünün gevşemiş olduğu tespit edilmiştir.</v>
      </c>
      <c r="K19" s="36" t="str">
        <f>[3]bel!T17</f>
        <v>C(Sisteme etki etmeyen arıza)</v>
      </c>
      <c r="L19" s="24" t="str" cm="1">
        <f t="array" ref="L19">_xlfn.IFS([3]bel!X17="Bozankaya","Bozankaya",[3]bel!X17="Müşteri","Customer",[3]bel!X17="Tedarikçi","Equipment Supplier")</f>
        <v>Bozankaya</v>
      </c>
      <c r="M19" s="61" t="str">
        <f>[3]bel!P17</f>
        <v>Gerekli standart torklama yardımıyla olması gereken montaj sağlanmıştır</v>
      </c>
      <c r="N19" s="25" t="str">
        <f>[3]bel!AG17</f>
        <v>Gevşek bağlantı vidaları sıkıldı</v>
      </c>
      <c r="O19" s="25" t="str">
        <f>[3]bel!Z17</f>
        <v>Evet</v>
      </c>
      <c r="P19" s="17">
        <f>[3]bel!BB17</f>
        <v>1</v>
      </c>
      <c r="Q19" s="62">
        <f>[3]bel!AH17</f>
        <v>45982.305555555598</v>
      </c>
      <c r="R19" s="62">
        <f>[3]bel!BC17</f>
        <v>45982.3125</v>
      </c>
      <c r="S19" s="45">
        <f t="shared" si="0"/>
        <v>29.999999951105565</v>
      </c>
      <c r="T19" s="62">
        <f>[3]bel!BC17</f>
        <v>45982.3125</v>
      </c>
      <c r="U19" s="40" t="str">
        <f>[3]bel!V17</f>
        <v>(I) İlk Defa Karşılaşılan Arıza</v>
      </c>
      <c r="V19" s="45" cm="1">
        <f t="array" ref="V19">IFERROR(IF(AND(K19&lt;&gt;"D(Arıza Değil)",#REF!="Bu Arıza Aracın Servise Verilmesine Engel Değil"),
IF(#REF!-#REF!&gt;0,(R19-Q19)*24*60,
IF(OR(AND(#REF!&gt;$AA$1,#REF!&lt;#REF!),AND(#REF!&gt;#REF!,#REF!&lt;#REF!)),
(T19-F19)*24*60,     BH:BH0)),        W19),0)</f>
        <v>0</v>
      </c>
      <c r="W19" s="45">
        <f t="shared" si="1"/>
        <v>29.999999951105565</v>
      </c>
      <c r="X19" s="39" t="str">
        <f>[3]bel!AL17</f>
        <v/>
      </c>
      <c r="Y19" s="39" t="str">
        <f>[3]bel!AT17</f>
        <v/>
      </c>
      <c r="Z19" s="39" t="str">
        <f>[3]bel!AK17</f>
        <v/>
      </c>
      <c r="AA19" s="39" t="str">
        <f>[3]bel!AM17</f>
        <v/>
      </c>
      <c r="AB19" s="57" t="e">
        <f>P19*S19*#REF!</f>
        <v>#REF!</v>
      </c>
    </row>
    <row r="20" spans="1:28" s="18" customFormat="1" ht="118.5" customHeight="1" x14ac:dyDescent="0.25">
      <c r="A20" s="35" t="str">
        <f>[3]bel!C18</f>
        <v>BEL25</v>
      </c>
      <c r="B20" s="35" t="str">
        <f>[3]bel!D18</f>
        <v>1537(7)</v>
      </c>
      <c r="C20" s="15" t="str">
        <f>[3]bel!E18</f>
        <v>MC</v>
      </c>
      <c r="D20" s="15">
        <f>[3]bel!F18</f>
        <v>1288</v>
      </c>
      <c r="E20" s="16" t="str">
        <f>[3]bel!G18</f>
        <v>BOZ-BEL25-FF-016</v>
      </c>
      <c r="F20" s="62">
        <f>[3]bel!H18</f>
        <v>45982.886111111096</v>
      </c>
      <c r="G20" s="13" t="s">
        <v>36</v>
      </c>
      <c r="H20" s="13"/>
      <c r="I20" s="14" t="str">
        <f>[3]bel!Y18</f>
        <v>PSV Wipers Ltd</v>
      </c>
      <c r="J20" s="23" t="str">
        <f>[3]bel!O18</f>
        <v>Silecek kolu sefer esnasında düşmüştür.</v>
      </c>
      <c r="K20" s="36" t="str">
        <f>[3]bel!T18</f>
        <v>A(Hareket etmeyi engelleyen arıza)</v>
      </c>
      <c r="L20" s="24" t="str" cm="1">
        <f t="array" ref="L20">_xlfn.IFS([3]bel!X18="Bozankaya","Bozankaya",[3]bel!X18="Müşteri","Customer",[3]bel!X18="Tedarikçi","Equipment Supplier")</f>
        <v>Equipment Supplier</v>
      </c>
      <c r="M20" s="61" t="str">
        <f>[3]bel!P18</f>
        <v>Araç depo sahasına çekildikten sonra yapılan ilk kontrollerde daha önce olduğu gibi silecek kolu dişlisinin aşındığı tespit edilmiştir.</v>
      </c>
      <c r="N20" s="25" t="str">
        <f>[3]bel!AG18</f>
        <v>Gevşek bağlantı vidaları sıkıldı</v>
      </c>
      <c r="O20" s="25" t="str">
        <f>[3]bel!Z18</f>
        <v>Evet</v>
      </c>
      <c r="P20" s="17">
        <f>[3]bel!BB18</f>
        <v>1</v>
      </c>
      <c r="Q20" s="62">
        <f>[3]bel!AH18</f>
        <v>45982.902777777803</v>
      </c>
      <c r="R20" s="62">
        <f>[3]bel!BC18</f>
        <v>45982.929861111101</v>
      </c>
      <c r="S20" s="45">
        <f t="shared" si="0"/>
        <v>63.000000006286427</v>
      </c>
      <c r="T20" s="62">
        <f>[3]bel!BC18</f>
        <v>45982.929861111101</v>
      </c>
      <c r="U20" s="40" t="str">
        <f>[3]bel!V18</f>
        <v>(III) Farklı Araçlarda Tekrarlayan Arıza</v>
      </c>
      <c r="V20" s="45" cm="1">
        <f t="array" ref="V20">IFERROR(IF(AND(K20&lt;&gt;"D(Arıza Değil)",#REF!="Bu Arıza Aracın Servise Verilmesine Engel Değil"),
IF(#REF!-#REF!&gt;0,(R20-Q20)*24*60,
IF(OR(AND(#REF!&gt;$AA$1,#REF!&lt;#REF!),AND(#REF!&gt;#REF!,#REF!&lt;#REF!)),
(T20-F20)*24*60,     BH:BH0)),        W20),0)</f>
        <v>0</v>
      </c>
      <c r="W20" s="45">
        <f t="shared" si="1"/>
        <v>63.000000006286427</v>
      </c>
      <c r="X20" s="39" t="str">
        <f>[3]bel!AL18</f>
        <v/>
      </c>
      <c r="Y20" s="39" t="str">
        <f>[3]bel!AT18</f>
        <v/>
      </c>
      <c r="Z20" s="39" t="str">
        <f>[3]bel!AK18</f>
        <v/>
      </c>
      <c r="AA20" s="39" t="str">
        <f>[3]bel!AM18</f>
        <v/>
      </c>
      <c r="AB20" s="57" t="e">
        <f>P20*S20*#REF!</f>
        <v>#REF!</v>
      </c>
    </row>
    <row r="21" spans="1:28" s="18" customFormat="1" ht="118.5" customHeight="1" x14ac:dyDescent="0.25">
      <c r="A21" s="35" t="str">
        <f>[3]bel!C19</f>
        <v>BEL25</v>
      </c>
      <c r="B21" s="35" t="str">
        <f>[3]bel!D19</f>
        <v>1536(6)</v>
      </c>
      <c r="C21" s="15" t="str">
        <f>[3]bel!E19</f>
        <v>MC</v>
      </c>
      <c r="D21" s="15">
        <f>[3]bel!F19</f>
        <v>10286</v>
      </c>
      <c r="E21" s="16" t="str">
        <f>[3]bel!G19</f>
        <v>BOZ-BEL25-FF-017</v>
      </c>
      <c r="F21" s="62">
        <f>[3]bel!H19</f>
        <v>45983.846527777801</v>
      </c>
      <c r="G21" s="13" t="s">
        <v>36</v>
      </c>
      <c r="H21" s="13"/>
      <c r="I21" s="14" t="str">
        <f>[3]bel!Y19</f>
        <v>PSV Wipers Ltd</v>
      </c>
      <c r="J21" s="23" t="str">
        <f>[3]bel!O19</f>
        <v>Silecek kolu sefer esnasında işlevini yerine getirirken düşmüştür.</v>
      </c>
      <c r="K21" s="36" t="str">
        <f>[3]bel!T19</f>
        <v>A(Hareket etmeyi engelleyen arıza)</v>
      </c>
      <c r="L21" s="24" t="str" cm="1">
        <f t="array" ref="L21">_xlfn.IFS([3]bel!X19="Bozankaya","Bozankaya",[3]bel!X19="Müşteri","Customer",[3]bel!X19="Tedarikçi","Equipment Supplier")</f>
        <v>Equipment Supplier</v>
      </c>
      <c r="M21" s="61" t="str">
        <f>[3]bel!P19</f>
        <v>Yapılan kontroller sonucunda silecek kolu dişlisinde aşınma olduğu tahmn edilmektedir.</v>
      </c>
      <c r="N21" s="25" t="str">
        <f>[3]bel!AG19</f>
        <v>Gevşek bağlantı vidaları sıkıldı</v>
      </c>
      <c r="O21" s="25" t="str">
        <f>[3]bel!Z19</f>
        <v>Evet</v>
      </c>
      <c r="P21" s="17">
        <f>[3]bel!BB19</f>
        <v>1</v>
      </c>
      <c r="Q21" s="62">
        <f>[3]bel!AH19</f>
        <v>45983.875</v>
      </c>
      <c r="R21" s="62">
        <f>[3]bel!BC19</f>
        <v>45983.904861111099</v>
      </c>
      <c r="S21" s="45">
        <f t="shared" si="0"/>
        <v>83.999999949010089</v>
      </c>
      <c r="T21" s="62">
        <f>[3]bel!BC19</f>
        <v>45983.904861111099</v>
      </c>
      <c r="U21" s="40" t="str">
        <f>[3]bel!V19</f>
        <v>(III) Farklı Araçlarda Tekrarlayan Arıza</v>
      </c>
      <c r="V21" s="45" cm="1">
        <f t="array" ref="V21">IFERROR(IF(AND(K21&lt;&gt;"D(Arıza Değil)",#REF!="Bu Arıza Aracın Servise Verilmesine Engel Değil"),
IF(#REF!-#REF!&gt;0,(R21-Q21)*24*60,
IF(OR(AND(#REF!&gt;$AA$1,#REF!&lt;#REF!),AND(#REF!&gt;#REF!,#REF!&lt;#REF!)),
(T21-F21)*24*60,     BH:BH0)),        W21),0)</f>
        <v>0</v>
      </c>
      <c r="W21" s="45">
        <f t="shared" si="1"/>
        <v>83.999999949010089</v>
      </c>
      <c r="X21" s="39" t="str">
        <f>[3]bel!AL19</f>
        <v/>
      </c>
      <c r="Y21" s="39" t="str">
        <f>[3]bel!AT19</f>
        <v/>
      </c>
      <c r="Z21" s="39" t="str">
        <f>[3]bel!AK19</f>
        <v/>
      </c>
      <c r="AA21" s="39" t="str">
        <f>[3]bel!AM19</f>
        <v/>
      </c>
      <c r="AB21" s="57" t="e">
        <f>P21*S21*#REF!</f>
        <v>#REF!</v>
      </c>
    </row>
    <row r="22" spans="1:28" s="18" customFormat="1" ht="118.5" customHeight="1" x14ac:dyDescent="0.25">
      <c r="A22" s="35" t="str">
        <f>[3]bel!C20</f>
        <v>BEL25</v>
      </c>
      <c r="B22" s="35" t="str">
        <f>[3]bel!D20</f>
        <v>1536(6)</v>
      </c>
      <c r="C22" s="15" t="str">
        <f>[3]bel!E20</f>
        <v>MC</v>
      </c>
      <c r="D22" s="15">
        <f>[3]bel!F20</f>
        <v>11367</v>
      </c>
      <c r="E22" s="16" t="str">
        <f>[3]bel!G20</f>
        <v>BOZ-BEL25-FF-018</v>
      </c>
      <c r="F22" s="62">
        <f>[3]bel!H20</f>
        <v>45987.328472222202</v>
      </c>
      <c r="G22" s="13" t="s">
        <v>36</v>
      </c>
      <c r="H22" s="13"/>
      <c r="I22" s="14" t="str">
        <f>[3]bel!Y20</f>
        <v>PSV Wipers Ltd</v>
      </c>
      <c r="J22" s="23" t="str">
        <f>[3]bel!O20</f>
        <v>Silecek sefer esnasındayken düşmüştür.</v>
      </c>
      <c r="K22" s="36" t="str">
        <f>[3]bel!T20</f>
        <v>A(Hareket etmeyi engelleyen arıza)</v>
      </c>
      <c r="L22" s="24" t="str" cm="1">
        <f t="array" ref="L22">_xlfn.IFS([3]bel!X20="Bozankaya","Bozankaya",[3]bel!X20="Müşteri","Customer",[3]bel!X20="Tedarikçi","Equipment Supplier")</f>
        <v>Equipment Supplier</v>
      </c>
      <c r="M22" s="61" t="str">
        <f>[3]bel!P20</f>
        <v>Silecek kolu dişlisinde aşınma tespit edilmiştir.</v>
      </c>
      <c r="N22" s="25" t="str">
        <f>[3]bel!AG20</f>
        <v>*Arıza çözülecek</v>
      </c>
      <c r="O22" s="25" t="str">
        <f>[3]bel!Z20</f>
        <v/>
      </c>
      <c r="P22" s="17">
        <f>[3]bel!BB20</f>
        <v>1</v>
      </c>
      <c r="Q22" s="62" t="str">
        <f>[3]bel!AH20</f>
        <v/>
      </c>
      <c r="R22" s="62" t="str">
        <f>[3]bel!BC20</f>
        <v/>
      </c>
      <c r="S22" s="45" t="str">
        <f t="shared" si="0"/>
        <v/>
      </c>
      <c r="T22" s="62" t="str">
        <f>[3]bel!BC20</f>
        <v/>
      </c>
      <c r="U22" s="40" t="str">
        <f>[3]bel!V20</f>
        <v>(III) Farklı Araçlarda Tekrarlayan Arıza</v>
      </c>
      <c r="V22" s="45" cm="1">
        <f t="array" ref="V22">IFERROR(IF(AND(K22&lt;&gt;"D(Arıza Değil)",#REF!="Bu Arıza Aracın Servise Verilmesine Engel Değil"),
IF(#REF!-#REF!&gt;0,(R22-Q22)*24*60,
IF(OR(AND(#REF!&gt;$AA$1,#REF!&lt;#REF!),AND(#REF!&gt;#REF!,#REF!&lt;#REF!)),
(T22-F22)*24*60,     BH:BH0)),        W22),0)</f>
        <v>0</v>
      </c>
      <c r="W22" s="45" t="str">
        <f t="shared" si="1"/>
        <v/>
      </c>
      <c r="X22" s="39" t="str">
        <f>[3]bel!AL20</f>
        <v/>
      </c>
      <c r="Y22" s="39" t="str">
        <f>[3]bel!AT20</f>
        <v/>
      </c>
      <c r="Z22" s="39" t="str">
        <f>[3]bel!AK20</f>
        <v/>
      </c>
      <c r="AA22" s="39" t="str">
        <f>[3]bel!AM20</f>
        <v/>
      </c>
      <c r="AB22" s="57" t="e">
        <f>P22*S22*#REF!</f>
        <v>#VALUE!</v>
      </c>
    </row>
    <row r="23" spans="1:28" s="18" customFormat="1" ht="118.5" customHeight="1" x14ac:dyDescent="0.25">
      <c r="A23" s="35" t="str">
        <f>[3]bel!C21</f>
        <v>BEL25</v>
      </c>
      <c r="B23" s="35" t="str">
        <f>[3]bel!D21</f>
        <v>1531(1)</v>
      </c>
      <c r="C23" s="15" t="str">
        <f>[3]bel!E21</f>
        <v>MC</v>
      </c>
      <c r="D23" s="15">
        <f>[3]bel!F21</f>
        <v>3</v>
      </c>
      <c r="E23" s="16" t="str">
        <f>[3]bel!G21</f>
        <v>BOZ-BEL25-FF-019</v>
      </c>
      <c r="F23" s="62">
        <f>[3]bel!H21</f>
        <v>45814.333333333299</v>
      </c>
      <c r="G23" s="13" t="s">
        <v>33</v>
      </c>
      <c r="H23" s="13"/>
      <c r="I23" s="14" t="str">
        <f>[3]bel!Y21</f>
        <v>Kalite</v>
      </c>
      <c r="J23" s="23" t="str">
        <f>[3]bel!O21</f>
        <v>Driver cabin sol yan sürücü perde braketi yerinden çıkmıştır.</v>
      </c>
      <c r="K23" s="36" t="str">
        <f>[3]bel!T21</f>
        <v>C(Sisteme etki etmeyen arıza)</v>
      </c>
      <c r="L23" s="24" t="str" cm="1">
        <f t="array" ref="L23">_xlfn.IFS([3]bel!X21="Bozankaya","Bozankaya",[3]bel!X21="Müşteri","Customer",[3]bel!X21="Tedarikçi","Equipment Supplier")</f>
        <v>Bozankaya</v>
      </c>
      <c r="M23" s="61" t="str">
        <f>[3]bel!P21</f>
        <v>Arıza kök nedeni braket yapıştırmasının eksk uygulanmasının tespitidir.</v>
      </c>
      <c r="N23" s="25" t="str">
        <f>[3]bel!AG21</f>
        <v>Temizlendi</v>
      </c>
      <c r="O23" s="25" t="str">
        <f>[3]bel!Z21</f>
        <v>Evet</v>
      </c>
      <c r="P23" s="17">
        <f>[3]bel!BB21</f>
        <v>1</v>
      </c>
      <c r="Q23" s="62">
        <f>[3]bel!AH21</f>
        <v>45814.347916666702</v>
      </c>
      <c r="R23" s="62">
        <f>[3]bel!BC21</f>
        <v>45814.5</v>
      </c>
      <c r="S23" s="45">
        <f t="shared" si="0"/>
        <v>240.00000004889444</v>
      </c>
      <c r="T23" s="62">
        <f>[3]bel!BC21</f>
        <v>45814.5</v>
      </c>
      <c r="U23" s="40" t="str">
        <f>[3]bel!V21</f>
        <v>(I) İlk Defa Karşılaşılan Arıza</v>
      </c>
      <c r="V23" s="45" cm="1">
        <f t="array" ref="V23">IFERROR(IF(AND(K23&lt;&gt;"D(Arıza Değil)",#REF!="Bu Arıza Aracın Servise Verilmesine Engel Değil"),
IF(#REF!-#REF!&gt;0,(R23-Q23)*24*60,
IF(OR(AND(#REF!&gt;$AA$1,#REF!&lt;#REF!),AND(#REF!&gt;#REF!,#REF!&lt;#REF!)),
(T23-F23)*24*60,     BH:BH0)),        W23),0)</f>
        <v>0</v>
      </c>
      <c r="W23" s="45">
        <f t="shared" si="1"/>
        <v>240.00000004889444</v>
      </c>
      <c r="X23" s="39" t="str">
        <f>[3]bel!AL21</f>
        <v/>
      </c>
      <c r="Y23" s="39" t="str">
        <f>[3]bel!AT21</f>
        <v/>
      </c>
      <c r="Z23" s="39" t="str">
        <f>[3]bel!AK21</f>
        <v/>
      </c>
      <c r="AA23" s="39" t="str">
        <f>[3]bel!AM21</f>
        <v/>
      </c>
      <c r="AB23" s="57" t="e">
        <f>P23*S23*#REF!</f>
        <v>#REF!</v>
      </c>
    </row>
    <row r="24" spans="1:28" s="18" customFormat="1" ht="118.5" customHeight="1" x14ac:dyDescent="0.25">
      <c r="A24" s="35" t="str">
        <f>[3]bel!C22</f>
        <v>BEL25</v>
      </c>
      <c r="B24" s="35" t="str">
        <f>[3]bel!D22</f>
        <v>1531(1)</v>
      </c>
      <c r="C24" s="15" t="str">
        <f>[3]bel!E22</f>
        <v>MC</v>
      </c>
      <c r="D24" s="15">
        <f>[3]bel!F22</f>
        <v>3</v>
      </c>
      <c r="E24" s="16" t="str">
        <f>[3]bel!G22</f>
        <v>BOZ-BEL25-FF-020</v>
      </c>
      <c r="F24" s="62">
        <f>[3]bel!H22</f>
        <v>45814.25</v>
      </c>
      <c r="G24" s="13" t="s">
        <v>37</v>
      </c>
      <c r="H24" s="13"/>
      <c r="I24" s="14" t="str">
        <f>[3]bel!Y22</f>
        <v>Kalite</v>
      </c>
      <c r="J24" s="23" t="str">
        <f>[3]bel!O22</f>
        <v>Araç sağ ön tampon kilitlendiğinde yerine tam olarak oturmuyor.</v>
      </c>
      <c r="K24" s="36" t="str">
        <f>[3]bel!T22</f>
        <v>C(Sisteme etki etmeyen arıza)</v>
      </c>
      <c r="L24" s="24" t="str" cm="1">
        <f t="array" ref="L24">_xlfn.IFS([3]bel!X22="Bozankaya","Bozankaya",[3]bel!X22="Müşteri","Customer",[3]bel!X22="Tedarikçi","Equipment Supplier")</f>
        <v>Bozankaya</v>
      </c>
      <c r="M24" s="61" t="str">
        <f>[3]bel!P22</f>
        <v>Sağ ön tamponun gerekli kontroller sonucunda yuvasına tam oturmadığı ve toleransında bir boşluk olduğu tespit edildi. Özellikle araç hareket halinde iken vibrasyondan dolayı ses yaptığı tespiti edildi.</v>
      </c>
      <c r="N24" s="25" t="str">
        <f>[3]bel!AG22</f>
        <v>Gevşek bağlantı vidaları sıkıldı</v>
      </c>
      <c r="O24" s="25" t="str">
        <f>[3]bel!Z22</f>
        <v>Evet</v>
      </c>
      <c r="P24" s="17">
        <f>[3]bel!BB22</f>
        <v>1</v>
      </c>
      <c r="Q24" s="62">
        <f>[3]bel!AH22</f>
        <v>45814.270833333299</v>
      </c>
      <c r="R24" s="62">
        <f>[3]bel!BC22</f>
        <v>45814.541666666701</v>
      </c>
      <c r="S24" s="45">
        <f t="shared" si="0"/>
        <v>420.00000004889444</v>
      </c>
      <c r="T24" s="62">
        <f>[3]bel!BC22</f>
        <v>45814.541666666701</v>
      </c>
      <c r="U24" s="40" t="str">
        <f>[3]bel!V22</f>
        <v>(I) İlk Defa Karşılaşılan Arıza</v>
      </c>
      <c r="V24" s="45" cm="1">
        <f t="array" ref="V24">IFERROR(IF(AND(K24&lt;&gt;"D(Arıza Değil)",#REF!="Bu Arıza Aracın Servise Verilmesine Engel Değil"),
IF(#REF!-#REF!&gt;0,(R24-Q24)*24*60,
IF(OR(AND(#REF!&gt;$AA$1,#REF!&lt;#REF!),AND(#REF!&gt;#REF!,#REF!&lt;#REF!)),
(T24-F24)*24*60,     BH:BH0)),        W24),0)</f>
        <v>0</v>
      </c>
      <c r="W24" s="45">
        <f t="shared" si="1"/>
        <v>420.00000004889444</v>
      </c>
      <c r="X24" s="39" t="str">
        <f>[3]bel!AL22</f>
        <v/>
      </c>
      <c r="Y24" s="39" t="str">
        <f>[3]bel!AT22</f>
        <v/>
      </c>
      <c r="Z24" s="39" t="str">
        <f>[3]bel!AK22</f>
        <v/>
      </c>
      <c r="AA24" s="39" t="str">
        <f>[3]bel!AM22</f>
        <v/>
      </c>
      <c r="AB24" s="57" t="e">
        <f>P24*S24*#REF!</f>
        <v>#REF!</v>
      </c>
    </row>
    <row r="25" spans="1:28" s="18" customFormat="1" ht="118.5" customHeight="1" x14ac:dyDescent="0.25">
      <c r="A25" s="35" t="str">
        <f>[3]bel!C23</f>
        <v>BEL25</v>
      </c>
      <c r="B25" s="35" t="str">
        <f>[3]bel!D23</f>
        <v>1531(1)</v>
      </c>
      <c r="C25" s="15" t="str">
        <f>[3]bel!E23</f>
        <v>M</v>
      </c>
      <c r="D25" s="15">
        <f>[3]bel!F23</f>
        <v>10</v>
      </c>
      <c r="E25" s="16" t="str">
        <f>[3]bel!G23</f>
        <v>BOZ-BEL25-FF-021</v>
      </c>
      <c r="F25" s="62">
        <f>[3]bel!H23</f>
        <v>45821.25</v>
      </c>
      <c r="G25" s="13" t="s">
        <v>33</v>
      </c>
      <c r="H25" s="13"/>
      <c r="I25" s="14" t="str">
        <f>[3]bel!Y23</f>
        <v>Kalite</v>
      </c>
      <c r="J25" s="23" t="str">
        <f>[3]bel!O23</f>
        <v>Araç M modülde konveks sapma(yanlış hizalanma) tespiti.</v>
      </c>
      <c r="K25" s="36" t="str">
        <f>[3]bel!T23</f>
        <v>C(Sisteme etki etmeyen arıza)</v>
      </c>
      <c r="L25" s="24" t="str" cm="1">
        <f t="array" ref="L25">_xlfn.IFS([3]bel!X23="Bozankaya","Bozankaya",[3]bel!X23="Müşteri","Customer",[3]bel!X23="Tedarikçi","Equipment Supplier")</f>
        <v>Bozankaya</v>
      </c>
      <c r="M25" s="61" t="str">
        <f>[3]bel!P23</f>
        <v>Yapılan kontrol, şasi modülleri arasındaki geometrik hizalanma çerçevesinde değerlendirilmiş olup, M modülünün MC vee geri kalan modüllere
 göre eksenel sapma gösterdiği görülmüştür</v>
      </c>
      <c r="N25" s="25" t="str">
        <f>[3]bel!AG23</f>
        <v>*Bir çalışma yapılmadı</v>
      </c>
      <c r="O25" s="25" t="str">
        <f>[3]bel!Z23</f>
        <v>Evet</v>
      </c>
      <c r="P25" s="17" t="str">
        <f>[3]bel!BB23</f>
        <v/>
      </c>
      <c r="Q25" s="62" t="str">
        <f>[3]bel!AH23</f>
        <v/>
      </c>
      <c r="R25" s="62" t="str">
        <f>[3]bel!BC23</f>
        <v/>
      </c>
      <c r="S25" s="45" t="str">
        <f t="shared" si="0"/>
        <v/>
      </c>
      <c r="T25" s="62" t="str">
        <f>[3]bel!BC23</f>
        <v/>
      </c>
      <c r="U25" s="40" t="str">
        <f>[3]bel!V23</f>
        <v>(I) İlk Defa Karşılaşılan Arıza</v>
      </c>
      <c r="V25" s="45" cm="1">
        <f t="array" ref="V25">IFERROR(IF(AND(K25&lt;&gt;"D(Arıza Değil)",#REF!="Bu Arıza Aracın Servise Verilmesine Engel Değil"),
IF(#REF!-#REF!&gt;0,(R25-Q25)*24*60,
IF(OR(AND(#REF!&gt;$AA$1,#REF!&lt;#REF!),AND(#REF!&gt;#REF!,#REF!&lt;#REF!)),
(T25-F25)*24*60,     BH:BH0)),        W25),0)</f>
        <v>0</v>
      </c>
      <c r="W25" s="45" t="str">
        <f t="shared" si="1"/>
        <v/>
      </c>
      <c r="X25" s="39" t="str">
        <f>[3]bel!AL23</f>
        <v/>
      </c>
      <c r="Y25" s="39" t="str">
        <f>[3]bel!AT23</f>
        <v/>
      </c>
      <c r="Z25" s="39" t="str">
        <f>[3]bel!AK23</f>
        <v/>
      </c>
      <c r="AA25" s="39" t="str">
        <f>[3]bel!AM23</f>
        <v/>
      </c>
      <c r="AB25" s="57" t="e">
        <f>P25*S25*#REF!</f>
        <v>#VALUE!</v>
      </c>
    </row>
    <row r="26" spans="1:28" s="18" customFormat="1" ht="118.5" customHeight="1" x14ac:dyDescent="0.25">
      <c r="A26" s="35" t="str">
        <f>[3]bel!C24</f>
        <v>BEL25</v>
      </c>
      <c r="B26" s="35" t="str">
        <f>[3]bel!D24</f>
        <v>1531(1)</v>
      </c>
      <c r="C26" s="15" t="str">
        <f>[3]bel!E24</f>
        <v>MC</v>
      </c>
      <c r="D26" s="15">
        <f>[3]bel!F24</f>
        <v>15</v>
      </c>
      <c r="E26" s="16" t="str">
        <f>[3]bel!G24</f>
        <v>BOZ-BEL25-FF-022</v>
      </c>
      <c r="F26" s="62">
        <f>[3]bel!H24</f>
        <v>45821.333333333299</v>
      </c>
      <c r="G26" s="13" t="s">
        <v>36</v>
      </c>
      <c r="H26" s="13"/>
      <c r="I26" s="14" t="str">
        <f>[3]bel!Y24</f>
        <v>PSV Wipers Ltd</v>
      </c>
      <c r="J26" s="23" t="str">
        <f>[3]bel!O24</f>
        <v>Tramvayın ön cam silecek sistemi üzerinde yapılan fonksiyonel kontroller sırasında, silecek mekanizmasının düzgün çalışmadığı tespit edilmiştir</v>
      </c>
      <c r="K26" s="36" t="str">
        <f>[3]bel!T24</f>
        <v>A(Hareket etmeyi engelleyen arıza)</v>
      </c>
      <c r="L26" s="24" t="str" cm="1">
        <f t="array" ref="L26">_xlfn.IFS([3]bel!X24="Bozankaya","Bozankaya",[3]bel!X24="Müşteri","Customer",[3]bel!X24="Tedarikçi","Equipment Supplier")</f>
        <v>Equipment Supplier</v>
      </c>
      <c r="M26" s="61" t="str">
        <f>[3]bel!P24</f>
        <v xml:space="preserve"> Silecek, cam yüzeyi 
üzerinde çalışması gereken sınırları aşarak aracın yan kısımlarına doğru hareket etmektedir. Bu durum, sistemin strok limitleri dışında çalıştığını ve potansiyel olarak 
cam, gövde veya silecek yapısına zarar verebileceğini göstermektedir.</v>
      </c>
      <c r="N26" s="25" t="str">
        <f>[3]bel!AG24</f>
        <v>Gevşek bağlantı vidaları sıkıldı</v>
      </c>
      <c r="O26" s="25" t="str">
        <f>[3]bel!Z24</f>
        <v/>
      </c>
      <c r="P26" s="17">
        <f>[3]bel!BB24</f>
        <v>1</v>
      </c>
      <c r="Q26" s="62">
        <f>[3]bel!AH24</f>
        <v>45821.341666666704</v>
      </c>
      <c r="R26" s="62">
        <f>[3]bel!BC24</f>
        <v>45821.375</v>
      </c>
      <c r="S26" s="45">
        <f t="shared" si="0"/>
        <v>60.000000048894435</v>
      </c>
      <c r="T26" s="62">
        <f>[3]bel!BC24</f>
        <v>45821.375</v>
      </c>
      <c r="U26" s="40" t="str">
        <f>[3]bel!V24</f>
        <v>(I) İlk Defa Karşılaşılan Arıza</v>
      </c>
      <c r="V26" s="45" cm="1">
        <f t="array" ref="V26">IFERROR(IF(AND(K26&lt;&gt;"D(Arıza Değil)",#REF!="Bu Arıza Aracın Servise Verilmesine Engel Değil"),
IF(#REF!-#REF!&gt;0,(R26-Q26)*24*60,
IF(OR(AND(#REF!&gt;$AA$1,#REF!&lt;#REF!),AND(#REF!&gt;#REF!,#REF!&lt;#REF!)),
(T26-F26)*24*60,     BH:BH0)),        W26),0)</f>
        <v>0</v>
      </c>
      <c r="W26" s="45">
        <f t="shared" si="1"/>
        <v>60.000000048894435</v>
      </c>
      <c r="X26" s="39" t="str">
        <f>[3]bel!AL24</f>
        <v/>
      </c>
      <c r="Y26" s="39" t="str">
        <f>[3]bel!AT24</f>
        <v/>
      </c>
      <c r="Z26" s="39" t="str">
        <f>[3]bel!AK24</f>
        <v/>
      </c>
      <c r="AA26" s="39" t="str">
        <f>[3]bel!AM24</f>
        <v/>
      </c>
      <c r="AB26" s="57" t="e">
        <f>P26*S26*#REF!</f>
        <v>#REF!</v>
      </c>
    </row>
    <row r="27" spans="1:28" s="18" customFormat="1" ht="118.5" customHeight="1" x14ac:dyDescent="0.25">
      <c r="A27" s="35" t="str">
        <f>[3]bel!C25</f>
        <v>BEL25</v>
      </c>
      <c r="B27" s="35" t="str">
        <f>[3]bel!D25</f>
        <v>1531(1)</v>
      </c>
      <c r="C27" s="15" t="str">
        <f>[3]bel!E25</f>
        <v>M</v>
      </c>
      <c r="D27" s="15">
        <f>[3]bel!F25</f>
        <v>19</v>
      </c>
      <c r="E27" s="16" t="str">
        <f>[3]bel!G25</f>
        <v>BOZ-BEL25-FF-023</v>
      </c>
      <c r="F27" s="62">
        <f>[3]bel!H25</f>
        <v>45828.337500000001</v>
      </c>
      <c r="G27" s="13" t="s">
        <v>28</v>
      </c>
      <c r="H27" s="13"/>
      <c r="I27" s="14" t="str">
        <f>[3]bel!Y25</f>
        <v>Kalite</v>
      </c>
      <c r="J27" s="23" t="str">
        <f>[3]bel!O25</f>
        <v>M modül havalandırma ızgarasından su sızıntısı.</v>
      </c>
      <c r="K27" s="36" t="str">
        <f>[3]bel!T25</f>
        <v>C(Sisteme etki etmeyen arıza)</v>
      </c>
      <c r="L27" s="24" t="str" cm="1">
        <f t="array" ref="L27">_xlfn.IFS([3]bel!X25="Bozankaya","Bozankaya",[3]bel!X25="Müşteri","Customer",[3]bel!X25="Tedarikçi","Equipment Supplier")</f>
        <v>Bozankaya</v>
      </c>
      <c r="M27" s="61" t="str">
        <f>[3]bel!P25</f>
        <v>Gerçekleştirilen detaylı inceleme kapsamında ilgili havalandırma ızgarası demonte edilmiş ve suyun, araç tavanının iç konstrüksiyon profilleri boyunca ilerleyerek söz 
konusu noktaya ulaştığı tespit edilmiştir</v>
      </c>
      <c r="N27" s="25" t="str">
        <f>[3]bel!AG25</f>
        <v>Temizlendi</v>
      </c>
      <c r="O27" s="25" t="str">
        <f>[3]bel!Z25</f>
        <v>Evet</v>
      </c>
      <c r="P27" s="17">
        <f>[3]bel!BB25</f>
        <v>1</v>
      </c>
      <c r="Q27" s="62">
        <f>[3]bel!AH25</f>
        <v>45828.375</v>
      </c>
      <c r="R27" s="62">
        <f>[3]bel!BC25</f>
        <v>45828.583333333299</v>
      </c>
      <c r="S27" s="45">
        <f t="shared" si="0"/>
        <v>353.99999994901009</v>
      </c>
      <c r="T27" s="62">
        <f>[3]bel!BC25</f>
        <v>45828.583333333299</v>
      </c>
      <c r="U27" s="40" t="str">
        <f>[3]bel!V25</f>
        <v>(I) İlk Defa Karşılaşılan Arıza</v>
      </c>
      <c r="V27" s="45" cm="1">
        <f t="array" ref="V27">IFERROR(IF(AND(K27&lt;&gt;"D(Arıza Değil)",#REF!="Bu Arıza Aracın Servise Verilmesine Engel Değil"),
IF(#REF!-#REF!&gt;0,(R27-Q27)*24*60,
IF(OR(AND(#REF!&gt;$AA$1,#REF!&lt;#REF!),AND(#REF!&gt;#REF!,#REF!&lt;#REF!)),
(T27-F27)*24*60,     BH:BH0)),        W27),0)</f>
        <v>0</v>
      </c>
      <c r="W27" s="45">
        <f t="shared" si="1"/>
        <v>353.99999994901009</v>
      </c>
      <c r="X27" s="39" t="str">
        <f>[3]bel!AL25</f>
        <v/>
      </c>
      <c r="Y27" s="39" t="str">
        <f>[3]bel!AT25</f>
        <v/>
      </c>
      <c r="Z27" s="39" t="str">
        <f>[3]bel!AK25</f>
        <v/>
      </c>
      <c r="AA27" s="39" t="str">
        <f>[3]bel!AM25</f>
        <v/>
      </c>
      <c r="AB27" s="57" t="e">
        <f>P27*S27*#REF!</f>
        <v>#REF!</v>
      </c>
    </row>
    <row r="28" spans="1:28" s="18" customFormat="1" ht="118.5" customHeight="1" x14ac:dyDescent="0.25">
      <c r="A28" s="35" t="str">
        <f>[3]bel!C26</f>
        <v>BEL25</v>
      </c>
      <c r="B28" s="35" t="str">
        <f>[3]bel!D26</f>
        <v>1531(1)</v>
      </c>
      <c r="C28" s="15" t="str">
        <f>[3]bel!E26</f>
        <v>M</v>
      </c>
      <c r="D28" s="15">
        <f>[3]bel!F26</f>
        <v>19</v>
      </c>
      <c r="E28" s="16" t="str">
        <f>[3]bel!G26</f>
        <v>BOZ-BEL25-FF-024</v>
      </c>
      <c r="F28" s="62">
        <f>[3]bel!H26</f>
        <v>45828.541666666701</v>
      </c>
      <c r="G28" s="13" t="s">
        <v>37</v>
      </c>
      <c r="H28" s="13"/>
      <c r="I28" s="14" t="str">
        <f>[3]bel!Y26</f>
        <v>Kalite</v>
      </c>
      <c r="J28" s="23" t="str">
        <f>[3]bel!O26</f>
        <v>MC modül ön tampon ve M modül arka tampon yuvasına oturmuyor.</v>
      </c>
      <c r="K28" s="36" t="str">
        <f>[3]bel!T26</f>
        <v>C(Sisteme etki etmeyen arıza)</v>
      </c>
      <c r="L28" s="24" t="str" cm="1">
        <f t="array" ref="L28">_xlfn.IFS([3]bel!X26="Bozankaya","Bozankaya",[3]bel!X26="Müşteri","Customer",[3]bel!X26="Tedarikçi","Equipment Supplier")</f>
        <v>Bozankaya</v>
      </c>
      <c r="M28" s="61" t="str">
        <f>[3]bel!P26</f>
        <v xml:space="preserve"> Özellikle sağ ve sol alt köşe bölgelerinde, tampon ile gövde arasında olması gerekenden fazla açıklık (gap) bulunduğu ve bu durumun araç genel 
tasarım bütünlüğünü bozduğu gözlemlenmiştir.</v>
      </c>
      <c r="N28" s="25" t="str">
        <f>[3]bel!AG26</f>
        <v>Gevşek bağlantı vidaları sıkıldı</v>
      </c>
      <c r="O28" s="25" t="str">
        <f>[3]bel!Z26</f>
        <v>Evet</v>
      </c>
      <c r="P28" s="17">
        <f>[3]bel!BB26</f>
        <v>1</v>
      </c>
      <c r="Q28" s="62">
        <f>[3]bel!AH26</f>
        <v>45828.552083333299</v>
      </c>
      <c r="R28" s="62">
        <f>[3]bel!BC26</f>
        <v>45828.576388888898</v>
      </c>
      <c r="S28" s="45">
        <f t="shared" si="0"/>
        <v>49.99999996391125</v>
      </c>
      <c r="T28" s="62">
        <f>[3]bel!BC26</f>
        <v>45828.576388888898</v>
      </c>
      <c r="U28" s="40" t="str">
        <f>[3]bel!V26</f>
        <v>(I) İlk Defa Karşılaşılan Arıza</v>
      </c>
      <c r="V28" s="45" cm="1">
        <f t="array" ref="V28">IFERROR(IF(AND(K28&lt;&gt;"D(Arıza Değil)",#REF!="Bu Arıza Aracın Servise Verilmesine Engel Değil"),
IF(#REF!-#REF!&gt;0,(R28-Q28)*24*60,
IF(OR(AND(#REF!&gt;$AA$1,#REF!&lt;#REF!),AND(#REF!&gt;#REF!,#REF!&lt;#REF!)),
(T28-F28)*24*60,     BH:BH0)),        W28),0)</f>
        <v>0</v>
      </c>
      <c r="W28" s="45">
        <f t="shared" si="1"/>
        <v>49.99999996391125</v>
      </c>
      <c r="X28" s="39" t="str">
        <f>[3]bel!AL26</f>
        <v/>
      </c>
      <c r="Y28" s="39" t="str">
        <f>[3]bel!AT26</f>
        <v/>
      </c>
      <c r="Z28" s="39" t="str">
        <f>[3]bel!AK26</f>
        <v/>
      </c>
      <c r="AA28" s="39" t="str">
        <f>[3]bel!AM26</f>
        <v/>
      </c>
      <c r="AB28" s="57" t="e">
        <f>P28*S28*#REF!</f>
        <v>#REF!</v>
      </c>
    </row>
    <row r="29" spans="1:28" s="18" customFormat="1" ht="118.5" customHeight="1" x14ac:dyDescent="0.25">
      <c r="A29" s="35" t="str">
        <f>[3]bel!C27</f>
        <v>BEL25</v>
      </c>
      <c r="B29" s="35" t="str">
        <f>[3]bel!D27</f>
        <v>1532(2)</v>
      </c>
      <c r="C29" s="15" t="str">
        <f>[3]bel!E27</f>
        <v>M</v>
      </c>
      <c r="D29" s="15">
        <f>[3]bel!F27</f>
        <v>0</v>
      </c>
      <c r="E29" s="16" t="str">
        <f>[3]bel!G27</f>
        <v>BOZ-BEL25-FF-025</v>
      </c>
      <c r="F29" s="62">
        <f>[3]bel!H27</f>
        <v>45833.333333333299</v>
      </c>
      <c r="G29" s="13" t="s">
        <v>37</v>
      </c>
      <c r="H29" s="13"/>
      <c r="I29" s="14" t="str">
        <f>[3]bel!Y27</f>
        <v>Kalite</v>
      </c>
      <c r="J29" s="23" t="str">
        <f>[3]bel!O27</f>
        <v>M modül arka sol yan cam çatlaması.</v>
      </c>
      <c r="K29" s="36" t="str">
        <f>[3]bel!T27</f>
        <v>C(Sisteme etki etmeyen arıza)</v>
      </c>
      <c r="L29" s="24" t="str" cm="1">
        <f t="array" ref="L29">_xlfn.IFS([3]bel!X27="Bozankaya","Bozankaya",[3]bel!X27="Müşteri","Customer",[3]bel!X27="Tedarikçi","Equipment Supplier")</f>
        <v>Bozankaya</v>
      </c>
      <c r="M29" s="61" t="str">
        <f>[3]bel!P27</f>
        <v>Arızanın lojistik işlemi sürecinde çatladığı düşünülmektedir.</v>
      </c>
      <c r="N29" s="25" t="str">
        <f>[3]bel!AG27</f>
        <v>*Bir çalışma yapılmadı</v>
      </c>
      <c r="O29" s="25" t="str">
        <f>[3]bel!Z27</f>
        <v>Evet</v>
      </c>
      <c r="P29" s="17" t="str">
        <f>[3]bel!BB27</f>
        <v/>
      </c>
      <c r="Q29" s="62" t="str">
        <f>[3]bel!AH27</f>
        <v/>
      </c>
      <c r="R29" s="62" t="str">
        <f>[3]bel!BC27</f>
        <v/>
      </c>
      <c r="S29" s="45" t="str">
        <f t="shared" si="0"/>
        <v/>
      </c>
      <c r="T29" s="62" t="str">
        <f>[3]bel!BC27</f>
        <v/>
      </c>
      <c r="U29" s="40" t="str">
        <f>[3]bel!V27</f>
        <v>(I) İlk Defa Karşılaşılan Arıza</v>
      </c>
      <c r="V29" s="45" cm="1">
        <f t="array" ref="V29">IFERROR(IF(AND(K29&lt;&gt;"D(Arıza Değil)",#REF!="Bu Arıza Aracın Servise Verilmesine Engel Değil"),
IF(#REF!-#REF!&gt;0,(R29-Q29)*24*60,
IF(OR(AND(#REF!&gt;$AA$1,#REF!&lt;#REF!),AND(#REF!&gt;#REF!,#REF!&lt;#REF!)),
(T29-F29)*24*60,     BH:BH0)),        W29),0)</f>
        <v>0</v>
      </c>
      <c r="W29" s="45" t="str">
        <f t="shared" si="1"/>
        <v/>
      </c>
      <c r="X29" s="39" t="str">
        <f>[3]bel!AL27</f>
        <v/>
      </c>
      <c r="Y29" s="39" t="str">
        <f>[3]bel!AT27</f>
        <v/>
      </c>
      <c r="Z29" s="39" t="str">
        <f>[3]bel!AK27</f>
        <v/>
      </c>
      <c r="AA29" s="39" t="str">
        <f>[3]bel!AM27</f>
        <v/>
      </c>
      <c r="AB29" s="57" t="e">
        <f>P29*S29*#REF!</f>
        <v>#VALUE!</v>
      </c>
    </row>
    <row r="30" spans="1:28" s="18" customFormat="1" ht="118.5" customHeight="1" x14ac:dyDescent="0.25">
      <c r="A30" s="35" t="str">
        <f>[3]bel!C28</f>
        <v>BEL25</v>
      </c>
      <c r="B30" s="35" t="str">
        <f>[3]bel!D28</f>
        <v>1532(2)</v>
      </c>
      <c r="C30" s="15" t="str">
        <f>[3]bel!E28</f>
        <v>MC</v>
      </c>
      <c r="D30" s="15">
        <f>[3]bel!F28</f>
        <v>2</v>
      </c>
      <c r="E30" s="16" t="str">
        <f>[3]bel!G28</f>
        <v>BOZ-BEL25-FF-026</v>
      </c>
      <c r="F30" s="62">
        <f>[3]bel!H28</f>
        <v>45834.416666666701</v>
      </c>
      <c r="G30" s="13" t="s">
        <v>28</v>
      </c>
      <c r="H30" s="13"/>
      <c r="I30" s="14" t="str">
        <f>[3]bel!Y28</f>
        <v>Kalite</v>
      </c>
      <c r="J30" s="23" t="str">
        <f>[3]bel!O28</f>
        <v>Dashboard altı kapama monte değildi.</v>
      </c>
      <c r="K30" s="36" t="str">
        <f>[3]bel!T28</f>
        <v>C(Sisteme etki etmeyen arıza)</v>
      </c>
      <c r="L30" s="24" t="str" cm="1">
        <f t="array" ref="L30">_xlfn.IFS([3]bel!X28="Bozankaya","Bozankaya",[3]bel!X28="Müşteri","Customer",[3]bel!X28="Tedarikçi","Equipment Supplier")</f>
        <v>Bozankaya</v>
      </c>
      <c r="M30" s="61" t="str">
        <f>[3]bel!P28</f>
        <v>Yapılan  kontroller esnasında, sürücü kabininde yer alan dashboard altı bölümde bulunması gereken kapama sacının monte edilmediği tespit edilmiştir. İlgili 
alanın açık bırakılması sonucu, bu bölgede bulunan elektrik ve haberleşme kabloları dış ortamdan doğrudan görülebilir ve müdahaleye açık hale gelmiştir .</v>
      </c>
      <c r="N30" s="25" t="str">
        <f>[3]bel!AG28</f>
        <v>Ekipman yenisi ile değiştirildi</v>
      </c>
      <c r="O30" s="25" t="str">
        <f>[3]bel!Z28</f>
        <v>Evet</v>
      </c>
      <c r="P30" s="17">
        <f>[3]bel!BB28</f>
        <v>1</v>
      </c>
      <c r="Q30" s="62">
        <f>[3]bel!AH28</f>
        <v>45834.440277777801</v>
      </c>
      <c r="R30" s="62">
        <f>[3]bel!BC28</f>
        <v>45864.583333333299</v>
      </c>
      <c r="S30" s="45">
        <f t="shared" si="0"/>
        <v>43439.999999902211</v>
      </c>
      <c r="T30" s="62">
        <f>[3]bel!BC28</f>
        <v>45864.583333333299</v>
      </c>
      <c r="U30" s="40" t="str">
        <f>[3]bel!V28</f>
        <v>(I) İlk Defa Karşılaşılan Arıza</v>
      </c>
      <c r="V30" s="45" cm="1">
        <f t="array" ref="V30">IFERROR(IF(AND(K30&lt;&gt;"D(Arıza Değil)",#REF!="Bu Arıza Aracın Servise Verilmesine Engel Değil"),
IF(#REF!-#REF!&gt;0,(R30-Q30)*24*60,
IF(OR(AND(#REF!&gt;$AA$1,#REF!&lt;#REF!),AND(#REF!&gt;#REF!,#REF!&lt;#REF!)),
(T30-F30)*24*60,     BH:BH0)),        W30),0)</f>
        <v>0</v>
      </c>
      <c r="W30" s="45">
        <f t="shared" si="1"/>
        <v>43439.999999902211</v>
      </c>
      <c r="X30" s="39" t="str">
        <f>[3]bel!AL28</f>
        <v>T100-7263</v>
      </c>
      <c r="Y30" s="39" t="str">
        <f>[3]bel!AT28</f>
        <v/>
      </c>
      <c r="Z30" s="39" t="str">
        <f>[3]bel!AK28</f>
        <v>BAKIM KAPAGI</v>
      </c>
      <c r="AA30" s="39" t="str">
        <f>[3]bel!AM28</f>
        <v/>
      </c>
      <c r="AB30" s="57" t="e">
        <f>P30*S30*#REF!</f>
        <v>#REF!</v>
      </c>
    </row>
    <row r="31" spans="1:28" s="18" customFormat="1" ht="118.5" customHeight="1" x14ac:dyDescent="0.25">
      <c r="A31" s="35" t="str">
        <f>[3]bel!C29</f>
        <v>BEL25</v>
      </c>
      <c r="B31" s="35" t="str">
        <f>[3]bel!D29</f>
        <v>1532(2)</v>
      </c>
      <c r="C31" s="15" t="str">
        <f>[3]bel!E29</f>
        <v>T</v>
      </c>
      <c r="D31" s="15">
        <f>[3]bel!F29</f>
        <v>30</v>
      </c>
      <c r="E31" s="16" t="str">
        <f>[3]bel!G29</f>
        <v>BOZ-BEL25-FF-027</v>
      </c>
      <c r="F31" s="62">
        <f>[3]bel!H29</f>
        <v>45853.333333333299</v>
      </c>
      <c r="G31" s="13" t="s">
        <v>38</v>
      </c>
      <c r="H31" s="13"/>
      <c r="I31" s="14" t="str">
        <f>[3]bel!Y29</f>
        <v>Üretim</v>
      </c>
      <c r="J31" s="23" t="str">
        <f>[3]bel!O29</f>
        <v>MC ve T bogie hidrolik sistem borularda sızıntı ve terleme tespiti.</v>
      </c>
      <c r="K31" s="36" t="str">
        <f>[3]bel!T29</f>
        <v>C(Sisteme etki etmeyen arıza)</v>
      </c>
      <c r="L31" s="24" t="str" cm="1">
        <f t="array" ref="L31">_xlfn.IFS([3]bel!X29="Bozankaya","Bozankaya",[3]bel!X29="Müşteri","Customer",[3]bel!X29="Tedarikçi","Equipment Supplier")</f>
        <v>Bozankaya</v>
      </c>
      <c r="M31" s="61" t="str">
        <f>[3]bel!P29</f>
        <v>Yapılan  kontroller esnasında, aracın bogiesinde bulunan MC ve T bogie hidrolik hatlara ait T redüktör ve adaptör bağlantı noktalarında yağ terlemesi (hafif 
sızıntı) tespit edilmiştir.
Yağ sızıntısı, her iki parçanın dişli bağlantı alanlarında ve sızdırmazlık sağlanması gereken yüzey birleşimlerinde gözlemlenmiş olup, çevrede yağ kalıntısı ve kirlenme 
oluşmuştur.</v>
      </c>
      <c r="N31" s="25" t="str">
        <f>[3]bel!AG29</f>
        <v>Gevşek bağlantı vidaları sıkıldı</v>
      </c>
      <c r="O31" s="25" t="str">
        <f>[3]bel!Z29</f>
        <v>Evet</v>
      </c>
      <c r="P31" s="17">
        <f>[3]bel!BB29</f>
        <v>1</v>
      </c>
      <c r="Q31" s="62">
        <f>[3]bel!AH29</f>
        <v>45853.375</v>
      </c>
      <c r="R31" s="62">
        <f>[3]bel!BC29</f>
        <v>45853.416666666701</v>
      </c>
      <c r="S31" s="45">
        <f t="shared" si="0"/>
        <v>120.00000009778887</v>
      </c>
      <c r="T31" s="62">
        <f>[3]bel!BC29</f>
        <v>45853.416666666701</v>
      </c>
      <c r="U31" s="40" t="str">
        <f>[3]bel!V29</f>
        <v>(I) İlk Defa Karşılaşılan Arıza</v>
      </c>
      <c r="V31" s="45" cm="1">
        <f t="array" ref="V31">IFERROR(IF(AND(K31&lt;&gt;"D(Arıza Değil)",#REF!="Bu Arıza Aracın Servise Verilmesine Engel Değil"),
IF(#REF!-#REF!&gt;0,(R31-Q31)*24*60,
IF(OR(AND(#REF!&gt;$AA$1,#REF!&lt;#REF!),AND(#REF!&gt;#REF!,#REF!&lt;#REF!)),
(T31-F31)*24*60,     BH:BH0)),        W31),0)</f>
        <v>0</v>
      </c>
      <c r="W31" s="45">
        <f t="shared" si="1"/>
        <v>120.00000009778887</v>
      </c>
      <c r="X31" s="39" t="str">
        <f>[3]bel!AL29</f>
        <v/>
      </c>
      <c r="Y31" s="39" t="str">
        <f>[3]bel!AT29</f>
        <v/>
      </c>
      <c r="Z31" s="39" t="str">
        <f>[3]bel!AK29</f>
        <v/>
      </c>
      <c r="AA31" s="39" t="str">
        <f>[3]bel!AM29</f>
        <v/>
      </c>
      <c r="AB31" s="57" t="e">
        <f>P31*S31*#REF!</f>
        <v>#REF!</v>
      </c>
    </row>
    <row r="32" spans="1:28" s="18" customFormat="1" ht="118.5" customHeight="1" x14ac:dyDescent="0.25">
      <c r="A32" s="35" t="str">
        <f>[3]bel!C30</f>
        <v>BEL25</v>
      </c>
      <c r="B32" s="35" t="str">
        <f>[3]bel!D30</f>
        <v>1533(3)</v>
      </c>
      <c r="C32" s="15" t="str">
        <f>[3]bel!E30</f>
        <v>MC</v>
      </c>
      <c r="D32" s="15">
        <f>[3]bel!F30</f>
        <v>0</v>
      </c>
      <c r="E32" s="16" t="str">
        <f>[3]bel!G30</f>
        <v>BOZ-BEL25-FF-028</v>
      </c>
      <c r="F32" s="62">
        <f>[3]bel!H30</f>
        <v>45862.291666666701</v>
      </c>
      <c r="G32" s="13" t="s">
        <v>37</v>
      </c>
      <c r="H32" s="13"/>
      <c r="I32" s="14" t="str">
        <f>[3]bel!Y30</f>
        <v>Kalite</v>
      </c>
      <c r="J32" s="23" t="str">
        <f>[3]bel!O30</f>
        <v>MC modül ön tampon kilit mekanizması yerinden çıkmıştır.</v>
      </c>
      <c r="K32" s="36" t="str">
        <f>[3]bel!T30</f>
        <v>C(Sisteme etki etmeyen arıza)</v>
      </c>
      <c r="L32" s="24" t="str" cm="1">
        <f t="array" ref="L32">_xlfn.IFS([3]bel!X30="Bozankaya","Bozankaya",[3]bel!X30="Müşteri","Customer",[3]bel!X30="Tedarikçi","Equipment Supplier")</f>
        <v>Bozankaya</v>
      </c>
      <c r="M32" s="61" t="str">
        <f>[3]bel!P30</f>
        <v xml:space="preserve">Yapılan kontroller sırasında, 3. tramvayın ön tampon iç yüzeyinde yer alan kilit mekanizmasının, çift taraflı yapışkan komponent ile sabitlendiği yüzeyden ayrıldığı tespit edilmiştir. </v>
      </c>
      <c r="N32" s="25" t="str">
        <f>[3]bel!AG30</f>
        <v/>
      </c>
      <c r="O32" s="25" t="str">
        <f>[3]bel!Z30</f>
        <v>Evet</v>
      </c>
      <c r="P32" s="17">
        <f>[3]bel!BB30</f>
        <v>1</v>
      </c>
      <c r="Q32" s="62">
        <f>[3]bel!AH30</f>
        <v>45862.375</v>
      </c>
      <c r="R32" s="62">
        <f>[3]bel!BC30</f>
        <v>45862.541666666701</v>
      </c>
      <c r="S32" s="45">
        <f t="shared" si="0"/>
        <v>360</v>
      </c>
      <c r="T32" s="62">
        <f>[3]bel!BC30</f>
        <v>45862.541666666701</v>
      </c>
      <c r="U32" s="40" t="str">
        <f>[3]bel!V30</f>
        <v>(I) İlk Defa Karşılaşılan Arıza</v>
      </c>
      <c r="V32" s="45" cm="1">
        <f t="array" ref="V32">IFERROR(IF(AND(K32&lt;&gt;"D(Arıza Değil)",#REF!="Bu Arıza Aracın Servise Verilmesine Engel Değil"),
IF(#REF!-#REF!&gt;0,(R32-Q32)*24*60,
IF(OR(AND(#REF!&gt;$AA$1,#REF!&lt;#REF!),AND(#REF!&gt;#REF!,#REF!&lt;#REF!)),
(T32-F32)*24*60,     BH:BH0)),        W32),0)</f>
        <v>0</v>
      </c>
      <c r="W32" s="45">
        <f t="shared" si="1"/>
        <v>360</v>
      </c>
      <c r="X32" s="39" t="str">
        <f>[3]bel!AL30</f>
        <v/>
      </c>
      <c r="Y32" s="39" t="str">
        <f>[3]bel!AT30</f>
        <v/>
      </c>
      <c r="Z32" s="39" t="str">
        <f>[3]bel!AK30</f>
        <v/>
      </c>
      <c r="AA32" s="39" t="str">
        <f>[3]bel!AM30</f>
        <v/>
      </c>
      <c r="AB32" s="57" t="e">
        <f>P32*S32*#REF!</f>
        <v>#REF!</v>
      </c>
    </row>
    <row r="33" spans="1:28" s="18" customFormat="1" ht="118.5" customHeight="1" x14ac:dyDescent="0.25">
      <c r="A33" s="35" t="str">
        <f>[3]bel!C31</f>
        <v>BEL25</v>
      </c>
      <c r="B33" s="35" t="str">
        <f>[3]bel!D31</f>
        <v>1533(3)</v>
      </c>
      <c r="C33" s="15" t="str">
        <f>[3]bel!E31</f>
        <v>M</v>
      </c>
      <c r="D33" s="15">
        <f>[3]bel!F31</f>
        <v>250</v>
      </c>
      <c r="E33" s="16" t="str">
        <f>[3]bel!G31</f>
        <v>BOZ-BEL25-FF-029</v>
      </c>
      <c r="F33" s="62">
        <f>[3]bel!H31</f>
        <v>45874.375</v>
      </c>
      <c r="G33" s="13" t="s">
        <v>39</v>
      </c>
      <c r="H33" s="13"/>
      <c r="I33" s="14" t="str">
        <f>[3]bel!Y31</f>
        <v>Tasarım</v>
      </c>
      <c r="J33" s="23" t="str">
        <f>[3]bel!O31</f>
        <v>Speed sensör kablolarının riskli konumlandırılması.</v>
      </c>
      <c r="K33" s="36" t="str">
        <f>[3]bel!T31</f>
        <v>C(Sisteme etki etmeyen arıza)</v>
      </c>
      <c r="L33" s="24" t="str" cm="1">
        <f t="array" ref="L33">_xlfn.IFS([3]bel!X31="Bozankaya","Bozankaya",[3]bel!X31="Müşteri","Customer",[3]bel!X31="Tedarikçi","Equipment Supplier")</f>
        <v>Bozankaya</v>
      </c>
      <c r="M33" s="61" t="str">
        <f>[3]bel!P31</f>
        <v>Yapılan gözlemlere göre, bu sensörler hat üzerindeki yapısal engellerle (örneğin ray bağlantı 
elemanları veya altyapı unsurları) temasa geçebilecek bir pozisyonda yer almakta ve bu durum, sensörün fiziksel olarak hasar görmesine veya kırılmasına sebep olabilir</v>
      </c>
      <c r="N33" s="25" t="str">
        <f>[3]bel!AG31</f>
        <v/>
      </c>
      <c r="O33" s="25" t="str">
        <f>[3]bel!Z31</f>
        <v>Evet</v>
      </c>
      <c r="P33" s="17" t="str">
        <f>[3]bel!BB31</f>
        <v/>
      </c>
      <c r="Q33" s="62" t="str">
        <f>[3]bel!AH31</f>
        <v/>
      </c>
      <c r="R33" s="62" t="str">
        <f>[3]bel!BC31</f>
        <v/>
      </c>
      <c r="S33" s="45" t="str">
        <f t="shared" si="0"/>
        <v/>
      </c>
      <c r="T33" s="62" t="str">
        <f>[3]bel!BC31</f>
        <v/>
      </c>
      <c r="U33" s="40" t="str">
        <f>[3]bel!V31</f>
        <v>(I) İlk Defa Karşılaşılan Arıza</v>
      </c>
      <c r="V33" s="45" cm="1">
        <f t="array" ref="V33">IFERROR(IF(AND(K33&lt;&gt;"D(Arıza Değil)",#REF!="Bu Arıza Aracın Servise Verilmesine Engel Değil"),
IF(#REF!-#REF!&gt;0,(R33-Q33)*24*60,
IF(OR(AND(#REF!&gt;$AA$1,#REF!&lt;#REF!),AND(#REF!&gt;#REF!,#REF!&lt;#REF!)),
(T33-F33)*24*60,     BH:BH0)),        W33),0)</f>
        <v>0</v>
      </c>
      <c r="W33" s="45" t="str">
        <f t="shared" si="1"/>
        <v/>
      </c>
      <c r="X33" s="39" t="str">
        <f>[3]bel!AL31</f>
        <v/>
      </c>
      <c r="Y33" s="39" t="str">
        <f>[3]bel!AT31</f>
        <v/>
      </c>
      <c r="Z33" s="39" t="str">
        <f>[3]bel!AK31</f>
        <v/>
      </c>
      <c r="AA33" s="39" t="str">
        <f>[3]bel!AM31</f>
        <v/>
      </c>
      <c r="AB33" s="57" t="e">
        <f>P33*S33*#REF!</f>
        <v>#VALUE!</v>
      </c>
    </row>
    <row r="34" spans="1:28" s="18" customFormat="1" ht="118.5" customHeight="1" x14ac:dyDescent="0.25">
      <c r="A34" s="35" t="str">
        <f>[3]bel!C32</f>
        <v>BEL25</v>
      </c>
      <c r="B34" s="35" t="str">
        <f>[3]bel!D32</f>
        <v>1533(3)</v>
      </c>
      <c r="C34" s="15" t="str">
        <f>[3]bel!E32</f>
        <v>MC</v>
      </c>
      <c r="D34" s="15" t="str">
        <f>[3]bel!F32</f>
        <v/>
      </c>
      <c r="E34" s="16" t="str">
        <f>[3]bel!G32</f>
        <v>BOZ-BEL25-FF-030</v>
      </c>
      <c r="F34" s="62">
        <f>[3]bel!H32</f>
        <v>45874.458333333299</v>
      </c>
      <c r="G34" s="13" t="s">
        <v>32</v>
      </c>
      <c r="H34" s="13"/>
      <c r="I34" s="14" t="str">
        <f>[3]bel!Y32</f>
        <v/>
      </c>
      <c r="J34" s="23" t="str">
        <f>[3]bel!O32</f>
        <v>Sürücü kapısı kabine doğru son kademede sabitlenmiyor.</v>
      </c>
      <c r="K34" s="36" t="str">
        <f>[3]bel!T32</f>
        <v>C(Sisteme etki etmeyen arıza)</v>
      </c>
      <c r="L34" s="24" t="str" cm="1">
        <f t="array" ref="L34">_xlfn.IFS([3]bel!X32="Bozankaya","Bozankaya",[3]bel!X32="Müşteri","Customer",[3]bel!X32="Tedarikçi","Equipment Supplier")</f>
        <v>Bozankaya</v>
      </c>
      <c r="M34" s="61" t="str">
        <f>[3]bel!P32</f>
        <v>Müşteri sürücü kapısının son kademede kabin duvarına sabitlenmesini talep etmektedir.</v>
      </c>
      <c r="N34" s="25" t="str">
        <f>[3]bel!AG32</f>
        <v>*Bir çalışma yapılmadı</v>
      </c>
      <c r="O34" s="25" t="str">
        <f>[3]bel!Z32</f>
        <v>Evet</v>
      </c>
      <c r="P34" s="17" t="str">
        <f>[3]bel!BB32</f>
        <v/>
      </c>
      <c r="Q34" s="62" t="str">
        <f>[3]bel!AH32</f>
        <v/>
      </c>
      <c r="R34" s="62">
        <f>[3]bel!BC32</f>
        <v>45874.5</v>
      </c>
      <c r="S34" s="45">
        <f t="shared" si="0"/>
        <v>60.000000048894435</v>
      </c>
      <c r="T34" s="62">
        <f>[3]bel!BC32</f>
        <v>45874.5</v>
      </c>
      <c r="U34" s="40" t="str">
        <f>[3]bel!V32</f>
        <v>(I) İlk Defa Karşılaşılan Arıza</v>
      </c>
      <c r="V34" s="45" cm="1">
        <f t="array" ref="V34">IFERROR(IF(AND(K34&lt;&gt;"D(Arıza Değil)",#REF!="Bu Arıza Aracın Servise Verilmesine Engel Değil"),
IF(#REF!-#REF!&gt;0,(R34-Q34)*24*60,
IF(OR(AND(#REF!&gt;$AA$1,#REF!&lt;#REF!),AND(#REF!&gt;#REF!,#REF!&lt;#REF!)),
(T34-F34)*24*60,     BH:BH0)),        W34),0)</f>
        <v>0</v>
      </c>
      <c r="W34" s="45">
        <f t="shared" si="1"/>
        <v>60.000000048894435</v>
      </c>
      <c r="X34" s="39" t="str">
        <f>[3]bel!AL32</f>
        <v/>
      </c>
      <c r="Y34" s="39" t="str">
        <f>[3]bel!AT32</f>
        <v/>
      </c>
      <c r="Z34" s="39" t="str">
        <f>[3]bel!AK32</f>
        <v/>
      </c>
      <c r="AA34" s="39" t="str">
        <f>[3]bel!AM32</f>
        <v/>
      </c>
      <c r="AB34" s="57" t="e">
        <f>P34*S34*#REF!</f>
        <v>#VALUE!</v>
      </c>
    </row>
    <row r="35" spans="1:28" s="18" customFormat="1" ht="118.5" customHeight="1" x14ac:dyDescent="0.25">
      <c r="A35" s="35" t="str">
        <f>[3]bel!C33</f>
        <v>BEL25</v>
      </c>
      <c r="B35" s="35" t="str">
        <f>[3]bel!D33</f>
        <v>1533(3)</v>
      </c>
      <c r="C35" s="15" t="str">
        <f>[3]bel!E33</f>
        <v>MC</v>
      </c>
      <c r="D35" s="15" t="str">
        <f>[3]bel!F33</f>
        <v/>
      </c>
      <c r="E35" s="16" t="str">
        <f>[3]bel!G33</f>
        <v>BOZ-BEL25-FF-031</v>
      </c>
      <c r="F35" s="62">
        <f>[3]bel!H33</f>
        <v>45874.458333333299</v>
      </c>
      <c r="G35" s="13" t="s">
        <v>35</v>
      </c>
      <c r="H35" s="13"/>
      <c r="I35" s="14" t="str">
        <f>[3]bel!Y33</f>
        <v/>
      </c>
      <c r="J35" s="23" t="str">
        <f>[3]bel!O33</f>
        <v>Müşteri tarafından, araçta kullanılan point switch butonuna ilişkin bir iyileştirme talep edilmiştir.</v>
      </c>
      <c r="K35" s="36" t="str">
        <f>[3]bel!T33</f>
        <v>C(Sisteme etki etmeyen arıza)</v>
      </c>
      <c r="L35" s="24" t="str" cm="1">
        <f t="array" ref="L35">_xlfn.IFS([3]bel!X33="Bozankaya","Bozankaya",[3]bel!X33="Müşteri","Customer",[3]bel!X33="Tedarikçi","Equipment Supplier")</f>
        <v>Bozankaya</v>
      </c>
      <c r="M35" s="61" t="str">
        <f>[3]bel!P33</f>
        <v xml:space="preserve"> Mevcut durumda buton, sağa veya sola yön verildikten sonra o konumda kalmaktadır. Ancak 
müşteri, butonun yön verildikten sonra otomatik olarak tekrar (nötr) konumuna geri dönmesini istemektedir.</v>
      </c>
      <c r="N35" s="25" t="str">
        <f>[3]bel!AG33</f>
        <v/>
      </c>
      <c r="O35" s="25" t="str">
        <f>[3]bel!Z33</f>
        <v/>
      </c>
      <c r="P35" s="17" t="str">
        <f>[3]bel!BB33</f>
        <v/>
      </c>
      <c r="Q35" s="62" t="str">
        <f>[3]bel!AH33</f>
        <v/>
      </c>
      <c r="R35" s="62">
        <f>[3]bel!BC33</f>
        <v>45874.5</v>
      </c>
      <c r="S35" s="45">
        <f t="shared" si="0"/>
        <v>60.000000048894435</v>
      </c>
      <c r="T35" s="62">
        <f>[3]bel!BC33</f>
        <v>45874.5</v>
      </c>
      <c r="U35" s="40" t="str">
        <f>[3]bel!V33</f>
        <v>(I) İlk Defa Karşılaşılan Arıza</v>
      </c>
      <c r="V35" s="45" cm="1">
        <f t="array" ref="V35">IFERROR(IF(AND(K35&lt;&gt;"D(Arıza Değil)",#REF!="Bu Arıza Aracın Servise Verilmesine Engel Değil"),
IF(#REF!-#REF!&gt;0,(R35-Q35)*24*60,
IF(OR(AND(#REF!&gt;$AA$1,#REF!&lt;#REF!),AND(#REF!&gt;#REF!,#REF!&lt;#REF!)),
(T35-F35)*24*60,     BH:BH0)),        W35),0)</f>
        <v>0</v>
      </c>
      <c r="W35" s="45">
        <f t="shared" si="1"/>
        <v>60.000000048894435</v>
      </c>
      <c r="X35" s="39" t="str">
        <f>[3]bel!AL33</f>
        <v/>
      </c>
      <c r="Y35" s="39" t="str">
        <f>[3]bel!AT33</f>
        <v/>
      </c>
      <c r="Z35" s="39" t="str">
        <f>[3]bel!AK33</f>
        <v/>
      </c>
      <c r="AA35" s="39" t="str">
        <f>[3]bel!AM33</f>
        <v/>
      </c>
      <c r="AB35" s="57" t="e">
        <f>P35*S35*#REF!</f>
        <v>#VALUE!</v>
      </c>
    </row>
    <row r="36" spans="1:28" s="18" customFormat="1" ht="118.5" customHeight="1" x14ac:dyDescent="0.25">
      <c r="A36" s="35" t="str">
        <f>[3]bel!C34</f>
        <v>BEL25</v>
      </c>
      <c r="B36" s="35" t="str">
        <f>[3]bel!D34</f>
        <v>1532(2)</v>
      </c>
      <c r="C36" s="15" t="str">
        <f>[3]bel!E34</f>
        <v>T</v>
      </c>
      <c r="D36" s="15" t="str">
        <f>[3]bel!F34</f>
        <v/>
      </c>
      <c r="E36" s="16" t="str">
        <f>[3]bel!G34</f>
        <v>BOZ-BEL25-FF-032</v>
      </c>
      <c r="F36" s="62">
        <f>[3]bel!H34</f>
        <v>45874.208333333299</v>
      </c>
      <c r="G36" s="13" t="s">
        <v>38</v>
      </c>
      <c r="H36" s="13"/>
      <c r="I36" s="14" t="str">
        <f>[3]bel!Y34</f>
        <v/>
      </c>
      <c r="J36" s="23" t="str">
        <f>[3]bel!O34</f>
        <v>T bogie hidrolik sistemde sızıntı mevcut.</v>
      </c>
      <c r="K36" s="36" t="str">
        <f>[3]bel!T34</f>
        <v>C(Sisteme etki etmeyen arıza)</v>
      </c>
      <c r="L36" s="24" t="str" cm="1">
        <f t="array" ref="L36">_xlfn.IFS([3]bel!X34="Bozankaya","Bozankaya",[3]bel!X34="Müşteri","Customer",[3]bel!X34="Tedarikçi","Equipment Supplier")</f>
        <v>Bozankaya</v>
      </c>
      <c r="M36" s="61" t="str">
        <f>[3]bel!P34</f>
        <v xml:space="preserve"> T bogiedeki hidrolik ünitenin adaptör bağlantı noktasında hidrolik sıvı sızıntısı tespit edilmiştir. Sızıntı, metal boru ile adaptör üzerinde meydana 
gelmekte olup bağlantı çevresinde yağ birikintisi ve ıslaklık gözlemlenmiştir.</v>
      </c>
      <c r="N36" s="25" t="str">
        <f>[3]bel!AG34</f>
        <v>Gevşek bağlantı vidaları sıkıldı</v>
      </c>
      <c r="O36" s="25" t="str">
        <f>[3]bel!Z34</f>
        <v>Evet</v>
      </c>
      <c r="P36" s="17">
        <f>[3]bel!BB34</f>
        <v>1</v>
      </c>
      <c r="Q36" s="62">
        <f>[3]bel!AH34</f>
        <v>45874.21875</v>
      </c>
      <c r="R36" s="62">
        <f>[3]bel!BC34</f>
        <v>45874.291666666701</v>
      </c>
      <c r="S36" s="45">
        <f t="shared" si="0"/>
        <v>120.00000009778887</v>
      </c>
      <c r="T36" s="62">
        <f>[3]bel!BC34</f>
        <v>45874.291666666701</v>
      </c>
      <c r="U36" s="40" t="str">
        <f>[3]bel!V34</f>
        <v>(II) Aynı Araçta Tekrarlayan Arıza</v>
      </c>
      <c r="V36" s="45" cm="1">
        <f t="array" ref="V36">IFERROR(IF(AND(K36&lt;&gt;"D(Arıza Değil)",#REF!="Bu Arıza Aracın Servise Verilmesine Engel Değil"),
IF(#REF!-#REF!&gt;0,(R36-Q36)*24*60,
IF(OR(AND(#REF!&gt;$AA$1,#REF!&lt;#REF!),AND(#REF!&gt;#REF!,#REF!&lt;#REF!)),
(T36-F36)*24*60,     BH:BH0)),        W36),0)</f>
        <v>0</v>
      </c>
      <c r="W36" s="45">
        <f t="shared" si="1"/>
        <v>120.00000009778887</v>
      </c>
      <c r="X36" s="39" t="str">
        <f>[3]bel!AL34</f>
        <v/>
      </c>
      <c r="Y36" s="39" t="str">
        <f>[3]bel!AT34</f>
        <v/>
      </c>
      <c r="Z36" s="39" t="str">
        <f>[3]bel!AK34</f>
        <v/>
      </c>
      <c r="AA36" s="39" t="str">
        <f>[3]bel!AM34</f>
        <v/>
      </c>
      <c r="AB36" s="57" t="e">
        <f>P36*S36*#REF!</f>
        <v>#REF!</v>
      </c>
    </row>
    <row r="37" spans="1:28" s="18" customFormat="1" ht="118.5" customHeight="1" x14ac:dyDescent="0.25">
      <c r="A37" s="35" t="str">
        <f>[3]bel!C35</f>
        <v>BEL25</v>
      </c>
      <c r="B37" s="35" t="str">
        <f>[3]bel!D35</f>
        <v>1533(3)</v>
      </c>
      <c r="C37" s="15" t="str">
        <f>[3]bel!E35</f>
        <v>MC</v>
      </c>
      <c r="D37" s="15" t="str">
        <f>[3]bel!F35</f>
        <v/>
      </c>
      <c r="E37" s="16" t="str">
        <f>[3]bel!G35</f>
        <v>BOZ-BEL25-FF-033</v>
      </c>
      <c r="F37" s="62">
        <f>[3]bel!H35</f>
        <v>45874.291666666701</v>
      </c>
      <c r="G37" s="13" t="s">
        <v>40</v>
      </c>
      <c r="H37" s="13"/>
      <c r="I37" s="14" t="str">
        <f>[3]bel!Y35</f>
        <v>Minel General Electric</v>
      </c>
      <c r="J37" s="23" t="str">
        <f>[3]bel!O35</f>
        <v>Pantograf up and down hareketi esnasında gürültü çıkarmaktadır.</v>
      </c>
      <c r="K37" s="36" t="str">
        <f>[3]bel!T35</f>
        <v>C(Sisteme etki etmeyen arıza)</v>
      </c>
      <c r="L37" s="24" t="str" cm="1">
        <f t="array" ref="L37">_xlfn.IFS([3]bel!X35="Bozankaya","Bozankaya",[3]bel!X35="Müşteri","Customer",[3]bel!X35="Tedarikçi","Equipment Supplier")</f>
        <v>Equipment Supplier</v>
      </c>
      <c r="M37" s="61" t="str">
        <f>[3]bel!P35</f>
        <v>Özellikle down hareketi esnasında araç tavanına iniş noktasında yüksek ses çıkmaktadır.</v>
      </c>
      <c r="N37" s="25" t="str">
        <f>[3]bel!AG35</f>
        <v>*Bir çalışma yapılmadı</v>
      </c>
      <c r="O37" s="25" t="str">
        <f>[3]bel!Z35</f>
        <v/>
      </c>
      <c r="P37" s="17" t="str">
        <f>[3]bel!BB35</f>
        <v/>
      </c>
      <c r="Q37" s="62">
        <f>[3]bel!AH35</f>
        <v>45874.291666666701</v>
      </c>
      <c r="R37" s="62">
        <f>[3]bel!BC35</f>
        <v>45874.333333333299</v>
      </c>
      <c r="S37" s="45">
        <f t="shared" ref="S37:S68" si="2">IF(T37="","",(T37-F37)*24*60)</f>
        <v>59.99999990221113</v>
      </c>
      <c r="T37" s="62">
        <f>[3]bel!BC35</f>
        <v>45874.333333333299</v>
      </c>
      <c r="U37" s="40" t="str">
        <f>[3]bel!V35</f>
        <v>(I) İlk Defa Karşılaşılan Arıza</v>
      </c>
      <c r="V37" s="45" cm="1">
        <f t="array" ref="V37">IFERROR(IF(AND(K37&lt;&gt;"D(Arıza Değil)",#REF!="Bu Arıza Aracın Servise Verilmesine Engel Değil"),
IF(#REF!-#REF!&gt;0,(R37-Q37)*24*60,
IF(OR(AND(#REF!&gt;$AA$1,#REF!&lt;#REF!),AND(#REF!&gt;#REF!,#REF!&lt;#REF!)),
(T37-F37)*24*60,     BH:BH0)),        W37),0)</f>
        <v>0</v>
      </c>
      <c r="W37" s="45">
        <f t="shared" ref="W37:W68" si="3">IFERROR(IF(K37&lt;&gt;"D(Arıza Değil)",S37,0),0)</f>
        <v>59.99999990221113</v>
      </c>
      <c r="X37" s="39" t="str">
        <f>[3]bel!AL35</f>
        <v/>
      </c>
      <c r="Y37" s="39" t="str">
        <f>[3]bel!AT35</f>
        <v/>
      </c>
      <c r="Z37" s="39" t="str">
        <f>[3]bel!AK35</f>
        <v/>
      </c>
      <c r="AA37" s="39" t="str">
        <f>[3]bel!AM35</f>
        <v/>
      </c>
      <c r="AB37" s="57" t="e">
        <f>P37*S37*#REF!</f>
        <v>#VALUE!</v>
      </c>
    </row>
    <row r="38" spans="1:28" s="18" customFormat="1" ht="118.5" customHeight="1" x14ac:dyDescent="0.25">
      <c r="A38" s="35" t="str">
        <f>[3]bel!C36</f>
        <v>BEL25</v>
      </c>
      <c r="B38" s="35" t="str">
        <f>[3]bel!D36</f>
        <v>1534(4)</v>
      </c>
      <c r="C38" s="15" t="str">
        <f>[3]bel!E36</f>
        <v>MC</v>
      </c>
      <c r="D38" s="15" t="str">
        <f>[3]bel!F36</f>
        <v/>
      </c>
      <c r="E38" s="16" t="str">
        <f>[3]bel!G36</f>
        <v>BOZ-BEL25-FF-034</v>
      </c>
      <c r="F38" s="62">
        <f>[3]bel!H36</f>
        <v>45884.333333333299</v>
      </c>
      <c r="G38" s="13" t="s">
        <v>39</v>
      </c>
      <c r="H38" s="13"/>
      <c r="I38" s="14" t="str">
        <f>[3]bel!Y36</f>
        <v/>
      </c>
      <c r="J38" s="23" t="str">
        <f>[3]bel!O36</f>
        <v>1534 nolu araçta motor üzerinde kullanılan Leonard &amp; Bauer marka hız sensörü arıza vermiştir</v>
      </c>
      <c r="K38" s="36" t="str">
        <f>[3]bel!T36</f>
        <v>A(Hareket etmeyi engelleyen arıza)</v>
      </c>
      <c r="L38" s="24" t="str" cm="1">
        <f t="array" ref="L38">_xlfn.IFS([3]bel!X36="Bozankaya","Bozankaya",[3]bel!X36="Müşteri","Customer",[3]bel!X36="Tedarikçi","Equipment Supplier")</f>
        <v>Equipment Supplier</v>
      </c>
      <c r="M38" s="61" t="str">
        <f>[3]bel!P36</f>
        <v xml:space="preserve"> Arızalı sensör farklı araçlarda da denenmiş, ancak her kullanımda FB053 Speed Sensor Fault hatası alınmış ve bu hata HMI ekranında görüntülenmiştir</v>
      </c>
      <c r="N38" s="25" t="str">
        <f>[3]bel!AG36</f>
        <v>Ekipman yenisi ile değiştirildi</v>
      </c>
      <c r="O38" s="25" t="str">
        <f>[3]bel!Z36</f>
        <v/>
      </c>
      <c r="P38" s="17">
        <f>[3]bel!BB36</f>
        <v>1</v>
      </c>
      <c r="Q38" s="62">
        <f>[3]bel!AH36</f>
        <v>45884.375</v>
      </c>
      <c r="R38" s="62">
        <f>[3]bel!BC36</f>
        <v>45884.5</v>
      </c>
      <c r="S38" s="45">
        <f t="shared" si="2"/>
        <v>240.00000004889444</v>
      </c>
      <c r="T38" s="62">
        <f>[3]bel!BC36</f>
        <v>45884.5</v>
      </c>
      <c r="U38" s="40" t="str">
        <f>[3]bel!V36</f>
        <v>(I) İlk Defa Karşılaşılan Arıza</v>
      </c>
      <c r="V38" s="45" cm="1">
        <f t="array" ref="V38">IFERROR(IF(AND(K38&lt;&gt;"D(Arıza Değil)",#REF!="Bu Arıza Aracın Servise Verilmesine Engel Değil"),
IF(#REF!-#REF!&gt;0,(R38-Q38)*24*60,
IF(OR(AND(#REF!&gt;$AA$1,#REF!&lt;#REF!),AND(#REF!&gt;#REF!,#REF!&lt;#REF!)),
(T38-F38)*24*60,     BH:BH0)),        W38),0)</f>
        <v>0</v>
      </c>
      <c r="W38" s="45">
        <f t="shared" si="3"/>
        <v>240.00000004889444</v>
      </c>
      <c r="X38" s="39" t="str">
        <f>[3]bel!AL36</f>
        <v/>
      </c>
      <c r="Y38" s="39" t="str">
        <f>[3]bel!AT36</f>
        <v/>
      </c>
      <c r="Z38" s="39" t="str">
        <f>[3]bel!AK36</f>
        <v/>
      </c>
      <c r="AA38" s="39" t="str">
        <f>[3]bel!AM36</f>
        <v/>
      </c>
      <c r="AB38" s="57" t="e">
        <f>P38*S38*#REF!</f>
        <v>#REF!</v>
      </c>
    </row>
    <row r="39" spans="1:28" s="18" customFormat="1" ht="118.5" customHeight="1" x14ac:dyDescent="0.25">
      <c r="A39" s="35" t="str">
        <f>[3]bel!C37</f>
        <v>BEL25</v>
      </c>
      <c r="B39" s="35" t="str">
        <f>[3]bel!D37</f>
        <v>1539(9)</v>
      </c>
      <c r="C39" s="15" t="str">
        <f>[3]bel!E37</f>
        <v>MC</v>
      </c>
      <c r="D39" s="15">
        <f>[3]bel!F37</f>
        <v>289</v>
      </c>
      <c r="E39" s="16" t="str">
        <f>[3]bel!G37</f>
        <v>BOZ-BEL25-FF-035</v>
      </c>
      <c r="F39" s="62">
        <f>[3]bel!H37</f>
        <v>45993.277777777803</v>
      </c>
      <c r="G39" s="13" t="e">
        <v>#N/A</v>
      </c>
      <c r="H39" s="13"/>
      <c r="I39" s="14" t="str">
        <f>[3]bel!Y37</f>
        <v>ALFA UNİON, A.S.</v>
      </c>
      <c r="J39" s="23" t="str">
        <f>[3]bel!O37</f>
        <v>Mastercontroller deadman arızası.</v>
      </c>
      <c r="K39" s="36" t="str">
        <f>[3]bel!T37</f>
        <v>A(Hareket etmeyi engelleyen arıza)</v>
      </c>
      <c r="L39" s="24" t="str" cm="1">
        <f t="array" ref="L39">_xlfn.IFS([3]bel!X37="Bozankaya","Bozankaya",[3]bel!X37="Müşteri","Customer",[3]bel!X37="Tedarikçi","Equipment Supplier")</f>
        <v>Equipment Supplier</v>
      </c>
      <c r="M39" s="61" t="str">
        <f>[3]bel!P37</f>
        <v>Detaylı kontrollerde deadman işlevini yerine getiren sensivity touch işlevini yerine getirmiyor, dolayısıyla araç yalnızca belli bir süre DEADMAN ayak butonu ile sınırlı sürüş yapabiliyor.</v>
      </c>
      <c r="N39" s="25" t="str">
        <f>[3]bel!AG37</f>
        <v>Ekipman yenisi ile değiştirildi</v>
      </c>
      <c r="O39" s="25" t="str">
        <f>[3]bel!Z37</f>
        <v>Evet</v>
      </c>
      <c r="P39" s="17">
        <f>[3]bel!BB37</f>
        <v>1</v>
      </c>
      <c r="Q39" s="62">
        <f>[3]bel!AH37</f>
        <v>45993.320833333302</v>
      </c>
      <c r="R39" s="62">
        <f>[3]bel!BC37</f>
        <v>45993.323611111096</v>
      </c>
      <c r="S39" s="45">
        <f t="shared" si="2"/>
        <v>65.999999942723662</v>
      </c>
      <c r="T39" s="62">
        <f>[3]bel!BC37</f>
        <v>45993.323611111096</v>
      </c>
      <c r="U39" s="40" t="str">
        <f>[3]bel!V37</f>
        <v>(III) Farklı Araçlarda Tekrarlayan Arıza</v>
      </c>
      <c r="V39" s="45" cm="1">
        <f t="array" ref="V39">IFERROR(IF(AND(K39&lt;&gt;"D(Arıza Değil)",#REF!="Bu Arıza Aracın Servise Verilmesine Engel Değil"),
IF(#REF!-#REF!&gt;0,(R39-Q39)*24*60,
IF(OR(AND(#REF!&gt;$AA$1,#REF!&lt;#REF!),AND(#REF!&gt;#REF!,#REF!&lt;#REF!)),
(T39-F39)*24*60,     BH:BH0)),        W39),0)</f>
        <v>0</v>
      </c>
      <c r="W39" s="45">
        <f t="shared" si="3"/>
        <v>65.999999942723662</v>
      </c>
      <c r="X39" s="39" t="str">
        <f>[3]bel!AL37</f>
        <v>E300-7078</v>
      </c>
      <c r="Y39" s="39" t="str">
        <f>[3]bel!AT37</f>
        <v/>
      </c>
      <c r="Z39" s="39" t="str">
        <f>[3]bel!AK37</f>
        <v>MASTER CONTROLLER</v>
      </c>
      <c r="AA39" s="39" t="str">
        <f>[3]bel!AM37</f>
        <v/>
      </c>
      <c r="AB39" s="57" t="e">
        <f>P39*S39*#REF!</f>
        <v>#REF!</v>
      </c>
    </row>
    <row r="40" spans="1:28" s="18" customFormat="1" ht="118.5" customHeight="1" x14ac:dyDescent="0.25">
      <c r="A40" s="35" t="str">
        <f>[3]bel!C38</f>
        <v/>
      </c>
      <c r="B40" s="35" t="str">
        <f>[3]bel!D38</f>
        <v/>
      </c>
      <c r="C40" s="15" t="str">
        <f>[3]bel!E38</f>
        <v/>
      </c>
      <c r="D40" s="15" t="str">
        <f>[3]bel!F38</f>
        <v/>
      </c>
      <c r="E40" s="71" t="str">
        <f>[3]bel!G38</f>
        <v/>
      </c>
      <c r="F40" s="62" t="str">
        <f>[3]bel!H38</f>
        <v/>
      </c>
      <c r="G40" s="13" t="e">
        <f>VLOOKUP([3]bel!N38,#REF!,2,FALSE)</f>
        <v>#REF!</v>
      </c>
      <c r="H40" s="13"/>
      <c r="I40" s="14" t="str">
        <f>[3]bel!Y38</f>
        <v/>
      </c>
      <c r="J40" s="23" t="str">
        <f>[3]bel!O38</f>
        <v/>
      </c>
      <c r="K40" s="36" t="str">
        <f>[3]bel!T38</f>
        <v/>
      </c>
      <c r="L40" s="24" t="e" cm="1">
        <f t="array" ref="L40">_xlfn.IFS([3]bel!X38="Bozankaya","Bozankaya",[3]bel!X38="Müşteri","Customer",[3]bel!X38="Tedarikçi","Equipment Supplier")</f>
        <v>#N/A</v>
      </c>
      <c r="M40" s="61" t="str">
        <f>[3]bel!P38</f>
        <v/>
      </c>
      <c r="N40" s="25" t="str">
        <f>[3]bel!AG38</f>
        <v/>
      </c>
      <c r="O40" s="25" t="str">
        <f>[3]bel!Z38</f>
        <v/>
      </c>
      <c r="P40" s="17" t="str">
        <f>[3]bel!BB38</f>
        <v/>
      </c>
      <c r="Q40" s="62" t="str">
        <f>[3]bel!AH38</f>
        <v/>
      </c>
      <c r="R40" s="62" t="str">
        <f>[3]bel!BC38</f>
        <v/>
      </c>
      <c r="S40" s="45" t="str">
        <f t="shared" si="2"/>
        <v/>
      </c>
      <c r="T40" s="62" t="str">
        <f>[3]bel!BC38</f>
        <v/>
      </c>
      <c r="U40" s="40" t="str">
        <f>[3]bel!V38</f>
        <v/>
      </c>
      <c r="V40" s="45" cm="1">
        <f t="array" ref="V40">IFERROR(IF(AND(K40&lt;&gt;"D(Arıza Değil)",#REF!="Bu Arıza Aracın Servise Verilmesine Engel Değil"),
IF(#REF!-#REF!&gt;0,(R40-Q40)*24*60,
IF(OR(AND(#REF!&gt;$AA$1,#REF!&lt;#REF!),AND(#REF!&gt;#REF!,#REF!&lt;#REF!)),
(T40-F40)*24*60,     BH:BH0)),        W40),0)</f>
        <v>0</v>
      </c>
      <c r="W40" s="45" t="str">
        <f t="shared" si="3"/>
        <v/>
      </c>
      <c r="X40" s="39" t="str">
        <f>[3]bel!AL38</f>
        <v/>
      </c>
      <c r="Y40" s="39" t="str">
        <f>[3]bel!AT38</f>
        <v/>
      </c>
      <c r="Z40" s="39" t="str">
        <f>[3]bel!AK38</f>
        <v/>
      </c>
      <c r="AA40" s="39" t="str">
        <f>[3]bel!AM38</f>
        <v/>
      </c>
      <c r="AB40" s="57" t="e">
        <f>P40*S40*#REF!</f>
        <v>#VALUE!</v>
      </c>
    </row>
    <row r="41" spans="1:28" s="18" customFormat="1" ht="118.5" customHeight="1" x14ac:dyDescent="0.25">
      <c r="A41" s="35" t="str">
        <f>[3]bel!C39</f>
        <v/>
      </c>
      <c r="B41" s="35" t="str">
        <f>[3]bel!D39</f>
        <v/>
      </c>
      <c r="C41" s="15" t="str">
        <f>[3]bel!E39</f>
        <v/>
      </c>
      <c r="D41" s="15" t="str">
        <f>[3]bel!F39</f>
        <v/>
      </c>
      <c r="E41" s="71" t="str">
        <f>[3]bel!G39</f>
        <v/>
      </c>
      <c r="F41" s="62" t="str">
        <f>[3]bel!H39</f>
        <v/>
      </c>
      <c r="G41" s="13" t="e">
        <f>VLOOKUP([3]bel!N39,#REF!,2,FALSE)</f>
        <v>#REF!</v>
      </c>
      <c r="H41" s="13"/>
      <c r="I41" s="14" t="str">
        <f>[3]bel!Y39</f>
        <v/>
      </c>
      <c r="J41" s="23" t="str">
        <f>[3]bel!O39</f>
        <v/>
      </c>
      <c r="K41" s="36" t="str">
        <f>[3]bel!T39</f>
        <v/>
      </c>
      <c r="L41" s="24" t="e" cm="1">
        <f t="array" ref="L41">_xlfn.IFS([3]bel!X39="Bozankaya","Bozankaya",[3]bel!X39="Müşteri","Customer",[3]bel!X39="Tedarikçi","Equipment Supplier")</f>
        <v>#N/A</v>
      </c>
      <c r="M41" s="61" t="str">
        <f>[3]bel!P39</f>
        <v/>
      </c>
      <c r="N41" s="25" t="str">
        <f>[3]bel!AG39</f>
        <v/>
      </c>
      <c r="O41" s="25" t="str">
        <f>[3]bel!Z39</f>
        <v/>
      </c>
      <c r="P41" s="17" t="str">
        <f>[3]bel!BB39</f>
        <v/>
      </c>
      <c r="Q41" s="62" t="str">
        <f>[3]bel!AH39</f>
        <v/>
      </c>
      <c r="R41" s="62" t="str">
        <f>[3]bel!BC39</f>
        <v/>
      </c>
      <c r="S41" s="45" t="str">
        <f t="shared" si="2"/>
        <v/>
      </c>
      <c r="T41" s="62" t="str">
        <f>[3]bel!BC39</f>
        <v/>
      </c>
      <c r="U41" s="40" t="str">
        <f>[3]bel!V39</f>
        <v/>
      </c>
      <c r="V41" s="45" cm="1">
        <f t="array" ref="V41">IFERROR(IF(AND(K41&lt;&gt;"D(Arıza Değil)",#REF!="Bu Arıza Aracın Servise Verilmesine Engel Değil"),
IF(#REF!-#REF!&gt;0,(R41-Q41)*24*60,
IF(OR(AND(#REF!&gt;$AA$1,#REF!&lt;#REF!),AND(#REF!&gt;#REF!,#REF!&lt;#REF!)),
(T41-F41)*24*60,     BH:BH0)),        W41),0)</f>
        <v>0</v>
      </c>
      <c r="W41" s="45" t="str">
        <f t="shared" si="3"/>
        <v/>
      </c>
      <c r="X41" s="39" t="str">
        <f>[3]bel!AL39</f>
        <v/>
      </c>
      <c r="Y41" s="39" t="str">
        <f>[3]bel!AT39</f>
        <v/>
      </c>
      <c r="Z41" s="39" t="str">
        <f>[3]bel!AK39</f>
        <v/>
      </c>
      <c r="AA41" s="39" t="str">
        <f>[3]bel!AM39</f>
        <v/>
      </c>
      <c r="AB41" s="57" t="e">
        <f>P41*S41*#REF!</f>
        <v>#VALUE!</v>
      </c>
    </row>
    <row r="42" spans="1:28" s="18" customFormat="1" ht="118.5" customHeight="1" x14ac:dyDescent="0.25">
      <c r="A42" s="35" t="str">
        <f>[3]bel!C40</f>
        <v/>
      </c>
      <c r="B42" s="35" t="str">
        <f>[3]bel!D40</f>
        <v/>
      </c>
      <c r="C42" s="15" t="str">
        <f>[3]bel!E40</f>
        <v/>
      </c>
      <c r="D42" s="15" t="str">
        <f>[3]bel!F40</f>
        <v/>
      </c>
      <c r="E42" s="71" t="str">
        <f>[3]bel!G40</f>
        <v/>
      </c>
      <c r="F42" s="62" t="str">
        <f>[3]bel!H40</f>
        <v/>
      </c>
      <c r="G42" s="13" t="e">
        <f>VLOOKUP([3]bel!N40,#REF!,2,FALSE)</f>
        <v>#REF!</v>
      </c>
      <c r="H42" s="13"/>
      <c r="I42" s="14" t="str">
        <f>[3]bel!Y40</f>
        <v/>
      </c>
      <c r="J42" s="23" t="str">
        <f>[3]bel!O40</f>
        <v/>
      </c>
      <c r="K42" s="36" t="str">
        <f>[3]bel!T40</f>
        <v/>
      </c>
      <c r="L42" s="24" t="e" cm="1">
        <f t="array" ref="L42">_xlfn.IFS([3]bel!X40="Bozankaya","Bozankaya",[3]bel!X40="Müşteri","Customer",[3]bel!X40="Tedarikçi","Equipment Supplier")</f>
        <v>#N/A</v>
      </c>
      <c r="M42" s="61" t="str">
        <f>[3]bel!P40</f>
        <v/>
      </c>
      <c r="N42" s="25" t="str">
        <f>[3]bel!AG40</f>
        <v/>
      </c>
      <c r="O42" s="25" t="str">
        <f>[3]bel!Z40</f>
        <v/>
      </c>
      <c r="P42" s="17" t="str">
        <f>[3]bel!BB40</f>
        <v/>
      </c>
      <c r="Q42" s="62" t="str">
        <f>[3]bel!AH40</f>
        <v/>
      </c>
      <c r="R42" s="62" t="str">
        <f>[3]bel!BC40</f>
        <v/>
      </c>
      <c r="S42" s="45" t="str">
        <f t="shared" si="2"/>
        <v/>
      </c>
      <c r="T42" s="62" t="str">
        <f>[3]bel!BC40</f>
        <v/>
      </c>
      <c r="U42" s="40" t="str">
        <f>[3]bel!V40</f>
        <v/>
      </c>
      <c r="V42" s="45" cm="1">
        <f t="array" ref="V42">IFERROR(IF(AND(K42&lt;&gt;"D(Arıza Değil)",#REF!="Bu Arıza Aracın Servise Verilmesine Engel Değil"),
IF(#REF!-#REF!&gt;0,(R42-Q42)*24*60,
IF(OR(AND(#REF!&gt;$AA$1,#REF!&lt;#REF!),AND(#REF!&gt;#REF!,#REF!&lt;#REF!)),
(T42-F42)*24*60,     BH:BH0)),        W42),0)</f>
        <v>0</v>
      </c>
      <c r="W42" s="45" t="str">
        <f t="shared" si="3"/>
        <v/>
      </c>
      <c r="X42" s="39" t="str">
        <f>[3]bel!AL40</f>
        <v/>
      </c>
      <c r="Y42" s="39" t="str">
        <f>[3]bel!AT40</f>
        <v/>
      </c>
      <c r="Z42" s="39" t="str">
        <f>[3]bel!AK40</f>
        <v/>
      </c>
      <c r="AA42" s="39" t="str">
        <f>[3]bel!AM40</f>
        <v/>
      </c>
      <c r="AB42" s="57" t="e">
        <f>P42*S42*#REF!</f>
        <v>#VALUE!</v>
      </c>
    </row>
    <row r="43" spans="1:28" s="18" customFormat="1" ht="118.5" customHeight="1" x14ac:dyDescent="0.25">
      <c r="A43" s="35" t="str">
        <f>[3]bel!C41</f>
        <v/>
      </c>
      <c r="B43" s="35" t="str">
        <f>[3]bel!D41</f>
        <v/>
      </c>
      <c r="C43" s="15" t="str">
        <f>[3]bel!E41</f>
        <v/>
      </c>
      <c r="D43" s="15" t="str">
        <f>[3]bel!F41</f>
        <v/>
      </c>
      <c r="E43" s="71" t="str">
        <f>[3]bel!G41</f>
        <v/>
      </c>
      <c r="F43" s="62" t="str">
        <f>[3]bel!H41</f>
        <v/>
      </c>
      <c r="G43" s="13" t="e">
        <f>VLOOKUP([3]bel!N41,#REF!,2,FALSE)</f>
        <v>#REF!</v>
      </c>
      <c r="H43" s="13"/>
      <c r="I43" s="14" t="str">
        <f>[3]bel!Y41</f>
        <v/>
      </c>
      <c r="J43" s="23" t="str">
        <f>[3]bel!O41</f>
        <v/>
      </c>
      <c r="K43" s="36" t="str">
        <f>[3]bel!T41</f>
        <v/>
      </c>
      <c r="L43" s="24" t="e" cm="1">
        <f t="array" ref="L43">_xlfn.IFS([3]bel!X41="Bozankaya","Bozankaya",[3]bel!X41="Müşteri","Customer",[3]bel!X41="Tedarikçi","Equipment Supplier")</f>
        <v>#N/A</v>
      </c>
      <c r="M43" s="61" t="str">
        <f>[3]bel!P41</f>
        <v/>
      </c>
      <c r="N43" s="25" t="str">
        <f>[3]bel!AG41</f>
        <v/>
      </c>
      <c r="O43" s="25" t="str">
        <f>[3]bel!Z41</f>
        <v/>
      </c>
      <c r="P43" s="17" t="str">
        <f>[3]bel!BB41</f>
        <v/>
      </c>
      <c r="Q43" s="62" t="str">
        <f>[3]bel!AH41</f>
        <v/>
      </c>
      <c r="R43" s="62" t="str">
        <f>[3]bel!BC41</f>
        <v/>
      </c>
      <c r="S43" s="45" t="str">
        <f t="shared" si="2"/>
        <v/>
      </c>
      <c r="T43" s="62" t="str">
        <f>[3]bel!BC41</f>
        <v/>
      </c>
      <c r="U43" s="40" t="str">
        <f>[3]bel!V41</f>
        <v/>
      </c>
      <c r="V43" s="45" cm="1">
        <f t="array" ref="V43">IFERROR(IF(AND(K43&lt;&gt;"D(Arıza Değil)",#REF!="Bu Arıza Aracın Servise Verilmesine Engel Değil"),
IF(#REF!-#REF!&gt;0,(R43-Q43)*24*60,
IF(OR(AND(#REF!&gt;$AA$1,#REF!&lt;#REF!),AND(#REF!&gt;#REF!,#REF!&lt;#REF!)),
(T43-F43)*24*60,     BH:BH0)),        W43),0)</f>
        <v>0</v>
      </c>
      <c r="W43" s="45" t="str">
        <f t="shared" si="3"/>
        <v/>
      </c>
      <c r="X43" s="39" t="str">
        <f>[3]bel!AL41</f>
        <v/>
      </c>
      <c r="Y43" s="39" t="str">
        <f>[3]bel!AT41</f>
        <v/>
      </c>
      <c r="Z43" s="39" t="str">
        <f>[3]bel!AK41</f>
        <v/>
      </c>
      <c r="AA43" s="39" t="str">
        <f>[3]bel!AM41</f>
        <v/>
      </c>
      <c r="AB43" s="57" t="e">
        <f>P43*S43*#REF!</f>
        <v>#VALUE!</v>
      </c>
    </row>
    <row r="44" spans="1:28" s="18" customFormat="1" ht="118.5" customHeight="1" x14ac:dyDescent="0.25">
      <c r="A44" s="35" t="str">
        <f>[3]bel!C42</f>
        <v/>
      </c>
      <c r="B44" s="35" t="str">
        <f>[3]bel!D42</f>
        <v/>
      </c>
      <c r="C44" s="15" t="str">
        <f>[3]bel!E42</f>
        <v/>
      </c>
      <c r="D44" s="15" t="str">
        <f>[3]bel!F42</f>
        <v/>
      </c>
      <c r="E44" s="71" t="str">
        <f>[3]bel!G42</f>
        <v/>
      </c>
      <c r="F44" s="62" t="str">
        <f>[3]bel!H42</f>
        <v/>
      </c>
      <c r="G44" s="13" t="e">
        <f>VLOOKUP([3]bel!N42,#REF!,2,FALSE)</f>
        <v>#REF!</v>
      </c>
      <c r="H44" s="13"/>
      <c r="I44" s="14" t="str">
        <f>[3]bel!Y42</f>
        <v/>
      </c>
      <c r="J44" s="23" t="str">
        <f>[3]bel!O42</f>
        <v/>
      </c>
      <c r="K44" s="36" t="str">
        <f>[3]bel!T42</f>
        <v/>
      </c>
      <c r="L44" s="24" t="e" cm="1">
        <f t="array" ref="L44">_xlfn.IFS([3]bel!X42="Bozankaya","Bozankaya",[3]bel!X42="Müşteri","Customer",[3]bel!X42="Tedarikçi","Equipment Supplier")</f>
        <v>#N/A</v>
      </c>
      <c r="M44" s="61" t="str">
        <f>[3]bel!P42</f>
        <v/>
      </c>
      <c r="N44" s="25" t="str">
        <f>[3]bel!AG42</f>
        <v/>
      </c>
      <c r="O44" s="25" t="str">
        <f>[3]bel!Z42</f>
        <v/>
      </c>
      <c r="P44" s="17" t="str">
        <f>[3]bel!BB42</f>
        <v/>
      </c>
      <c r="Q44" s="62" t="str">
        <f>[3]bel!AH42</f>
        <v/>
      </c>
      <c r="R44" s="62" t="str">
        <f>[3]bel!BC42</f>
        <v/>
      </c>
      <c r="S44" s="45" t="str">
        <f t="shared" si="2"/>
        <v/>
      </c>
      <c r="T44" s="62" t="str">
        <f>[3]bel!BC42</f>
        <v/>
      </c>
      <c r="U44" s="40" t="str">
        <f>[3]bel!V42</f>
        <v/>
      </c>
      <c r="V44" s="45" cm="1">
        <f t="array" ref="V44">IFERROR(IF(AND(K44&lt;&gt;"D(Arıza Değil)",#REF!="Bu Arıza Aracın Servise Verilmesine Engel Değil"),
IF(#REF!-#REF!&gt;0,(R44-Q44)*24*60,
IF(OR(AND(#REF!&gt;$AA$1,#REF!&lt;#REF!),AND(#REF!&gt;#REF!,#REF!&lt;#REF!)),
(T44-F44)*24*60,     BH:BH0)),        W44),0)</f>
        <v>0</v>
      </c>
      <c r="W44" s="45" t="str">
        <f t="shared" si="3"/>
        <v/>
      </c>
      <c r="X44" s="39" t="str">
        <f>[3]bel!AL42</f>
        <v/>
      </c>
      <c r="Y44" s="39" t="str">
        <f>[3]bel!AT42</f>
        <v/>
      </c>
      <c r="Z44" s="39" t="str">
        <f>[3]bel!AK42</f>
        <v/>
      </c>
      <c r="AA44" s="39" t="str">
        <f>[3]bel!AM42</f>
        <v/>
      </c>
      <c r="AB44" s="57" t="e">
        <f>P44*S44*#REF!</f>
        <v>#VALUE!</v>
      </c>
    </row>
    <row r="45" spans="1:28" s="18" customFormat="1" ht="118.5" customHeight="1" x14ac:dyDescent="0.25">
      <c r="A45" s="35" t="str">
        <f>[3]bel!C43</f>
        <v/>
      </c>
      <c r="B45" s="35" t="str">
        <f>[3]bel!D43</f>
        <v/>
      </c>
      <c r="C45" s="15" t="str">
        <f>[3]bel!E43</f>
        <v/>
      </c>
      <c r="D45" s="15" t="str">
        <f>[3]bel!F43</f>
        <v/>
      </c>
      <c r="E45" s="71" t="str">
        <f>[3]bel!G43</f>
        <v/>
      </c>
      <c r="F45" s="62" t="str">
        <f>[3]bel!H43</f>
        <v/>
      </c>
      <c r="G45" s="13" t="e">
        <f>VLOOKUP([3]bel!N43,#REF!,2,FALSE)</f>
        <v>#REF!</v>
      </c>
      <c r="H45" s="13"/>
      <c r="I45" s="14" t="str">
        <f>[3]bel!Y43</f>
        <v/>
      </c>
      <c r="J45" s="23" t="str">
        <f>[3]bel!O43</f>
        <v/>
      </c>
      <c r="K45" s="36" t="str">
        <f>[3]bel!T43</f>
        <v/>
      </c>
      <c r="L45" s="24" t="e" cm="1">
        <f t="array" ref="L45">_xlfn.IFS([3]bel!X43="Bozankaya","Bozankaya",[3]bel!X43="Müşteri","Customer",[3]bel!X43="Tedarikçi","Equipment Supplier")</f>
        <v>#N/A</v>
      </c>
      <c r="M45" s="61" t="str">
        <f>[3]bel!P43</f>
        <v/>
      </c>
      <c r="N45" s="25" t="str">
        <f>[3]bel!AG43</f>
        <v/>
      </c>
      <c r="O45" s="25" t="str">
        <f>[3]bel!Z43</f>
        <v/>
      </c>
      <c r="P45" s="17" t="str">
        <f>[3]bel!BB43</f>
        <v/>
      </c>
      <c r="Q45" s="62" t="str">
        <f>[3]bel!AH43</f>
        <v/>
      </c>
      <c r="R45" s="62" t="str">
        <f>[3]bel!BC43</f>
        <v/>
      </c>
      <c r="S45" s="45" t="str">
        <f t="shared" si="2"/>
        <v/>
      </c>
      <c r="T45" s="62" t="str">
        <f>[3]bel!BC43</f>
        <v/>
      </c>
      <c r="U45" s="40" t="str">
        <f>[3]bel!V43</f>
        <v/>
      </c>
      <c r="V45" s="45" cm="1">
        <f t="array" ref="V45">IFERROR(IF(AND(K45&lt;&gt;"D(Arıza Değil)",#REF!="Bu Arıza Aracın Servise Verilmesine Engel Değil"),
IF(#REF!-#REF!&gt;0,(R45-Q45)*24*60,
IF(OR(AND(#REF!&gt;$AA$1,#REF!&lt;#REF!),AND(#REF!&gt;#REF!,#REF!&lt;#REF!)),
(T45-F45)*24*60,     BH:BH0)),        W45),0)</f>
        <v>0</v>
      </c>
      <c r="W45" s="45" t="str">
        <f t="shared" si="3"/>
        <v/>
      </c>
      <c r="X45" s="39" t="str">
        <f>[3]bel!AL43</f>
        <v/>
      </c>
      <c r="Y45" s="39" t="str">
        <f>[3]bel!AT43</f>
        <v/>
      </c>
      <c r="Z45" s="39" t="str">
        <f>[3]bel!AK43</f>
        <v/>
      </c>
      <c r="AA45" s="39" t="str">
        <f>[3]bel!AM43</f>
        <v/>
      </c>
      <c r="AB45" s="57" t="e">
        <f>P45*S45*#REF!</f>
        <v>#VALUE!</v>
      </c>
    </row>
    <row r="46" spans="1:28" s="18" customFormat="1" ht="118.5" customHeight="1" x14ac:dyDescent="0.25">
      <c r="A46" s="35" t="str">
        <f>[3]bel!C44</f>
        <v/>
      </c>
      <c r="B46" s="35" t="str">
        <f>[3]bel!D44</f>
        <v/>
      </c>
      <c r="C46" s="15" t="str">
        <f>[3]bel!E44</f>
        <v/>
      </c>
      <c r="D46" s="15" t="str">
        <f>[3]bel!F44</f>
        <v/>
      </c>
      <c r="E46" s="71" t="str">
        <f>[3]bel!G44</f>
        <v/>
      </c>
      <c r="F46" s="62" t="str">
        <f>[3]bel!H44</f>
        <v/>
      </c>
      <c r="G46" s="13" t="e">
        <f>VLOOKUP([3]bel!N44,#REF!,2,FALSE)</f>
        <v>#REF!</v>
      </c>
      <c r="H46" s="13"/>
      <c r="I46" s="14" t="str">
        <f>[3]bel!Y44</f>
        <v/>
      </c>
      <c r="J46" s="23" t="str">
        <f>[3]bel!O44</f>
        <v/>
      </c>
      <c r="K46" s="36" t="str">
        <f>[3]bel!T44</f>
        <v/>
      </c>
      <c r="L46" s="24" t="e" cm="1">
        <f t="array" ref="L46">_xlfn.IFS([3]bel!X44="Bozankaya","Bozankaya",[3]bel!X44="Müşteri","Customer",[3]bel!X44="Tedarikçi","Equipment Supplier")</f>
        <v>#N/A</v>
      </c>
      <c r="M46" s="61" t="str">
        <f>[3]bel!P44</f>
        <v/>
      </c>
      <c r="N46" s="25" t="str">
        <f>[3]bel!AG44</f>
        <v/>
      </c>
      <c r="O46" s="25" t="str">
        <f>[3]bel!Z44</f>
        <v/>
      </c>
      <c r="P46" s="17" t="str">
        <f>[3]bel!BB44</f>
        <v/>
      </c>
      <c r="Q46" s="62" t="str">
        <f>[3]bel!AH44</f>
        <v/>
      </c>
      <c r="R46" s="62" t="str">
        <f>[3]bel!BC44</f>
        <v/>
      </c>
      <c r="S46" s="45" t="str">
        <f t="shared" si="2"/>
        <v/>
      </c>
      <c r="T46" s="62" t="str">
        <f>[3]bel!BC44</f>
        <v/>
      </c>
      <c r="U46" s="40" t="str">
        <f>[3]bel!V44</f>
        <v/>
      </c>
      <c r="V46" s="45" cm="1">
        <f t="array" ref="V46">IFERROR(IF(AND(K46&lt;&gt;"D(Arıza Değil)",#REF!="Bu Arıza Aracın Servise Verilmesine Engel Değil"),
IF(#REF!-#REF!&gt;0,(R46-Q46)*24*60,
IF(OR(AND(#REF!&gt;$AA$1,#REF!&lt;#REF!),AND(#REF!&gt;#REF!,#REF!&lt;#REF!)),
(T46-F46)*24*60,     BH:BH0)),        W46),0)</f>
        <v>0</v>
      </c>
      <c r="W46" s="45" t="str">
        <f t="shared" si="3"/>
        <v/>
      </c>
      <c r="X46" s="39" t="str">
        <f>[3]bel!AL44</f>
        <v/>
      </c>
      <c r="Y46" s="39" t="str">
        <f>[3]bel!AT44</f>
        <v/>
      </c>
      <c r="Z46" s="39" t="str">
        <f>[3]bel!AK44</f>
        <v/>
      </c>
      <c r="AA46" s="39" t="str">
        <f>[3]bel!AM44</f>
        <v/>
      </c>
      <c r="AB46" s="57" t="e">
        <f>P46*S46*#REF!</f>
        <v>#VALUE!</v>
      </c>
    </row>
    <row r="47" spans="1:28" s="18" customFormat="1" ht="118.5" customHeight="1" x14ac:dyDescent="0.25">
      <c r="A47" s="35" t="str">
        <f>[3]bel!C45</f>
        <v/>
      </c>
      <c r="B47" s="35" t="str">
        <f>[3]bel!D45</f>
        <v/>
      </c>
      <c r="C47" s="15" t="str">
        <f>[3]bel!E45</f>
        <v/>
      </c>
      <c r="D47" s="15" t="str">
        <f>[3]bel!F45</f>
        <v/>
      </c>
      <c r="E47" s="71" t="str">
        <f>[3]bel!G45</f>
        <v/>
      </c>
      <c r="F47" s="62" t="str">
        <f>[3]bel!H45</f>
        <v/>
      </c>
      <c r="G47" s="13" t="e">
        <f>VLOOKUP([3]bel!N45,#REF!,2,FALSE)</f>
        <v>#REF!</v>
      </c>
      <c r="H47" s="13"/>
      <c r="I47" s="14" t="str">
        <f>[3]bel!Y45</f>
        <v/>
      </c>
      <c r="J47" s="23" t="str">
        <f>[3]bel!O45</f>
        <v/>
      </c>
      <c r="K47" s="36" t="str">
        <f>[3]bel!T45</f>
        <v/>
      </c>
      <c r="L47" s="24" t="e" cm="1">
        <f t="array" ref="L47">_xlfn.IFS([3]bel!X45="Bozankaya","Bozankaya",[3]bel!X45="Müşteri","Customer",[3]bel!X45="Tedarikçi","Equipment Supplier")</f>
        <v>#N/A</v>
      </c>
      <c r="M47" s="61" t="str">
        <f>[3]bel!P45</f>
        <v/>
      </c>
      <c r="N47" s="25" t="str">
        <f>[3]bel!AG45</f>
        <v/>
      </c>
      <c r="O47" s="25" t="str">
        <f>[3]bel!Z45</f>
        <v/>
      </c>
      <c r="P47" s="17" t="str">
        <f>[3]bel!BB45</f>
        <v/>
      </c>
      <c r="Q47" s="62" t="str">
        <f>[3]bel!AH45</f>
        <v/>
      </c>
      <c r="R47" s="62" t="str">
        <f>[3]bel!BC45</f>
        <v/>
      </c>
      <c r="S47" s="45" t="str">
        <f t="shared" si="2"/>
        <v/>
      </c>
      <c r="T47" s="62" t="str">
        <f>[3]bel!BC45</f>
        <v/>
      </c>
      <c r="U47" s="40" t="str">
        <f>[3]bel!V45</f>
        <v/>
      </c>
      <c r="V47" s="45" cm="1">
        <f t="array" ref="V47">IFERROR(IF(AND(K47&lt;&gt;"D(Arıza Değil)",#REF!="Bu Arıza Aracın Servise Verilmesine Engel Değil"),
IF(#REF!-#REF!&gt;0,(R47-Q47)*24*60,
IF(OR(AND(#REF!&gt;$AA$1,#REF!&lt;#REF!),AND(#REF!&gt;#REF!,#REF!&lt;#REF!)),
(T47-F47)*24*60,     BH:BH0)),        W47),0)</f>
        <v>0</v>
      </c>
      <c r="W47" s="45" t="str">
        <f t="shared" si="3"/>
        <v/>
      </c>
      <c r="X47" s="39" t="str">
        <f>[3]bel!AL45</f>
        <v/>
      </c>
      <c r="Y47" s="39" t="str">
        <f>[3]bel!AT45</f>
        <v/>
      </c>
      <c r="Z47" s="39" t="str">
        <f>[3]bel!AK45</f>
        <v/>
      </c>
      <c r="AA47" s="39" t="str">
        <f>[3]bel!AM45</f>
        <v/>
      </c>
      <c r="AB47" s="57" t="e">
        <f>P47*S47*#REF!</f>
        <v>#VALUE!</v>
      </c>
    </row>
    <row r="48" spans="1:28" s="18" customFormat="1" ht="118.5" customHeight="1" x14ac:dyDescent="0.25">
      <c r="A48" s="35" t="str">
        <f>[3]bel!C46</f>
        <v/>
      </c>
      <c r="B48" s="35" t="str">
        <f>[3]bel!D46</f>
        <v/>
      </c>
      <c r="C48" s="15" t="str">
        <f>[3]bel!E46</f>
        <v/>
      </c>
      <c r="D48" s="15" t="str">
        <f>[3]bel!F46</f>
        <v/>
      </c>
      <c r="E48" s="71" t="str">
        <f>[3]bel!G46</f>
        <v/>
      </c>
      <c r="F48" s="62" t="str">
        <f>[3]bel!H46</f>
        <v/>
      </c>
      <c r="G48" s="13" t="e">
        <f>VLOOKUP([3]bel!N46,#REF!,2,FALSE)</f>
        <v>#REF!</v>
      </c>
      <c r="H48" s="13"/>
      <c r="I48" s="14" t="str">
        <f>[3]bel!Y46</f>
        <v/>
      </c>
      <c r="J48" s="23" t="str">
        <f>[3]bel!O46</f>
        <v/>
      </c>
      <c r="K48" s="36" t="str">
        <f>[3]bel!T46</f>
        <v/>
      </c>
      <c r="L48" s="24" t="e" cm="1">
        <f t="array" ref="L48">_xlfn.IFS([3]bel!X46="Bozankaya","Bozankaya",[3]bel!X46="Müşteri","Customer",[3]bel!X46="Tedarikçi","Equipment Supplier")</f>
        <v>#N/A</v>
      </c>
      <c r="M48" s="61" t="str">
        <f>[3]bel!P46</f>
        <v/>
      </c>
      <c r="N48" s="25" t="str">
        <f>[3]bel!AG46</f>
        <v/>
      </c>
      <c r="O48" s="25" t="str">
        <f>[3]bel!Z46</f>
        <v/>
      </c>
      <c r="P48" s="17" t="str">
        <f>[3]bel!BB46</f>
        <v/>
      </c>
      <c r="Q48" s="62" t="str">
        <f>[3]bel!AH46</f>
        <v/>
      </c>
      <c r="R48" s="62" t="str">
        <f>[3]bel!BC46</f>
        <v/>
      </c>
      <c r="S48" s="45" t="str">
        <f t="shared" si="2"/>
        <v/>
      </c>
      <c r="T48" s="62" t="str">
        <f>[3]bel!BC46</f>
        <v/>
      </c>
      <c r="U48" s="40" t="str">
        <f>[3]bel!V46</f>
        <v/>
      </c>
      <c r="V48" s="45" cm="1">
        <f t="array" ref="V48">IFERROR(IF(AND(K48&lt;&gt;"D(Arıza Değil)",#REF!="Bu Arıza Aracın Servise Verilmesine Engel Değil"),
IF(#REF!-#REF!&gt;0,(R48-Q48)*24*60,
IF(OR(AND(#REF!&gt;$AA$1,#REF!&lt;#REF!),AND(#REF!&gt;#REF!,#REF!&lt;#REF!)),
(T48-F48)*24*60,     BH:BH0)),        W48),0)</f>
        <v>0</v>
      </c>
      <c r="W48" s="45" t="str">
        <f t="shared" si="3"/>
        <v/>
      </c>
      <c r="X48" s="39" t="str">
        <f>[3]bel!AL46</f>
        <v/>
      </c>
      <c r="Y48" s="39" t="str">
        <f>[3]bel!AT46</f>
        <v/>
      </c>
      <c r="Z48" s="39" t="str">
        <f>[3]bel!AK46</f>
        <v/>
      </c>
      <c r="AA48" s="39" t="str">
        <f>[3]bel!AM46</f>
        <v/>
      </c>
      <c r="AB48" s="57" t="e">
        <f>P48*S48*#REF!</f>
        <v>#VALUE!</v>
      </c>
    </row>
    <row r="49" spans="1:28" s="18" customFormat="1" ht="118.5" customHeight="1" x14ac:dyDescent="0.25">
      <c r="A49" s="35" t="str">
        <f>[3]bel!C47</f>
        <v/>
      </c>
      <c r="B49" s="35" t="str">
        <f>[3]bel!D47</f>
        <v/>
      </c>
      <c r="C49" s="15" t="str">
        <f>[3]bel!E47</f>
        <v/>
      </c>
      <c r="D49" s="15" t="str">
        <f>[3]bel!F47</f>
        <v/>
      </c>
      <c r="E49" s="71" t="str">
        <f>[3]bel!G47</f>
        <v/>
      </c>
      <c r="F49" s="62" t="str">
        <f>[3]bel!H47</f>
        <v/>
      </c>
      <c r="G49" s="13" t="e">
        <f>VLOOKUP([3]bel!N47,#REF!,2,FALSE)</f>
        <v>#REF!</v>
      </c>
      <c r="H49" s="13"/>
      <c r="I49" s="14" t="str">
        <f>[3]bel!Y47</f>
        <v/>
      </c>
      <c r="J49" s="23" t="str">
        <f>[3]bel!O47</f>
        <v/>
      </c>
      <c r="K49" s="36" t="str">
        <f>[3]bel!T47</f>
        <v/>
      </c>
      <c r="L49" s="24" t="e" cm="1">
        <f t="array" ref="L49">_xlfn.IFS([3]bel!X47="Bozankaya","Bozankaya",[3]bel!X47="Müşteri","Customer",[3]bel!X47="Tedarikçi","Equipment Supplier")</f>
        <v>#N/A</v>
      </c>
      <c r="M49" s="61" t="str">
        <f>[3]bel!P47</f>
        <v/>
      </c>
      <c r="N49" s="25" t="str">
        <f>[3]bel!AG47</f>
        <v/>
      </c>
      <c r="O49" s="25" t="str">
        <f>[3]bel!Z47</f>
        <v/>
      </c>
      <c r="P49" s="17" t="str">
        <f>[3]bel!BB47</f>
        <v/>
      </c>
      <c r="Q49" s="62" t="str">
        <f>[3]bel!AH47</f>
        <v/>
      </c>
      <c r="R49" s="62" t="str">
        <f>[3]bel!BC47</f>
        <v/>
      </c>
      <c r="S49" s="45" t="str">
        <f t="shared" si="2"/>
        <v/>
      </c>
      <c r="T49" s="62" t="str">
        <f>[3]bel!BC47</f>
        <v/>
      </c>
      <c r="U49" s="40" t="str">
        <f>[3]bel!V47</f>
        <v/>
      </c>
      <c r="V49" s="45" cm="1">
        <f t="array" ref="V49">IFERROR(IF(AND(K49&lt;&gt;"D(Arıza Değil)",#REF!="Bu Arıza Aracın Servise Verilmesine Engel Değil"),
IF(#REF!-#REF!&gt;0,(R49-Q49)*24*60,
IF(OR(AND(#REF!&gt;$AA$1,#REF!&lt;#REF!),AND(#REF!&gt;#REF!,#REF!&lt;#REF!)),
(T49-F49)*24*60,     BH:BH0)),        W49),0)</f>
        <v>0</v>
      </c>
      <c r="W49" s="45" t="str">
        <f t="shared" si="3"/>
        <v/>
      </c>
      <c r="X49" s="39" t="str">
        <f>[3]bel!AL47</f>
        <v/>
      </c>
      <c r="Y49" s="39" t="str">
        <f>[3]bel!AT47</f>
        <v/>
      </c>
      <c r="Z49" s="39" t="str">
        <f>[3]bel!AK47</f>
        <v/>
      </c>
      <c r="AA49" s="39" t="str">
        <f>[3]bel!AM47</f>
        <v/>
      </c>
      <c r="AB49" s="57" t="e">
        <f>P49*S49*#REF!</f>
        <v>#VALUE!</v>
      </c>
    </row>
    <row r="50" spans="1:28" s="18" customFormat="1" ht="118.5" customHeight="1" x14ac:dyDescent="0.25">
      <c r="A50" s="35" t="str">
        <f>[3]bel!C48</f>
        <v/>
      </c>
      <c r="B50" s="35" t="str">
        <f>[3]bel!D48</f>
        <v/>
      </c>
      <c r="C50" s="15" t="str">
        <f>[3]bel!E48</f>
        <v/>
      </c>
      <c r="D50" s="15" t="str">
        <f>[3]bel!F48</f>
        <v/>
      </c>
      <c r="E50" s="71" t="str">
        <f>[3]bel!G48</f>
        <v/>
      </c>
      <c r="F50" s="62" t="str">
        <f>[3]bel!H48</f>
        <v/>
      </c>
      <c r="G50" s="13" t="e">
        <f>VLOOKUP([3]bel!N48,#REF!,2,FALSE)</f>
        <v>#REF!</v>
      </c>
      <c r="H50" s="13"/>
      <c r="I50" s="14" t="str">
        <f>[3]bel!Y48</f>
        <v/>
      </c>
      <c r="J50" s="23" t="str">
        <f>[3]bel!O48</f>
        <v/>
      </c>
      <c r="K50" s="36" t="str">
        <f>[3]bel!T48</f>
        <v/>
      </c>
      <c r="L50" s="24" t="e" cm="1">
        <f t="array" ref="L50">_xlfn.IFS([3]bel!X48="Bozankaya","Bozankaya",[3]bel!X48="Müşteri","Customer",[3]bel!X48="Tedarikçi","Equipment Supplier")</f>
        <v>#N/A</v>
      </c>
      <c r="M50" s="61" t="str">
        <f>[3]bel!P48</f>
        <v/>
      </c>
      <c r="N50" s="25" t="str">
        <f>[3]bel!AG48</f>
        <v/>
      </c>
      <c r="O50" s="25" t="str">
        <f>[3]bel!Z48</f>
        <v/>
      </c>
      <c r="P50" s="17" t="str">
        <f>[3]bel!BB48</f>
        <v/>
      </c>
      <c r="Q50" s="62" t="str">
        <f>[3]bel!AH48</f>
        <v/>
      </c>
      <c r="R50" s="62" t="str">
        <f>[3]bel!BC48</f>
        <v/>
      </c>
      <c r="S50" s="45" t="str">
        <f t="shared" si="2"/>
        <v/>
      </c>
      <c r="T50" s="62" t="str">
        <f>[3]bel!BC48</f>
        <v/>
      </c>
      <c r="U50" s="40" t="str">
        <f>[3]bel!V48</f>
        <v/>
      </c>
      <c r="V50" s="45" cm="1">
        <f t="array" ref="V50">IFERROR(IF(AND(K50&lt;&gt;"D(Arıza Değil)",#REF!="Bu Arıza Aracın Servise Verilmesine Engel Değil"),
IF(#REF!-#REF!&gt;0,(R50-Q50)*24*60,
IF(OR(AND(#REF!&gt;$AA$1,#REF!&lt;#REF!),AND(#REF!&gt;#REF!,#REF!&lt;#REF!)),
(T50-F50)*24*60,     BH:BH0)),        W50),0)</f>
        <v>0</v>
      </c>
      <c r="W50" s="45" t="str">
        <f t="shared" si="3"/>
        <v/>
      </c>
      <c r="X50" s="39" t="str">
        <f>[3]bel!AL48</f>
        <v/>
      </c>
      <c r="Y50" s="39" t="str">
        <f>[3]bel!AT48</f>
        <v/>
      </c>
      <c r="Z50" s="39" t="str">
        <f>[3]bel!AK48</f>
        <v/>
      </c>
      <c r="AA50" s="39" t="str">
        <f>[3]bel!AM48</f>
        <v/>
      </c>
      <c r="AB50" s="57" t="e">
        <f>P50*S50*#REF!</f>
        <v>#VALUE!</v>
      </c>
    </row>
    <row r="51" spans="1:28" s="18" customFormat="1" ht="118.5" customHeight="1" x14ac:dyDescent="0.25">
      <c r="A51" s="35" t="str">
        <f>[3]bel!C49</f>
        <v/>
      </c>
      <c r="B51" s="35" t="str">
        <f>[3]bel!D49</f>
        <v/>
      </c>
      <c r="C51" s="15" t="str">
        <f>[3]bel!E49</f>
        <v/>
      </c>
      <c r="D51" s="15" t="str">
        <f>[3]bel!F49</f>
        <v/>
      </c>
      <c r="E51" s="71" t="str">
        <f>[3]bel!G49</f>
        <v/>
      </c>
      <c r="F51" s="62" t="str">
        <f>[3]bel!H49</f>
        <v/>
      </c>
      <c r="G51" s="13" t="e">
        <f>VLOOKUP([3]bel!N49,#REF!,2,FALSE)</f>
        <v>#REF!</v>
      </c>
      <c r="H51" s="13"/>
      <c r="I51" s="14" t="str">
        <f>[3]bel!Y49</f>
        <v/>
      </c>
      <c r="J51" s="23" t="str">
        <f>[3]bel!O49</f>
        <v/>
      </c>
      <c r="K51" s="36" t="str">
        <f>[3]bel!T49</f>
        <v/>
      </c>
      <c r="L51" s="24" t="e" cm="1">
        <f t="array" ref="L51">_xlfn.IFS([3]bel!X49="Bozankaya","Bozankaya",[3]bel!X49="Müşteri","Customer",[3]bel!X49="Tedarikçi","Equipment Supplier")</f>
        <v>#N/A</v>
      </c>
      <c r="M51" s="61" t="str">
        <f>[3]bel!P49</f>
        <v/>
      </c>
      <c r="N51" s="25" t="str">
        <f>[3]bel!AG49</f>
        <v/>
      </c>
      <c r="O51" s="25" t="str">
        <f>[3]bel!Z49</f>
        <v/>
      </c>
      <c r="P51" s="17" t="str">
        <f>[3]bel!BB49</f>
        <v/>
      </c>
      <c r="Q51" s="62" t="str">
        <f>[3]bel!AH49</f>
        <v/>
      </c>
      <c r="R51" s="62" t="str">
        <f>[3]bel!BC49</f>
        <v/>
      </c>
      <c r="S51" s="45" t="str">
        <f t="shared" si="2"/>
        <v/>
      </c>
      <c r="T51" s="62" t="str">
        <f>[3]bel!BC49</f>
        <v/>
      </c>
      <c r="U51" s="40" t="str">
        <f>[3]bel!V49</f>
        <v/>
      </c>
      <c r="V51" s="45" cm="1">
        <f t="array" ref="V51">IFERROR(IF(AND(K51&lt;&gt;"D(Arıza Değil)",#REF!="Bu Arıza Aracın Servise Verilmesine Engel Değil"),
IF(#REF!-#REF!&gt;0,(R51-Q51)*24*60,
IF(OR(AND(#REF!&gt;$AA$1,#REF!&lt;#REF!),AND(#REF!&gt;#REF!,#REF!&lt;#REF!)),
(T51-F51)*24*60,     BH:BH0)),        W51),0)</f>
        <v>0</v>
      </c>
      <c r="W51" s="45" t="str">
        <f t="shared" si="3"/>
        <v/>
      </c>
      <c r="X51" s="39" t="str">
        <f>[3]bel!AL49</f>
        <v/>
      </c>
      <c r="Y51" s="39" t="str">
        <f>[3]bel!AT49</f>
        <v/>
      </c>
      <c r="Z51" s="39" t="str">
        <f>[3]bel!AK49</f>
        <v/>
      </c>
      <c r="AA51" s="39" t="str">
        <f>[3]bel!AM49</f>
        <v/>
      </c>
      <c r="AB51" s="57" t="e">
        <f>P51*S51*#REF!</f>
        <v>#VALUE!</v>
      </c>
    </row>
    <row r="52" spans="1:28" s="18" customFormat="1" ht="118.5" customHeight="1" x14ac:dyDescent="0.25">
      <c r="A52" s="35" t="str">
        <f>[3]bel!C50</f>
        <v/>
      </c>
      <c r="B52" s="35" t="str">
        <f>[3]bel!D50</f>
        <v/>
      </c>
      <c r="C52" s="15" t="str">
        <f>[3]bel!E50</f>
        <v/>
      </c>
      <c r="D52" s="15" t="str">
        <f>[3]bel!F50</f>
        <v/>
      </c>
      <c r="E52" s="71" t="str">
        <f>[3]bel!G50</f>
        <v/>
      </c>
      <c r="F52" s="62" t="str">
        <f>[3]bel!H50</f>
        <v/>
      </c>
      <c r="G52" s="13" t="e">
        <f>VLOOKUP([3]bel!N50,#REF!,2,FALSE)</f>
        <v>#REF!</v>
      </c>
      <c r="H52" s="13"/>
      <c r="I52" s="14" t="str">
        <f>[3]bel!Y50</f>
        <v/>
      </c>
      <c r="J52" s="23" t="str">
        <f>[3]bel!O50</f>
        <v/>
      </c>
      <c r="K52" s="36" t="str">
        <f>[3]bel!T50</f>
        <v/>
      </c>
      <c r="L52" s="24" t="e" cm="1">
        <f t="array" ref="L52">_xlfn.IFS([3]bel!X50="Bozankaya","Bozankaya",[3]bel!X50="Müşteri","Customer",[3]bel!X50="Tedarikçi","Equipment Supplier")</f>
        <v>#N/A</v>
      </c>
      <c r="M52" s="61" t="str">
        <f>[3]bel!P50</f>
        <v/>
      </c>
      <c r="N52" s="25" t="str">
        <f>[3]bel!AG50</f>
        <v/>
      </c>
      <c r="O52" s="25" t="str">
        <f>[3]bel!Z50</f>
        <v/>
      </c>
      <c r="P52" s="17" t="str">
        <f>[3]bel!BB50</f>
        <v/>
      </c>
      <c r="Q52" s="62" t="str">
        <f>[3]bel!AH50</f>
        <v/>
      </c>
      <c r="R52" s="62" t="str">
        <f>[3]bel!BC50</f>
        <v/>
      </c>
      <c r="S52" s="45" t="str">
        <f t="shared" si="2"/>
        <v/>
      </c>
      <c r="T52" s="62" t="str">
        <f>[3]bel!BC50</f>
        <v/>
      </c>
      <c r="U52" s="40" t="str">
        <f>[3]bel!V50</f>
        <v/>
      </c>
      <c r="V52" s="45" cm="1">
        <f t="array" ref="V52">IFERROR(IF(AND(K52&lt;&gt;"D(Arıza Değil)",#REF!="Bu Arıza Aracın Servise Verilmesine Engel Değil"),
IF(#REF!-#REF!&gt;0,(R52-Q52)*24*60,
IF(OR(AND(#REF!&gt;$AA$1,#REF!&lt;#REF!),AND(#REF!&gt;#REF!,#REF!&lt;#REF!)),
(T52-F52)*24*60,     BH:BH0)),        W52),0)</f>
        <v>0</v>
      </c>
      <c r="W52" s="45" t="str">
        <f t="shared" si="3"/>
        <v/>
      </c>
      <c r="X52" s="39" t="str">
        <f>[3]bel!AL50</f>
        <v/>
      </c>
      <c r="Y52" s="39" t="str">
        <f>[3]bel!AT50</f>
        <v/>
      </c>
      <c r="Z52" s="39" t="str">
        <f>[3]bel!AK50</f>
        <v/>
      </c>
      <c r="AA52" s="39" t="str">
        <f>[3]bel!AM50</f>
        <v/>
      </c>
      <c r="AB52" s="57" t="e">
        <f>P52*S52*#REF!</f>
        <v>#VALUE!</v>
      </c>
    </row>
    <row r="53" spans="1:28" s="18" customFormat="1" ht="118.5" customHeight="1" x14ac:dyDescent="0.25">
      <c r="A53" s="35" t="str">
        <f>[3]bel!C51</f>
        <v/>
      </c>
      <c r="B53" s="35" t="str">
        <f>[3]bel!D51</f>
        <v/>
      </c>
      <c r="C53" s="15" t="str">
        <f>[3]bel!E51</f>
        <v/>
      </c>
      <c r="D53" s="15" t="str">
        <f>[3]bel!F51</f>
        <v/>
      </c>
      <c r="E53" s="71" t="str">
        <f>[3]bel!G51</f>
        <v/>
      </c>
      <c r="F53" s="62" t="str">
        <f>[3]bel!H51</f>
        <v/>
      </c>
      <c r="G53" s="13" t="e">
        <f>VLOOKUP([3]bel!N51,#REF!,2,FALSE)</f>
        <v>#REF!</v>
      </c>
      <c r="H53" s="13"/>
      <c r="I53" s="14" t="str">
        <f>[3]bel!Y51</f>
        <v/>
      </c>
      <c r="J53" s="23" t="str">
        <f>[3]bel!O51</f>
        <v/>
      </c>
      <c r="K53" s="36" t="str">
        <f>[3]bel!T51</f>
        <v/>
      </c>
      <c r="L53" s="24" t="e" cm="1">
        <f t="array" ref="L53">_xlfn.IFS([3]bel!X51="Bozankaya","Bozankaya",[3]bel!X51="Müşteri","Customer",[3]bel!X51="Tedarikçi","Equipment Supplier")</f>
        <v>#N/A</v>
      </c>
      <c r="M53" s="61" t="str">
        <f>[3]bel!P51</f>
        <v/>
      </c>
      <c r="N53" s="25" t="str">
        <f>[3]bel!AG51</f>
        <v/>
      </c>
      <c r="O53" s="25" t="str">
        <f>[3]bel!Z51</f>
        <v/>
      </c>
      <c r="P53" s="17" t="str">
        <f>[3]bel!BB51</f>
        <v/>
      </c>
      <c r="Q53" s="62" t="str">
        <f>[3]bel!AH51</f>
        <v/>
      </c>
      <c r="R53" s="62" t="str">
        <f>[3]bel!BC51</f>
        <v/>
      </c>
      <c r="S53" s="45" t="str">
        <f t="shared" si="2"/>
        <v/>
      </c>
      <c r="T53" s="62" t="str">
        <f>[3]bel!BC51</f>
        <v/>
      </c>
      <c r="U53" s="40" t="str">
        <f>[3]bel!V51</f>
        <v/>
      </c>
      <c r="V53" s="45" cm="1">
        <f t="array" ref="V53">IFERROR(IF(AND(K53&lt;&gt;"D(Arıza Değil)",#REF!="Bu Arıza Aracın Servise Verilmesine Engel Değil"),
IF(#REF!-#REF!&gt;0,(R53-Q53)*24*60,
IF(OR(AND(#REF!&gt;$AA$1,#REF!&lt;#REF!),AND(#REF!&gt;#REF!,#REF!&lt;#REF!)),
(T53-F53)*24*60,     BH:BH0)),        W53),0)</f>
        <v>0</v>
      </c>
      <c r="W53" s="45" t="str">
        <f t="shared" si="3"/>
        <v/>
      </c>
      <c r="X53" s="39" t="str">
        <f>[3]bel!AL51</f>
        <v/>
      </c>
      <c r="Y53" s="39" t="str">
        <f>[3]bel!AT51</f>
        <v/>
      </c>
      <c r="Z53" s="39" t="str">
        <f>[3]bel!AK51</f>
        <v/>
      </c>
      <c r="AA53" s="39" t="str">
        <f>[3]bel!AM51</f>
        <v/>
      </c>
      <c r="AB53" s="57" t="e">
        <f>P53*S53*#REF!</f>
        <v>#VALUE!</v>
      </c>
    </row>
    <row r="54" spans="1:28" s="18" customFormat="1" ht="118.5" customHeight="1" x14ac:dyDescent="0.25">
      <c r="A54" s="35" t="str">
        <f>[3]bel!C52</f>
        <v/>
      </c>
      <c r="B54" s="35" t="str">
        <f>[3]bel!D52</f>
        <v/>
      </c>
      <c r="C54" s="15" t="str">
        <f>[3]bel!E52</f>
        <v/>
      </c>
      <c r="D54" s="15" t="str">
        <f>[3]bel!F52</f>
        <v/>
      </c>
      <c r="E54" s="71" t="str">
        <f>[3]bel!G52</f>
        <v/>
      </c>
      <c r="F54" s="62" t="str">
        <f>[3]bel!H52</f>
        <v/>
      </c>
      <c r="G54" s="13" t="e">
        <f>VLOOKUP([3]bel!N52,#REF!,2,FALSE)</f>
        <v>#REF!</v>
      </c>
      <c r="H54" s="13"/>
      <c r="I54" s="14" t="str">
        <f>[3]bel!Y52</f>
        <v/>
      </c>
      <c r="J54" s="23" t="str">
        <f>[3]bel!O52</f>
        <v/>
      </c>
      <c r="K54" s="36" t="str">
        <f>[3]bel!T52</f>
        <v/>
      </c>
      <c r="L54" s="24" t="e" cm="1">
        <f t="array" ref="L54">_xlfn.IFS([3]bel!X52="Bozankaya","Bozankaya",[3]bel!X52="Müşteri","Customer",[3]bel!X52="Tedarikçi","Equipment Supplier")</f>
        <v>#N/A</v>
      </c>
      <c r="M54" s="61" t="str">
        <f>[3]bel!P52</f>
        <v/>
      </c>
      <c r="N54" s="25" t="str">
        <f>[3]bel!AG52</f>
        <v/>
      </c>
      <c r="O54" s="25" t="str">
        <f>[3]bel!Z52</f>
        <v/>
      </c>
      <c r="P54" s="17" t="str">
        <f>[3]bel!BB52</f>
        <v/>
      </c>
      <c r="Q54" s="62" t="str">
        <f>[3]bel!AH52</f>
        <v/>
      </c>
      <c r="R54" s="62" t="str">
        <f>[3]bel!BC52</f>
        <v/>
      </c>
      <c r="S54" s="45" t="str">
        <f t="shared" si="2"/>
        <v/>
      </c>
      <c r="T54" s="62" t="str">
        <f>[3]bel!BC52</f>
        <v/>
      </c>
      <c r="U54" s="40" t="str">
        <f>[3]bel!V52</f>
        <v/>
      </c>
      <c r="V54" s="45" cm="1">
        <f t="array" ref="V54">IFERROR(IF(AND(K54&lt;&gt;"D(Arıza Değil)",#REF!="Bu Arıza Aracın Servise Verilmesine Engel Değil"),
IF(#REF!-#REF!&gt;0,(R54-Q54)*24*60,
IF(OR(AND(#REF!&gt;$AA$1,#REF!&lt;#REF!),AND(#REF!&gt;#REF!,#REF!&lt;#REF!)),
(T54-F54)*24*60,     BH:BH0)),        W54),0)</f>
        <v>0</v>
      </c>
      <c r="W54" s="45" t="str">
        <f t="shared" si="3"/>
        <v/>
      </c>
      <c r="X54" s="39" t="str">
        <f>[3]bel!AL52</f>
        <v/>
      </c>
      <c r="Y54" s="39" t="str">
        <f>[3]bel!AT52</f>
        <v/>
      </c>
      <c r="Z54" s="39" t="str">
        <f>[3]bel!AK52</f>
        <v/>
      </c>
      <c r="AA54" s="39" t="str">
        <f>[3]bel!AM52</f>
        <v/>
      </c>
      <c r="AB54" s="57" t="e">
        <f>P54*S54*#REF!</f>
        <v>#VALUE!</v>
      </c>
    </row>
    <row r="55" spans="1:28" s="18" customFormat="1" ht="118.5" customHeight="1" x14ac:dyDescent="0.25">
      <c r="A55" s="35" t="str">
        <f>[3]bel!C53</f>
        <v/>
      </c>
      <c r="B55" s="35" t="str">
        <f>[3]bel!D53</f>
        <v/>
      </c>
      <c r="C55" s="15" t="str">
        <f>[3]bel!E53</f>
        <v/>
      </c>
      <c r="D55" s="15" t="str">
        <f>[3]bel!F53</f>
        <v/>
      </c>
      <c r="E55" s="71" t="str">
        <f>[3]bel!G53</f>
        <v/>
      </c>
      <c r="F55" s="62" t="str">
        <f>[3]bel!H53</f>
        <v/>
      </c>
      <c r="G55" s="13" t="e">
        <f>VLOOKUP([3]bel!N53,#REF!,2,FALSE)</f>
        <v>#REF!</v>
      </c>
      <c r="H55" s="13"/>
      <c r="I55" s="14" t="str">
        <f>[3]bel!Y53</f>
        <v/>
      </c>
      <c r="J55" s="23" t="str">
        <f>[3]bel!O53</f>
        <v/>
      </c>
      <c r="K55" s="36" t="str">
        <f>[3]bel!T53</f>
        <v/>
      </c>
      <c r="L55" s="24" t="e" cm="1">
        <f t="array" ref="L55">_xlfn.IFS([3]bel!X53="Bozankaya","Bozankaya",[3]bel!X53="Müşteri","Customer",[3]bel!X53="Tedarikçi","Equipment Supplier")</f>
        <v>#N/A</v>
      </c>
      <c r="M55" s="61" t="str">
        <f>[3]bel!P53</f>
        <v/>
      </c>
      <c r="N55" s="25" t="str">
        <f>[3]bel!AG53</f>
        <v/>
      </c>
      <c r="O55" s="25" t="str">
        <f>[3]bel!Z53</f>
        <v/>
      </c>
      <c r="P55" s="17" t="str">
        <f>[3]bel!BB53</f>
        <v/>
      </c>
      <c r="Q55" s="62" t="str">
        <f>[3]bel!AH53</f>
        <v/>
      </c>
      <c r="R55" s="62" t="str">
        <f>[3]bel!BC53</f>
        <v/>
      </c>
      <c r="S55" s="45" t="str">
        <f t="shared" si="2"/>
        <v/>
      </c>
      <c r="T55" s="62" t="str">
        <f>[3]bel!BC53</f>
        <v/>
      </c>
      <c r="U55" s="40" t="str">
        <f>[3]bel!V53</f>
        <v/>
      </c>
      <c r="V55" s="45" cm="1">
        <f t="array" ref="V55">IFERROR(IF(AND(K55&lt;&gt;"D(Arıza Değil)",#REF!="Bu Arıza Aracın Servise Verilmesine Engel Değil"),
IF(#REF!-#REF!&gt;0,(R55-Q55)*24*60,
IF(OR(AND(#REF!&gt;$AA$1,#REF!&lt;#REF!),AND(#REF!&gt;#REF!,#REF!&lt;#REF!)),
(T55-F55)*24*60,     BH:BH0)),        W55),0)</f>
        <v>0</v>
      </c>
      <c r="W55" s="45" t="str">
        <f t="shared" si="3"/>
        <v/>
      </c>
      <c r="X55" s="39" t="str">
        <f>[3]bel!AL53</f>
        <v/>
      </c>
      <c r="Y55" s="39" t="str">
        <f>[3]bel!AT53</f>
        <v/>
      </c>
      <c r="Z55" s="39" t="str">
        <f>[3]bel!AK53</f>
        <v/>
      </c>
      <c r="AA55" s="39" t="str">
        <f>[3]bel!AM53</f>
        <v/>
      </c>
      <c r="AB55" s="57" t="e">
        <f>P55*S55*#REF!</f>
        <v>#VALUE!</v>
      </c>
    </row>
    <row r="56" spans="1:28" s="18" customFormat="1" ht="118.5" customHeight="1" x14ac:dyDescent="0.25">
      <c r="A56" s="35" t="str">
        <f>[3]bel!C54</f>
        <v/>
      </c>
      <c r="B56" s="35" t="str">
        <f>[3]bel!D54</f>
        <v/>
      </c>
      <c r="C56" s="15" t="str">
        <f>[3]bel!E54</f>
        <v/>
      </c>
      <c r="D56" s="15" t="str">
        <f>[3]bel!F54</f>
        <v/>
      </c>
      <c r="E56" s="71" t="str">
        <f>[3]bel!G54</f>
        <v/>
      </c>
      <c r="F56" s="62" t="str">
        <f>[3]bel!H54</f>
        <v/>
      </c>
      <c r="G56" s="13" t="e">
        <f>VLOOKUP([3]bel!N54,#REF!,2,FALSE)</f>
        <v>#REF!</v>
      </c>
      <c r="H56" s="13"/>
      <c r="I56" s="14" t="str">
        <f>[3]bel!Y54</f>
        <v/>
      </c>
      <c r="J56" s="23" t="str">
        <f>[3]bel!O54</f>
        <v/>
      </c>
      <c r="K56" s="36" t="str">
        <f>[3]bel!T54</f>
        <v/>
      </c>
      <c r="L56" s="24" t="e" cm="1">
        <f t="array" ref="L56">_xlfn.IFS([3]bel!X54="Bozankaya","Bozankaya",[3]bel!X54="Müşteri","Customer",[3]bel!X54="Tedarikçi","Equipment Supplier")</f>
        <v>#N/A</v>
      </c>
      <c r="M56" s="61" t="str">
        <f>[3]bel!P54</f>
        <v/>
      </c>
      <c r="N56" s="25" t="str">
        <f>[3]bel!AG54</f>
        <v/>
      </c>
      <c r="O56" s="25" t="str">
        <f>[3]bel!Z54</f>
        <v/>
      </c>
      <c r="P56" s="17" t="str">
        <f>[3]bel!BB54</f>
        <v/>
      </c>
      <c r="Q56" s="62" t="str">
        <f>[3]bel!AH54</f>
        <v/>
      </c>
      <c r="R56" s="62" t="str">
        <f>[3]bel!BC54</f>
        <v/>
      </c>
      <c r="S56" s="45" t="str">
        <f t="shared" si="2"/>
        <v/>
      </c>
      <c r="T56" s="62" t="str">
        <f>[3]bel!BC54</f>
        <v/>
      </c>
      <c r="U56" s="40" t="str">
        <f>[3]bel!V54</f>
        <v/>
      </c>
      <c r="V56" s="45" cm="1">
        <f t="array" ref="V56">IFERROR(IF(AND(K56&lt;&gt;"D(Arıza Değil)",#REF!="Bu Arıza Aracın Servise Verilmesine Engel Değil"),
IF(#REF!-#REF!&gt;0,(R56-Q56)*24*60,
IF(OR(AND(#REF!&gt;$AA$1,#REF!&lt;#REF!),AND(#REF!&gt;#REF!,#REF!&lt;#REF!)),
(T56-F56)*24*60,     BH:BH0)),        W56),0)</f>
        <v>0</v>
      </c>
      <c r="W56" s="45" t="str">
        <f t="shared" si="3"/>
        <v/>
      </c>
      <c r="X56" s="39" t="str">
        <f>[3]bel!AL54</f>
        <v/>
      </c>
      <c r="Y56" s="39" t="str">
        <f>[3]bel!AT54</f>
        <v/>
      </c>
      <c r="Z56" s="39" t="str">
        <f>[3]bel!AK54</f>
        <v/>
      </c>
      <c r="AA56" s="39" t="str">
        <f>[3]bel!AM54</f>
        <v/>
      </c>
      <c r="AB56" s="57" t="e">
        <f>P56*S56*#REF!</f>
        <v>#VALUE!</v>
      </c>
    </row>
    <row r="57" spans="1:28" s="18" customFormat="1" ht="118.5" customHeight="1" x14ac:dyDescent="0.25">
      <c r="A57" s="35" t="str">
        <f>[3]bel!C55</f>
        <v/>
      </c>
      <c r="B57" s="35" t="str">
        <f>[3]bel!D55</f>
        <v/>
      </c>
      <c r="C57" s="15" t="str">
        <f>[3]bel!E55</f>
        <v/>
      </c>
      <c r="D57" s="15" t="str">
        <f>[3]bel!F55</f>
        <v/>
      </c>
      <c r="E57" s="71" t="str">
        <f>[3]bel!G55</f>
        <v/>
      </c>
      <c r="F57" s="62" t="str">
        <f>[3]bel!H55</f>
        <v/>
      </c>
      <c r="G57" s="13" t="e">
        <f>VLOOKUP([3]bel!N55,#REF!,2,FALSE)</f>
        <v>#REF!</v>
      </c>
      <c r="H57" s="13"/>
      <c r="I57" s="14" t="str">
        <f>[3]bel!Y55</f>
        <v/>
      </c>
      <c r="J57" s="23" t="str">
        <f>[3]bel!O55</f>
        <v/>
      </c>
      <c r="K57" s="36" t="str">
        <f>[3]bel!T55</f>
        <v/>
      </c>
      <c r="L57" s="24" t="e" cm="1">
        <f t="array" ref="L57">_xlfn.IFS([3]bel!X55="Bozankaya","Bozankaya",[3]bel!X55="Müşteri","Customer",[3]bel!X55="Tedarikçi","Equipment Supplier")</f>
        <v>#N/A</v>
      </c>
      <c r="M57" s="61" t="str">
        <f>[3]bel!P55</f>
        <v/>
      </c>
      <c r="N57" s="25" t="str">
        <f>[3]bel!AG55</f>
        <v/>
      </c>
      <c r="O57" s="25" t="str">
        <f>[3]bel!Z55</f>
        <v/>
      </c>
      <c r="P57" s="17" t="str">
        <f>[3]bel!BB55</f>
        <v/>
      </c>
      <c r="Q57" s="62" t="str">
        <f>[3]bel!AH55</f>
        <v/>
      </c>
      <c r="R57" s="62" t="str">
        <f>[3]bel!BC55</f>
        <v/>
      </c>
      <c r="S57" s="45" t="str">
        <f t="shared" si="2"/>
        <v/>
      </c>
      <c r="T57" s="62" t="str">
        <f>[3]bel!BC55</f>
        <v/>
      </c>
      <c r="U57" s="40" t="str">
        <f>[3]bel!V55</f>
        <v/>
      </c>
      <c r="V57" s="45" cm="1">
        <f t="array" ref="V57">IFERROR(IF(AND(K57&lt;&gt;"D(Arıza Değil)",#REF!="Bu Arıza Aracın Servise Verilmesine Engel Değil"),
IF(#REF!-#REF!&gt;0,(R57-Q57)*24*60,
IF(OR(AND(#REF!&gt;$AA$1,#REF!&lt;#REF!),AND(#REF!&gt;#REF!,#REF!&lt;#REF!)),
(T57-F57)*24*60,     BH:BH0)),        W57),0)</f>
        <v>0</v>
      </c>
      <c r="W57" s="45" t="str">
        <f t="shared" si="3"/>
        <v/>
      </c>
      <c r="X57" s="39" t="str">
        <f>[3]bel!AL55</f>
        <v/>
      </c>
      <c r="Y57" s="39" t="str">
        <f>[3]bel!AT55</f>
        <v/>
      </c>
      <c r="Z57" s="39" t="str">
        <f>[3]bel!AK55</f>
        <v/>
      </c>
      <c r="AA57" s="39" t="str">
        <f>[3]bel!AM55</f>
        <v/>
      </c>
      <c r="AB57" s="57" t="e">
        <f>P57*S57*#REF!</f>
        <v>#VALUE!</v>
      </c>
    </row>
    <row r="58" spans="1:28" s="18" customFormat="1" ht="118.5" customHeight="1" x14ac:dyDescent="0.25">
      <c r="A58" s="35" t="str">
        <f>[3]bel!C56</f>
        <v/>
      </c>
      <c r="B58" s="35" t="str">
        <f>[3]bel!D56</f>
        <v/>
      </c>
      <c r="C58" s="15" t="str">
        <f>[3]bel!E56</f>
        <v/>
      </c>
      <c r="D58" s="15" t="str">
        <f>[3]bel!F56</f>
        <v/>
      </c>
      <c r="E58" s="71" t="str">
        <f>[3]bel!G56</f>
        <v/>
      </c>
      <c r="F58" s="62" t="str">
        <f>[3]bel!H56</f>
        <v/>
      </c>
      <c r="G58" s="13" t="e">
        <f>VLOOKUP([3]bel!N56,#REF!,2,FALSE)</f>
        <v>#REF!</v>
      </c>
      <c r="H58" s="13"/>
      <c r="I58" s="14" t="str">
        <f>[3]bel!Y56</f>
        <v/>
      </c>
      <c r="J58" s="23" t="str">
        <f>[3]bel!O56</f>
        <v/>
      </c>
      <c r="K58" s="36" t="str">
        <f>[3]bel!T56</f>
        <v/>
      </c>
      <c r="L58" s="24" t="e" cm="1">
        <f t="array" ref="L58">_xlfn.IFS([3]bel!X56="Bozankaya","Bozankaya",[3]bel!X56="Müşteri","Customer",[3]bel!X56="Tedarikçi","Equipment Supplier")</f>
        <v>#N/A</v>
      </c>
      <c r="M58" s="61" t="str">
        <f>[3]bel!P56</f>
        <v/>
      </c>
      <c r="N58" s="25" t="str">
        <f>[3]bel!AG56</f>
        <v/>
      </c>
      <c r="O58" s="25" t="str">
        <f>[3]bel!Z56</f>
        <v/>
      </c>
      <c r="P58" s="17" t="str">
        <f>[3]bel!BB56</f>
        <v/>
      </c>
      <c r="Q58" s="62" t="str">
        <f>[3]bel!AH56</f>
        <v/>
      </c>
      <c r="R58" s="62" t="str">
        <f>[3]bel!BC56</f>
        <v/>
      </c>
      <c r="S58" s="45" t="str">
        <f t="shared" si="2"/>
        <v/>
      </c>
      <c r="T58" s="62" t="str">
        <f>[3]bel!BC56</f>
        <v/>
      </c>
      <c r="U58" s="40" t="str">
        <f>[3]bel!V56</f>
        <v/>
      </c>
      <c r="V58" s="45" cm="1">
        <f t="array" ref="V58">IFERROR(IF(AND(K58&lt;&gt;"D(Arıza Değil)",#REF!="Bu Arıza Aracın Servise Verilmesine Engel Değil"),
IF(#REF!-#REF!&gt;0,(R58-Q58)*24*60,
IF(OR(AND(#REF!&gt;$AA$1,#REF!&lt;#REF!),AND(#REF!&gt;#REF!,#REF!&lt;#REF!)),
(T58-F58)*24*60,     BH:BH0)),        W58),0)</f>
        <v>0</v>
      </c>
      <c r="W58" s="45" t="str">
        <f t="shared" si="3"/>
        <v/>
      </c>
      <c r="X58" s="39" t="str">
        <f>[3]bel!AL56</f>
        <v/>
      </c>
      <c r="Y58" s="39" t="str">
        <f>[3]bel!AT56</f>
        <v/>
      </c>
      <c r="Z58" s="39" t="str">
        <f>[3]bel!AK56</f>
        <v/>
      </c>
      <c r="AA58" s="39" t="str">
        <f>[3]bel!AM56</f>
        <v/>
      </c>
      <c r="AB58" s="57" t="e">
        <f>P58*S58*#REF!</f>
        <v>#VALUE!</v>
      </c>
    </row>
    <row r="59" spans="1:28" s="18" customFormat="1" ht="118.5" customHeight="1" x14ac:dyDescent="0.25">
      <c r="A59" s="35" t="str">
        <f>[3]bel!C57</f>
        <v/>
      </c>
      <c r="B59" s="35" t="str">
        <f>[3]bel!D57</f>
        <v/>
      </c>
      <c r="C59" s="15" t="str">
        <f>[3]bel!E57</f>
        <v/>
      </c>
      <c r="D59" s="15" t="str">
        <f>[3]bel!F57</f>
        <v/>
      </c>
      <c r="E59" s="71" t="str">
        <f>[3]bel!G57</f>
        <v/>
      </c>
      <c r="F59" s="62" t="str">
        <f>[3]bel!H57</f>
        <v/>
      </c>
      <c r="G59" s="13" t="e">
        <f>VLOOKUP([3]bel!N57,#REF!,2,FALSE)</f>
        <v>#REF!</v>
      </c>
      <c r="H59" s="13"/>
      <c r="I59" s="14" t="str">
        <f>[3]bel!Y57</f>
        <v/>
      </c>
      <c r="J59" s="23" t="str">
        <f>[3]bel!O57</f>
        <v/>
      </c>
      <c r="K59" s="36" t="str">
        <f>[3]bel!T57</f>
        <v/>
      </c>
      <c r="L59" s="24" t="e" cm="1">
        <f t="array" ref="L59">_xlfn.IFS([3]bel!X57="Bozankaya","Bozankaya",[3]bel!X57="Müşteri","Customer",[3]bel!X57="Tedarikçi","Equipment Supplier")</f>
        <v>#N/A</v>
      </c>
      <c r="M59" s="61" t="str">
        <f>[3]bel!P57</f>
        <v/>
      </c>
      <c r="N59" s="25" t="str">
        <f>[3]bel!AG57</f>
        <v/>
      </c>
      <c r="O59" s="25" t="str">
        <f>[3]bel!Z57</f>
        <v/>
      </c>
      <c r="P59" s="17" t="str">
        <f>[3]bel!BB57</f>
        <v/>
      </c>
      <c r="Q59" s="62" t="str">
        <f>[3]bel!AH57</f>
        <v/>
      </c>
      <c r="R59" s="62" t="str">
        <f>[3]bel!BC57</f>
        <v/>
      </c>
      <c r="S59" s="45" t="str">
        <f t="shared" si="2"/>
        <v/>
      </c>
      <c r="T59" s="62" t="str">
        <f>[3]bel!BC57</f>
        <v/>
      </c>
      <c r="U59" s="40" t="str">
        <f>[3]bel!V57</f>
        <v/>
      </c>
      <c r="V59" s="45" cm="1">
        <f t="array" ref="V59">IFERROR(IF(AND(K59&lt;&gt;"D(Arıza Değil)",#REF!="Bu Arıza Aracın Servise Verilmesine Engel Değil"),
IF(#REF!-#REF!&gt;0,(R59-Q59)*24*60,
IF(OR(AND(#REF!&gt;$AA$1,#REF!&lt;#REF!),AND(#REF!&gt;#REF!,#REF!&lt;#REF!)),
(T59-F59)*24*60,     BH:BH0)),        W59),0)</f>
        <v>0</v>
      </c>
      <c r="W59" s="45" t="str">
        <f t="shared" si="3"/>
        <v/>
      </c>
      <c r="X59" s="39" t="str">
        <f>[3]bel!AL57</f>
        <v/>
      </c>
      <c r="Y59" s="39" t="str">
        <f>[3]bel!AT57</f>
        <v/>
      </c>
      <c r="Z59" s="39" t="str">
        <f>[3]bel!AK57</f>
        <v/>
      </c>
      <c r="AA59" s="39" t="str">
        <f>[3]bel!AM57</f>
        <v/>
      </c>
      <c r="AB59" s="57" t="e">
        <f>P59*S59*#REF!</f>
        <v>#VALUE!</v>
      </c>
    </row>
    <row r="60" spans="1:28" s="18" customFormat="1" ht="118.5" customHeight="1" x14ac:dyDescent="0.25">
      <c r="A60" s="35" t="str">
        <f>[3]bel!C58</f>
        <v/>
      </c>
      <c r="B60" s="35" t="str">
        <f>[3]bel!D58</f>
        <v/>
      </c>
      <c r="C60" s="15" t="str">
        <f>[3]bel!E58</f>
        <v/>
      </c>
      <c r="D60" s="15" t="str">
        <f>[3]bel!F58</f>
        <v/>
      </c>
      <c r="E60" s="71" t="str">
        <f>[3]bel!G58</f>
        <v/>
      </c>
      <c r="F60" s="62" t="str">
        <f>[3]bel!H58</f>
        <v/>
      </c>
      <c r="G60" s="13" t="e">
        <f>VLOOKUP([3]bel!N58,#REF!,2,FALSE)</f>
        <v>#REF!</v>
      </c>
      <c r="H60" s="13"/>
      <c r="I60" s="14" t="str">
        <f>[3]bel!Y58</f>
        <v/>
      </c>
      <c r="J60" s="23" t="str">
        <f>[3]bel!O58</f>
        <v/>
      </c>
      <c r="K60" s="36" t="str">
        <f>[3]bel!T58</f>
        <v/>
      </c>
      <c r="L60" s="24" t="e" cm="1">
        <f t="array" ref="L60">_xlfn.IFS([3]bel!X58="Bozankaya","Bozankaya",[3]bel!X58="Müşteri","Customer",[3]bel!X58="Tedarikçi","Equipment Supplier")</f>
        <v>#N/A</v>
      </c>
      <c r="M60" s="61" t="str">
        <f>[3]bel!P58</f>
        <v/>
      </c>
      <c r="N60" s="25" t="str">
        <f>[3]bel!AG58</f>
        <v/>
      </c>
      <c r="O60" s="25" t="str">
        <f>[3]bel!Z58</f>
        <v/>
      </c>
      <c r="P60" s="17" t="str">
        <f>[3]bel!BB58</f>
        <v/>
      </c>
      <c r="Q60" s="62" t="str">
        <f>[3]bel!AH58</f>
        <v/>
      </c>
      <c r="R60" s="62" t="str">
        <f>[3]bel!BC58</f>
        <v/>
      </c>
      <c r="S60" s="45" t="str">
        <f t="shared" si="2"/>
        <v/>
      </c>
      <c r="T60" s="62" t="str">
        <f>[3]bel!BC58</f>
        <v/>
      </c>
      <c r="U60" s="40" t="str">
        <f>[3]bel!V58</f>
        <v/>
      </c>
      <c r="V60" s="45" cm="1">
        <f t="array" ref="V60">IFERROR(IF(AND(K60&lt;&gt;"D(Arıza Değil)",#REF!="Bu Arıza Aracın Servise Verilmesine Engel Değil"),
IF(#REF!-#REF!&gt;0,(R60-Q60)*24*60,
IF(OR(AND(#REF!&gt;$AA$1,#REF!&lt;#REF!),AND(#REF!&gt;#REF!,#REF!&lt;#REF!)),
(T60-F60)*24*60,     BH:BH0)),        W60),0)</f>
        <v>0</v>
      </c>
      <c r="W60" s="45" t="str">
        <f t="shared" si="3"/>
        <v/>
      </c>
      <c r="X60" s="39" t="str">
        <f>[3]bel!AL58</f>
        <v/>
      </c>
      <c r="Y60" s="39" t="str">
        <f>[3]bel!AT58</f>
        <v/>
      </c>
      <c r="Z60" s="39" t="str">
        <f>[3]bel!AK58</f>
        <v/>
      </c>
      <c r="AA60" s="39" t="str">
        <f>[3]bel!AM58</f>
        <v/>
      </c>
      <c r="AB60" s="57" t="e">
        <f>P60*S60*#REF!</f>
        <v>#VALUE!</v>
      </c>
    </row>
    <row r="61" spans="1:28" s="18" customFormat="1" ht="118.5" customHeight="1" x14ac:dyDescent="0.25">
      <c r="A61" s="35" t="str">
        <f>[3]bel!C59</f>
        <v/>
      </c>
      <c r="B61" s="35" t="str">
        <f>[3]bel!D59</f>
        <v/>
      </c>
      <c r="C61" s="15" t="str">
        <f>[3]bel!E59</f>
        <v/>
      </c>
      <c r="D61" s="15" t="str">
        <f>[3]bel!F59</f>
        <v/>
      </c>
      <c r="E61" s="71" t="str">
        <f>[3]bel!G59</f>
        <v/>
      </c>
      <c r="F61" s="62" t="str">
        <f>[3]bel!H59</f>
        <v/>
      </c>
      <c r="G61" s="13" t="e">
        <f>VLOOKUP([3]bel!N59,#REF!,2,FALSE)</f>
        <v>#REF!</v>
      </c>
      <c r="H61" s="13"/>
      <c r="I61" s="14" t="str">
        <f>[3]bel!Y59</f>
        <v/>
      </c>
      <c r="J61" s="23" t="str">
        <f>[3]bel!O59</f>
        <v/>
      </c>
      <c r="K61" s="36" t="str">
        <f>[3]bel!T59</f>
        <v/>
      </c>
      <c r="L61" s="24" t="e" cm="1">
        <f t="array" ref="L61">_xlfn.IFS([3]bel!X59="Bozankaya","Bozankaya",[3]bel!X59="Müşteri","Customer",[3]bel!X59="Tedarikçi","Equipment Supplier")</f>
        <v>#N/A</v>
      </c>
      <c r="M61" s="61" t="str">
        <f>[3]bel!P59</f>
        <v/>
      </c>
      <c r="N61" s="25" t="str">
        <f>[3]bel!AG59</f>
        <v/>
      </c>
      <c r="O61" s="25" t="str">
        <f>[3]bel!Z59</f>
        <v/>
      </c>
      <c r="P61" s="17" t="str">
        <f>[3]bel!BB59</f>
        <v/>
      </c>
      <c r="Q61" s="62" t="str">
        <f>[3]bel!AH59</f>
        <v/>
      </c>
      <c r="R61" s="62" t="str">
        <f>[3]bel!BC59</f>
        <v/>
      </c>
      <c r="S61" s="45" t="str">
        <f t="shared" si="2"/>
        <v/>
      </c>
      <c r="T61" s="62" t="str">
        <f>[3]bel!BC59</f>
        <v/>
      </c>
      <c r="U61" s="40" t="str">
        <f>[3]bel!V59</f>
        <v/>
      </c>
      <c r="V61" s="45" cm="1">
        <f t="array" ref="V61">IFERROR(IF(AND(K61&lt;&gt;"D(Arıza Değil)",#REF!="Bu Arıza Aracın Servise Verilmesine Engel Değil"),
IF(#REF!-#REF!&gt;0,(R61-Q61)*24*60,
IF(OR(AND(#REF!&gt;$AA$1,#REF!&lt;#REF!),AND(#REF!&gt;#REF!,#REF!&lt;#REF!)),
(T61-F61)*24*60,     BH:BH0)),        W61),0)</f>
        <v>0</v>
      </c>
      <c r="W61" s="45" t="str">
        <f t="shared" si="3"/>
        <v/>
      </c>
      <c r="X61" s="39" t="str">
        <f>[3]bel!AL59</f>
        <v/>
      </c>
      <c r="Y61" s="39" t="str">
        <f>[3]bel!AT59</f>
        <v/>
      </c>
      <c r="Z61" s="39" t="str">
        <f>[3]bel!AK59</f>
        <v/>
      </c>
      <c r="AA61" s="39" t="str">
        <f>[3]bel!AM59</f>
        <v/>
      </c>
      <c r="AB61" s="57" t="e">
        <f>P61*S61*#REF!</f>
        <v>#VALUE!</v>
      </c>
    </row>
    <row r="62" spans="1:28" s="18" customFormat="1" ht="118.5" customHeight="1" x14ac:dyDescent="0.25">
      <c r="A62" s="35" t="str">
        <f>[3]bel!C60</f>
        <v/>
      </c>
      <c r="B62" s="35" t="str">
        <f>[3]bel!D60</f>
        <v/>
      </c>
      <c r="C62" s="15" t="str">
        <f>[3]bel!E60</f>
        <v/>
      </c>
      <c r="D62" s="15" t="str">
        <f>[3]bel!F60</f>
        <v/>
      </c>
      <c r="E62" s="71" t="str">
        <f>[3]bel!G60</f>
        <v/>
      </c>
      <c r="F62" s="62" t="str">
        <f>[3]bel!H60</f>
        <v/>
      </c>
      <c r="G62" s="13" t="e">
        <f>VLOOKUP([3]bel!N60,#REF!,2,FALSE)</f>
        <v>#REF!</v>
      </c>
      <c r="H62" s="13"/>
      <c r="I62" s="14" t="str">
        <f>[3]bel!Y60</f>
        <v/>
      </c>
      <c r="J62" s="23" t="str">
        <f>[3]bel!O60</f>
        <v/>
      </c>
      <c r="K62" s="36" t="str">
        <f>[3]bel!T60</f>
        <v/>
      </c>
      <c r="L62" s="24" t="e" cm="1">
        <f t="array" ref="L62">_xlfn.IFS([3]bel!X60="Bozankaya","Bozankaya",[3]bel!X60="Müşteri","Customer",[3]bel!X60="Tedarikçi","Equipment Supplier")</f>
        <v>#N/A</v>
      </c>
      <c r="M62" s="61" t="str">
        <f>[3]bel!P60</f>
        <v/>
      </c>
      <c r="N62" s="25" t="str">
        <f>[3]bel!AG60</f>
        <v/>
      </c>
      <c r="O62" s="25" t="str">
        <f>[3]bel!Z60</f>
        <v/>
      </c>
      <c r="P62" s="17" t="str">
        <f>[3]bel!BB60</f>
        <v/>
      </c>
      <c r="Q62" s="62" t="str">
        <f>[3]bel!AH60</f>
        <v/>
      </c>
      <c r="R62" s="62" t="str">
        <f>[3]bel!BC60</f>
        <v/>
      </c>
      <c r="S62" s="45" t="str">
        <f t="shared" si="2"/>
        <v/>
      </c>
      <c r="T62" s="62" t="str">
        <f>[3]bel!BC60</f>
        <v/>
      </c>
      <c r="U62" s="40" t="str">
        <f>[3]bel!V60</f>
        <v/>
      </c>
      <c r="V62" s="45" cm="1">
        <f t="array" ref="V62">IFERROR(IF(AND(K62&lt;&gt;"D(Arıza Değil)",#REF!="Bu Arıza Aracın Servise Verilmesine Engel Değil"),
IF(#REF!-#REF!&gt;0,(R62-Q62)*24*60,
IF(OR(AND(#REF!&gt;$AA$1,#REF!&lt;#REF!),AND(#REF!&gt;#REF!,#REF!&lt;#REF!)),
(T62-F62)*24*60,     BH:BH0)),        W62),0)</f>
        <v>0</v>
      </c>
      <c r="W62" s="45" t="str">
        <f t="shared" si="3"/>
        <v/>
      </c>
      <c r="X62" s="39" t="str">
        <f>[3]bel!AL60</f>
        <v/>
      </c>
      <c r="Y62" s="39" t="str">
        <f>[3]bel!AT60</f>
        <v/>
      </c>
      <c r="Z62" s="39" t="str">
        <f>[3]bel!AK60</f>
        <v/>
      </c>
      <c r="AA62" s="39" t="str">
        <f>[3]bel!AM60</f>
        <v/>
      </c>
      <c r="AB62" s="57" t="e">
        <f>P62*S62*#REF!</f>
        <v>#VALUE!</v>
      </c>
    </row>
    <row r="63" spans="1:28" s="18" customFormat="1" ht="118.5" customHeight="1" x14ac:dyDescent="0.25">
      <c r="A63" s="35" t="str">
        <f>[3]bel!C61</f>
        <v/>
      </c>
      <c r="B63" s="35" t="str">
        <f>[3]bel!D61</f>
        <v/>
      </c>
      <c r="C63" s="15" t="str">
        <f>[3]bel!E61</f>
        <v/>
      </c>
      <c r="D63" s="15" t="str">
        <f>[3]bel!F61</f>
        <v/>
      </c>
      <c r="E63" s="71" t="str">
        <f>[3]bel!G61</f>
        <v/>
      </c>
      <c r="F63" s="62" t="str">
        <f>[3]bel!H61</f>
        <v/>
      </c>
      <c r="G63" s="13" t="e">
        <f>VLOOKUP([3]bel!N61,#REF!,2,FALSE)</f>
        <v>#REF!</v>
      </c>
      <c r="H63" s="13"/>
      <c r="I63" s="14" t="str">
        <f>[3]bel!Y61</f>
        <v/>
      </c>
      <c r="J63" s="23" t="str">
        <f>[3]bel!O61</f>
        <v/>
      </c>
      <c r="K63" s="36" t="str">
        <f>[3]bel!T61</f>
        <v/>
      </c>
      <c r="L63" s="24" t="e" cm="1">
        <f t="array" ref="L63">_xlfn.IFS([3]bel!X61="Bozankaya","Bozankaya",[3]bel!X61="Müşteri","Customer",[3]bel!X61="Tedarikçi","Equipment Supplier")</f>
        <v>#N/A</v>
      </c>
      <c r="M63" s="61" t="str">
        <f>[3]bel!P61</f>
        <v/>
      </c>
      <c r="N63" s="25" t="str">
        <f>[3]bel!AG61</f>
        <v/>
      </c>
      <c r="O63" s="25" t="str">
        <f>[3]bel!Z61</f>
        <v/>
      </c>
      <c r="P63" s="17" t="str">
        <f>[3]bel!BB61</f>
        <v/>
      </c>
      <c r="Q63" s="62" t="str">
        <f>[3]bel!AH61</f>
        <v/>
      </c>
      <c r="R63" s="62" t="str">
        <f>[3]bel!BC61</f>
        <v/>
      </c>
      <c r="S63" s="45" t="str">
        <f t="shared" si="2"/>
        <v/>
      </c>
      <c r="T63" s="62" t="str">
        <f>[3]bel!BC61</f>
        <v/>
      </c>
      <c r="U63" s="40" t="str">
        <f>[3]bel!V61</f>
        <v/>
      </c>
      <c r="V63" s="45" cm="1">
        <f t="array" ref="V63">IFERROR(IF(AND(K63&lt;&gt;"D(Arıza Değil)",#REF!="Bu Arıza Aracın Servise Verilmesine Engel Değil"),
IF(#REF!-#REF!&gt;0,(R63-Q63)*24*60,
IF(OR(AND(#REF!&gt;$AA$1,#REF!&lt;#REF!),AND(#REF!&gt;#REF!,#REF!&lt;#REF!)),
(T63-F63)*24*60,     BH:BH0)),        W63),0)</f>
        <v>0</v>
      </c>
      <c r="W63" s="45" t="str">
        <f t="shared" si="3"/>
        <v/>
      </c>
      <c r="X63" s="39" t="str">
        <f>[3]bel!AL61</f>
        <v/>
      </c>
      <c r="Y63" s="39" t="str">
        <f>[3]bel!AT61</f>
        <v/>
      </c>
      <c r="Z63" s="39" t="str">
        <f>[3]bel!AK61</f>
        <v/>
      </c>
      <c r="AA63" s="39" t="str">
        <f>[3]bel!AM61</f>
        <v/>
      </c>
      <c r="AB63" s="57" t="e">
        <f>P63*S63*#REF!</f>
        <v>#VALUE!</v>
      </c>
    </row>
    <row r="64" spans="1:28" s="18" customFormat="1" ht="118.5" customHeight="1" x14ac:dyDescent="0.25">
      <c r="A64" s="35" t="str">
        <f>[3]bel!C62</f>
        <v/>
      </c>
      <c r="B64" s="35" t="str">
        <f>[3]bel!D62</f>
        <v/>
      </c>
      <c r="C64" s="15" t="str">
        <f>[3]bel!E62</f>
        <v/>
      </c>
      <c r="D64" s="15" t="str">
        <f>[3]bel!F62</f>
        <v/>
      </c>
      <c r="E64" s="71" t="str">
        <f>[3]bel!G62</f>
        <v/>
      </c>
      <c r="F64" s="62" t="str">
        <f>[3]bel!H62</f>
        <v/>
      </c>
      <c r="G64" s="13" t="e">
        <f>VLOOKUP([3]bel!N62,#REF!,2,FALSE)</f>
        <v>#REF!</v>
      </c>
      <c r="H64" s="13"/>
      <c r="I64" s="14" t="str">
        <f>[3]bel!Y62</f>
        <v/>
      </c>
      <c r="J64" s="23" t="str">
        <f>[3]bel!O62</f>
        <v/>
      </c>
      <c r="K64" s="36" t="str">
        <f>[3]bel!T62</f>
        <v/>
      </c>
      <c r="L64" s="24" t="e" cm="1">
        <f t="array" ref="L64">_xlfn.IFS([3]bel!X62="Bozankaya","Bozankaya",[3]bel!X62="Müşteri","Customer",[3]bel!X62="Tedarikçi","Equipment Supplier")</f>
        <v>#N/A</v>
      </c>
      <c r="M64" s="61" t="str">
        <f>[3]bel!P62</f>
        <v/>
      </c>
      <c r="N64" s="25" t="str">
        <f>[3]bel!AG62</f>
        <v/>
      </c>
      <c r="O64" s="25" t="str">
        <f>[3]bel!Z62</f>
        <v/>
      </c>
      <c r="P64" s="17" t="str">
        <f>[3]bel!BB62</f>
        <v/>
      </c>
      <c r="Q64" s="62" t="str">
        <f>[3]bel!AH62</f>
        <v/>
      </c>
      <c r="R64" s="62" t="str">
        <f>[3]bel!BC62</f>
        <v/>
      </c>
      <c r="S64" s="45" t="str">
        <f t="shared" si="2"/>
        <v/>
      </c>
      <c r="T64" s="62" t="str">
        <f>[3]bel!BC62</f>
        <v/>
      </c>
      <c r="U64" s="40" t="str">
        <f>[3]bel!V62</f>
        <v/>
      </c>
      <c r="V64" s="45" cm="1">
        <f t="array" ref="V64">IFERROR(IF(AND(K64&lt;&gt;"D(Arıza Değil)",#REF!="Bu Arıza Aracın Servise Verilmesine Engel Değil"),
IF(#REF!-#REF!&gt;0,(R64-Q64)*24*60,
IF(OR(AND(#REF!&gt;$AA$1,#REF!&lt;#REF!),AND(#REF!&gt;#REF!,#REF!&lt;#REF!)),
(T64-F64)*24*60,     BH:BH0)),        W64),0)</f>
        <v>0</v>
      </c>
      <c r="W64" s="45" t="str">
        <f t="shared" si="3"/>
        <v/>
      </c>
      <c r="X64" s="39" t="str">
        <f>[3]bel!AL62</f>
        <v/>
      </c>
      <c r="Y64" s="39" t="str">
        <f>[3]bel!AT62</f>
        <v/>
      </c>
      <c r="Z64" s="39" t="str">
        <f>[3]bel!AK62</f>
        <v/>
      </c>
      <c r="AA64" s="39" t="str">
        <f>[3]bel!AM62</f>
        <v/>
      </c>
      <c r="AB64" s="57" t="e">
        <f>P64*S64*#REF!</f>
        <v>#VALUE!</v>
      </c>
    </row>
    <row r="65" spans="1:28" s="18" customFormat="1" ht="118.5" customHeight="1" x14ac:dyDescent="0.25">
      <c r="A65" s="35" t="str">
        <f>[3]bel!C63</f>
        <v/>
      </c>
      <c r="B65" s="35" t="str">
        <f>[3]bel!D63</f>
        <v/>
      </c>
      <c r="C65" s="15" t="str">
        <f>[3]bel!E63</f>
        <v/>
      </c>
      <c r="D65" s="15" t="str">
        <f>[3]bel!F63</f>
        <v/>
      </c>
      <c r="E65" s="71" t="str">
        <f>[3]bel!G63</f>
        <v/>
      </c>
      <c r="F65" s="62" t="str">
        <f>[3]bel!H63</f>
        <v/>
      </c>
      <c r="G65" s="13" t="e">
        <f>VLOOKUP([3]bel!N63,#REF!,2,FALSE)</f>
        <v>#REF!</v>
      </c>
      <c r="H65" s="13"/>
      <c r="I65" s="14" t="str">
        <f>[3]bel!Y63</f>
        <v/>
      </c>
      <c r="J65" s="23" t="str">
        <f>[3]bel!O63</f>
        <v/>
      </c>
      <c r="K65" s="36" t="str">
        <f>[3]bel!T63</f>
        <v/>
      </c>
      <c r="L65" s="24" t="e" cm="1">
        <f t="array" ref="L65">_xlfn.IFS([3]bel!X63="Bozankaya","Bozankaya",[3]bel!X63="Müşteri","Customer",[3]bel!X63="Tedarikçi","Equipment Supplier")</f>
        <v>#N/A</v>
      </c>
      <c r="M65" s="61" t="str">
        <f>[3]bel!P63</f>
        <v/>
      </c>
      <c r="N65" s="25" t="str">
        <f>[3]bel!AG63</f>
        <v/>
      </c>
      <c r="O65" s="25" t="str">
        <f>[3]bel!Z63</f>
        <v/>
      </c>
      <c r="P65" s="17" t="str">
        <f>[3]bel!BB63</f>
        <v/>
      </c>
      <c r="Q65" s="62" t="str">
        <f>[3]bel!AH63</f>
        <v/>
      </c>
      <c r="R65" s="62" t="str">
        <f>[3]bel!BC63</f>
        <v/>
      </c>
      <c r="S65" s="45" t="str">
        <f t="shared" si="2"/>
        <v/>
      </c>
      <c r="T65" s="62" t="str">
        <f>[3]bel!BC63</f>
        <v/>
      </c>
      <c r="U65" s="40" t="str">
        <f>[3]bel!V63</f>
        <v/>
      </c>
      <c r="V65" s="45" cm="1">
        <f t="array" ref="V65">IFERROR(IF(AND(K65&lt;&gt;"D(Arıza Değil)",#REF!="Bu Arıza Aracın Servise Verilmesine Engel Değil"),
IF(#REF!-#REF!&gt;0,(R65-Q65)*24*60,
IF(OR(AND(#REF!&gt;$AA$1,#REF!&lt;#REF!),AND(#REF!&gt;#REF!,#REF!&lt;#REF!)),
(T65-F65)*24*60,     BH:BH0)),        W65),0)</f>
        <v>0</v>
      </c>
      <c r="W65" s="45" t="str">
        <f t="shared" si="3"/>
        <v/>
      </c>
      <c r="X65" s="39" t="str">
        <f>[3]bel!AL63</f>
        <v/>
      </c>
      <c r="Y65" s="39" t="str">
        <f>[3]bel!AT63</f>
        <v/>
      </c>
      <c r="Z65" s="39" t="str">
        <f>[3]bel!AK63</f>
        <v/>
      </c>
      <c r="AA65" s="39" t="str">
        <f>[3]bel!AM63</f>
        <v/>
      </c>
      <c r="AB65" s="57" t="e">
        <f>P65*S65*#REF!</f>
        <v>#VALUE!</v>
      </c>
    </row>
    <row r="66" spans="1:28" s="18" customFormat="1" ht="118.5" customHeight="1" x14ac:dyDescent="0.25">
      <c r="A66" s="35" t="str">
        <f>[3]bel!C64</f>
        <v/>
      </c>
      <c r="B66" s="35" t="str">
        <f>[3]bel!D64</f>
        <v/>
      </c>
      <c r="C66" s="15" t="str">
        <f>[3]bel!E64</f>
        <v/>
      </c>
      <c r="D66" s="15" t="str">
        <f>[3]bel!F64</f>
        <v/>
      </c>
      <c r="E66" s="71" t="str">
        <f>[3]bel!G64</f>
        <v/>
      </c>
      <c r="F66" s="62" t="str">
        <f>[3]bel!H64</f>
        <v/>
      </c>
      <c r="G66" s="13" t="e">
        <f>VLOOKUP([3]bel!N64,#REF!,2,FALSE)</f>
        <v>#REF!</v>
      </c>
      <c r="H66" s="13"/>
      <c r="I66" s="14" t="str">
        <f>[3]bel!Y64</f>
        <v/>
      </c>
      <c r="J66" s="23" t="str">
        <f>[3]bel!O64</f>
        <v/>
      </c>
      <c r="K66" s="36" t="str">
        <f>[3]bel!T64</f>
        <v/>
      </c>
      <c r="L66" s="24" t="e" cm="1">
        <f t="array" ref="L66">_xlfn.IFS([3]bel!X64="Bozankaya","Bozankaya",[3]bel!X64="Müşteri","Customer",[3]bel!X64="Tedarikçi","Equipment Supplier")</f>
        <v>#N/A</v>
      </c>
      <c r="M66" s="61" t="str">
        <f>[3]bel!P64</f>
        <v/>
      </c>
      <c r="N66" s="25" t="str">
        <f>[3]bel!AG64</f>
        <v/>
      </c>
      <c r="O66" s="25" t="str">
        <f>[3]bel!Z64</f>
        <v/>
      </c>
      <c r="P66" s="17" t="str">
        <f>[3]bel!BB64</f>
        <v/>
      </c>
      <c r="Q66" s="62" t="str">
        <f>[3]bel!AH64</f>
        <v/>
      </c>
      <c r="R66" s="62" t="str">
        <f>[3]bel!BC64</f>
        <v/>
      </c>
      <c r="S66" s="45" t="str">
        <f t="shared" si="2"/>
        <v/>
      </c>
      <c r="T66" s="62" t="str">
        <f>[3]bel!BC64</f>
        <v/>
      </c>
      <c r="U66" s="40" t="str">
        <f>[3]bel!V64</f>
        <v/>
      </c>
      <c r="V66" s="45" cm="1">
        <f t="array" ref="V66">IFERROR(IF(AND(K66&lt;&gt;"D(Arıza Değil)",#REF!="Bu Arıza Aracın Servise Verilmesine Engel Değil"),
IF(#REF!-#REF!&gt;0,(R66-Q66)*24*60,
IF(OR(AND(#REF!&gt;$AA$1,#REF!&lt;#REF!),AND(#REF!&gt;#REF!,#REF!&lt;#REF!)),
(T66-F66)*24*60,     BH:BH0)),        W66),0)</f>
        <v>0</v>
      </c>
      <c r="W66" s="45" t="str">
        <f t="shared" si="3"/>
        <v/>
      </c>
      <c r="X66" s="39" t="str">
        <f>[3]bel!AL64</f>
        <v/>
      </c>
      <c r="Y66" s="39" t="str">
        <f>[3]bel!AT64</f>
        <v/>
      </c>
      <c r="Z66" s="39" t="str">
        <f>[3]bel!AK64</f>
        <v/>
      </c>
      <c r="AA66" s="39" t="str">
        <f>[3]bel!AM64</f>
        <v/>
      </c>
      <c r="AB66" s="57" t="e">
        <f>P66*S66*#REF!</f>
        <v>#VALUE!</v>
      </c>
    </row>
    <row r="67" spans="1:28" s="18" customFormat="1" ht="118.5" customHeight="1" x14ac:dyDescent="0.25">
      <c r="A67" s="35" t="str">
        <f>[3]bel!C65</f>
        <v/>
      </c>
      <c r="B67" s="35" t="str">
        <f>[3]bel!D65</f>
        <v/>
      </c>
      <c r="C67" s="15" t="str">
        <f>[3]bel!E65</f>
        <v/>
      </c>
      <c r="D67" s="15" t="str">
        <f>[3]bel!F65</f>
        <v/>
      </c>
      <c r="E67" s="71" t="str">
        <f>[3]bel!G65</f>
        <v/>
      </c>
      <c r="F67" s="62" t="str">
        <f>[3]bel!H65</f>
        <v/>
      </c>
      <c r="G67" s="13" t="e">
        <f>VLOOKUP([3]bel!N65,#REF!,2,FALSE)</f>
        <v>#REF!</v>
      </c>
      <c r="H67" s="13"/>
      <c r="I67" s="14" t="str">
        <f>[3]bel!Y65</f>
        <v/>
      </c>
      <c r="J67" s="23" t="str">
        <f>[3]bel!O65</f>
        <v/>
      </c>
      <c r="K67" s="36" t="str">
        <f>[3]bel!T65</f>
        <v/>
      </c>
      <c r="L67" s="24" t="e" cm="1">
        <f t="array" ref="L67">_xlfn.IFS([3]bel!X65="Bozankaya","Bozankaya",[3]bel!X65="Müşteri","Customer",[3]bel!X65="Tedarikçi","Equipment Supplier")</f>
        <v>#N/A</v>
      </c>
      <c r="M67" s="61" t="str">
        <f>[3]bel!P65</f>
        <v/>
      </c>
      <c r="N67" s="25" t="str">
        <f>[3]bel!AG65</f>
        <v/>
      </c>
      <c r="O67" s="25" t="str">
        <f>[3]bel!Z65</f>
        <v/>
      </c>
      <c r="P67" s="17" t="str">
        <f>[3]bel!BB65</f>
        <v/>
      </c>
      <c r="Q67" s="62" t="str">
        <f>[3]bel!AH65</f>
        <v/>
      </c>
      <c r="R67" s="62" t="str">
        <f>[3]bel!BC65</f>
        <v/>
      </c>
      <c r="S67" s="45" t="str">
        <f t="shared" si="2"/>
        <v/>
      </c>
      <c r="T67" s="62" t="str">
        <f>[3]bel!BC65</f>
        <v/>
      </c>
      <c r="U67" s="40" t="str">
        <f>[3]bel!V65</f>
        <v/>
      </c>
      <c r="V67" s="45" cm="1">
        <f t="array" ref="V67">IFERROR(IF(AND(K67&lt;&gt;"D(Arıza Değil)",#REF!="Bu Arıza Aracın Servise Verilmesine Engel Değil"),
IF(#REF!-#REF!&gt;0,(R67-Q67)*24*60,
IF(OR(AND(#REF!&gt;$AA$1,#REF!&lt;#REF!),AND(#REF!&gt;#REF!,#REF!&lt;#REF!)),
(T67-F67)*24*60,     BH:BH0)),        W67),0)</f>
        <v>0</v>
      </c>
      <c r="W67" s="45" t="str">
        <f t="shared" si="3"/>
        <v/>
      </c>
      <c r="X67" s="39" t="str">
        <f>[3]bel!AL65</f>
        <v/>
      </c>
      <c r="Y67" s="39" t="str">
        <f>[3]bel!AT65</f>
        <v/>
      </c>
      <c r="Z67" s="39" t="str">
        <f>[3]bel!AK65</f>
        <v/>
      </c>
      <c r="AA67" s="39" t="str">
        <f>[3]bel!AM65</f>
        <v/>
      </c>
      <c r="AB67" s="57" t="e">
        <f>P67*S67*#REF!</f>
        <v>#VALUE!</v>
      </c>
    </row>
    <row r="68" spans="1:28" s="18" customFormat="1" ht="118.5" customHeight="1" x14ac:dyDescent="0.25">
      <c r="A68" s="35" t="str">
        <f>[3]bel!C66</f>
        <v/>
      </c>
      <c r="B68" s="35" t="str">
        <f>[3]bel!D66</f>
        <v/>
      </c>
      <c r="C68" s="15" t="str">
        <f>[3]bel!E66</f>
        <v/>
      </c>
      <c r="D68" s="15" t="str">
        <f>[3]bel!F66</f>
        <v/>
      </c>
      <c r="E68" s="71" t="str">
        <f>[3]bel!G66</f>
        <v/>
      </c>
      <c r="F68" s="62" t="str">
        <f>[3]bel!H66</f>
        <v/>
      </c>
      <c r="G68" s="13" t="e">
        <f>VLOOKUP([3]bel!N66,#REF!,2,FALSE)</f>
        <v>#REF!</v>
      </c>
      <c r="H68" s="13"/>
      <c r="I68" s="14" t="str">
        <f>[3]bel!Y66</f>
        <v/>
      </c>
      <c r="J68" s="23" t="str">
        <f>[3]bel!O66</f>
        <v/>
      </c>
      <c r="K68" s="36" t="str">
        <f>[3]bel!T66</f>
        <v/>
      </c>
      <c r="L68" s="24" t="e" cm="1">
        <f t="array" ref="L68">_xlfn.IFS([3]bel!X66="Bozankaya","Bozankaya",[3]bel!X66="Müşteri","Customer",[3]bel!X66="Tedarikçi","Equipment Supplier")</f>
        <v>#N/A</v>
      </c>
      <c r="M68" s="61" t="str">
        <f>[3]bel!P66</f>
        <v/>
      </c>
      <c r="N68" s="25" t="str">
        <f>[3]bel!AG66</f>
        <v/>
      </c>
      <c r="O68" s="25" t="str">
        <f>[3]bel!Z66</f>
        <v/>
      </c>
      <c r="P68" s="17" t="str">
        <f>[3]bel!BB66</f>
        <v/>
      </c>
      <c r="Q68" s="62" t="str">
        <f>[3]bel!AH66</f>
        <v/>
      </c>
      <c r="R68" s="62" t="str">
        <f>[3]bel!BC66</f>
        <v/>
      </c>
      <c r="S68" s="45" t="str">
        <f t="shared" si="2"/>
        <v/>
      </c>
      <c r="T68" s="62" t="str">
        <f>[3]bel!BC66</f>
        <v/>
      </c>
      <c r="U68" s="40" t="str">
        <f>[3]bel!V66</f>
        <v/>
      </c>
      <c r="V68" s="45" cm="1">
        <f t="array" ref="V68">IFERROR(IF(AND(K68&lt;&gt;"D(Arıza Değil)",#REF!="Bu Arıza Aracın Servise Verilmesine Engel Değil"),
IF(#REF!-#REF!&gt;0,(R68-Q68)*24*60,
IF(OR(AND(#REF!&gt;$AA$1,#REF!&lt;#REF!),AND(#REF!&gt;#REF!,#REF!&lt;#REF!)),
(T68-F68)*24*60,     BH:BH0)),        W68),0)</f>
        <v>0</v>
      </c>
      <c r="W68" s="45" t="str">
        <f t="shared" si="3"/>
        <v/>
      </c>
      <c r="X68" s="39" t="str">
        <f>[3]bel!AL66</f>
        <v/>
      </c>
      <c r="Y68" s="39" t="str">
        <f>[3]bel!AT66</f>
        <v/>
      </c>
      <c r="Z68" s="39" t="str">
        <f>[3]bel!AK66</f>
        <v/>
      </c>
      <c r="AA68" s="39" t="str">
        <f>[3]bel!AM66</f>
        <v/>
      </c>
      <c r="AB68" s="57" t="e">
        <f>P68*S68*#REF!</f>
        <v>#VALUE!</v>
      </c>
    </row>
    <row r="69" spans="1:28" s="18" customFormat="1" ht="118.5" customHeight="1" x14ac:dyDescent="0.25">
      <c r="A69" s="35" t="str">
        <f>[3]bel!C67</f>
        <v/>
      </c>
      <c r="B69" s="35" t="str">
        <f>[3]bel!D67</f>
        <v/>
      </c>
      <c r="C69" s="15" t="str">
        <f>[3]bel!E67</f>
        <v/>
      </c>
      <c r="D69" s="15" t="str">
        <f>[3]bel!F67</f>
        <v/>
      </c>
      <c r="E69" s="71" t="str">
        <f>[3]bel!G67</f>
        <v/>
      </c>
      <c r="F69" s="62" t="str">
        <f>[3]bel!H67</f>
        <v/>
      </c>
      <c r="G69" s="13" t="e">
        <f>VLOOKUP([3]bel!N67,#REF!,2,FALSE)</f>
        <v>#REF!</v>
      </c>
      <c r="H69" s="13"/>
      <c r="I69" s="14" t="str">
        <f>[3]bel!Y67</f>
        <v/>
      </c>
      <c r="J69" s="23" t="str">
        <f>[3]bel!O67</f>
        <v/>
      </c>
      <c r="K69" s="36" t="str">
        <f>[3]bel!T67</f>
        <v/>
      </c>
      <c r="L69" s="24" t="e" cm="1">
        <f t="array" ref="L69">_xlfn.IFS([3]bel!X67="Bozankaya","Bozankaya",[3]bel!X67="Müşteri","Customer",[3]bel!X67="Tedarikçi","Equipment Supplier")</f>
        <v>#N/A</v>
      </c>
      <c r="M69" s="61" t="str">
        <f>[3]bel!P67</f>
        <v/>
      </c>
      <c r="N69" s="25" t="str">
        <f>[3]bel!AG67</f>
        <v/>
      </c>
      <c r="O69" s="25" t="str">
        <f>[3]bel!Z67</f>
        <v/>
      </c>
      <c r="P69" s="17" t="str">
        <f>[3]bel!BB67</f>
        <v/>
      </c>
      <c r="Q69" s="62" t="str">
        <f>[3]bel!AH67</f>
        <v/>
      </c>
      <c r="R69" s="62" t="str">
        <f>[3]bel!BC67</f>
        <v/>
      </c>
      <c r="S69" s="45" t="str">
        <f t="shared" ref="S69:S100" si="4">IF(T69="","",(T69-F69)*24*60)</f>
        <v/>
      </c>
      <c r="T69" s="62" t="str">
        <f>[3]bel!BC67</f>
        <v/>
      </c>
      <c r="U69" s="40" t="str">
        <f>[3]bel!V67</f>
        <v/>
      </c>
      <c r="V69" s="45" cm="1">
        <f t="array" ref="V69">IFERROR(IF(AND(K69&lt;&gt;"D(Arıza Değil)",#REF!="Bu Arıza Aracın Servise Verilmesine Engel Değil"),
IF(#REF!-#REF!&gt;0,(R69-Q69)*24*60,
IF(OR(AND(#REF!&gt;$AA$1,#REF!&lt;#REF!),AND(#REF!&gt;#REF!,#REF!&lt;#REF!)),
(T69-F69)*24*60,     BH:BH0)),        W69),0)</f>
        <v>0</v>
      </c>
      <c r="W69" s="45" t="str">
        <f t="shared" ref="W69:W100" si="5">IFERROR(IF(K69&lt;&gt;"D(Arıza Değil)",S69,0),0)</f>
        <v/>
      </c>
      <c r="X69" s="39" t="str">
        <f>[3]bel!AL67</f>
        <v/>
      </c>
      <c r="Y69" s="39" t="str">
        <f>[3]bel!AT67</f>
        <v/>
      </c>
      <c r="Z69" s="39" t="str">
        <f>[3]bel!AK67</f>
        <v/>
      </c>
      <c r="AA69" s="39" t="str">
        <f>[3]bel!AM67</f>
        <v/>
      </c>
      <c r="AB69" s="57" t="e">
        <f>P69*S69*#REF!</f>
        <v>#VALUE!</v>
      </c>
    </row>
    <row r="70" spans="1:28" s="18" customFormat="1" ht="118.5" customHeight="1" x14ac:dyDescent="0.25">
      <c r="A70" s="35" t="str">
        <f>[3]bel!C68</f>
        <v/>
      </c>
      <c r="B70" s="35" t="str">
        <f>[3]bel!D68</f>
        <v/>
      </c>
      <c r="C70" s="15" t="str">
        <f>[3]bel!E68</f>
        <v/>
      </c>
      <c r="D70" s="15" t="str">
        <f>[3]bel!F68</f>
        <v/>
      </c>
      <c r="E70" s="71" t="str">
        <f>[3]bel!G68</f>
        <v/>
      </c>
      <c r="F70" s="62" t="str">
        <f>[3]bel!H68</f>
        <v/>
      </c>
      <c r="G70" s="13" t="e">
        <f>VLOOKUP([3]bel!N68,#REF!,2,FALSE)</f>
        <v>#REF!</v>
      </c>
      <c r="H70" s="13"/>
      <c r="I70" s="14" t="str">
        <f>[3]bel!Y68</f>
        <v/>
      </c>
      <c r="J70" s="23" t="str">
        <f>[3]bel!O68</f>
        <v/>
      </c>
      <c r="K70" s="36" t="str">
        <f>[3]bel!T68</f>
        <v/>
      </c>
      <c r="L70" s="24" t="e" cm="1">
        <f t="array" ref="L70">_xlfn.IFS([3]bel!X68="Bozankaya","Bozankaya",[3]bel!X68="Müşteri","Customer",[3]bel!X68="Tedarikçi","Equipment Supplier")</f>
        <v>#N/A</v>
      </c>
      <c r="M70" s="61" t="str">
        <f>[3]bel!P68</f>
        <v/>
      </c>
      <c r="N70" s="25" t="str">
        <f>[3]bel!AG68</f>
        <v/>
      </c>
      <c r="O70" s="25" t="str">
        <f>[3]bel!Z68</f>
        <v/>
      </c>
      <c r="P70" s="17" t="str">
        <f>[3]bel!BB68</f>
        <v/>
      </c>
      <c r="Q70" s="62" t="str">
        <f>[3]bel!AH68</f>
        <v/>
      </c>
      <c r="R70" s="62" t="str">
        <f>[3]bel!BC68</f>
        <v/>
      </c>
      <c r="S70" s="45" t="str">
        <f t="shared" si="4"/>
        <v/>
      </c>
      <c r="T70" s="62" t="str">
        <f>[3]bel!BC68</f>
        <v/>
      </c>
      <c r="U70" s="40" t="str">
        <f>[3]bel!V68</f>
        <v/>
      </c>
      <c r="V70" s="45" cm="1">
        <f t="array" ref="V70">IFERROR(IF(AND(K70&lt;&gt;"D(Arıza Değil)",#REF!="Bu Arıza Aracın Servise Verilmesine Engel Değil"),
IF(#REF!-#REF!&gt;0,(R70-Q70)*24*60,
IF(OR(AND(#REF!&gt;$AA$1,#REF!&lt;#REF!),AND(#REF!&gt;#REF!,#REF!&lt;#REF!)),
(T70-F70)*24*60,     BH:BH0)),        W70),0)</f>
        <v>0</v>
      </c>
      <c r="W70" s="45" t="str">
        <f t="shared" si="5"/>
        <v/>
      </c>
      <c r="X70" s="39" t="str">
        <f>[3]bel!AL68</f>
        <v/>
      </c>
      <c r="Y70" s="39" t="str">
        <f>[3]bel!AT68</f>
        <v/>
      </c>
      <c r="Z70" s="39" t="str">
        <f>[3]bel!AK68</f>
        <v/>
      </c>
      <c r="AA70" s="39" t="str">
        <f>[3]bel!AM68</f>
        <v/>
      </c>
      <c r="AB70" s="57" t="e">
        <f>P70*S70*#REF!</f>
        <v>#VALUE!</v>
      </c>
    </row>
    <row r="71" spans="1:28" s="18" customFormat="1" ht="118.5" customHeight="1" x14ac:dyDescent="0.25">
      <c r="A71" s="35" t="str">
        <f>[3]bel!C69</f>
        <v/>
      </c>
      <c r="B71" s="35" t="str">
        <f>[3]bel!D69</f>
        <v/>
      </c>
      <c r="C71" s="15" t="str">
        <f>[3]bel!E69</f>
        <v/>
      </c>
      <c r="D71" s="15" t="str">
        <f>[3]bel!F69</f>
        <v/>
      </c>
      <c r="E71" s="71" t="str">
        <f>[3]bel!G69</f>
        <v/>
      </c>
      <c r="F71" s="62" t="str">
        <f>[3]bel!H69</f>
        <v/>
      </c>
      <c r="G71" s="13" t="e">
        <f>VLOOKUP([3]bel!N69,#REF!,2,FALSE)</f>
        <v>#REF!</v>
      </c>
      <c r="H71" s="13"/>
      <c r="I71" s="14" t="str">
        <f>[3]bel!Y69</f>
        <v/>
      </c>
      <c r="J71" s="23" t="str">
        <f>[3]bel!O69</f>
        <v/>
      </c>
      <c r="K71" s="36" t="str">
        <f>[3]bel!T69</f>
        <v/>
      </c>
      <c r="L71" s="24" t="e" cm="1">
        <f t="array" ref="L71">_xlfn.IFS([3]bel!X69="Bozankaya","Bozankaya",[3]bel!X69="Müşteri","Customer",[3]bel!X69="Tedarikçi","Equipment Supplier")</f>
        <v>#N/A</v>
      </c>
      <c r="M71" s="61" t="str">
        <f>[3]bel!P69</f>
        <v/>
      </c>
      <c r="N71" s="25" t="str">
        <f>[3]bel!AG69</f>
        <v/>
      </c>
      <c r="O71" s="25" t="str">
        <f>[3]bel!Z69</f>
        <v/>
      </c>
      <c r="P71" s="17" t="str">
        <f>[3]bel!BB69</f>
        <v/>
      </c>
      <c r="Q71" s="62" t="str">
        <f>[3]bel!AH69</f>
        <v/>
      </c>
      <c r="R71" s="62" t="str">
        <f>[3]bel!BC69</f>
        <v/>
      </c>
      <c r="S71" s="45" t="str">
        <f t="shared" si="4"/>
        <v/>
      </c>
      <c r="T71" s="62" t="str">
        <f>[3]bel!BC69</f>
        <v/>
      </c>
      <c r="U71" s="40" t="str">
        <f>[3]bel!V69</f>
        <v/>
      </c>
      <c r="V71" s="45" cm="1">
        <f t="array" ref="V71">IFERROR(IF(AND(K71&lt;&gt;"D(Arıza Değil)",#REF!="Bu Arıza Aracın Servise Verilmesine Engel Değil"),
IF(#REF!-#REF!&gt;0,(R71-Q71)*24*60,
IF(OR(AND(#REF!&gt;$AA$1,#REF!&lt;#REF!),AND(#REF!&gt;#REF!,#REF!&lt;#REF!)),
(T71-F71)*24*60,     BH:BH0)),        W71),0)</f>
        <v>0</v>
      </c>
      <c r="W71" s="45" t="str">
        <f t="shared" si="5"/>
        <v/>
      </c>
      <c r="X71" s="39" t="str">
        <f>[3]bel!AL69</f>
        <v/>
      </c>
      <c r="Y71" s="39" t="str">
        <f>[3]bel!AT69</f>
        <v/>
      </c>
      <c r="Z71" s="39" t="str">
        <f>[3]bel!AK69</f>
        <v/>
      </c>
      <c r="AA71" s="39" t="str">
        <f>[3]bel!AM69</f>
        <v/>
      </c>
      <c r="AB71" s="57" t="e">
        <f>P71*S71*#REF!</f>
        <v>#VALUE!</v>
      </c>
    </row>
    <row r="72" spans="1:28" s="18" customFormat="1" ht="118.5" customHeight="1" x14ac:dyDescent="0.25">
      <c r="A72" s="35" t="str">
        <f>[3]bel!C70</f>
        <v/>
      </c>
      <c r="B72" s="35" t="str">
        <f>[3]bel!D70</f>
        <v/>
      </c>
      <c r="C72" s="15" t="str">
        <f>[3]bel!E70</f>
        <v/>
      </c>
      <c r="D72" s="15" t="str">
        <f>[3]bel!F70</f>
        <v/>
      </c>
      <c r="E72" s="71" t="str">
        <f>[3]bel!G70</f>
        <v/>
      </c>
      <c r="F72" s="62" t="str">
        <f>[3]bel!H70</f>
        <v/>
      </c>
      <c r="G72" s="13" t="e">
        <f>VLOOKUP([3]bel!N70,#REF!,2,FALSE)</f>
        <v>#REF!</v>
      </c>
      <c r="H72" s="13"/>
      <c r="I72" s="14" t="str">
        <f>[3]bel!Y70</f>
        <v/>
      </c>
      <c r="J72" s="23" t="str">
        <f>[3]bel!O70</f>
        <v/>
      </c>
      <c r="K72" s="36" t="str">
        <f>[3]bel!T70</f>
        <v/>
      </c>
      <c r="L72" s="24" t="e" cm="1">
        <f t="array" ref="L72">_xlfn.IFS([3]bel!X70="Bozankaya","Bozankaya",[3]bel!X70="Müşteri","Customer",[3]bel!X70="Tedarikçi","Equipment Supplier")</f>
        <v>#N/A</v>
      </c>
      <c r="M72" s="61" t="str">
        <f>[3]bel!P70</f>
        <v/>
      </c>
      <c r="N72" s="25" t="str">
        <f>[3]bel!AG70</f>
        <v/>
      </c>
      <c r="O72" s="25" t="str">
        <f>[3]bel!Z70</f>
        <v/>
      </c>
      <c r="P72" s="17" t="str">
        <f>[3]bel!BB70</f>
        <v/>
      </c>
      <c r="Q72" s="62" t="str">
        <f>[3]bel!AH70</f>
        <v/>
      </c>
      <c r="R72" s="62" t="str">
        <f>[3]bel!BC70</f>
        <v/>
      </c>
      <c r="S72" s="45" t="str">
        <f t="shared" si="4"/>
        <v/>
      </c>
      <c r="T72" s="62" t="str">
        <f>[3]bel!BC70</f>
        <v/>
      </c>
      <c r="U72" s="40" t="str">
        <f>[3]bel!V70</f>
        <v/>
      </c>
      <c r="V72" s="45" cm="1">
        <f t="array" ref="V72">IFERROR(IF(AND(K72&lt;&gt;"D(Arıza Değil)",#REF!="Bu Arıza Aracın Servise Verilmesine Engel Değil"),
IF(#REF!-#REF!&gt;0,(R72-Q72)*24*60,
IF(OR(AND(#REF!&gt;$AA$1,#REF!&lt;#REF!),AND(#REF!&gt;#REF!,#REF!&lt;#REF!)),
(T72-F72)*24*60,     BH:BH0)),        W72),0)</f>
        <v>0</v>
      </c>
      <c r="W72" s="45" t="str">
        <f t="shared" si="5"/>
        <v/>
      </c>
      <c r="X72" s="39" t="str">
        <f>[3]bel!AL70</f>
        <v/>
      </c>
      <c r="Y72" s="39" t="str">
        <f>[3]bel!AT70</f>
        <v/>
      </c>
      <c r="Z72" s="39" t="str">
        <f>[3]bel!AK70</f>
        <v/>
      </c>
      <c r="AA72" s="39" t="str">
        <f>[3]bel!AM70</f>
        <v/>
      </c>
      <c r="AB72" s="57" t="e">
        <f>P72*S72*#REF!</f>
        <v>#VALUE!</v>
      </c>
    </row>
    <row r="73" spans="1:28" s="18" customFormat="1" ht="118.5" customHeight="1" x14ac:dyDescent="0.25">
      <c r="A73" s="35" t="str">
        <f>[3]bel!C71</f>
        <v/>
      </c>
      <c r="B73" s="35" t="str">
        <f>[3]bel!D71</f>
        <v/>
      </c>
      <c r="C73" s="15" t="str">
        <f>[3]bel!E71</f>
        <v/>
      </c>
      <c r="D73" s="15" t="str">
        <f>[3]bel!F71</f>
        <v/>
      </c>
      <c r="E73" s="71" t="str">
        <f>[3]bel!G71</f>
        <v/>
      </c>
      <c r="F73" s="62" t="str">
        <f>[3]bel!H71</f>
        <v/>
      </c>
      <c r="G73" s="13" t="e">
        <f>VLOOKUP([3]bel!N71,#REF!,2,FALSE)</f>
        <v>#REF!</v>
      </c>
      <c r="H73" s="13"/>
      <c r="I73" s="14" t="str">
        <f>[3]bel!Y71</f>
        <v/>
      </c>
      <c r="J73" s="23" t="str">
        <f>[3]bel!O71</f>
        <v/>
      </c>
      <c r="K73" s="36" t="str">
        <f>[3]bel!T71</f>
        <v/>
      </c>
      <c r="L73" s="24" t="e" cm="1">
        <f t="array" ref="L73">_xlfn.IFS([3]bel!X71="Bozankaya","Bozankaya",[3]bel!X71="Müşteri","Customer",[3]bel!X71="Tedarikçi","Equipment Supplier")</f>
        <v>#N/A</v>
      </c>
      <c r="M73" s="61" t="str">
        <f>[3]bel!P71</f>
        <v/>
      </c>
      <c r="N73" s="25" t="str">
        <f>[3]bel!AG71</f>
        <v/>
      </c>
      <c r="O73" s="25" t="str">
        <f>[3]bel!Z71</f>
        <v/>
      </c>
      <c r="P73" s="17" t="str">
        <f>[3]bel!BB71</f>
        <v/>
      </c>
      <c r="Q73" s="62" t="str">
        <f>[3]bel!AH71</f>
        <v/>
      </c>
      <c r="R73" s="62" t="str">
        <f>[3]bel!BC71</f>
        <v/>
      </c>
      <c r="S73" s="45" t="str">
        <f t="shared" si="4"/>
        <v/>
      </c>
      <c r="T73" s="62" t="str">
        <f>[3]bel!BC71</f>
        <v/>
      </c>
      <c r="U73" s="40" t="str">
        <f>[3]bel!V71</f>
        <v/>
      </c>
      <c r="V73" s="45" cm="1">
        <f t="array" ref="V73">IFERROR(IF(AND(K73&lt;&gt;"D(Arıza Değil)",#REF!="Bu Arıza Aracın Servise Verilmesine Engel Değil"),
IF(#REF!-#REF!&gt;0,(R73-Q73)*24*60,
IF(OR(AND(#REF!&gt;$AA$1,#REF!&lt;#REF!),AND(#REF!&gt;#REF!,#REF!&lt;#REF!)),
(T73-F73)*24*60,     BH:BH0)),        W73),0)</f>
        <v>0</v>
      </c>
      <c r="W73" s="45" t="str">
        <f t="shared" si="5"/>
        <v/>
      </c>
      <c r="X73" s="39" t="str">
        <f>[3]bel!AL71</f>
        <v/>
      </c>
      <c r="Y73" s="39" t="str">
        <f>[3]bel!AT71</f>
        <v/>
      </c>
      <c r="Z73" s="39" t="str">
        <f>[3]bel!AK71</f>
        <v/>
      </c>
      <c r="AA73" s="39" t="str">
        <f>[3]bel!AM71</f>
        <v/>
      </c>
      <c r="AB73" s="57" t="e">
        <f>P73*S73*#REF!</f>
        <v>#VALUE!</v>
      </c>
    </row>
    <row r="74" spans="1:28" s="18" customFormat="1" ht="118.5" customHeight="1" x14ac:dyDescent="0.25">
      <c r="A74" s="35" t="str">
        <f>[3]bel!C72</f>
        <v/>
      </c>
      <c r="B74" s="35" t="str">
        <f>[3]bel!D72</f>
        <v/>
      </c>
      <c r="C74" s="15" t="str">
        <f>[3]bel!E72</f>
        <v/>
      </c>
      <c r="D74" s="15" t="str">
        <f>[3]bel!F72</f>
        <v/>
      </c>
      <c r="E74" s="71" t="str">
        <f>[3]bel!G72</f>
        <v/>
      </c>
      <c r="F74" s="62" t="str">
        <f>[3]bel!H72</f>
        <v/>
      </c>
      <c r="G74" s="13" t="e">
        <f>VLOOKUP([3]bel!N72,#REF!,2,FALSE)</f>
        <v>#REF!</v>
      </c>
      <c r="H74" s="13"/>
      <c r="I74" s="14" t="str">
        <f>[3]bel!Y72</f>
        <v/>
      </c>
      <c r="J74" s="23" t="str">
        <f>[3]bel!O72</f>
        <v/>
      </c>
      <c r="K74" s="36" t="str">
        <f>[3]bel!T72</f>
        <v/>
      </c>
      <c r="L74" s="24" t="e" cm="1">
        <f t="array" ref="L74">_xlfn.IFS([3]bel!X72="Bozankaya","Bozankaya",[3]bel!X72="Müşteri","Customer",[3]bel!X72="Tedarikçi","Equipment Supplier")</f>
        <v>#N/A</v>
      </c>
      <c r="M74" s="61" t="str">
        <f>[3]bel!P72</f>
        <v/>
      </c>
      <c r="N74" s="25" t="str">
        <f>[3]bel!AG72</f>
        <v/>
      </c>
      <c r="O74" s="25" t="str">
        <f>[3]bel!Z72</f>
        <v/>
      </c>
      <c r="P74" s="17" t="str">
        <f>[3]bel!BB72</f>
        <v/>
      </c>
      <c r="Q74" s="62" t="str">
        <f>[3]bel!AH72</f>
        <v/>
      </c>
      <c r="R74" s="62" t="str">
        <f>[3]bel!BC72</f>
        <v/>
      </c>
      <c r="S74" s="45" t="str">
        <f t="shared" si="4"/>
        <v/>
      </c>
      <c r="T74" s="62" t="str">
        <f>[3]bel!BC72</f>
        <v/>
      </c>
      <c r="U74" s="40" t="str">
        <f>[3]bel!V72</f>
        <v/>
      </c>
      <c r="V74" s="45" cm="1">
        <f t="array" ref="V74">IFERROR(IF(AND(K74&lt;&gt;"D(Arıza Değil)",#REF!="Bu Arıza Aracın Servise Verilmesine Engel Değil"),
IF(#REF!-#REF!&gt;0,(R74-Q74)*24*60,
IF(OR(AND(#REF!&gt;$AA$1,#REF!&lt;#REF!),AND(#REF!&gt;#REF!,#REF!&lt;#REF!)),
(T74-F74)*24*60,     BH:BH0)),        W74),0)</f>
        <v>0</v>
      </c>
      <c r="W74" s="45" t="str">
        <f t="shared" si="5"/>
        <v/>
      </c>
      <c r="X74" s="39" t="str">
        <f>[3]bel!AL72</f>
        <v/>
      </c>
      <c r="Y74" s="39" t="str">
        <f>[3]bel!AT72</f>
        <v/>
      </c>
      <c r="Z74" s="39" t="str">
        <f>[3]bel!AK72</f>
        <v/>
      </c>
      <c r="AA74" s="39" t="str">
        <f>[3]bel!AM72</f>
        <v/>
      </c>
      <c r="AB74" s="57" t="e">
        <f>P74*S74*#REF!</f>
        <v>#VALUE!</v>
      </c>
    </row>
    <row r="75" spans="1:28" s="18" customFormat="1" ht="118.5" customHeight="1" x14ac:dyDescent="0.25">
      <c r="A75" s="35" t="str">
        <f>[3]bel!C73</f>
        <v/>
      </c>
      <c r="B75" s="35" t="str">
        <f>[3]bel!D73</f>
        <v/>
      </c>
      <c r="C75" s="15" t="str">
        <f>[3]bel!E73</f>
        <v/>
      </c>
      <c r="D75" s="15" t="str">
        <f>[3]bel!F73</f>
        <v/>
      </c>
      <c r="E75" s="71" t="str">
        <f>[3]bel!G73</f>
        <v/>
      </c>
      <c r="F75" s="62" t="str">
        <f>[3]bel!H73</f>
        <v/>
      </c>
      <c r="G75" s="13" t="e">
        <f>VLOOKUP([3]bel!N73,#REF!,2,FALSE)</f>
        <v>#REF!</v>
      </c>
      <c r="H75" s="13"/>
      <c r="I75" s="14" t="str">
        <f>[3]bel!Y73</f>
        <v/>
      </c>
      <c r="J75" s="23" t="str">
        <f>[3]bel!O73</f>
        <v/>
      </c>
      <c r="K75" s="36" t="str">
        <f>[3]bel!T73</f>
        <v/>
      </c>
      <c r="L75" s="24" t="e" cm="1">
        <f t="array" ref="L75">_xlfn.IFS([3]bel!X73="Bozankaya","Bozankaya",[3]bel!X73="Müşteri","Customer",[3]bel!X73="Tedarikçi","Equipment Supplier")</f>
        <v>#N/A</v>
      </c>
      <c r="M75" s="61" t="str">
        <f>[3]bel!P73</f>
        <v/>
      </c>
      <c r="N75" s="25" t="str">
        <f>[3]bel!AG73</f>
        <v/>
      </c>
      <c r="O75" s="25" t="str">
        <f>[3]bel!Z73</f>
        <v/>
      </c>
      <c r="P75" s="17" t="str">
        <f>[3]bel!BB73</f>
        <v/>
      </c>
      <c r="Q75" s="62" t="str">
        <f>[3]bel!AH73</f>
        <v/>
      </c>
      <c r="R75" s="62" t="str">
        <f>[3]bel!BC73</f>
        <v/>
      </c>
      <c r="S75" s="45" t="str">
        <f t="shared" si="4"/>
        <v/>
      </c>
      <c r="T75" s="62" t="str">
        <f>[3]bel!BC73</f>
        <v/>
      </c>
      <c r="U75" s="40" t="str">
        <f>[3]bel!V73</f>
        <v/>
      </c>
      <c r="V75" s="45" cm="1">
        <f t="array" ref="V75">IFERROR(IF(AND(K75&lt;&gt;"D(Arıza Değil)",#REF!="Bu Arıza Aracın Servise Verilmesine Engel Değil"),
IF(#REF!-#REF!&gt;0,(R75-Q75)*24*60,
IF(OR(AND(#REF!&gt;$AA$1,#REF!&lt;#REF!),AND(#REF!&gt;#REF!,#REF!&lt;#REF!)),
(T75-F75)*24*60,     BH:BH0)),        W75),0)</f>
        <v>0</v>
      </c>
      <c r="W75" s="45" t="str">
        <f t="shared" si="5"/>
        <v/>
      </c>
      <c r="X75" s="39" t="str">
        <f>[3]bel!AL73</f>
        <v/>
      </c>
      <c r="Y75" s="39" t="str">
        <f>[3]bel!AT73</f>
        <v/>
      </c>
      <c r="Z75" s="39" t="str">
        <f>[3]bel!AK73</f>
        <v/>
      </c>
      <c r="AA75" s="39" t="str">
        <f>[3]bel!AM73</f>
        <v/>
      </c>
      <c r="AB75" s="57" t="e">
        <f>P75*S75*#REF!</f>
        <v>#VALUE!</v>
      </c>
    </row>
    <row r="76" spans="1:28" s="18" customFormat="1" ht="118.5" customHeight="1" x14ac:dyDescent="0.25">
      <c r="A76" s="35" t="str">
        <f>[3]bel!C74</f>
        <v/>
      </c>
      <c r="B76" s="35" t="str">
        <f>[3]bel!D74</f>
        <v/>
      </c>
      <c r="C76" s="15" t="str">
        <f>[3]bel!E74</f>
        <v/>
      </c>
      <c r="D76" s="15" t="str">
        <f>[3]bel!F74</f>
        <v/>
      </c>
      <c r="E76" s="71" t="str">
        <f>[3]bel!G74</f>
        <v/>
      </c>
      <c r="F76" s="62" t="str">
        <f>[3]bel!H74</f>
        <v/>
      </c>
      <c r="G76" s="13" t="e">
        <f>VLOOKUP([3]bel!N74,#REF!,2,FALSE)</f>
        <v>#REF!</v>
      </c>
      <c r="H76" s="13"/>
      <c r="I76" s="14" t="str">
        <f>[3]bel!Y74</f>
        <v/>
      </c>
      <c r="J76" s="23" t="str">
        <f>[3]bel!O74</f>
        <v/>
      </c>
      <c r="K76" s="36" t="str">
        <f>[3]bel!T74</f>
        <v/>
      </c>
      <c r="L76" s="24" t="e" cm="1">
        <f t="array" ref="L76">_xlfn.IFS([3]bel!X74="Bozankaya","Bozankaya",[3]bel!X74="Müşteri","Customer",[3]bel!X74="Tedarikçi","Equipment Supplier")</f>
        <v>#N/A</v>
      </c>
      <c r="M76" s="61" t="str">
        <f>[3]bel!P74</f>
        <v/>
      </c>
      <c r="N76" s="25" t="str">
        <f>[3]bel!AG74</f>
        <v/>
      </c>
      <c r="O76" s="25" t="str">
        <f>[3]bel!Z74</f>
        <v/>
      </c>
      <c r="P76" s="17" t="str">
        <f>[3]bel!BB74</f>
        <v/>
      </c>
      <c r="Q76" s="62" t="str">
        <f>[3]bel!AH74</f>
        <v/>
      </c>
      <c r="R76" s="62" t="str">
        <f>[3]bel!BC74</f>
        <v/>
      </c>
      <c r="S76" s="45" t="str">
        <f t="shared" si="4"/>
        <v/>
      </c>
      <c r="T76" s="62" t="str">
        <f>[3]bel!BC74</f>
        <v/>
      </c>
      <c r="U76" s="40" t="str">
        <f>[3]bel!V74</f>
        <v/>
      </c>
      <c r="V76" s="45" cm="1">
        <f t="array" ref="V76">IFERROR(IF(AND(K76&lt;&gt;"D(Arıza Değil)",#REF!="Bu Arıza Aracın Servise Verilmesine Engel Değil"),
IF(#REF!-#REF!&gt;0,(R76-Q76)*24*60,
IF(OR(AND(#REF!&gt;$AA$1,#REF!&lt;#REF!),AND(#REF!&gt;#REF!,#REF!&lt;#REF!)),
(T76-F76)*24*60,     BH:BH0)),        W76),0)</f>
        <v>0</v>
      </c>
      <c r="W76" s="45" t="str">
        <f t="shared" si="5"/>
        <v/>
      </c>
      <c r="X76" s="39" t="str">
        <f>[3]bel!AL74</f>
        <v/>
      </c>
      <c r="Y76" s="39" t="str">
        <f>[3]bel!AT74</f>
        <v/>
      </c>
      <c r="Z76" s="39" t="str">
        <f>[3]bel!AK74</f>
        <v/>
      </c>
      <c r="AA76" s="39" t="str">
        <f>[3]bel!AM74</f>
        <v/>
      </c>
      <c r="AB76" s="57" t="e">
        <f>P76*S76*#REF!</f>
        <v>#VALUE!</v>
      </c>
    </row>
    <row r="77" spans="1:28" s="18" customFormat="1" ht="118.5" customHeight="1" x14ac:dyDescent="0.25">
      <c r="A77" s="35" t="str">
        <f>[3]bel!C75</f>
        <v/>
      </c>
      <c r="B77" s="35" t="str">
        <f>[3]bel!D75</f>
        <v/>
      </c>
      <c r="C77" s="15" t="str">
        <f>[3]bel!E75</f>
        <v/>
      </c>
      <c r="D77" s="15" t="str">
        <f>[3]bel!F75</f>
        <v/>
      </c>
      <c r="E77" s="71" t="str">
        <f>[3]bel!G75</f>
        <v/>
      </c>
      <c r="F77" s="62" t="str">
        <f>[3]bel!H75</f>
        <v/>
      </c>
      <c r="G77" s="13" t="e">
        <f>VLOOKUP([3]bel!N75,#REF!,2,FALSE)</f>
        <v>#REF!</v>
      </c>
      <c r="H77" s="13"/>
      <c r="I77" s="14" t="str">
        <f>[3]bel!Y75</f>
        <v/>
      </c>
      <c r="J77" s="23" t="str">
        <f>[3]bel!O75</f>
        <v/>
      </c>
      <c r="K77" s="36" t="str">
        <f>[3]bel!T75</f>
        <v/>
      </c>
      <c r="L77" s="24" t="e" cm="1">
        <f t="array" ref="L77">_xlfn.IFS([3]bel!X75="Bozankaya","Bozankaya",[3]bel!X75="Müşteri","Customer",[3]bel!X75="Tedarikçi","Equipment Supplier")</f>
        <v>#N/A</v>
      </c>
      <c r="M77" s="61" t="str">
        <f>[3]bel!P75</f>
        <v/>
      </c>
      <c r="N77" s="25" t="str">
        <f>[3]bel!AG75</f>
        <v/>
      </c>
      <c r="O77" s="25" t="str">
        <f>[3]bel!Z75</f>
        <v/>
      </c>
      <c r="P77" s="17" t="str">
        <f>[3]bel!BB75</f>
        <v/>
      </c>
      <c r="Q77" s="62" t="str">
        <f>[3]bel!AH75</f>
        <v/>
      </c>
      <c r="R77" s="62" t="str">
        <f>[3]bel!BC75</f>
        <v/>
      </c>
      <c r="S77" s="45" t="str">
        <f t="shared" si="4"/>
        <v/>
      </c>
      <c r="T77" s="62" t="str">
        <f>[3]bel!BC75</f>
        <v/>
      </c>
      <c r="U77" s="40" t="str">
        <f>[3]bel!V75</f>
        <v/>
      </c>
      <c r="V77" s="45" cm="1">
        <f t="array" ref="V77">IFERROR(IF(AND(K77&lt;&gt;"D(Arıza Değil)",#REF!="Bu Arıza Aracın Servise Verilmesine Engel Değil"),
IF(#REF!-#REF!&gt;0,(R77-Q77)*24*60,
IF(OR(AND(#REF!&gt;$AA$1,#REF!&lt;#REF!),AND(#REF!&gt;#REF!,#REF!&lt;#REF!)),
(T77-F77)*24*60,     BH:BH0)),        W77),0)</f>
        <v>0</v>
      </c>
      <c r="W77" s="45" t="str">
        <f t="shared" si="5"/>
        <v/>
      </c>
      <c r="X77" s="39" t="str">
        <f>[3]bel!AL75</f>
        <v/>
      </c>
      <c r="Y77" s="39" t="str">
        <f>[3]bel!AT75</f>
        <v/>
      </c>
      <c r="Z77" s="39" t="str">
        <f>[3]bel!AK75</f>
        <v/>
      </c>
      <c r="AA77" s="39" t="str">
        <f>[3]bel!AM75</f>
        <v/>
      </c>
      <c r="AB77" s="57" t="e">
        <f>P77*S77*#REF!</f>
        <v>#VALUE!</v>
      </c>
    </row>
    <row r="78" spans="1:28" s="18" customFormat="1" ht="118.5" customHeight="1" x14ac:dyDescent="0.25">
      <c r="A78" s="35" t="str">
        <f>[3]bel!C76</f>
        <v/>
      </c>
      <c r="B78" s="35" t="str">
        <f>[3]bel!D76</f>
        <v/>
      </c>
      <c r="C78" s="15" t="str">
        <f>[3]bel!E76</f>
        <v/>
      </c>
      <c r="D78" s="15" t="str">
        <f>[3]bel!F76</f>
        <v/>
      </c>
      <c r="E78" s="71" t="str">
        <f>[3]bel!G76</f>
        <v/>
      </c>
      <c r="F78" s="62" t="str">
        <f>[3]bel!H76</f>
        <v/>
      </c>
      <c r="G78" s="13" t="e">
        <f>VLOOKUP([3]bel!N76,#REF!,2,FALSE)</f>
        <v>#REF!</v>
      </c>
      <c r="H78" s="13"/>
      <c r="I78" s="14" t="str">
        <f>[3]bel!Y76</f>
        <v/>
      </c>
      <c r="J78" s="23" t="str">
        <f>[3]bel!O76</f>
        <v/>
      </c>
      <c r="K78" s="36" t="str">
        <f>[3]bel!T76</f>
        <v/>
      </c>
      <c r="L78" s="24" t="e" cm="1">
        <f t="array" ref="L78">_xlfn.IFS([3]bel!X76="Bozankaya","Bozankaya",[3]bel!X76="Müşteri","Customer",[3]bel!X76="Tedarikçi","Equipment Supplier")</f>
        <v>#N/A</v>
      </c>
      <c r="M78" s="61" t="str">
        <f>[3]bel!P76</f>
        <v/>
      </c>
      <c r="N78" s="25" t="str">
        <f>[3]bel!AG76</f>
        <v/>
      </c>
      <c r="O78" s="25" t="str">
        <f>[3]bel!Z76</f>
        <v/>
      </c>
      <c r="P78" s="17" t="str">
        <f>[3]bel!BB76</f>
        <v/>
      </c>
      <c r="Q78" s="62" t="str">
        <f>[3]bel!AH76</f>
        <v/>
      </c>
      <c r="R78" s="62" t="str">
        <f>[3]bel!BC76</f>
        <v/>
      </c>
      <c r="S78" s="45" t="str">
        <f t="shared" si="4"/>
        <v/>
      </c>
      <c r="T78" s="62" t="str">
        <f>[3]bel!BC76</f>
        <v/>
      </c>
      <c r="U78" s="40" t="str">
        <f>[3]bel!V76</f>
        <v/>
      </c>
      <c r="V78" s="45" cm="1">
        <f t="array" ref="V78">IFERROR(IF(AND(K78&lt;&gt;"D(Arıza Değil)",#REF!="Bu Arıza Aracın Servise Verilmesine Engel Değil"),
IF(#REF!-#REF!&gt;0,(R78-Q78)*24*60,
IF(OR(AND(#REF!&gt;$AA$1,#REF!&lt;#REF!),AND(#REF!&gt;#REF!,#REF!&lt;#REF!)),
(T78-F78)*24*60,     BH:BH0)),        W78),0)</f>
        <v>0</v>
      </c>
      <c r="W78" s="45" t="str">
        <f t="shared" si="5"/>
        <v/>
      </c>
      <c r="X78" s="39" t="str">
        <f>[3]bel!AL76</f>
        <v/>
      </c>
      <c r="Y78" s="39" t="str">
        <f>[3]bel!AT76</f>
        <v/>
      </c>
      <c r="Z78" s="39" t="str">
        <f>[3]bel!AK76</f>
        <v/>
      </c>
      <c r="AA78" s="39" t="str">
        <f>[3]bel!AM76</f>
        <v/>
      </c>
      <c r="AB78" s="57" t="e">
        <f>P78*S78*#REF!</f>
        <v>#VALUE!</v>
      </c>
    </row>
    <row r="79" spans="1:28" s="18" customFormat="1" ht="118.5" customHeight="1" x14ac:dyDescent="0.25">
      <c r="A79" s="35" t="str">
        <f>[3]bel!C77</f>
        <v/>
      </c>
      <c r="B79" s="35" t="str">
        <f>[3]bel!D77</f>
        <v/>
      </c>
      <c r="C79" s="15" t="str">
        <f>[3]bel!E77</f>
        <v/>
      </c>
      <c r="D79" s="15" t="str">
        <f>[3]bel!F77</f>
        <v/>
      </c>
      <c r="E79" s="71" t="str">
        <f>[3]bel!G77</f>
        <v/>
      </c>
      <c r="F79" s="62" t="str">
        <f>[3]bel!H77</f>
        <v/>
      </c>
      <c r="G79" s="13" t="e">
        <f>VLOOKUP([3]bel!N77,#REF!,2,FALSE)</f>
        <v>#REF!</v>
      </c>
      <c r="H79" s="13"/>
      <c r="I79" s="14" t="str">
        <f>[3]bel!Y77</f>
        <v/>
      </c>
      <c r="J79" s="23" t="str">
        <f>[3]bel!O77</f>
        <v/>
      </c>
      <c r="K79" s="36" t="str">
        <f>[3]bel!T77</f>
        <v/>
      </c>
      <c r="L79" s="24" t="e" cm="1">
        <f t="array" ref="L79">_xlfn.IFS([3]bel!X77="Bozankaya","Bozankaya",[3]bel!X77="Müşteri","Customer",[3]bel!X77="Tedarikçi","Equipment Supplier")</f>
        <v>#N/A</v>
      </c>
      <c r="M79" s="61" t="str">
        <f>[3]bel!P77</f>
        <v/>
      </c>
      <c r="N79" s="25" t="str">
        <f>[3]bel!AG77</f>
        <v/>
      </c>
      <c r="O79" s="25" t="str">
        <f>[3]bel!Z77</f>
        <v/>
      </c>
      <c r="P79" s="17" t="str">
        <f>[3]bel!BB77</f>
        <v/>
      </c>
      <c r="Q79" s="62" t="str">
        <f>[3]bel!AH77</f>
        <v/>
      </c>
      <c r="R79" s="62" t="str">
        <f>[3]bel!BC77</f>
        <v/>
      </c>
      <c r="S79" s="45" t="str">
        <f t="shared" si="4"/>
        <v/>
      </c>
      <c r="T79" s="62" t="str">
        <f>[3]bel!BC77</f>
        <v/>
      </c>
      <c r="U79" s="40" t="str">
        <f>[3]bel!V77</f>
        <v/>
      </c>
      <c r="V79" s="45" cm="1">
        <f t="array" ref="V79">IFERROR(IF(AND(K79&lt;&gt;"D(Arıza Değil)",#REF!="Bu Arıza Aracın Servise Verilmesine Engel Değil"),
IF(#REF!-#REF!&gt;0,(R79-Q79)*24*60,
IF(OR(AND(#REF!&gt;$AA$1,#REF!&lt;#REF!),AND(#REF!&gt;#REF!,#REF!&lt;#REF!)),
(T79-F79)*24*60,     BH:BH0)),        W79),0)</f>
        <v>0</v>
      </c>
      <c r="W79" s="45" t="str">
        <f t="shared" si="5"/>
        <v/>
      </c>
      <c r="X79" s="39" t="str">
        <f>[3]bel!AL77</f>
        <v/>
      </c>
      <c r="Y79" s="39" t="str">
        <f>[3]bel!AT77</f>
        <v/>
      </c>
      <c r="Z79" s="39" t="str">
        <f>[3]bel!AK77</f>
        <v/>
      </c>
      <c r="AA79" s="39" t="str">
        <f>[3]bel!AM77</f>
        <v/>
      </c>
      <c r="AB79" s="57" t="e">
        <f>P79*S79*#REF!</f>
        <v>#VALUE!</v>
      </c>
    </row>
    <row r="80" spans="1:28" s="18" customFormat="1" ht="118.5" customHeight="1" x14ac:dyDescent="0.25">
      <c r="A80" s="35" t="str">
        <f>[3]bel!C78</f>
        <v/>
      </c>
      <c r="B80" s="35" t="str">
        <f>[3]bel!D78</f>
        <v/>
      </c>
      <c r="C80" s="15" t="str">
        <f>[3]bel!E78</f>
        <v/>
      </c>
      <c r="D80" s="15" t="str">
        <f>[3]bel!F78</f>
        <v/>
      </c>
      <c r="E80" s="71" t="str">
        <f>[3]bel!G78</f>
        <v/>
      </c>
      <c r="F80" s="62" t="str">
        <f>[3]bel!H78</f>
        <v/>
      </c>
      <c r="G80" s="13" t="e">
        <f>VLOOKUP([3]bel!N78,#REF!,2,FALSE)</f>
        <v>#REF!</v>
      </c>
      <c r="H80" s="13"/>
      <c r="I80" s="14" t="str">
        <f>[3]bel!Y78</f>
        <v/>
      </c>
      <c r="J80" s="23" t="str">
        <f>[3]bel!O78</f>
        <v/>
      </c>
      <c r="K80" s="36" t="str">
        <f>[3]bel!T78</f>
        <v/>
      </c>
      <c r="L80" s="24" t="e" cm="1">
        <f t="array" ref="L80">_xlfn.IFS([3]bel!X78="Bozankaya","Bozankaya",[3]bel!X78="Müşteri","Customer",[3]bel!X78="Tedarikçi","Equipment Supplier")</f>
        <v>#N/A</v>
      </c>
      <c r="M80" s="61" t="str">
        <f>[3]bel!P78</f>
        <v/>
      </c>
      <c r="N80" s="25" t="str">
        <f>[3]bel!AG78</f>
        <v/>
      </c>
      <c r="O80" s="25" t="str">
        <f>[3]bel!Z78</f>
        <v/>
      </c>
      <c r="P80" s="17" t="str">
        <f>[3]bel!BB78</f>
        <v/>
      </c>
      <c r="Q80" s="62" t="str">
        <f>[3]bel!AH78</f>
        <v/>
      </c>
      <c r="R80" s="62" t="str">
        <f>[3]bel!BC78</f>
        <v/>
      </c>
      <c r="S80" s="45" t="str">
        <f t="shared" si="4"/>
        <v/>
      </c>
      <c r="T80" s="62" t="str">
        <f>[3]bel!BC78</f>
        <v/>
      </c>
      <c r="U80" s="40" t="str">
        <f>[3]bel!V78</f>
        <v/>
      </c>
      <c r="V80" s="45" cm="1">
        <f t="array" ref="V80">IFERROR(IF(AND(K80&lt;&gt;"D(Arıza Değil)",#REF!="Bu Arıza Aracın Servise Verilmesine Engel Değil"),
IF(#REF!-#REF!&gt;0,(R80-Q80)*24*60,
IF(OR(AND(#REF!&gt;$AA$1,#REF!&lt;#REF!),AND(#REF!&gt;#REF!,#REF!&lt;#REF!)),
(T80-F80)*24*60,     BH:BH0)),        W80),0)</f>
        <v>0</v>
      </c>
      <c r="W80" s="45" t="str">
        <f t="shared" si="5"/>
        <v/>
      </c>
      <c r="X80" s="39" t="str">
        <f>[3]bel!AL78</f>
        <v/>
      </c>
      <c r="Y80" s="39" t="str">
        <f>[3]bel!AT78</f>
        <v/>
      </c>
      <c r="Z80" s="39" t="str">
        <f>[3]bel!AK78</f>
        <v/>
      </c>
      <c r="AA80" s="39" t="str">
        <f>[3]bel!AM78</f>
        <v/>
      </c>
      <c r="AB80" s="57" t="e">
        <f>P80*S80*#REF!</f>
        <v>#VALUE!</v>
      </c>
    </row>
    <row r="81" spans="1:28" s="18" customFormat="1" ht="118.5" customHeight="1" x14ac:dyDescent="0.25">
      <c r="A81" s="35" t="str">
        <f>[3]bel!C79</f>
        <v/>
      </c>
      <c r="B81" s="35" t="str">
        <f>[3]bel!D79</f>
        <v/>
      </c>
      <c r="C81" s="15" t="str">
        <f>[3]bel!E79</f>
        <v/>
      </c>
      <c r="D81" s="15" t="str">
        <f>[3]bel!F79</f>
        <v/>
      </c>
      <c r="E81" s="71" t="str">
        <f>[3]bel!G79</f>
        <v/>
      </c>
      <c r="F81" s="62" t="str">
        <f>[3]bel!H79</f>
        <v/>
      </c>
      <c r="G81" s="13" t="e">
        <f>VLOOKUP([3]bel!N79,#REF!,2,FALSE)</f>
        <v>#REF!</v>
      </c>
      <c r="H81" s="13"/>
      <c r="I81" s="14" t="str">
        <f>[3]bel!Y79</f>
        <v/>
      </c>
      <c r="J81" s="23" t="str">
        <f>[3]bel!O79</f>
        <v/>
      </c>
      <c r="K81" s="36" t="str">
        <f>[3]bel!T79</f>
        <v/>
      </c>
      <c r="L81" s="24" t="e" cm="1">
        <f t="array" ref="L81">_xlfn.IFS([3]bel!X79="Bozankaya","Bozankaya",[3]bel!X79="Müşteri","Customer",[3]bel!X79="Tedarikçi","Equipment Supplier")</f>
        <v>#N/A</v>
      </c>
      <c r="M81" s="61" t="str">
        <f>[3]bel!P79</f>
        <v/>
      </c>
      <c r="N81" s="25" t="str">
        <f>[3]bel!AG79</f>
        <v/>
      </c>
      <c r="O81" s="25" t="str">
        <f>[3]bel!Z79</f>
        <v/>
      </c>
      <c r="P81" s="17" t="str">
        <f>[3]bel!BB79</f>
        <v/>
      </c>
      <c r="Q81" s="62" t="str">
        <f>[3]bel!AH79</f>
        <v/>
      </c>
      <c r="R81" s="62" t="str">
        <f>[3]bel!BC79</f>
        <v/>
      </c>
      <c r="S81" s="45" t="str">
        <f t="shared" si="4"/>
        <v/>
      </c>
      <c r="T81" s="62" t="str">
        <f>[3]bel!BC79</f>
        <v/>
      </c>
      <c r="U81" s="40" t="str">
        <f>[3]bel!V79</f>
        <v/>
      </c>
      <c r="V81" s="45" cm="1">
        <f t="array" ref="V81">IFERROR(IF(AND(K81&lt;&gt;"D(Arıza Değil)",#REF!="Bu Arıza Aracın Servise Verilmesine Engel Değil"),
IF(#REF!-#REF!&gt;0,(R81-Q81)*24*60,
IF(OR(AND(#REF!&gt;$AA$1,#REF!&lt;#REF!),AND(#REF!&gt;#REF!,#REF!&lt;#REF!)),
(T81-F81)*24*60,     BH:BH0)),        W81),0)</f>
        <v>0</v>
      </c>
      <c r="W81" s="45" t="str">
        <f t="shared" si="5"/>
        <v/>
      </c>
      <c r="X81" s="39" t="str">
        <f>[3]bel!AL79</f>
        <v/>
      </c>
      <c r="Y81" s="39" t="str">
        <f>[3]bel!AT79</f>
        <v/>
      </c>
      <c r="Z81" s="39" t="str">
        <f>[3]bel!AK79</f>
        <v/>
      </c>
      <c r="AA81" s="39" t="str">
        <f>[3]bel!AM79</f>
        <v/>
      </c>
      <c r="AB81" s="57" t="e">
        <f>P81*S81*#REF!</f>
        <v>#VALUE!</v>
      </c>
    </row>
    <row r="82" spans="1:28" s="18" customFormat="1" ht="118.5" customHeight="1" x14ac:dyDescent="0.25">
      <c r="A82" s="35" t="str">
        <f>[3]bel!C80</f>
        <v/>
      </c>
      <c r="B82" s="35" t="str">
        <f>[3]bel!D80</f>
        <v/>
      </c>
      <c r="C82" s="15" t="str">
        <f>[3]bel!E80</f>
        <v/>
      </c>
      <c r="D82" s="15" t="str">
        <f>[3]bel!F80</f>
        <v/>
      </c>
      <c r="E82" s="71" t="str">
        <f>[3]bel!G80</f>
        <v/>
      </c>
      <c r="F82" s="62" t="str">
        <f>[3]bel!H80</f>
        <v/>
      </c>
      <c r="G82" s="13" t="e">
        <f>VLOOKUP([3]bel!N80,#REF!,2,FALSE)</f>
        <v>#REF!</v>
      </c>
      <c r="H82" s="13"/>
      <c r="I82" s="14" t="str">
        <f>[3]bel!Y80</f>
        <v/>
      </c>
      <c r="J82" s="23" t="str">
        <f>[3]bel!O80</f>
        <v/>
      </c>
      <c r="K82" s="36" t="str">
        <f>[3]bel!T80</f>
        <v/>
      </c>
      <c r="L82" s="24" t="e" cm="1">
        <f t="array" ref="L82">_xlfn.IFS([3]bel!X80="Bozankaya","Bozankaya",[3]bel!X80="Müşteri","Customer",[3]bel!X80="Tedarikçi","Equipment Supplier")</f>
        <v>#N/A</v>
      </c>
      <c r="M82" s="61" t="str">
        <f>[3]bel!P80</f>
        <v/>
      </c>
      <c r="N82" s="25" t="str">
        <f>[3]bel!AG80</f>
        <v/>
      </c>
      <c r="O82" s="25" t="str">
        <f>[3]bel!Z80</f>
        <v/>
      </c>
      <c r="P82" s="17" t="str">
        <f>[3]bel!BB80</f>
        <v/>
      </c>
      <c r="Q82" s="62" t="str">
        <f>[3]bel!AH80</f>
        <v/>
      </c>
      <c r="R82" s="62" t="str">
        <f>[3]bel!BC80</f>
        <v/>
      </c>
      <c r="S82" s="45" t="str">
        <f t="shared" si="4"/>
        <v/>
      </c>
      <c r="T82" s="62" t="str">
        <f>[3]bel!BC80</f>
        <v/>
      </c>
      <c r="U82" s="40" t="str">
        <f>[3]bel!V80</f>
        <v/>
      </c>
      <c r="V82" s="45" cm="1">
        <f t="array" ref="V82">IFERROR(IF(AND(K82&lt;&gt;"D(Arıza Değil)",#REF!="Bu Arıza Aracın Servise Verilmesine Engel Değil"),
IF(#REF!-#REF!&gt;0,(R82-Q82)*24*60,
IF(OR(AND(#REF!&gt;$AA$1,#REF!&lt;#REF!),AND(#REF!&gt;#REF!,#REF!&lt;#REF!)),
(T82-F82)*24*60,     BH:BH0)),        W82),0)</f>
        <v>0</v>
      </c>
      <c r="W82" s="45" t="str">
        <f t="shared" si="5"/>
        <v/>
      </c>
      <c r="X82" s="39" t="str">
        <f>[3]bel!AL80</f>
        <v/>
      </c>
      <c r="Y82" s="39" t="str">
        <f>[3]bel!AT80</f>
        <v/>
      </c>
      <c r="Z82" s="39" t="str">
        <f>[3]bel!AK80</f>
        <v/>
      </c>
      <c r="AA82" s="39" t="str">
        <f>[3]bel!AM80</f>
        <v/>
      </c>
      <c r="AB82" s="57" t="e">
        <f>P82*S82*#REF!</f>
        <v>#VALUE!</v>
      </c>
    </row>
    <row r="83" spans="1:28" s="18" customFormat="1" ht="118.5" customHeight="1" x14ac:dyDescent="0.25">
      <c r="A83" s="35" t="str">
        <f>[3]bel!C81</f>
        <v/>
      </c>
      <c r="B83" s="35" t="str">
        <f>[3]bel!D81</f>
        <v/>
      </c>
      <c r="C83" s="15" t="str">
        <f>[3]bel!E81</f>
        <v/>
      </c>
      <c r="D83" s="15" t="str">
        <f>[3]bel!F81</f>
        <v/>
      </c>
      <c r="E83" s="71" t="str">
        <f>[3]bel!G81</f>
        <v/>
      </c>
      <c r="F83" s="62" t="str">
        <f>[3]bel!H81</f>
        <v/>
      </c>
      <c r="G83" s="13" t="e">
        <f>VLOOKUP([3]bel!N81,#REF!,2,FALSE)</f>
        <v>#REF!</v>
      </c>
      <c r="H83" s="13"/>
      <c r="I83" s="14" t="str">
        <f>[3]bel!Y81</f>
        <v/>
      </c>
      <c r="J83" s="23" t="str">
        <f>[3]bel!O81</f>
        <v/>
      </c>
      <c r="K83" s="36" t="str">
        <f>[3]bel!T81</f>
        <v/>
      </c>
      <c r="L83" s="24" t="e" cm="1">
        <f t="array" ref="L83">_xlfn.IFS([3]bel!X81="Bozankaya","Bozankaya",[3]bel!X81="Müşteri","Customer",[3]bel!X81="Tedarikçi","Equipment Supplier")</f>
        <v>#N/A</v>
      </c>
      <c r="M83" s="61" t="str">
        <f>[3]bel!P81</f>
        <v/>
      </c>
      <c r="N83" s="25" t="str">
        <f>[3]bel!AG81</f>
        <v/>
      </c>
      <c r="O83" s="25" t="str">
        <f>[3]bel!Z81</f>
        <v/>
      </c>
      <c r="P83" s="17" t="str">
        <f>[3]bel!BB81</f>
        <v/>
      </c>
      <c r="Q83" s="62" t="str">
        <f>[3]bel!AH81</f>
        <v/>
      </c>
      <c r="R83" s="62" t="str">
        <f>[3]bel!BC81</f>
        <v/>
      </c>
      <c r="S83" s="45" t="str">
        <f t="shared" si="4"/>
        <v/>
      </c>
      <c r="T83" s="62" t="str">
        <f>[3]bel!BC81</f>
        <v/>
      </c>
      <c r="U83" s="40" t="str">
        <f>[3]bel!V81</f>
        <v/>
      </c>
      <c r="V83" s="45" cm="1">
        <f t="array" ref="V83">IFERROR(IF(AND(K83&lt;&gt;"D(Arıza Değil)",#REF!="Bu Arıza Aracın Servise Verilmesine Engel Değil"),
IF(#REF!-#REF!&gt;0,(R83-Q83)*24*60,
IF(OR(AND(#REF!&gt;$AA$1,#REF!&lt;#REF!),AND(#REF!&gt;#REF!,#REF!&lt;#REF!)),
(T83-F83)*24*60,     BH:BH0)),        W83),0)</f>
        <v>0</v>
      </c>
      <c r="W83" s="45" t="str">
        <f t="shared" si="5"/>
        <v/>
      </c>
      <c r="X83" s="39" t="str">
        <f>[3]bel!AL81</f>
        <v/>
      </c>
      <c r="Y83" s="39" t="str">
        <f>[3]bel!AT81</f>
        <v/>
      </c>
      <c r="Z83" s="39" t="str">
        <f>[3]bel!AK81</f>
        <v/>
      </c>
      <c r="AA83" s="39" t="str">
        <f>[3]bel!AM81</f>
        <v/>
      </c>
      <c r="AB83" s="57" t="e">
        <f>P83*S83*#REF!</f>
        <v>#VALUE!</v>
      </c>
    </row>
    <row r="84" spans="1:28" s="18" customFormat="1" ht="118.5" customHeight="1" x14ac:dyDescent="0.25">
      <c r="A84" s="35" t="str">
        <f>[3]bel!C82</f>
        <v/>
      </c>
      <c r="B84" s="35" t="str">
        <f>[3]bel!D82</f>
        <v/>
      </c>
      <c r="C84" s="15" t="str">
        <f>[3]bel!E82</f>
        <v/>
      </c>
      <c r="D84" s="15" t="str">
        <f>[3]bel!F82</f>
        <v/>
      </c>
      <c r="E84" s="71" t="str">
        <f>[3]bel!G82</f>
        <v/>
      </c>
      <c r="F84" s="62" t="str">
        <f>[3]bel!H82</f>
        <v/>
      </c>
      <c r="G84" s="13" t="e">
        <f>VLOOKUP([3]bel!N82,#REF!,2,FALSE)</f>
        <v>#REF!</v>
      </c>
      <c r="H84" s="13"/>
      <c r="I84" s="14" t="str">
        <f>[3]bel!Y82</f>
        <v/>
      </c>
      <c r="J84" s="23" t="str">
        <f>[3]bel!O82</f>
        <v/>
      </c>
      <c r="K84" s="36" t="str">
        <f>[3]bel!T82</f>
        <v/>
      </c>
      <c r="L84" s="24" t="e" cm="1">
        <f t="array" ref="L84">_xlfn.IFS([3]bel!X82="Bozankaya","Bozankaya",[3]bel!X82="Müşteri","Customer",[3]bel!X82="Tedarikçi","Equipment Supplier")</f>
        <v>#N/A</v>
      </c>
      <c r="M84" s="61" t="str">
        <f>[3]bel!P82</f>
        <v/>
      </c>
      <c r="N84" s="25" t="str">
        <f>[3]bel!AG82</f>
        <v/>
      </c>
      <c r="O84" s="25" t="str">
        <f>[3]bel!Z82</f>
        <v/>
      </c>
      <c r="P84" s="17" t="str">
        <f>[3]bel!BB82</f>
        <v/>
      </c>
      <c r="Q84" s="62" t="str">
        <f>[3]bel!AH82</f>
        <v/>
      </c>
      <c r="R84" s="62" t="str">
        <f>[3]bel!BC82</f>
        <v/>
      </c>
      <c r="S84" s="45" t="str">
        <f t="shared" si="4"/>
        <v/>
      </c>
      <c r="T84" s="62" t="str">
        <f>[3]bel!BC82</f>
        <v/>
      </c>
      <c r="U84" s="40" t="str">
        <f>[3]bel!V82</f>
        <v/>
      </c>
      <c r="V84" s="45" cm="1">
        <f t="array" ref="V84">IFERROR(IF(AND(K84&lt;&gt;"D(Arıza Değil)",#REF!="Bu Arıza Aracın Servise Verilmesine Engel Değil"),
IF(#REF!-#REF!&gt;0,(R84-Q84)*24*60,
IF(OR(AND(#REF!&gt;$AA$1,#REF!&lt;#REF!),AND(#REF!&gt;#REF!,#REF!&lt;#REF!)),
(T84-F84)*24*60,     BH:BH0)),        W84),0)</f>
        <v>0</v>
      </c>
      <c r="W84" s="45" t="str">
        <f t="shared" si="5"/>
        <v/>
      </c>
      <c r="X84" s="39" t="str">
        <f>[3]bel!AL82</f>
        <v/>
      </c>
      <c r="Y84" s="39" t="str">
        <f>[3]bel!AT82</f>
        <v/>
      </c>
      <c r="Z84" s="39" t="str">
        <f>[3]bel!AK82</f>
        <v/>
      </c>
      <c r="AA84" s="39" t="str">
        <f>[3]bel!AM82</f>
        <v/>
      </c>
      <c r="AB84" s="57" t="e">
        <f>P84*S84*#REF!</f>
        <v>#VALUE!</v>
      </c>
    </row>
    <row r="85" spans="1:28" s="18" customFormat="1" ht="118.5" customHeight="1" x14ac:dyDescent="0.25">
      <c r="A85" s="35" t="str">
        <f>[3]bel!C83</f>
        <v/>
      </c>
      <c r="B85" s="35" t="str">
        <f>[3]bel!D83</f>
        <v/>
      </c>
      <c r="C85" s="15" t="str">
        <f>[3]bel!E83</f>
        <v/>
      </c>
      <c r="D85" s="15" t="str">
        <f>[3]bel!F83</f>
        <v/>
      </c>
      <c r="E85" s="71" t="str">
        <f>[3]bel!G83</f>
        <v/>
      </c>
      <c r="F85" s="62" t="str">
        <f>[3]bel!H83</f>
        <v/>
      </c>
      <c r="G85" s="13" t="e">
        <f>VLOOKUP([3]bel!N83,#REF!,2,FALSE)</f>
        <v>#REF!</v>
      </c>
      <c r="H85" s="13"/>
      <c r="I85" s="14" t="str">
        <f>[3]bel!Y83</f>
        <v/>
      </c>
      <c r="J85" s="23" t="str">
        <f>[3]bel!O83</f>
        <v/>
      </c>
      <c r="K85" s="36" t="str">
        <f>[3]bel!T83</f>
        <v/>
      </c>
      <c r="L85" s="24" t="e" cm="1">
        <f t="array" ref="L85">_xlfn.IFS([3]bel!X83="Bozankaya","Bozankaya",[3]bel!X83="Müşteri","Customer",[3]bel!X83="Tedarikçi","Equipment Supplier")</f>
        <v>#N/A</v>
      </c>
      <c r="M85" s="61" t="str">
        <f>[3]bel!P83</f>
        <v/>
      </c>
      <c r="N85" s="25" t="str">
        <f>[3]bel!AG83</f>
        <v/>
      </c>
      <c r="O85" s="25" t="str">
        <f>[3]bel!Z83</f>
        <v/>
      </c>
      <c r="P85" s="17" t="str">
        <f>[3]bel!BB83</f>
        <v/>
      </c>
      <c r="Q85" s="62" t="str">
        <f>[3]bel!AH83</f>
        <v/>
      </c>
      <c r="R85" s="62" t="str">
        <f>[3]bel!BC83</f>
        <v/>
      </c>
      <c r="S85" s="45" t="str">
        <f t="shared" si="4"/>
        <v/>
      </c>
      <c r="T85" s="62" t="str">
        <f>[3]bel!BC83</f>
        <v/>
      </c>
      <c r="U85" s="40" t="str">
        <f>[3]bel!V83</f>
        <v/>
      </c>
      <c r="V85" s="45" cm="1">
        <f t="array" ref="V85">IFERROR(IF(AND(K85&lt;&gt;"D(Arıza Değil)",#REF!="Bu Arıza Aracın Servise Verilmesine Engel Değil"),
IF(#REF!-#REF!&gt;0,(R85-Q85)*24*60,
IF(OR(AND(#REF!&gt;$AA$1,#REF!&lt;#REF!),AND(#REF!&gt;#REF!,#REF!&lt;#REF!)),
(T85-F85)*24*60,     BH:BH0)),        W85),0)</f>
        <v>0</v>
      </c>
      <c r="W85" s="45" t="str">
        <f t="shared" si="5"/>
        <v/>
      </c>
      <c r="X85" s="39" t="str">
        <f>[3]bel!AL83</f>
        <v/>
      </c>
      <c r="Y85" s="39" t="str">
        <f>[3]bel!AT83</f>
        <v/>
      </c>
      <c r="Z85" s="39" t="str">
        <f>[3]bel!AK83</f>
        <v/>
      </c>
      <c r="AA85" s="39" t="str">
        <f>[3]bel!AM83</f>
        <v/>
      </c>
      <c r="AB85" s="57" t="e">
        <f>P85*S85*#REF!</f>
        <v>#VALUE!</v>
      </c>
    </row>
    <row r="86" spans="1:28" s="18" customFormat="1" ht="118.5" customHeight="1" x14ac:dyDescent="0.25">
      <c r="A86" s="35" t="str">
        <f>[3]bel!C84</f>
        <v/>
      </c>
      <c r="B86" s="35" t="str">
        <f>[3]bel!D84</f>
        <v/>
      </c>
      <c r="C86" s="15" t="str">
        <f>[3]bel!E84</f>
        <v/>
      </c>
      <c r="D86" s="15" t="str">
        <f>[3]bel!F84</f>
        <v/>
      </c>
      <c r="E86" s="71" t="str">
        <f>[3]bel!G84</f>
        <v/>
      </c>
      <c r="F86" s="62" t="str">
        <f>[3]bel!H84</f>
        <v/>
      </c>
      <c r="G86" s="13" t="e">
        <f>VLOOKUP([3]bel!N84,#REF!,2,FALSE)</f>
        <v>#REF!</v>
      </c>
      <c r="H86" s="13"/>
      <c r="I86" s="14" t="str">
        <f>[3]bel!Y84</f>
        <v/>
      </c>
      <c r="J86" s="23" t="str">
        <f>[3]bel!O84</f>
        <v/>
      </c>
      <c r="K86" s="36" t="str">
        <f>[3]bel!T84</f>
        <v/>
      </c>
      <c r="L86" s="24" t="e" cm="1">
        <f t="array" ref="L86">_xlfn.IFS([3]bel!X84="Bozankaya","Bozankaya",[3]bel!X84="Müşteri","Customer",[3]bel!X84="Tedarikçi","Equipment Supplier")</f>
        <v>#N/A</v>
      </c>
      <c r="M86" s="61" t="str">
        <f>[3]bel!P84</f>
        <v/>
      </c>
      <c r="N86" s="25" t="str">
        <f>[3]bel!AG84</f>
        <v/>
      </c>
      <c r="O86" s="25" t="str">
        <f>[3]bel!Z84</f>
        <v/>
      </c>
      <c r="P86" s="17" t="str">
        <f>[3]bel!BB84</f>
        <v/>
      </c>
      <c r="Q86" s="62" t="str">
        <f>[3]bel!AH84</f>
        <v/>
      </c>
      <c r="R86" s="62" t="str">
        <f>[3]bel!BC84</f>
        <v/>
      </c>
      <c r="S86" s="45" t="str">
        <f t="shared" si="4"/>
        <v/>
      </c>
      <c r="T86" s="62" t="str">
        <f>[3]bel!BC84</f>
        <v/>
      </c>
      <c r="U86" s="40" t="str">
        <f>[3]bel!V84</f>
        <v/>
      </c>
      <c r="V86" s="45" cm="1">
        <f t="array" ref="V86">IFERROR(IF(AND(K86&lt;&gt;"D(Arıza Değil)",#REF!="Bu Arıza Aracın Servise Verilmesine Engel Değil"),
IF(#REF!-#REF!&gt;0,(R86-Q86)*24*60,
IF(OR(AND(#REF!&gt;$AA$1,#REF!&lt;#REF!),AND(#REF!&gt;#REF!,#REF!&lt;#REF!)),
(T86-F86)*24*60,     BH:BH0)),        W86),0)</f>
        <v>0</v>
      </c>
      <c r="W86" s="45" t="str">
        <f t="shared" si="5"/>
        <v/>
      </c>
      <c r="X86" s="39" t="str">
        <f>[3]bel!AL84</f>
        <v/>
      </c>
      <c r="Y86" s="39" t="str">
        <f>[3]bel!AT84</f>
        <v/>
      </c>
      <c r="Z86" s="39" t="str">
        <f>[3]bel!AK84</f>
        <v/>
      </c>
      <c r="AA86" s="39" t="str">
        <f>[3]bel!AM84</f>
        <v/>
      </c>
      <c r="AB86" s="57" t="e">
        <f>P86*S86*#REF!</f>
        <v>#VALUE!</v>
      </c>
    </row>
    <row r="87" spans="1:28" s="18" customFormat="1" ht="118.5" customHeight="1" x14ac:dyDescent="0.25">
      <c r="A87" s="35" t="str">
        <f>[3]bel!C85</f>
        <v/>
      </c>
      <c r="B87" s="35" t="str">
        <f>[3]bel!D85</f>
        <v/>
      </c>
      <c r="C87" s="15" t="str">
        <f>[3]bel!E85</f>
        <v/>
      </c>
      <c r="D87" s="15" t="str">
        <f>[3]bel!F85</f>
        <v/>
      </c>
      <c r="E87" s="71" t="str">
        <f>[3]bel!G85</f>
        <v/>
      </c>
      <c r="F87" s="62" t="str">
        <f>[3]bel!H85</f>
        <v/>
      </c>
      <c r="G87" s="13" t="e">
        <f>VLOOKUP([3]bel!N85,#REF!,2,FALSE)</f>
        <v>#REF!</v>
      </c>
      <c r="H87" s="13"/>
      <c r="I87" s="14" t="str">
        <f>[3]bel!Y85</f>
        <v/>
      </c>
      <c r="J87" s="23" t="str">
        <f>[3]bel!O85</f>
        <v/>
      </c>
      <c r="K87" s="36" t="str">
        <f>[3]bel!T85</f>
        <v/>
      </c>
      <c r="L87" s="24" t="e" cm="1">
        <f t="array" ref="L87">_xlfn.IFS([3]bel!X85="Bozankaya","Bozankaya",[3]bel!X85="Müşteri","Customer",[3]bel!X85="Tedarikçi","Equipment Supplier")</f>
        <v>#N/A</v>
      </c>
      <c r="M87" s="61" t="str">
        <f>[3]bel!P85</f>
        <v/>
      </c>
      <c r="N87" s="25" t="str">
        <f>[3]bel!AG85</f>
        <v/>
      </c>
      <c r="O87" s="25" t="str">
        <f>[3]bel!Z85</f>
        <v/>
      </c>
      <c r="P87" s="17" t="str">
        <f>[3]bel!BB85</f>
        <v/>
      </c>
      <c r="Q87" s="62" t="str">
        <f>[3]bel!AH85</f>
        <v/>
      </c>
      <c r="R87" s="62" t="str">
        <f>[3]bel!BC85</f>
        <v/>
      </c>
      <c r="S87" s="45" t="str">
        <f t="shared" si="4"/>
        <v/>
      </c>
      <c r="T87" s="62" t="str">
        <f>[3]bel!BC85</f>
        <v/>
      </c>
      <c r="U87" s="40" t="str">
        <f>[3]bel!V85</f>
        <v/>
      </c>
      <c r="V87" s="45" cm="1">
        <f t="array" ref="V87">IFERROR(IF(AND(K87&lt;&gt;"D(Arıza Değil)",#REF!="Bu Arıza Aracın Servise Verilmesine Engel Değil"),
IF(#REF!-#REF!&gt;0,(R87-Q87)*24*60,
IF(OR(AND(#REF!&gt;$AA$1,#REF!&lt;#REF!),AND(#REF!&gt;#REF!,#REF!&lt;#REF!)),
(T87-F87)*24*60,     BH:BH0)),        W87),0)</f>
        <v>0</v>
      </c>
      <c r="W87" s="45" t="str">
        <f t="shared" si="5"/>
        <v/>
      </c>
      <c r="X87" s="39" t="str">
        <f>[3]bel!AL85</f>
        <v/>
      </c>
      <c r="Y87" s="39" t="str">
        <f>[3]bel!AT85</f>
        <v/>
      </c>
      <c r="Z87" s="39" t="str">
        <f>[3]bel!AK85</f>
        <v/>
      </c>
      <c r="AA87" s="39" t="str">
        <f>[3]bel!AM85</f>
        <v/>
      </c>
      <c r="AB87" s="57" t="e">
        <f>P87*S87*#REF!</f>
        <v>#VALUE!</v>
      </c>
    </row>
    <row r="88" spans="1:28" s="18" customFormat="1" ht="118.5" customHeight="1" x14ac:dyDescent="0.25">
      <c r="A88" s="35" t="str">
        <f>[3]bel!C86</f>
        <v/>
      </c>
      <c r="B88" s="35" t="str">
        <f>[3]bel!D86</f>
        <v/>
      </c>
      <c r="C88" s="15" t="str">
        <f>[3]bel!E86</f>
        <v/>
      </c>
      <c r="D88" s="15" t="str">
        <f>[3]bel!F86</f>
        <v/>
      </c>
      <c r="E88" s="71" t="str">
        <f>[3]bel!G86</f>
        <v/>
      </c>
      <c r="F88" s="62" t="str">
        <f>[3]bel!H86</f>
        <v/>
      </c>
      <c r="G88" s="13" t="e">
        <f>VLOOKUP([3]bel!N86,#REF!,2,FALSE)</f>
        <v>#REF!</v>
      </c>
      <c r="H88" s="13"/>
      <c r="I88" s="14" t="str">
        <f>[3]bel!Y86</f>
        <v/>
      </c>
      <c r="J88" s="23" t="str">
        <f>[3]bel!O86</f>
        <v/>
      </c>
      <c r="K88" s="36" t="str">
        <f>[3]bel!T86</f>
        <v/>
      </c>
      <c r="L88" s="24" t="e" cm="1">
        <f t="array" ref="L88">_xlfn.IFS([3]bel!X86="Bozankaya","Bozankaya",[3]bel!X86="Müşteri","Customer",[3]bel!X86="Tedarikçi","Equipment Supplier")</f>
        <v>#N/A</v>
      </c>
      <c r="M88" s="61" t="str">
        <f>[3]bel!P86</f>
        <v/>
      </c>
      <c r="N88" s="25" t="str">
        <f>[3]bel!AG86</f>
        <v/>
      </c>
      <c r="O88" s="25" t="str">
        <f>[3]bel!Z86</f>
        <v/>
      </c>
      <c r="P88" s="17" t="str">
        <f>[3]bel!BB86</f>
        <v/>
      </c>
      <c r="Q88" s="62" t="str">
        <f>[3]bel!AH86</f>
        <v/>
      </c>
      <c r="R88" s="62" t="str">
        <f>[3]bel!BC86</f>
        <v/>
      </c>
      <c r="S88" s="45" t="str">
        <f t="shared" si="4"/>
        <v/>
      </c>
      <c r="T88" s="62" t="str">
        <f>[3]bel!BC86</f>
        <v/>
      </c>
      <c r="U88" s="40" t="str">
        <f>[3]bel!V86</f>
        <v/>
      </c>
      <c r="V88" s="45" cm="1">
        <f t="array" ref="V88">IFERROR(IF(AND(K88&lt;&gt;"D(Arıza Değil)",#REF!="Bu Arıza Aracın Servise Verilmesine Engel Değil"),
IF(#REF!-#REF!&gt;0,(R88-Q88)*24*60,
IF(OR(AND(#REF!&gt;$AA$1,#REF!&lt;#REF!),AND(#REF!&gt;#REF!,#REF!&lt;#REF!)),
(T88-F88)*24*60,     BH:BH0)),        W88),0)</f>
        <v>0</v>
      </c>
      <c r="W88" s="45" t="str">
        <f t="shared" si="5"/>
        <v/>
      </c>
      <c r="X88" s="39" t="str">
        <f>[3]bel!AL86</f>
        <v/>
      </c>
      <c r="Y88" s="39" t="str">
        <f>[3]bel!AT86</f>
        <v/>
      </c>
      <c r="Z88" s="39" t="str">
        <f>[3]bel!AK86</f>
        <v/>
      </c>
      <c r="AA88" s="39" t="str">
        <f>[3]bel!AM86</f>
        <v/>
      </c>
      <c r="AB88" s="57" t="e">
        <f>P88*S88*#REF!</f>
        <v>#VALUE!</v>
      </c>
    </row>
    <row r="89" spans="1:28" s="18" customFormat="1" ht="118.5" customHeight="1" x14ac:dyDescent="0.25">
      <c r="A89" s="35" t="str">
        <f>[3]bel!C87</f>
        <v/>
      </c>
      <c r="B89" s="35" t="str">
        <f>[3]bel!D87</f>
        <v/>
      </c>
      <c r="C89" s="15" t="str">
        <f>[3]bel!E87</f>
        <v/>
      </c>
      <c r="D89" s="15" t="str">
        <f>[3]bel!F87</f>
        <v/>
      </c>
      <c r="E89" s="71" t="str">
        <f>[3]bel!G87</f>
        <v/>
      </c>
      <c r="F89" s="62" t="str">
        <f>[3]bel!H87</f>
        <v/>
      </c>
      <c r="G89" s="13" t="e">
        <f>VLOOKUP([3]bel!N87,#REF!,2,FALSE)</f>
        <v>#REF!</v>
      </c>
      <c r="H89" s="13"/>
      <c r="I89" s="14" t="str">
        <f>[3]bel!Y87</f>
        <v/>
      </c>
      <c r="J89" s="23" t="str">
        <f>[3]bel!O87</f>
        <v/>
      </c>
      <c r="K89" s="36" t="str">
        <f>[3]bel!T87</f>
        <v/>
      </c>
      <c r="L89" s="24" t="e" cm="1">
        <f t="array" ref="L89">_xlfn.IFS([3]bel!X87="Bozankaya","Bozankaya",[3]bel!X87="Müşteri","Customer",[3]bel!X87="Tedarikçi","Equipment Supplier")</f>
        <v>#N/A</v>
      </c>
      <c r="M89" s="61" t="str">
        <f>[3]bel!P87</f>
        <v/>
      </c>
      <c r="N89" s="25" t="str">
        <f>[3]bel!AG87</f>
        <v/>
      </c>
      <c r="O89" s="25" t="str">
        <f>[3]bel!Z87</f>
        <v/>
      </c>
      <c r="P89" s="17" t="str">
        <f>[3]bel!BB87</f>
        <v/>
      </c>
      <c r="Q89" s="62" t="str">
        <f>[3]bel!AH87</f>
        <v/>
      </c>
      <c r="R89" s="62" t="str">
        <f>[3]bel!BC87</f>
        <v/>
      </c>
      <c r="S89" s="45" t="str">
        <f t="shared" si="4"/>
        <v/>
      </c>
      <c r="T89" s="62" t="str">
        <f>[3]bel!BC87</f>
        <v/>
      </c>
      <c r="U89" s="40" t="str">
        <f>[3]bel!V87</f>
        <v/>
      </c>
      <c r="V89" s="45" cm="1">
        <f t="array" ref="V89">IFERROR(IF(AND(K89&lt;&gt;"D(Arıza Değil)",#REF!="Bu Arıza Aracın Servise Verilmesine Engel Değil"),
IF(#REF!-#REF!&gt;0,(R89-Q89)*24*60,
IF(OR(AND(#REF!&gt;$AA$1,#REF!&lt;#REF!),AND(#REF!&gt;#REF!,#REF!&lt;#REF!)),
(T89-F89)*24*60,     BH:BH0)),        W89),0)</f>
        <v>0</v>
      </c>
      <c r="W89" s="45" t="str">
        <f t="shared" si="5"/>
        <v/>
      </c>
      <c r="X89" s="39" t="str">
        <f>[3]bel!AL87</f>
        <v/>
      </c>
      <c r="Y89" s="39" t="str">
        <f>[3]bel!AT87</f>
        <v/>
      </c>
      <c r="Z89" s="39" t="str">
        <f>[3]bel!AK87</f>
        <v/>
      </c>
      <c r="AA89" s="39" t="str">
        <f>[3]bel!AM87</f>
        <v/>
      </c>
      <c r="AB89" s="57" t="e">
        <f>P89*S89*#REF!</f>
        <v>#VALUE!</v>
      </c>
    </row>
    <row r="90" spans="1:28" s="18" customFormat="1" ht="118.5" customHeight="1" x14ac:dyDescent="0.25">
      <c r="A90" s="35" t="str">
        <f>[3]bel!C88</f>
        <v/>
      </c>
      <c r="B90" s="35" t="str">
        <f>[3]bel!D88</f>
        <v/>
      </c>
      <c r="C90" s="15" t="str">
        <f>[3]bel!E88</f>
        <v/>
      </c>
      <c r="D90" s="15" t="str">
        <f>[3]bel!F88</f>
        <v/>
      </c>
      <c r="E90" s="71" t="str">
        <f>[3]bel!G88</f>
        <v/>
      </c>
      <c r="F90" s="62" t="str">
        <f>[3]bel!H88</f>
        <v/>
      </c>
      <c r="G90" s="13" t="e">
        <f>VLOOKUP([3]bel!N88,#REF!,2,FALSE)</f>
        <v>#REF!</v>
      </c>
      <c r="H90" s="13"/>
      <c r="I90" s="14" t="str">
        <f>[3]bel!Y88</f>
        <v/>
      </c>
      <c r="J90" s="23" t="str">
        <f>[3]bel!O88</f>
        <v/>
      </c>
      <c r="K90" s="36" t="str">
        <f>[3]bel!T88</f>
        <v/>
      </c>
      <c r="L90" s="24" t="e" cm="1">
        <f t="array" ref="L90">_xlfn.IFS([3]bel!X88="Bozankaya","Bozankaya",[3]bel!X88="Müşteri","Customer",[3]bel!X88="Tedarikçi","Equipment Supplier")</f>
        <v>#N/A</v>
      </c>
      <c r="M90" s="61" t="str">
        <f>[3]bel!P88</f>
        <v/>
      </c>
      <c r="N90" s="25" t="str">
        <f>[3]bel!AG88</f>
        <v/>
      </c>
      <c r="O90" s="25" t="str">
        <f>[3]bel!Z88</f>
        <v/>
      </c>
      <c r="P90" s="17" t="str">
        <f>[3]bel!BB88</f>
        <v/>
      </c>
      <c r="Q90" s="62" t="str">
        <f>[3]bel!AH88</f>
        <v/>
      </c>
      <c r="R90" s="62" t="str">
        <f>[3]bel!BC88</f>
        <v/>
      </c>
      <c r="S90" s="45" t="str">
        <f t="shared" si="4"/>
        <v/>
      </c>
      <c r="T90" s="62" t="str">
        <f>[3]bel!BC88</f>
        <v/>
      </c>
      <c r="U90" s="40" t="str">
        <f>[3]bel!V88</f>
        <v/>
      </c>
      <c r="V90" s="45" cm="1">
        <f t="array" ref="V90">IFERROR(IF(AND(K90&lt;&gt;"D(Arıza Değil)",#REF!="Bu Arıza Aracın Servise Verilmesine Engel Değil"),
IF(#REF!-#REF!&gt;0,(R90-Q90)*24*60,
IF(OR(AND(#REF!&gt;$AA$1,#REF!&lt;#REF!),AND(#REF!&gt;#REF!,#REF!&lt;#REF!)),
(T90-F90)*24*60,     BH:BH0)),        W90),0)</f>
        <v>0</v>
      </c>
      <c r="W90" s="45" t="str">
        <f t="shared" si="5"/>
        <v/>
      </c>
      <c r="X90" s="39" t="str">
        <f>[3]bel!AL88</f>
        <v/>
      </c>
      <c r="Y90" s="39" t="str">
        <f>[3]bel!AT88</f>
        <v/>
      </c>
      <c r="Z90" s="39" t="str">
        <f>[3]bel!AK88</f>
        <v/>
      </c>
      <c r="AA90" s="39" t="str">
        <f>[3]bel!AM88</f>
        <v/>
      </c>
      <c r="AB90" s="57" t="e">
        <f>P90*S90*#REF!</f>
        <v>#VALUE!</v>
      </c>
    </row>
    <row r="91" spans="1:28" s="18" customFormat="1" ht="118.5" customHeight="1" x14ac:dyDescent="0.25">
      <c r="A91" s="35" t="str">
        <f>[3]bel!C89</f>
        <v/>
      </c>
      <c r="B91" s="35" t="str">
        <f>[3]bel!D89</f>
        <v/>
      </c>
      <c r="C91" s="15" t="str">
        <f>[3]bel!E89</f>
        <v/>
      </c>
      <c r="D91" s="15" t="str">
        <f>[3]bel!F89</f>
        <v/>
      </c>
      <c r="E91" s="71" t="str">
        <f>[3]bel!G89</f>
        <v/>
      </c>
      <c r="F91" s="62" t="str">
        <f>[3]bel!H89</f>
        <v/>
      </c>
      <c r="G91" s="13" t="e">
        <f>VLOOKUP([3]bel!N89,#REF!,2,FALSE)</f>
        <v>#REF!</v>
      </c>
      <c r="H91" s="13"/>
      <c r="I91" s="14" t="str">
        <f>[3]bel!Y89</f>
        <v/>
      </c>
      <c r="J91" s="23" t="str">
        <f>[3]bel!O89</f>
        <v/>
      </c>
      <c r="K91" s="36" t="str">
        <f>[3]bel!T89</f>
        <v/>
      </c>
      <c r="L91" s="24" t="e" cm="1">
        <f t="array" ref="L91">_xlfn.IFS([3]bel!X89="Bozankaya","Bozankaya",[3]bel!X89="Müşteri","Customer",[3]bel!X89="Tedarikçi","Equipment Supplier")</f>
        <v>#N/A</v>
      </c>
      <c r="M91" s="61" t="str">
        <f>[3]bel!P89</f>
        <v/>
      </c>
      <c r="N91" s="25" t="str">
        <f>[3]bel!AG89</f>
        <v/>
      </c>
      <c r="O91" s="25" t="str">
        <f>[3]bel!Z89</f>
        <v/>
      </c>
      <c r="P91" s="17" t="str">
        <f>[3]bel!BB89</f>
        <v/>
      </c>
      <c r="Q91" s="62" t="str">
        <f>[3]bel!AH89</f>
        <v/>
      </c>
      <c r="R91" s="62" t="str">
        <f>[3]bel!BC89</f>
        <v/>
      </c>
      <c r="S91" s="45" t="str">
        <f t="shared" si="4"/>
        <v/>
      </c>
      <c r="T91" s="62" t="str">
        <f>[3]bel!BC89</f>
        <v/>
      </c>
      <c r="U91" s="40" t="str">
        <f>[3]bel!V89</f>
        <v/>
      </c>
      <c r="V91" s="45" cm="1">
        <f t="array" ref="V91">IFERROR(IF(AND(K91&lt;&gt;"D(Arıza Değil)",#REF!="Bu Arıza Aracın Servise Verilmesine Engel Değil"),
IF(#REF!-#REF!&gt;0,(R91-Q91)*24*60,
IF(OR(AND(#REF!&gt;$AA$1,#REF!&lt;#REF!),AND(#REF!&gt;#REF!,#REF!&lt;#REF!)),
(T91-F91)*24*60,     BH:BH0)),        W91),0)</f>
        <v>0</v>
      </c>
      <c r="W91" s="45" t="str">
        <f t="shared" si="5"/>
        <v/>
      </c>
      <c r="X91" s="39" t="str">
        <f>[3]bel!AL89</f>
        <v/>
      </c>
      <c r="Y91" s="39" t="str">
        <f>[3]bel!AT89</f>
        <v/>
      </c>
      <c r="Z91" s="39" t="str">
        <f>[3]bel!AK89</f>
        <v/>
      </c>
      <c r="AA91" s="39" t="str">
        <f>[3]bel!AM89</f>
        <v/>
      </c>
      <c r="AB91" s="57" t="e">
        <f>P91*S91*#REF!</f>
        <v>#VALUE!</v>
      </c>
    </row>
    <row r="92" spans="1:28" s="18" customFormat="1" ht="118.5" customHeight="1" x14ac:dyDescent="0.25">
      <c r="A92" s="35" t="str">
        <f>[3]bel!C90</f>
        <v/>
      </c>
      <c r="B92" s="35" t="str">
        <f>[3]bel!D90</f>
        <v/>
      </c>
      <c r="C92" s="15" t="str">
        <f>[3]bel!E90</f>
        <v/>
      </c>
      <c r="D92" s="15" t="str">
        <f>[3]bel!F90</f>
        <v/>
      </c>
      <c r="E92" s="71" t="str">
        <f>[3]bel!G90</f>
        <v/>
      </c>
      <c r="F92" s="62" t="str">
        <f>[3]bel!H90</f>
        <v/>
      </c>
      <c r="G92" s="13" t="e">
        <f>VLOOKUP([3]bel!N90,#REF!,2,FALSE)</f>
        <v>#REF!</v>
      </c>
      <c r="H92" s="13"/>
      <c r="I92" s="14" t="str">
        <f>[3]bel!Y90</f>
        <v/>
      </c>
      <c r="J92" s="23" t="str">
        <f>[3]bel!O90</f>
        <v/>
      </c>
      <c r="K92" s="36" t="str">
        <f>[3]bel!T90</f>
        <v/>
      </c>
      <c r="L92" s="24" t="e" cm="1">
        <f t="array" ref="L92">_xlfn.IFS([3]bel!X90="Bozankaya","Bozankaya",[3]bel!X90="Müşteri","Customer",[3]bel!X90="Tedarikçi","Equipment Supplier")</f>
        <v>#N/A</v>
      </c>
      <c r="M92" s="61" t="str">
        <f>[3]bel!P90</f>
        <v/>
      </c>
      <c r="N92" s="25" t="str">
        <f>[3]bel!AG90</f>
        <v/>
      </c>
      <c r="O92" s="25" t="str">
        <f>[3]bel!Z90</f>
        <v/>
      </c>
      <c r="P92" s="17" t="str">
        <f>[3]bel!BB90</f>
        <v/>
      </c>
      <c r="Q92" s="62" t="str">
        <f>[3]bel!AH90</f>
        <v/>
      </c>
      <c r="R92" s="62" t="str">
        <f>[3]bel!BC90</f>
        <v/>
      </c>
      <c r="S92" s="45" t="str">
        <f t="shared" si="4"/>
        <v/>
      </c>
      <c r="T92" s="62" t="str">
        <f>[3]bel!BC90</f>
        <v/>
      </c>
      <c r="U92" s="40" t="str">
        <f>[3]bel!V90</f>
        <v/>
      </c>
      <c r="V92" s="45" cm="1">
        <f t="array" ref="V92">IFERROR(IF(AND(K92&lt;&gt;"D(Arıza Değil)",#REF!="Bu Arıza Aracın Servise Verilmesine Engel Değil"),
IF(#REF!-#REF!&gt;0,(R92-Q92)*24*60,
IF(OR(AND(#REF!&gt;$AA$1,#REF!&lt;#REF!),AND(#REF!&gt;#REF!,#REF!&lt;#REF!)),
(T92-F92)*24*60,     BH:BH0)),        W92),0)</f>
        <v>0</v>
      </c>
      <c r="W92" s="45" t="str">
        <f t="shared" si="5"/>
        <v/>
      </c>
      <c r="X92" s="39" t="str">
        <f>[3]bel!AL90</f>
        <v/>
      </c>
      <c r="Y92" s="39" t="str">
        <f>[3]bel!AT90</f>
        <v/>
      </c>
      <c r="Z92" s="39" t="str">
        <f>[3]bel!AK90</f>
        <v/>
      </c>
      <c r="AA92" s="39" t="str">
        <f>[3]bel!AM90</f>
        <v/>
      </c>
      <c r="AB92" s="57" t="e">
        <f>P92*S92*#REF!</f>
        <v>#VALUE!</v>
      </c>
    </row>
    <row r="93" spans="1:28" s="18" customFormat="1" ht="118.5" customHeight="1" x14ac:dyDescent="0.25">
      <c r="A93" s="35" t="str">
        <f>[3]bel!C91</f>
        <v/>
      </c>
      <c r="B93" s="35" t="str">
        <f>[3]bel!D91</f>
        <v/>
      </c>
      <c r="C93" s="15" t="str">
        <f>[3]bel!E91</f>
        <v/>
      </c>
      <c r="D93" s="15" t="str">
        <f>[3]bel!F91</f>
        <v/>
      </c>
      <c r="E93" s="71" t="str">
        <f>[3]bel!G91</f>
        <v/>
      </c>
      <c r="F93" s="62" t="str">
        <f>[3]bel!H91</f>
        <v/>
      </c>
      <c r="G93" s="13" t="e">
        <f>VLOOKUP([3]bel!N91,#REF!,2,FALSE)</f>
        <v>#REF!</v>
      </c>
      <c r="H93" s="13"/>
      <c r="I93" s="14" t="str">
        <f>[3]bel!Y91</f>
        <v/>
      </c>
      <c r="J93" s="23" t="str">
        <f>[3]bel!O91</f>
        <v/>
      </c>
      <c r="K93" s="36" t="str">
        <f>[3]bel!T91</f>
        <v/>
      </c>
      <c r="L93" s="24" t="e" cm="1">
        <f t="array" ref="L93">_xlfn.IFS([3]bel!X91="Bozankaya","Bozankaya",[3]bel!X91="Müşteri","Customer",[3]bel!X91="Tedarikçi","Equipment Supplier")</f>
        <v>#N/A</v>
      </c>
      <c r="M93" s="61" t="str">
        <f>[3]bel!P91</f>
        <v/>
      </c>
      <c r="N93" s="25" t="str">
        <f>[3]bel!AG91</f>
        <v/>
      </c>
      <c r="O93" s="25" t="str">
        <f>[3]bel!Z91</f>
        <v/>
      </c>
      <c r="P93" s="17" t="str">
        <f>[3]bel!BB91</f>
        <v/>
      </c>
      <c r="Q93" s="62" t="str">
        <f>[3]bel!AH91</f>
        <v/>
      </c>
      <c r="R93" s="62" t="str">
        <f>[3]bel!BC91</f>
        <v/>
      </c>
      <c r="S93" s="45" t="str">
        <f t="shared" si="4"/>
        <v/>
      </c>
      <c r="T93" s="62" t="str">
        <f>[3]bel!BC91</f>
        <v/>
      </c>
      <c r="U93" s="40" t="str">
        <f>[3]bel!V91</f>
        <v/>
      </c>
      <c r="V93" s="45" cm="1">
        <f t="array" ref="V93">IFERROR(IF(AND(K93&lt;&gt;"D(Arıza Değil)",#REF!="Bu Arıza Aracın Servise Verilmesine Engel Değil"),
IF(#REF!-#REF!&gt;0,(R93-Q93)*24*60,
IF(OR(AND(#REF!&gt;$AA$1,#REF!&lt;#REF!),AND(#REF!&gt;#REF!,#REF!&lt;#REF!)),
(T93-F93)*24*60,     BH:BH0)),        W93),0)</f>
        <v>0</v>
      </c>
      <c r="W93" s="45" t="str">
        <f t="shared" si="5"/>
        <v/>
      </c>
      <c r="X93" s="39" t="str">
        <f>[3]bel!AL91</f>
        <v/>
      </c>
      <c r="Y93" s="39" t="str">
        <f>[3]bel!AT91</f>
        <v/>
      </c>
      <c r="Z93" s="39" t="str">
        <f>[3]bel!AK91</f>
        <v/>
      </c>
      <c r="AA93" s="39" t="str">
        <f>[3]bel!AM91</f>
        <v/>
      </c>
      <c r="AB93" s="57" t="e">
        <f>P93*S93*#REF!</f>
        <v>#VALUE!</v>
      </c>
    </row>
    <row r="94" spans="1:28" s="18" customFormat="1" ht="118.5" customHeight="1" x14ac:dyDescent="0.25">
      <c r="A94" s="35" t="str">
        <f>[3]bel!C92</f>
        <v/>
      </c>
      <c r="B94" s="35" t="str">
        <f>[3]bel!D92</f>
        <v/>
      </c>
      <c r="C94" s="15" t="str">
        <f>[3]bel!E92</f>
        <v/>
      </c>
      <c r="D94" s="15" t="str">
        <f>[3]bel!F92</f>
        <v/>
      </c>
      <c r="E94" s="71" t="str">
        <f>[3]bel!G92</f>
        <v/>
      </c>
      <c r="F94" s="62" t="str">
        <f>[3]bel!H92</f>
        <v/>
      </c>
      <c r="G94" s="13" t="e">
        <f>VLOOKUP([3]bel!N92,#REF!,2,FALSE)</f>
        <v>#REF!</v>
      </c>
      <c r="H94" s="13"/>
      <c r="I94" s="14" t="str">
        <f>[3]bel!Y92</f>
        <v/>
      </c>
      <c r="J94" s="23" t="str">
        <f>[3]bel!O92</f>
        <v/>
      </c>
      <c r="K94" s="36" t="str">
        <f>[3]bel!T92</f>
        <v/>
      </c>
      <c r="L94" s="24" t="e" cm="1">
        <f t="array" ref="L94">_xlfn.IFS([3]bel!X92="Bozankaya","Bozankaya",[3]bel!X92="Müşteri","Customer",[3]bel!X92="Tedarikçi","Equipment Supplier")</f>
        <v>#N/A</v>
      </c>
      <c r="M94" s="61" t="str">
        <f>[3]bel!P92</f>
        <v/>
      </c>
      <c r="N94" s="25" t="str">
        <f>[3]bel!AG92</f>
        <v/>
      </c>
      <c r="O94" s="25" t="str">
        <f>[3]bel!Z92</f>
        <v/>
      </c>
      <c r="P94" s="17" t="str">
        <f>[3]bel!BB92</f>
        <v/>
      </c>
      <c r="Q94" s="62" t="str">
        <f>[3]bel!AH92</f>
        <v/>
      </c>
      <c r="R94" s="62" t="str">
        <f>[3]bel!BC92</f>
        <v/>
      </c>
      <c r="S94" s="45" t="str">
        <f t="shared" si="4"/>
        <v/>
      </c>
      <c r="T94" s="62" t="str">
        <f>[3]bel!BC92</f>
        <v/>
      </c>
      <c r="U94" s="40" t="str">
        <f>[3]bel!V92</f>
        <v/>
      </c>
      <c r="V94" s="45" cm="1">
        <f t="array" ref="V94">IFERROR(IF(AND(K94&lt;&gt;"D(Arıza Değil)",#REF!="Bu Arıza Aracın Servise Verilmesine Engel Değil"),
IF(#REF!-#REF!&gt;0,(R94-Q94)*24*60,
IF(OR(AND(#REF!&gt;$AA$1,#REF!&lt;#REF!),AND(#REF!&gt;#REF!,#REF!&lt;#REF!)),
(T94-F94)*24*60,     BH:BH0)),        W94),0)</f>
        <v>0</v>
      </c>
      <c r="W94" s="45" t="str">
        <f t="shared" si="5"/>
        <v/>
      </c>
      <c r="X94" s="39" t="str">
        <f>[3]bel!AL92</f>
        <v/>
      </c>
      <c r="Y94" s="39" t="str">
        <f>[3]bel!AT92</f>
        <v/>
      </c>
      <c r="Z94" s="39" t="str">
        <f>[3]bel!AK92</f>
        <v/>
      </c>
      <c r="AA94" s="39" t="str">
        <f>[3]bel!AM92</f>
        <v/>
      </c>
      <c r="AB94" s="57" t="e">
        <f>P94*S94*#REF!</f>
        <v>#VALUE!</v>
      </c>
    </row>
    <row r="95" spans="1:28" s="18" customFormat="1" ht="118.5" customHeight="1" x14ac:dyDescent="0.25">
      <c r="A95" s="35" t="str">
        <f>[3]bel!C93</f>
        <v/>
      </c>
      <c r="B95" s="35" t="str">
        <f>[3]bel!D93</f>
        <v/>
      </c>
      <c r="C95" s="15" t="str">
        <f>[3]bel!E93</f>
        <v/>
      </c>
      <c r="D95" s="15" t="str">
        <f>[3]bel!F93</f>
        <v/>
      </c>
      <c r="E95" s="71" t="str">
        <f>[3]bel!G93</f>
        <v/>
      </c>
      <c r="F95" s="62" t="str">
        <f>[3]bel!H93</f>
        <v/>
      </c>
      <c r="G95" s="13" t="e">
        <f>VLOOKUP([3]bel!N93,#REF!,2,FALSE)</f>
        <v>#REF!</v>
      </c>
      <c r="H95" s="13"/>
      <c r="I95" s="14" t="str">
        <f>[3]bel!Y93</f>
        <v/>
      </c>
      <c r="J95" s="23" t="str">
        <f>[3]bel!O93</f>
        <v/>
      </c>
      <c r="K95" s="36" t="str">
        <f>[3]bel!T93</f>
        <v/>
      </c>
      <c r="L95" s="24" t="e" cm="1">
        <f t="array" ref="L95">_xlfn.IFS([3]bel!X93="Bozankaya","Bozankaya",[3]bel!X93="Müşteri","Customer",[3]bel!X93="Tedarikçi","Equipment Supplier")</f>
        <v>#N/A</v>
      </c>
      <c r="M95" s="61" t="str">
        <f>[3]bel!P93</f>
        <v/>
      </c>
      <c r="N95" s="25" t="str">
        <f>[3]bel!AG93</f>
        <v/>
      </c>
      <c r="O95" s="25" t="str">
        <f>[3]bel!Z93</f>
        <v/>
      </c>
      <c r="P95" s="17" t="str">
        <f>[3]bel!BB93</f>
        <v/>
      </c>
      <c r="Q95" s="62" t="str">
        <f>[3]bel!AH93</f>
        <v/>
      </c>
      <c r="R95" s="62" t="str">
        <f>[3]bel!BC93</f>
        <v/>
      </c>
      <c r="S95" s="45" t="str">
        <f t="shared" si="4"/>
        <v/>
      </c>
      <c r="T95" s="62" t="str">
        <f>[3]bel!BC93</f>
        <v/>
      </c>
      <c r="U95" s="40" t="str">
        <f>[3]bel!V93</f>
        <v/>
      </c>
      <c r="V95" s="45" cm="1">
        <f t="array" ref="V95">IFERROR(IF(AND(K95&lt;&gt;"D(Arıza Değil)",#REF!="Bu Arıza Aracın Servise Verilmesine Engel Değil"),
IF(#REF!-#REF!&gt;0,(R95-Q95)*24*60,
IF(OR(AND(#REF!&gt;$AA$1,#REF!&lt;#REF!),AND(#REF!&gt;#REF!,#REF!&lt;#REF!)),
(T95-F95)*24*60,     BH:BH0)),        W95),0)</f>
        <v>0</v>
      </c>
      <c r="W95" s="45" t="str">
        <f t="shared" si="5"/>
        <v/>
      </c>
      <c r="X95" s="39" t="str">
        <f>[3]bel!AL93</f>
        <v/>
      </c>
      <c r="Y95" s="39" t="str">
        <f>[3]bel!AT93</f>
        <v/>
      </c>
      <c r="Z95" s="39" t="str">
        <f>[3]bel!AK93</f>
        <v/>
      </c>
      <c r="AA95" s="39" t="str">
        <f>[3]bel!AM93</f>
        <v/>
      </c>
      <c r="AB95" s="57" t="e">
        <f>P95*S95*#REF!</f>
        <v>#VALUE!</v>
      </c>
    </row>
    <row r="96" spans="1:28" s="18" customFormat="1" ht="118.5" customHeight="1" x14ac:dyDescent="0.25">
      <c r="A96" s="35" t="str">
        <f>[3]bel!C94</f>
        <v/>
      </c>
      <c r="B96" s="35" t="str">
        <f>[3]bel!D94</f>
        <v/>
      </c>
      <c r="C96" s="15" t="str">
        <f>[3]bel!E94</f>
        <v/>
      </c>
      <c r="D96" s="15" t="str">
        <f>[3]bel!F94</f>
        <v/>
      </c>
      <c r="E96" s="71" t="str">
        <f>[3]bel!G94</f>
        <v/>
      </c>
      <c r="F96" s="62" t="str">
        <f>[3]bel!H94</f>
        <v/>
      </c>
      <c r="G96" s="13" t="e">
        <f>VLOOKUP([3]bel!N94,#REF!,2,FALSE)</f>
        <v>#REF!</v>
      </c>
      <c r="H96" s="13"/>
      <c r="I96" s="14" t="str">
        <f>[3]bel!Y94</f>
        <v/>
      </c>
      <c r="J96" s="23" t="str">
        <f>[3]bel!O94</f>
        <v/>
      </c>
      <c r="K96" s="36" t="str">
        <f>[3]bel!T94</f>
        <v/>
      </c>
      <c r="L96" s="24" t="e" cm="1">
        <f t="array" ref="L96">_xlfn.IFS([3]bel!X94="Bozankaya","Bozankaya",[3]bel!X94="Müşteri","Customer",[3]bel!X94="Tedarikçi","Equipment Supplier")</f>
        <v>#N/A</v>
      </c>
      <c r="M96" s="61" t="str">
        <f>[3]bel!P94</f>
        <v/>
      </c>
      <c r="N96" s="25" t="str">
        <f>[3]bel!AG94</f>
        <v/>
      </c>
      <c r="O96" s="25" t="str">
        <f>[3]bel!Z94</f>
        <v/>
      </c>
      <c r="P96" s="17" t="str">
        <f>[3]bel!BB94</f>
        <v/>
      </c>
      <c r="Q96" s="62" t="str">
        <f>[3]bel!AH94</f>
        <v/>
      </c>
      <c r="R96" s="62" t="str">
        <f>[3]bel!BC94</f>
        <v/>
      </c>
      <c r="S96" s="45" t="str">
        <f t="shared" si="4"/>
        <v/>
      </c>
      <c r="T96" s="62" t="str">
        <f>[3]bel!BC94</f>
        <v/>
      </c>
      <c r="U96" s="40" t="str">
        <f>[3]bel!V94</f>
        <v/>
      </c>
      <c r="V96" s="45" cm="1">
        <f t="array" ref="V96">IFERROR(IF(AND(K96&lt;&gt;"D(Arıza Değil)",#REF!="Bu Arıza Aracın Servise Verilmesine Engel Değil"),
IF(#REF!-#REF!&gt;0,(R96-Q96)*24*60,
IF(OR(AND(#REF!&gt;$AA$1,#REF!&lt;#REF!),AND(#REF!&gt;#REF!,#REF!&lt;#REF!)),
(T96-F96)*24*60,     BH:BH0)),        W96),0)</f>
        <v>0</v>
      </c>
      <c r="W96" s="45" t="str">
        <f t="shared" si="5"/>
        <v/>
      </c>
      <c r="X96" s="39" t="str">
        <f>[3]bel!AL94</f>
        <v/>
      </c>
      <c r="Y96" s="39" t="str">
        <f>[3]bel!AT94</f>
        <v/>
      </c>
      <c r="Z96" s="39" t="str">
        <f>[3]bel!AK94</f>
        <v/>
      </c>
      <c r="AA96" s="39" t="str">
        <f>[3]bel!AM94</f>
        <v/>
      </c>
      <c r="AB96" s="57" t="e">
        <f>P96*S96*#REF!</f>
        <v>#VALUE!</v>
      </c>
    </row>
    <row r="97" spans="1:28" s="18" customFormat="1" ht="118.5" customHeight="1" x14ac:dyDescent="0.25">
      <c r="A97" s="35" t="str">
        <f>[3]bel!C95</f>
        <v/>
      </c>
      <c r="B97" s="35" t="str">
        <f>[3]bel!D95</f>
        <v/>
      </c>
      <c r="C97" s="15" t="str">
        <f>[3]bel!E95</f>
        <v/>
      </c>
      <c r="D97" s="15" t="str">
        <f>[3]bel!F95</f>
        <v/>
      </c>
      <c r="E97" s="71" t="str">
        <f>[3]bel!G95</f>
        <v/>
      </c>
      <c r="F97" s="62" t="str">
        <f>[3]bel!H95</f>
        <v/>
      </c>
      <c r="G97" s="13" t="e">
        <f>VLOOKUP([3]bel!N95,#REF!,2,FALSE)</f>
        <v>#REF!</v>
      </c>
      <c r="H97" s="13"/>
      <c r="I97" s="14" t="str">
        <f>[3]bel!Y95</f>
        <v/>
      </c>
      <c r="J97" s="23" t="str">
        <f>[3]bel!O95</f>
        <v/>
      </c>
      <c r="K97" s="36" t="str">
        <f>[3]bel!T95</f>
        <v/>
      </c>
      <c r="L97" s="24" t="e" cm="1">
        <f t="array" ref="L97">_xlfn.IFS([3]bel!X95="Bozankaya","Bozankaya",[3]bel!X95="Müşteri","Customer",[3]bel!X95="Tedarikçi","Equipment Supplier")</f>
        <v>#N/A</v>
      </c>
      <c r="M97" s="61" t="str">
        <f>[3]bel!P95</f>
        <v/>
      </c>
      <c r="N97" s="25" t="str">
        <f>[3]bel!AG95</f>
        <v/>
      </c>
      <c r="O97" s="25" t="str">
        <f>[3]bel!Z95</f>
        <v/>
      </c>
      <c r="P97" s="17" t="str">
        <f>[3]bel!BB95</f>
        <v/>
      </c>
      <c r="Q97" s="62" t="str">
        <f>[3]bel!AH95</f>
        <v/>
      </c>
      <c r="R97" s="62" t="str">
        <f>[3]bel!BC95</f>
        <v/>
      </c>
      <c r="S97" s="45" t="str">
        <f t="shared" si="4"/>
        <v/>
      </c>
      <c r="T97" s="62" t="str">
        <f>[3]bel!BC95</f>
        <v/>
      </c>
      <c r="U97" s="40" t="str">
        <f>[3]bel!V95</f>
        <v/>
      </c>
      <c r="V97" s="45" cm="1">
        <f t="array" ref="V97">IFERROR(IF(AND(K97&lt;&gt;"D(Arıza Değil)",#REF!="Bu Arıza Aracın Servise Verilmesine Engel Değil"),
IF(#REF!-#REF!&gt;0,(R97-Q97)*24*60,
IF(OR(AND(#REF!&gt;$AA$1,#REF!&lt;#REF!),AND(#REF!&gt;#REF!,#REF!&lt;#REF!)),
(T97-F97)*24*60,     BH:BH0)),        W97),0)</f>
        <v>0</v>
      </c>
      <c r="W97" s="45" t="str">
        <f t="shared" si="5"/>
        <v/>
      </c>
      <c r="X97" s="39" t="str">
        <f>[3]bel!AL95</f>
        <v/>
      </c>
      <c r="Y97" s="39" t="str">
        <f>[3]bel!AT95</f>
        <v/>
      </c>
      <c r="Z97" s="39" t="str">
        <f>[3]bel!AK95</f>
        <v/>
      </c>
      <c r="AA97" s="39" t="str">
        <f>[3]bel!AM95</f>
        <v/>
      </c>
      <c r="AB97" s="57" t="e">
        <f>P97*S97*#REF!</f>
        <v>#VALUE!</v>
      </c>
    </row>
    <row r="98" spans="1:28" s="18" customFormat="1" ht="118.5" customHeight="1" x14ac:dyDescent="0.25">
      <c r="A98" s="35" t="str">
        <f>[3]bel!C96</f>
        <v/>
      </c>
      <c r="B98" s="35" t="str">
        <f>[3]bel!D96</f>
        <v/>
      </c>
      <c r="C98" s="15" t="str">
        <f>[3]bel!E96</f>
        <v/>
      </c>
      <c r="D98" s="15" t="str">
        <f>[3]bel!F96</f>
        <v/>
      </c>
      <c r="E98" s="71" t="str">
        <f>[3]bel!G96</f>
        <v/>
      </c>
      <c r="F98" s="62" t="str">
        <f>[3]bel!H96</f>
        <v/>
      </c>
      <c r="G98" s="13" t="e">
        <f>VLOOKUP([3]bel!N96,#REF!,2,FALSE)</f>
        <v>#REF!</v>
      </c>
      <c r="H98" s="13"/>
      <c r="I98" s="14" t="str">
        <f>[3]bel!Y96</f>
        <v/>
      </c>
      <c r="J98" s="23" t="str">
        <f>[3]bel!O96</f>
        <v/>
      </c>
      <c r="K98" s="36" t="str">
        <f>[3]bel!T96</f>
        <v/>
      </c>
      <c r="L98" s="24" t="e" cm="1">
        <f t="array" ref="L98">_xlfn.IFS([3]bel!X96="Bozankaya","Bozankaya",[3]bel!X96="Müşteri","Customer",[3]bel!X96="Tedarikçi","Equipment Supplier")</f>
        <v>#N/A</v>
      </c>
      <c r="M98" s="61" t="str">
        <f>[3]bel!P96</f>
        <v/>
      </c>
      <c r="N98" s="25" t="str">
        <f>[3]bel!AG96</f>
        <v/>
      </c>
      <c r="O98" s="25" t="str">
        <f>[3]bel!Z96</f>
        <v/>
      </c>
      <c r="P98" s="17" t="str">
        <f>[3]bel!BB96</f>
        <v/>
      </c>
      <c r="Q98" s="62" t="str">
        <f>[3]bel!AH96</f>
        <v/>
      </c>
      <c r="R98" s="62" t="str">
        <f>[3]bel!BC96</f>
        <v/>
      </c>
      <c r="S98" s="45" t="str">
        <f t="shared" si="4"/>
        <v/>
      </c>
      <c r="T98" s="62" t="str">
        <f>[3]bel!BC96</f>
        <v/>
      </c>
      <c r="U98" s="40" t="str">
        <f>[3]bel!V96</f>
        <v/>
      </c>
      <c r="V98" s="45" cm="1">
        <f t="array" ref="V98">IFERROR(IF(AND(K98&lt;&gt;"D(Arıza Değil)",#REF!="Bu Arıza Aracın Servise Verilmesine Engel Değil"),
IF(#REF!-#REF!&gt;0,(R98-Q98)*24*60,
IF(OR(AND(#REF!&gt;$AA$1,#REF!&lt;#REF!),AND(#REF!&gt;#REF!,#REF!&lt;#REF!)),
(T98-F98)*24*60,     BH:BH0)),        W98),0)</f>
        <v>0</v>
      </c>
      <c r="W98" s="45" t="str">
        <f t="shared" si="5"/>
        <v/>
      </c>
      <c r="X98" s="39" t="str">
        <f>[3]bel!AL96</f>
        <v/>
      </c>
      <c r="Y98" s="39" t="str">
        <f>[3]bel!AT96</f>
        <v/>
      </c>
      <c r="Z98" s="39" t="str">
        <f>[3]bel!AK96</f>
        <v/>
      </c>
      <c r="AA98" s="39" t="str">
        <f>[3]bel!AM96</f>
        <v/>
      </c>
      <c r="AB98" s="57" t="e">
        <f>P98*S98*#REF!</f>
        <v>#VALUE!</v>
      </c>
    </row>
    <row r="99" spans="1:28" s="18" customFormat="1" ht="118.5" customHeight="1" x14ac:dyDescent="0.25">
      <c r="A99" s="35" t="str">
        <f>[3]bel!C97</f>
        <v/>
      </c>
      <c r="B99" s="35" t="str">
        <f>[3]bel!D97</f>
        <v/>
      </c>
      <c r="C99" s="15" t="str">
        <f>[3]bel!E97</f>
        <v/>
      </c>
      <c r="D99" s="15" t="str">
        <f>[3]bel!F97</f>
        <v/>
      </c>
      <c r="E99" s="71" t="str">
        <f>[3]bel!G97</f>
        <v/>
      </c>
      <c r="F99" s="62" t="str">
        <f>[3]bel!H97</f>
        <v/>
      </c>
      <c r="G99" s="13" t="e">
        <f>VLOOKUP([3]bel!N97,#REF!,2,FALSE)</f>
        <v>#REF!</v>
      </c>
      <c r="H99" s="13"/>
      <c r="I99" s="14" t="str">
        <f>[3]bel!Y97</f>
        <v/>
      </c>
      <c r="J99" s="23" t="str">
        <f>[3]bel!O97</f>
        <v/>
      </c>
      <c r="K99" s="36" t="str">
        <f>[3]bel!T97</f>
        <v/>
      </c>
      <c r="L99" s="24" t="e" cm="1">
        <f t="array" ref="L99">_xlfn.IFS([3]bel!X97="Bozankaya","Bozankaya",[3]bel!X97="Müşteri","Customer",[3]bel!X97="Tedarikçi","Equipment Supplier")</f>
        <v>#N/A</v>
      </c>
      <c r="M99" s="61" t="str">
        <f>[3]bel!P97</f>
        <v/>
      </c>
      <c r="N99" s="25" t="str">
        <f>[3]bel!AG97</f>
        <v/>
      </c>
      <c r="O99" s="25" t="str">
        <f>[3]bel!Z97</f>
        <v/>
      </c>
      <c r="P99" s="17" t="str">
        <f>[3]bel!BB97</f>
        <v/>
      </c>
      <c r="Q99" s="62" t="str">
        <f>[3]bel!AH97</f>
        <v/>
      </c>
      <c r="R99" s="62" t="str">
        <f>[3]bel!BC97</f>
        <v/>
      </c>
      <c r="S99" s="45" t="str">
        <f t="shared" si="4"/>
        <v/>
      </c>
      <c r="T99" s="62" t="str">
        <f>[3]bel!BC97</f>
        <v/>
      </c>
      <c r="U99" s="40" t="str">
        <f>[3]bel!V97</f>
        <v/>
      </c>
      <c r="V99" s="45" cm="1">
        <f t="array" ref="V99">IFERROR(IF(AND(K99&lt;&gt;"D(Arıza Değil)",#REF!="Bu Arıza Aracın Servise Verilmesine Engel Değil"),
IF(#REF!-#REF!&gt;0,(R99-Q99)*24*60,
IF(OR(AND(#REF!&gt;$AA$1,#REF!&lt;#REF!),AND(#REF!&gt;#REF!,#REF!&lt;#REF!)),
(T99-F99)*24*60,     BH:BH0)),        W99),0)</f>
        <v>0</v>
      </c>
      <c r="W99" s="45" t="str">
        <f t="shared" si="5"/>
        <v/>
      </c>
      <c r="X99" s="39" t="str">
        <f>[3]bel!AL97</f>
        <v/>
      </c>
      <c r="Y99" s="39" t="str">
        <f>[3]bel!AT97</f>
        <v/>
      </c>
      <c r="Z99" s="39" t="str">
        <f>[3]bel!AK97</f>
        <v/>
      </c>
      <c r="AA99" s="39" t="str">
        <f>[3]bel!AM97</f>
        <v/>
      </c>
      <c r="AB99" s="57" t="e">
        <f>P99*S99*#REF!</f>
        <v>#VALUE!</v>
      </c>
    </row>
    <row r="100" spans="1:28" s="18" customFormat="1" ht="118.5" customHeight="1" x14ac:dyDescent="0.25">
      <c r="A100" s="35" t="str">
        <f>[3]bel!C98</f>
        <v/>
      </c>
      <c r="B100" s="35" t="str">
        <f>[3]bel!D98</f>
        <v/>
      </c>
      <c r="C100" s="15" t="str">
        <f>[3]bel!E98</f>
        <v/>
      </c>
      <c r="D100" s="15" t="str">
        <f>[3]bel!F98</f>
        <v/>
      </c>
      <c r="E100" s="71" t="str">
        <f>[3]bel!G98</f>
        <v/>
      </c>
      <c r="F100" s="62" t="str">
        <f>[3]bel!H98</f>
        <v/>
      </c>
      <c r="G100" s="13" t="e">
        <f>VLOOKUP([3]bel!N98,#REF!,2,FALSE)</f>
        <v>#REF!</v>
      </c>
      <c r="H100" s="13"/>
      <c r="I100" s="14" t="str">
        <f>[3]bel!Y98</f>
        <v/>
      </c>
      <c r="J100" s="23" t="str">
        <f>[3]bel!O98</f>
        <v/>
      </c>
      <c r="K100" s="36" t="str">
        <f>[3]bel!T98</f>
        <v/>
      </c>
      <c r="L100" s="24" t="e" cm="1">
        <f t="array" ref="L100">_xlfn.IFS([3]bel!X98="Bozankaya","Bozankaya",[3]bel!X98="Müşteri","Customer",[3]bel!X98="Tedarikçi","Equipment Supplier")</f>
        <v>#N/A</v>
      </c>
      <c r="M100" s="61" t="str">
        <f>[3]bel!P98</f>
        <v/>
      </c>
      <c r="N100" s="25" t="str">
        <f>[3]bel!AG98</f>
        <v/>
      </c>
      <c r="O100" s="25" t="str">
        <f>[3]bel!Z98</f>
        <v/>
      </c>
      <c r="P100" s="17" t="str">
        <f>[3]bel!BB98</f>
        <v/>
      </c>
      <c r="Q100" s="62" t="str">
        <f>[3]bel!AH98</f>
        <v/>
      </c>
      <c r="R100" s="62" t="str">
        <f>[3]bel!BC98</f>
        <v/>
      </c>
      <c r="S100" s="45" t="str">
        <f t="shared" si="4"/>
        <v/>
      </c>
      <c r="T100" s="62" t="str">
        <f>[3]bel!BC98</f>
        <v/>
      </c>
      <c r="U100" s="40" t="str">
        <f>[3]bel!V98</f>
        <v/>
      </c>
      <c r="V100" s="45" cm="1">
        <f t="array" ref="V100">IFERROR(IF(AND(K100&lt;&gt;"D(Arıza Değil)",#REF!="Bu Arıza Aracın Servise Verilmesine Engel Değil"),
IF(#REF!-#REF!&gt;0,(R100-Q100)*24*60,
IF(OR(AND(#REF!&gt;$AA$1,#REF!&lt;#REF!),AND(#REF!&gt;#REF!,#REF!&lt;#REF!)),
(T100-F100)*24*60,     BH:BH0)),        W100),0)</f>
        <v>0</v>
      </c>
      <c r="W100" s="45" t="str">
        <f t="shared" si="5"/>
        <v/>
      </c>
      <c r="X100" s="39" t="str">
        <f>[3]bel!AL98</f>
        <v/>
      </c>
      <c r="Y100" s="39" t="str">
        <f>[3]bel!AT98</f>
        <v/>
      </c>
      <c r="Z100" s="39" t="str">
        <f>[3]bel!AK98</f>
        <v/>
      </c>
      <c r="AA100" s="39" t="str">
        <f>[3]bel!AM98</f>
        <v/>
      </c>
      <c r="AB100" s="57" t="e">
        <f>P100*S100*#REF!</f>
        <v>#VALUE!</v>
      </c>
    </row>
    <row r="101" spans="1:28" s="18" customFormat="1" ht="118.5" customHeight="1" x14ac:dyDescent="0.25">
      <c r="A101" s="35" t="str">
        <f>[3]bel!C99</f>
        <v/>
      </c>
      <c r="B101" s="35" t="str">
        <f>[3]bel!D99</f>
        <v/>
      </c>
      <c r="C101" s="15" t="str">
        <f>[3]bel!E99</f>
        <v/>
      </c>
      <c r="D101" s="15" t="str">
        <f>[3]bel!F99</f>
        <v/>
      </c>
      <c r="E101" s="71" t="str">
        <f>[3]bel!G99</f>
        <v/>
      </c>
      <c r="F101" s="62" t="str">
        <f>[3]bel!H99</f>
        <v/>
      </c>
      <c r="G101" s="13" t="e">
        <f>VLOOKUP([3]bel!N99,#REF!,2,FALSE)</f>
        <v>#REF!</v>
      </c>
      <c r="H101" s="13"/>
      <c r="I101" s="14" t="str">
        <f>[3]bel!Y99</f>
        <v/>
      </c>
      <c r="J101" s="23" t="str">
        <f>[3]bel!O99</f>
        <v/>
      </c>
      <c r="K101" s="36" t="str">
        <f>[3]bel!T99</f>
        <v/>
      </c>
      <c r="L101" s="24" t="e" cm="1">
        <f t="array" ref="L101">_xlfn.IFS([3]bel!X99="Bozankaya","Bozankaya",[3]bel!X99="Müşteri","Customer",[3]bel!X99="Tedarikçi","Equipment Supplier")</f>
        <v>#N/A</v>
      </c>
      <c r="M101" s="61" t="str">
        <f>[3]bel!P99</f>
        <v/>
      </c>
      <c r="N101" s="25" t="str">
        <f>[3]bel!AG99</f>
        <v/>
      </c>
      <c r="O101" s="25" t="str">
        <f>[3]bel!Z99</f>
        <v/>
      </c>
      <c r="P101" s="17" t="str">
        <f>[3]bel!BB99</f>
        <v/>
      </c>
      <c r="Q101" s="62" t="str">
        <f>[3]bel!AH99</f>
        <v/>
      </c>
      <c r="R101" s="62" t="str">
        <f>[3]bel!BC99</f>
        <v/>
      </c>
      <c r="S101" s="45" t="str">
        <f t="shared" ref="S101:S132" si="6">IF(T101="","",(T101-F101)*24*60)</f>
        <v/>
      </c>
      <c r="T101" s="62" t="str">
        <f>[3]bel!BC99</f>
        <v/>
      </c>
      <c r="U101" s="40" t="str">
        <f>[3]bel!V99</f>
        <v/>
      </c>
      <c r="V101" s="45" cm="1">
        <f t="array" ref="V101">IFERROR(IF(AND(K101&lt;&gt;"D(Arıza Değil)",#REF!="Bu Arıza Aracın Servise Verilmesine Engel Değil"),
IF(#REF!-#REF!&gt;0,(R101-Q101)*24*60,
IF(OR(AND(#REF!&gt;$AA$1,#REF!&lt;#REF!),AND(#REF!&gt;#REF!,#REF!&lt;#REF!)),
(T101-F101)*24*60,     BH:BH0)),        W101),0)</f>
        <v>0</v>
      </c>
      <c r="W101" s="45" t="str">
        <f t="shared" ref="W101:W132" si="7">IFERROR(IF(K101&lt;&gt;"D(Arıza Değil)",S101,0),0)</f>
        <v/>
      </c>
      <c r="X101" s="39" t="str">
        <f>[3]bel!AL99</f>
        <v/>
      </c>
      <c r="Y101" s="39" t="str">
        <f>[3]bel!AT99</f>
        <v/>
      </c>
      <c r="Z101" s="39" t="str">
        <f>[3]bel!AK99</f>
        <v/>
      </c>
      <c r="AA101" s="39" t="str">
        <f>[3]bel!AM99</f>
        <v/>
      </c>
      <c r="AB101" s="57" t="e">
        <f>P101*S101*#REF!</f>
        <v>#VALUE!</v>
      </c>
    </row>
    <row r="102" spans="1:28" s="18" customFormat="1" ht="118.5" customHeight="1" x14ac:dyDescent="0.25">
      <c r="A102" s="35" t="str">
        <f>[3]bel!C100</f>
        <v/>
      </c>
      <c r="B102" s="35" t="str">
        <f>[3]bel!D100</f>
        <v/>
      </c>
      <c r="C102" s="15" t="str">
        <f>[3]bel!E100</f>
        <v/>
      </c>
      <c r="D102" s="15" t="str">
        <f>[3]bel!F100</f>
        <v/>
      </c>
      <c r="E102" s="71" t="str">
        <f>[3]bel!G100</f>
        <v/>
      </c>
      <c r="F102" s="62" t="str">
        <f>[3]bel!H100</f>
        <v/>
      </c>
      <c r="G102" s="13" t="e">
        <f>VLOOKUP([3]bel!N100,#REF!,2,FALSE)</f>
        <v>#REF!</v>
      </c>
      <c r="H102" s="13"/>
      <c r="I102" s="14" t="str">
        <f>[3]bel!Y100</f>
        <v/>
      </c>
      <c r="J102" s="23" t="str">
        <f>[3]bel!O100</f>
        <v/>
      </c>
      <c r="K102" s="36" t="str">
        <f>[3]bel!T100</f>
        <v/>
      </c>
      <c r="L102" s="24" t="e" cm="1">
        <f t="array" ref="L102">_xlfn.IFS([3]bel!X100="Bozankaya","Bozankaya",[3]bel!X100="Müşteri","Customer",[3]bel!X100="Tedarikçi","Equipment Supplier")</f>
        <v>#N/A</v>
      </c>
      <c r="M102" s="61" t="str">
        <f>[3]bel!P100</f>
        <v/>
      </c>
      <c r="N102" s="25" t="str">
        <f>[3]bel!AG100</f>
        <v/>
      </c>
      <c r="O102" s="25" t="str">
        <f>[3]bel!Z100</f>
        <v/>
      </c>
      <c r="P102" s="17" t="str">
        <f>[3]bel!BB100</f>
        <v/>
      </c>
      <c r="Q102" s="62" t="str">
        <f>[3]bel!AH100</f>
        <v/>
      </c>
      <c r="R102" s="62" t="str">
        <f>[3]bel!BC100</f>
        <v/>
      </c>
      <c r="S102" s="45" t="str">
        <f t="shared" si="6"/>
        <v/>
      </c>
      <c r="T102" s="62" t="str">
        <f>[3]bel!BC100</f>
        <v/>
      </c>
      <c r="U102" s="40" t="str">
        <f>[3]bel!V100</f>
        <v/>
      </c>
      <c r="V102" s="45" cm="1">
        <f t="array" ref="V102">IFERROR(IF(AND(K102&lt;&gt;"D(Arıza Değil)",#REF!="Bu Arıza Aracın Servise Verilmesine Engel Değil"),
IF(#REF!-#REF!&gt;0,(R102-Q102)*24*60,
IF(OR(AND(#REF!&gt;$AA$1,#REF!&lt;#REF!),AND(#REF!&gt;#REF!,#REF!&lt;#REF!)),
(T102-F102)*24*60,     BH:BH0)),        W102),0)</f>
        <v>0</v>
      </c>
      <c r="W102" s="45" t="str">
        <f t="shared" si="7"/>
        <v/>
      </c>
      <c r="X102" s="39" t="str">
        <f>[3]bel!AL100</f>
        <v/>
      </c>
      <c r="Y102" s="39" t="str">
        <f>[3]bel!AT100</f>
        <v/>
      </c>
      <c r="Z102" s="39" t="str">
        <f>[3]bel!AK100</f>
        <v/>
      </c>
      <c r="AA102" s="39" t="str">
        <f>[3]bel!AM100</f>
        <v/>
      </c>
      <c r="AB102" s="57" t="e">
        <f>P102*S102*#REF!</f>
        <v>#VALUE!</v>
      </c>
    </row>
    <row r="103" spans="1:28" ht="118.5" customHeight="1" x14ac:dyDescent="0.25">
      <c r="A103" s="35" t="str">
        <f>[3]bel!C101</f>
        <v/>
      </c>
      <c r="B103" s="35" t="str">
        <f>[3]bel!D101</f>
        <v/>
      </c>
      <c r="C103" s="15" t="str">
        <f>[3]bel!E101</f>
        <v/>
      </c>
      <c r="D103" s="15" t="str">
        <f>[3]bel!F101</f>
        <v/>
      </c>
      <c r="E103" s="71" t="str">
        <f>[3]bel!G101</f>
        <v/>
      </c>
      <c r="F103" s="62" t="str">
        <f>[3]bel!H101</f>
        <v/>
      </c>
      <c r="G103" s="13" t="e">
        <f>VLOOKUP([3]bel!N101,#REF!,2,FALSE)</f>
        <v>#REF!</v>
      </c>
      <c r="H103" s="13"/>
      <c r="I103" s="14" t="str">
        <f>[3]bel!Y101</f>
        <v/>
      </c>
      <c r="J103" s="23" t="str">
        <f>[3]bel!O101</f>
        <v/>
      </c>
      <c r="K103" s="36" t="str">
        <f>[3]bel!T101</f>
        <v/>
      </c>
      <c r="L103" s="24" t="e" cm="1">
        <f t="array" ref="L103">_xlfn.IFS([3]bel!X101="Bozankaya","Bozankaya",[3]bel!X101="Müşteri","Customer",[3]bel!X101="Tedarikçi","Equipment Supplier")</f>
        <v>#N/A</v>
      </c>
      <c r="M103" s="61" t="str">
        <f>[3]bel!P101</f>
        <v/>
      </c>
      <c r="N103" s="25" t="str">
        <f>[3]bel!AG101</f>
        <v/>
      </c>
      <c r="O103" s="25" t="str">
        <f>[3]bel!Z101</f>
        <v/>
      </c>
      <c r="P103" s="17" t="str">
        <f>[3]bel!BB101</f>
        <v/>
      </c>
      <c r="Q103" s="62" t="str">
        <f>[3]bel!AH101</f>
        <v/>
      </c>
      <c r="R103" s="62" t="str">
        <f>[3]bel!BC101</f>
        <v/>
      </c>
      <c r="S103" s="45" t="str">
        <f t="shared" si="6"/>
        <v/>
      </c>
      <c r="T103" s="62" t="str">
        <f>[3]bel!BC101</f>
        <v/>
      </c>
      <c r="U103" s="40" t="str">
        <f>[3]bel!V101</f>
        <v/>
      </c>
      <c r="V103" s="45" cm="1">
        <f t="array" ref="V103">IFERROR(IF(AND(K103&lt;&gt;"D(Arıza Değil)",#REF!="Bu Arıza Aracın Servise Verilmesine Engel Değil"),
IF(#REF!-#REF!&gt;0,(R103-Q103)*24*60,
IF(OR(AND(#REF!&gt;$AA$1,#REF!&lt;#REF!),AND(#REF!&gt;#REF!,#REF!&lt;#REF!)),
(T103-F103)*24*60,     BH:BH0)),        W103),0)</f>
        <v>0</v>
      </c>
      <c r="W103" s="45" t="str">
        <f t="shared" si="7"/>
        <v/>
      </c>
      <c r="X103" s="39" t="str">
        <f>[3]bel!AL101</f>
        <v/>
      </c>
      <c r="Y103" s="39" t="str">
        <f>[3]bel!AT101</f>
        <v/>
      </c>
      <c r="Z103" s="39" t="str">
        <f>[3]bel!AK101</f>
        <v/>
      </c>
      <c r="AA103" s="39" t="str">
        <f>[3]bel!AM101</f>
        <v/>
      </c>
      <c r="AB103" s="57" t="e">
        <f>P103*S103*#REF!</f>
        <v>#VALUE!</v>
      </c>
    </row>
    <row r="104" spans="1:28" ht="118.5" customHeight="1" x14ac:dyDescent="0.25">
      <c r="A104" s="35" t="str">
        <f>[3]bel!C102</f>
        <v/>
      </c>
      <c r="B104" s="35" t="str">
        <f>[3]bel!D102</f>
        <v/>
      </c>
      <c r="C104" s="15" t="str">
        <f>[3]bel!E102</f>
        <v/>
      </c>
      <c r="D104" s="15" t="str">
        <f>[3]bel!F102</f>
        <v/>
      </c>
      <c r="E104" s="71" t="str">
        <f>[3]bel!G102</f>
        <v/>
      </c>
      <c r="F104" s="62" t="str">
        <f>[3]bel!H102</f>
        <v/>
      </c>
      <c r="G104" s="13" t="e">
        <f>VLOOKUP([3]bel!N102,#REF!,2,FALSE)</f>
        <v>#REF!</v>
      </c>
      <c r="H104" s="13"/>
      <c r="I104" s="14" t="str">
        <f>[3]bel!Y102</f>
        <v/>
      </c>
      <c r="J104" s="23" t="str">
        <f>[3]bel!O102</f>
        <v/>
      </c>
      <c r="K104" s="36" t="str">
        <f>[3]bel!T102</f>
        <v/>
      </c>
      <c r="L104" s="24" t="e" cm="1">
        <f t="array" ref="L104">_xlfn.IFS([3]bel!X102="Bozankaya","Bozankaya",[3]bel!X102="Müşteri","Customer",[3]bel!X102="Tedarikçi","Equipment Supplier")</f>
        <v>#N/A</v>
      </c>
      <c r="M104" s="61" t="str">
        <f>[3]bel!P102</f>
        <v/>
      </c>
      <c r="N104" s="25" t="str">
        <f>[3]bel!AG102</f>
        <v/>
      </c>
      <c r="O104" s="25" t="str">
        <f>[3]bel!Z102</f>
        <v/>
      </c>
      <c r="P104" s="17" t="str">
        <f>[3]bel!BB102</f>
        <v/>
      </c>
      <c r="Q104" s="62" t="str">
        <f>[3]bel!AH102</f>
        <v/>
      </c>
      <c r="R104" s="62" t="str">
        <f>[3]bel!BC102</f>
        <v/>
      </c>
      <c r="S104" s="45" t="str">
        <f t="shared" si="6"/>
        <v/>
      </c>
      <c r="T104" s="62" t="str">
        <f>[3]bel!BC102</f>
        <v/>
      </c>
      <c r="U104" s="40" t="str">
        <f>[3]bel!V102</f>
        <v/>
      </c>
      <c r="V104" s="45" cm="1">
        <f t="array" ref="V104">IFERROR(IF(AND(K104&lt;&gt;"D(Arıza Değil)",#REF!="Bu Arıza Aracın Servise Verilmesine Engel Değil"),
IF(#REF!-#REF!&gt;0,(R104-Q104)*24*60,
IF(OR(AND(#REF!&gt;$AA$1,#REF!&lt;#REF!),AND(#REF!&gt;#REF!,#REF!&lt;#REF!)),
(T104-F104)*24*60,     BH:BH0)),        W104),0)</f>
        <v>0</v>
      </c>
      <c r="W104" s="45" t="str">
        <f t="shared" si="7"/>
        <v/>
      </c>
      <c r="X104" s="39" t="str">
        <f>[3]bel!AL102</f>
        <v/>
      </c>
      <c r="Y104" s="39" t="str">
        <f>[3]bel!AT102</f>
        <v/>
      </c>
      <c r="Z104" s="39" t="str">
        <f>[3]bel!AK102</f>
        <v/>
      </c>
      <c r="AA104" s="39" t="str">
        <f>[3]bel!AM102</f>
        <v/>
      </c>
      <c r="AB104" s="57" t="e">
        <f>P104*S104*#REF!</f>
        <v>#VALUE!</v>
      </c>
    </row>
    <row r="105" spans="1:28" ht="118.5" customHeight="1" x14ac:dyDescent="0.25">
      <c r="A105" s="35" t="str">
        <f>[3]bel!C103</f>
        <v/>
      </c>
      <c r="B105" s="35" t="str">
        <f>[3]bel!D103</f>
        <v/>
      </c>
      <c r="C105" s="15" t="str">
        <f>[3]bel!E103</f>
        <v/>
      </c>
      <c r="D105" s="15" t="str">
        <f>[3]bel!F103</f>
        <v/>
      </c>
      <c r="E105" s="71" t="str">
        <f>[3]bel!G103</f>
        <v/>
      </c>
      <c r="F105" s="62" t="str">
        <f>[3]bel!H103</f>
        <v/>
      </c>
      <c r="G105" s="13" t="e">
        <f>VLOOKUP([3]bel!N103,#REF!,2,FALSE)</f>
        <v>#REF!</v>
      </c>
      <c r="H105" s="13"/>
      <c r="I105" s="14" t="str">
        <f>[3]bel!Y103</f>
        <v/>
      </c>
      <c r="J105" s="23" t="str">
        <f>[3]bel!O103</f>
        <v/>
      </c>
      <c r="K105" s="36" t="str">
        <f>[3]bel!T103</f>
        <v/>
      </c>
      <c r="L105" s="24" t="e" cm="1">
        <f t="array" ref="L105">_xlfn.IFS([3]bel!X103="Bozankaya","Bozankaya",[3]bel!X103="Müşteri","Customer",[3]bel!X103="Tedarikçi","Equipment Supplier")</f>
        <v>#N/A</v>
      </c>
      <c r="M105" s="61" t="str">
        <f>[3]bel!P103</f>
        <v/>
      </c>
      <c r="N105" s="25" t="str">
        <f>[3]bel!AG103</f>
        <v/>
      </c>
      <c r="O105" s="25" t="str">
        <f>[3]bel!Z103</f>
        <v/>
      </c>
      <c r="P105" s="17" t="str">
        <f>[3]bel!BB103</f>
        <v/>
      </c>
      <c r="Q105" s="62" t="str">
        <f>[3]bel!AH103</f>
        <v/>
      </c>
      <c r="R105" s="62" t="str">
        <f>[3]bel!BC103</f>
        <v/>
      </c>
      <c r="S105" s="45" t="str">
        <f t="shared" si="6"/>
        <v/>
      </c>
      <c r="T105" s="62" t="str">
        <f>[3]bel!BC103</f>
        <v/>
      </c>
      <c r="U105" s="40" t="str">
        <f>[3]bel!V103</f>
        <v/>
      </c>
      <c r="V105" s="45" cm="1">
        <f t="array" ref="V105">IFERROR(IF(AND(K105&lt;&gt;"D(Arıza Değil)",#REF!="Bu Arıza Aracın Servise Verilmesine Engel Değil"),
IF(#REF!-#REF!&gt;0,(R105-Q105)*24*60,
IF(OR(AND(#REF!&gt;$AA$1,#REF!&lt;#REF!),AND(#REF!&gt;#REF!,#REF!&lt;#REF!)),
(T105-F105)*24*60,     BH:BH0)),        W105),0)</f>
        <v>0</v>
      </c>
      <c r="W105" s="45" t="str">
        <f t="shared" si="7"/>
        <v/>
      </c>
      <c r="X105" s="39" t="str">
        <f>[3]bel!AL103</f>
        <v/>
      </c>
      <c r="Y105" s="39" t="str">
        <f>[3]bel!AT103</f>
        <v/>
      </c>
      <c r="Z105" s="39" t="str">
        <f>[3]bel!AK103</f>
        <v/>
      </c>
      <c r="AA105" s="39" t="str">
        <f>[3]bel!AM103</f>
        <v/>
      </c>
      <c r="AB105" s="57" t="e">
        <f>P105*S105*#REF!</f>
        <v>#VALUE!</v>
      </c>
    </row>
    <row r="106" spans="1:28" ht="118.5" customHeight="1" x14ac:dyDescent="0.25">
      <c r="A106" s="35" t="str">
        <f>[3]bel!C104</f>
        <v/>
      </c>
      <c r="B106" s="35" t="str">
        <f>[3]bel!D104</f>
        <v/>
      </c>
      <c r="C106" s="15" t="str">
        <f>[3]bel!E104</f>
        <v/>
      </c>
      <c r="D106" s="15" t="str">
        <f>[3]bel!F104</f>
        <v/>
      </c>
      <c r="E106" s="71" t="str">
        <f>[3]bel!G104</f>
        <v/>
      </c>
      <c r="F106" s="62" t="str">
        <f>[3]bel!H104</f>
        <v/>
      </c>
      <c r="G106" s="13" t="e">
        <f>VLOOKUP([3]bel!N104,#REF!,2,FALSE)</f>
        <v>#REF!</v>
      </c>
      <c r="H106" s="13"/>
      <c r="I106" s="14" t="str">
        <f>[3]bel!Y104</f>
        <v/>
      </c>
      <c r="J106" s="23" t="str">
        <f>[3]bel!O104</f>
        <v/>
      </c>
      <c r="K106" s="36" t="str">
        <f>[3]bel!T104</f>
        <v/>
      </c>
      <c r="L106" s="24" t="e" cm="1">
        <f t="array" ref="L106">_xlfn.IFS([3]bel!X104="Bozankaya","Bozankaya",[3]bel!X104="Müşteri","Customer",[3]bel!X104="Tedarikçi","Equipment Supplier")</f>
        <v>#N/A</v>
      </c>
      <c r="M106" s="61" t="str">
        <f>[3]bel!P104</f>
        <v/>
      </c>
      <c r="N106" s="25" t="str">
        <f>[3]bel!AG104</f>
        <v/>
      </c>
      <c r="O106" s="25" t="str">
        <f>[3]bel!Z104</f>
        <v/>
      </c>
      <c r="P106" s="17" t="str">
        <f>[3]bel!BB104</f>
        <v/>
      </c>
      <c r="Q106" s="62" t="str">
        <f>[3]bel!AH104</f>
        <v/>
      </c>
      <c r="R106" s="62" t="str">
        <f>[3]bel!BC104</f>
        <v/>
      </c>
      <c r="S106" s="45" t="str">
        <f t="shared" si="6"/>
        <v/>
      </c>
      <c r="T106" s="62" t="str">
        <f>[3]bel!BC104</f>
        <v/>
      </c>
      <c r="U106" s="40" t="str">
        <f>[3]bel!V104</f>
        <v/>
      </c>
      <c r="V106" s="45" cm="1">
        <f t="array" ref="V106">IFERROR(IF(AND(K106&lt;&gt;"D(Arıza Değil)",#REF!="Bu Arıza Aracın Servise Verilmesine Engel Değil"),
IF(#REF!-#REF!&gt;0,(R106-Q106)*24*60,
IF(OR(AND(#REF!&gt;$AA$1,#REF!&lt;#REF!),AND(#REF!&gt;#REF!,#REF!&lt;#REF!)),
(T106-F106)*24*60,     BH:BH0)),        W106),0)</f>
        <v>0</v>
      </c>
      <c r="W106" s="45" t="str">
        <f t="shared" si="7"/>
        <v/>
      </c>
      <c r="X106" s="39" t="str">
        <f>[3]bel!AL104</f>
        <v/>
      </c>
      <c r="Y106" s="39" t="str">
        <f>[3]bel!AT104</f>
        <v/>
      </c>
      <c r="Z106" s="39" t="str">
        <f>[3]bel!AK104</f>
        <v/>
      </c>
      <c r="AA106" s="39" t="str">
        <f>[3]bel!AM104</f>
        <v/>
      </c>
      <c r="AB106" s="57" t="e">
        <f>P106*S106*#REF!</f>
        <v>#VALUE!</v>
      </c>
    </row>
    <row r="107" spans="1:28" ht="118.5" customHeight="1" x14ac:dyDescent="0.25">
      <c r="A107" s="35" t="str">
        <f>[3]bel!C105</f>
        <v/>
      </c>
      <c r="B107" s="35" t="str">
        <f>[3]bel!D105</f>
        <v/>
      </c>
      <c r="C107" s="15" t="str">
        <f>[3]bel!E105</f>
        <v/>
      </c>
      <c r="D107" s="15" t="str">
        <f>[3]bel!F105</f>
        <v/>
      </c>
      <c r="E107" s="71" t="str">
        <f>[3]bel!G105</f>
        <v/>
      </c>
      <c r="F107" s="62" t="str">
        <f>[3]bel!H105</f>
        <v/>
      </c>
      <c r="G107" s="13" t="e">
        <f>VLOOKUP([3]bel!N105,#REF!,2,FALSE)</f>
        <v>#REF!</v>
      </c>
      <c r="H107" s="13"/>
      <c r="I107" s="14" t="str">
        <f>[3]bel!Y105</f>
        <v/>
      </c>
      <c r="J107" s="23" t="str">
        <f>[3]bel!O105</f>
        <v/>
      </c>
      <c r="K107" s="36" t="str">
        <f>[3]bel!T105</f>
        <v/>
      </c>
      <c r="L107" s="24" t="e" cm="1">
        <f t="array" ref="L107">_xlfn.IFS([3]bel!X105="Bozankaya","Bozankaya",[3]bel!X105="Müşteri","Customer",[3]bel!X105="Tedarikçi","Equipment Supplier")</f>
        <v>#N/A</v>
      </c>
      <c r="M107" s="61" t="str">
        <f>[3]bel!P105</f>
        <v/>
      </c>
      <c r="N107" s="25" t="str">
        <f>[3]bel!AG105</f>
        <v/>
      </c>
      <c r="O107" s="25" t="str">
        <f>[3]bel!Z105</f>
        <v/>
      </c>
      <c r="P107" s="17" t="str">
        <f>[3]bel!BB105</f>
        <v/>
      </c>
      <c r="Q107" s="62" t="str">
        <f>[3]bel!AH105</f>
        <v/>
      </c>
      <c r="R107" s="62" t="str">
        <f>[3]bel!BC105</f>
        <v/>
      </c>
      <c r="S107" s="45" t="str">
        <f t="shared" si="6"/>
        <v/>
      </c>
      <c r="T107" s="62" t="str">
        <f>[3]bel!BC105</f>
        <v/>
      </c>
      <c r="U107" s="40" t="str">
        <f>[3]bel!V105</f>
        <v/>
      </c>
      <c r="V107" s="45" cm="1">
        <f t="array" ref="V107">IFERROR(IF(AND(K107&lt;&gt;"D(Arıza Değil)",#REF!="Bu Arıza Aracın Servise Verilmesine Engel Değil"),
IF(#REF!-#REF!&gt;0,(R107-Q107)*24*60,
IF(OR(AND(#REF!&gt;$AA$1,#REF!&lt;#REF!),AND(#REF!&gt;#REF!,#REF!&lt;#REF!)),
(T107-F107)*24*60,     BH:BH0)),        W107),0)</f>
        <v>0</v>
      </c>
      <c r="W107" s="45" t="str">
        <f t="shared" si="7"/>
        <v/>
      </c>
      <c r="X107" s="39" t="str">
        <f>[3]bel!AL105</f>
        <v/>
      </c>
      <c r="Y107" s="39" t="str">
        <f>[3]bel!AT105</f>
        <v/>
      </c>
      <c r="Z107" s="39" t="str">
        <f>[3]bel!AK105</f>
        <v/>
      </c>
      <c r="AA107" s="39" t="str">
        <f>[3]bel!AM105</f>
        <v/>
      </c>
      <c r="AB107" s="57" t="e">
        <f>P107*S107*#REF!</f>
        <v>#VALUE!</v>
      </c>
    </row>
    <row r="108" spans="1:28" ht="118.5" customHeight="1" x14ac:dyDescent="0.25">
      <c r="A108" s="35" t="str">
        <f>[3]bel!C106</f>
        <v/>
      </c>
      <c r="B108" s="35" t="str">
        <f>[3]bel!D106</f>
        <v/>
      </c>
      <c r="C108" s="15" t="str">
        <f>[3]bel!E106</f>
        <v/>
      </c>
      <c r="D108" s="15" t="str">
        <f>[3]bel!F106</f>
        <v/>
      </c>
      <c r="E108" s="71" t="str">
        <f>[3]bel!G106</f>
        <v/>
      </c>
      <c r="F108" s="62" t="str">
        <f>[3]bel!H106</f>
        <v/>
      </c>
      <c r="G108" s="13" t="e">
        <f>VLOOKUP([3]bel!N106,#REF!,2,FALSE)</f>
        <v>#REF!</v>
      </c>
      <c r="H108" s="13"/>
      <c r="I108" s="14" t="str">
        <f>[3]bel!Y106</f>
        <v/>
      </c>
      <c r="J108" s="23" t="str">
        <f>[3]bel!O106</f>
        <v/>
      </c>
      <c r="K108" s="36" t="str">
        <f>[3]bel!T106</f>
        <v/>
      </c>
      <c r="L108" s="24" t="e" cm="1">
        <f t="array" ref="L108">_xlfn.IFS([3]bel!X106="Bozankaya","Bozankaya",[3]bel!X106="Müşteri","Customer",[3]bel!X106="Tedarikçi","Equipment Supplier")</f>
        <v>#N/A</v>
      </c>
      <c r="M108" s="61" t="str">
        <f>[3]bel!P106</f>
        <v/>
      </c>
      <c r="N108" s="25" t="str">
        <f>[3]bel!AG106</f>
        <v/>
      </c>
      <c r="O108" s="25" t="str">
        <f>[3]bel!Z106</f>
        <v/>
      </c>
      <c r="P108" s="17" t="str">
        <f>[3]bel!BB106</f>
        <v/>
      </c>
      <c r="Q108" s="62" t="str">
        <f>[3]bel!AH106</f>
        <v/>
      </c>
      <c r="R108" s="62" t="str">
        <f>[3]bel!BC106</f>
        <v/>
      </c>
      <c r="S108" s="45" t="str">
        <f t="shared" si="6"/>
        <v/>
      </c>
      <c r="T108" s="62" t="str">
        <f>[3]bel!BC106</f>
        <v/>
      </c>
      <c r="U108" s="40" t="str">
        <f>[3]bel!V106</f>
        <v/>
      </c>
      <c r="V108" s="45" cm="1">
        <f t="array" ref="V108">IFERROR(IF(AND(K108&lt;&gt;"D(Arıza Değil)",#REF!="Bu Arıza Aracın Servise Verilmesine Engel Değil"),
IF(#REF!-#REF!&gt;0,(R108-Q108)*24*60,
IF(OR(AND(#REF!&gt;$AA$1,#REF!&lt;#REF!),AND(#REF!&gt;#REF!,#REF!&lt;#REF!)),
(T108-F108)*24*60,     BH:BH0)),        W108),0)</f>
        <v>0</v>
      </c>
      <c r="W108" s="45" t="str">
        <f t="shared" si="7"/>
        <v/>
      </c>
      <c r="X108" s="39" t="str">
        <f>[3]bel!AL106</f>
        <v/>
      </c>
      <c r="Y108" s="39" t="str">
        <f>[3]bel!AT106</f>
        <v/>
      </c>
      <c r="Z108" s="39" t="str">
        <f>[3]bel!AK106</f>
        <v/>
      </c>
      <c r="AA108" s="39" t="str">
        <f>[3]bel!AM106</f>
        <v/>
      </c>
      <c r="AB108" s="57" t="e">
        <f>P108*S108*#REF!</f>
        <v>#VALUE!</v>
      </c>
    </row>
    <row r="109" spans="1:28" ht="118.5" customHeight="1" x14ac:dyDescent="0.25">
      <c r="A109" s="35" t="str">
        <f>[3]bel!C107</f>
        <v/>
      </c>
      <c r="B109" s="35" t="str">
        <f>[3]bel!D107</f>
        <v/>
      </c>
      <c r="C109" s="15" t="str">
        <f>[3]bel!E107</f>
        <v/>
      </c>
      <c r="D109" s="15" t="str">
        <f>[3]bel!F107</f>
        <v/>
      </c>
      <c r="E109" s="71" t="str">
        <f>[3]bel!G107</f>
        <v/>
      </c>
      <c r="F109" s="62" t="str">
        <f>[3]bel!H107</f>
        <v/>
      </c>
      <c r="G109" s="13" t="e">
        <f>VLOOKUP([3]bel!N107,#REF!,2,FALSE)</f>
        <v>#REF!</v>
      </c>
      <c r="H109" s="13"/>
      <c r="I109" s="14" t="str">
        <f>[3]bel!Y107</f>
        <v/>
      </c>
      <c r="J109" s="23" t="str">
        <f>[3]bel!O107</f>
        <v/>
      </c>
      <c r="K109" s="36" t="str">
        <f>[3]bel!T107</f>
        <v/>
      </c>
      <c r="L109" s="24" t="e" cm="1">
        <f t="array" ref="L109">_xlfn.IFS([3]bel!X107="Bozankaya","Bozankaya",[3]bel!X107="Müşteri","Customer",[3]bel!X107="Tedarikçi","Equipment Supplier")</f>
        <v>#N/A</v>
      </c>
      <c r="M109" s="61" t="str">
        <f>[3]bel!P107</f>
        <v/>
      </c>
      <c r="N109" s="25" t="str">
        <f>[3]bel!AG107</f>
        <v/>
      </c>
      <c r="O109" s="25" t="str">
        <f>[3]bel!Z107</f>
        <v/>
      </c>
      <c r="P109" s="17" t="str">
        <f>[3]bel!BB107</f>
        <v/>
      </c>
      <c r="Q109" s="62" t="str">
        <f>[3]bel!AH107</f>
        <v/>
      </c>
      <c r="R109" s="62" t="str">
        <f>[3]bel!BC107</f>
        <v/>
      </c>
      <c r="S109" s="45" t="str">
        <f t="shared" si="6"/>
        <v/>
      </c>
      <c r="T109" s="62" t="str">
        <f>[3]bel!BC107</f>
        <v/>
      </c>
      <c r="U109" s="40" t="str">
        <f>[3]bel!V107</f>
        <v/>
      </c>
      <c r="V109" s="45" cm="1">
        <f t="array" ref="V109">IFERROR(IF(AND(K109&lt;&gt;"D(Arıza Değil)",#REF!="Bu Arıza Aracın Servise Verilmesine Engel Değil"),
IF(#REF!-#REF!&gt;0,(R109-Q109)*24*60,
IF(OR(AND(#REF!&gt;$AA$1,#REF!&lt;#REF!),AND(#REF!&gt;#REF!,#REF!&lt;#REF!)),
(T109-F109)*24*60,     BH:BH0)),        W109),0)</f>
        <v>0</v>
      </c>
      <c r="W109" s="45" t="str">
        <f t="shared" si="7"/>
        <v/>
      </c>
      <c r="X109" s="39" t="str">
        <f>[3]bel!AL107</f>
        <v/>
      </c>
      <c r="Y109" s="39" t="str">
        <f>[3]bel!AT107</f>
        <v/>
      </c>
      <c r="Z109" s="39" t="str">
        <f>[3]bel!AK107</f>
        <v/>
      </c>
      <c r="AA109" s="39" t="str">
        <f>[3]bel!AM107</f>
        <v/>
      </c>
      <c r="AB109" s="57" t="e">
        <f>P109*S109*#REF!</f>
        <v>#VALUE!</v>
      </c>
    </row>
    <row r="110" spans="1:28" ht="118.5" customHeight="1" x14ac:dyDescent="0.25">
      <c r="A110" s="35" t="str">
        <f>[3]bel!C108</f>
        <v/>
      </c>
      <c r="B110" s="35" t="str">
        <f>[3]bel!D108</f>
        <v/>
      </c>
      <c r="C110" s="15" t="str">
        <f>[3]bel!E108</f>
        <v/>
      </c>
      <c r="D110" s="15" t="str">
        <f>[3]bel!F108</f>
        <v/>
      </c>
      <c r="E110" s="71" t="str">
        <f>[3]bel!G108</f>
        <v/>
      </c>
      <c r="F110" s="62" t="str">
        <f>[3]bel!H108</f>
        <v/>
      </c>
      <c r="G110" s="13" t="e">
        <f>VLOOKUP([3]bel!N108,#REF!,2,FALSE)</f>
        <v>#REF!</v>
      </c>
      <c r="H110" s="13"/>
      <c r="I110" s="14" t="str">
        <f>[3]bel!Y108</f>
        <v/>
      </c>
      <c r="J110" s="23" t="str">
        <f>[3]bel!O108</f>
        <v/>
      </c>
      <c r="K110" s="36" t="str">
        <f>[3]bel!T108</f>
        <v/>
      </c>
      <c r="L110" s="24" t="e" cm="1">
        <f t="array" ref="L110">_xlfn.IFS([3]bel!X108="Bozankaya","Bozankaya",[3]bel!X108="Müşteri","Customer",[3]bel!X108="Tedarikçi","Equipment Supplier")</f>
        <v>#N/A</v>
      </c>
      <c r="M110" s="61" t="str">
        <f>[3]bel!P108</f>
        <v/>
      </c>
      <c r="N110" s="25" t="str">
        <f>[3]bel!AG108</f>
        <v/>
      </c>
      <c r="O110" s="25" t="str">
        <f>[3]bel!Z108</f>
        <v/>
      </c>
      <c r="P110" s="17" t="str">
        <f>[3]bel!BB108</f>
        <v/>
      </c>
      <c r="Q110" s="62" t="str">
        <f>[3]bel!AH108</f>
        <v/>
      </c>
      <c r="R110" s="62" t="str">
        <f>[3]bel!BC108</f>
        <v/>
      </c>
      <c r="S110" s="45" t="str">
        <f t="shared" si="6"/>
        <v/>
      </c>
      <c r="T110" s="62" t="str">
        <f>[3]bel!BC108</f>
        <v/>
      </c>
      <c r="U110" s="40" t="str">
        <f>[3]bel!V108</f>
        <v/>
      </c>
      <c r="V110" s="45" cm="1">
        <f t="array" ref="V110">IFERROR(IF(AND(K110&lt;&gt;"D(Arıza Değil)",#REF!="Bu Arıza Aracın Servise Verilmesine Engel Değil"),
IF(#REF!-#REF!&gt;0,(R110-Q110)*24*60,
IF(OR(AND(#REF!&gt;$AA$1,#REF!&lt;#REF!),AND(#REF!&gt;#REF!,#REF!&lt;#REF!)),
(T110-F110)*24*60,     BH:BH0)),        W110),0)</f>
        <v>0</v>
      </c>
      <c r="W110" s="45" t="str">
        <f t="shared" si="7"/>
        <v/>
      </c>
      <c r="X110" s="39" t="str">
        <f>[3]bel!AL108</f>
        <v/>
      </c>
      <c r="Y110" s="39" t="str">
        <f>[3]bel!AT108</f>
        <v/>
      </c>
      <c r="Z110" s="39" t="str">
        <f>[3]bel!AK108</f>
        <v/>
      </c>
      <c r="AA110" s="39" t="str">
        <f>[3]bel!AM108</f>
        <v/>
      </c>
      <c r="AB110" s="57" t="e">
        <f>P110*S110*#REF!</f>
        <v>#VALUE!</v>
      </c>
    </row>
    <row r="111" spans="1:28" ht="118.5" customHeight="1" x14ac:dyDescent="0.25">
      <c r="A111" s="35" t="str">
        <f>[3]bel!C109</f>
        <v/>
      </c>
      <c r="B111" s="35" t="str">
        <f>[3]bel!D109</f>
        <v/>
      </c>
      <c r="C111" s="15" t="str">
        <f>[3]bel!E109</f>
        <v/>
      </c>
      <c r="D111" s="15" t="str">
        <f>[3]bel!F109</f>
        <v/>
      </c>
      <c r="E111" s="71" t="str">
        <f>[3]bel!G109</f>
        <v/>
      </c>
      <c r="F111" s="62" t="str">
        <f>[3]bel!H109</f>
        <v/>
      </c>
      <c r="G111" s="13" t="e">
        <f>VLOOKUP([3]bel!N109,#REF!,2,FALSE)</f>
        <v>#REF!</v>
      </c>
      <c r="H111" s="13"/>
      <c r="I111" s="14" t="str">
        <f>[3]bel!Y109</f>
        <v/>
      </c>
      <c r="J111" s="23" t="str">
        <f>[3]bel!O109</f>
        <v/>
      </c>
      <c r="K111" s="36" t="str">
        <f>[3]bel!T109</f>
        <v/>
      </c>
      <c r="L111" s="24" t="e" cm="1">
        <f t="array" ref="L111">_xlfn.IFS([3]bel!X109="Bozankaya","Bozankaya",[3]bel!X109="Müşteri","Customer",[3]bel!X109="Tedarikçi","Equipment Supplier")</f>
        <v>#N/A</v>
      </c>
      <c r="M111" s="61" t="str">
        <f>[3]bel!P109</f>
        <v/>
      </c>
      <c r="N111" s="25" t="str">
        <f>[3]bel!AG109</f>
        <v/>
      </c>
      <c r="O111" s="25" t="str">
        <f>[3]bel!Z109</f>
        <v/>
      </c>
      <c r="P111" s="17" t="str">
        <f>[3]bel!BB109</f>
        <v/>
      </c>
      <c r="Q111" s="62" t="str">
        <f>[3]bel!AH109</f>
        <v/>
      </c>
      <c r="R111" s="62" t="str">
        <f>[3]bel!BC109</f>
        <v/>
      </c>
      <c r="S111" s="45" t="str">
        <f t="shared" si="6"/>
        <v/>
      </c>
      <c r="T111" s="62" t="str">
        <f>[3]bel!BC109</f>
        <v/>
      </c>
      <c r="U111" s="40" t="str">
        <f>[3]bel!V109</f>
        <v/>
      </c>
      <c r="V111" s="45" cm="1">
        <f t="array" ref="V111">IFERROR(IF(AND(K111&lt;&gt;"D(Arıza Değil)",#REF!="Bu Arıza Aracın Servise Verilmesine Engel Değil"),
IF(#REF!-#REF!&gt;0,(R111-Q111)*24*60,
IF(OR(AND(#REF!&gt;$AA$1,#REF!&lt;#REF!),AND(#REF!&gt;#REF!,#REF!&lt;#REF!)),
(T111-F111)*24*60,     BH:BH0)),        W111),0)</f>
        <v>0</v>
      </c>
      <c r="W111" s="45" t="str">
        <f t="shared" si="7"/>
        <v/>
      </c>
      <c r="X111" s="39" t="str">
        <f>[3]bel!AL109</f>
        <v/>
      </c>
      <c r="Y111" s="39" t="str">
        <f>[3]bel!AT109</f>
        <v/>
      </c>
      <c r="Z111" s="39" t="str">
        <f>[3]bel!AK109</f>
        <v/>
      </c>
      <c r="AA111" s="39" t="str">
        <f>[3]bel!AM109</f>
        <v/>
      </c>
      <c r="AB111" s="57" t="e">
        <f>P111*S111*#REF!</f>
        <v>#VALUE!</v>
      </c>
    </row>
    <row r="112" spans="1:28" ht="118.5" customHeight="1" x14ac:dyDescent="0.25">
      <c r="A112" s="35" t="str">
        <f>[3]bel!C110</f>
        <v/>
      </c>
      <c r="B112" s="35" t="str">
        <f>[3]bel!D110</f>
        <v/>
      </c>
      <c r="C112" s="15" t="str">
        <f>[3]bel!E110</f>
        <v/>
      </c>
      <c r="D112" s="15" t="str">
        <f>[3]bel!F110</f>
        <v/>
      </c>
      <c r="E112" s="71" t="str">
        <f>[3]bel!G110</f>
        <v/>
      </c>
      <c r="F112" s="62" t="str">
        <f>[3]bel!H110</f>
        <v/>
      </c>
      <c r="G112" s="13" t="e">
        <f>VLOOKUP([3]bel!N110,#REF!,2,FALSE)</f>
        <v>#REF!</v>
      </c>
      <c r="H112" s="13"/>
      <c r="I112" s="14" t="str">
        <f>[3]bel!Y110</f>
        <v/>
      </c>
      <c r="J112" s="23" t="str">
        <f>[3]bel!O110</f>
        <v/>
      </c>
      <c r="K112" s="36" t="str">
        <f>[3]bel!T110</f>
        <v/>
      </c>
      <c r="L112" s="24" t="e" cm="1">
        <f t="array" ref="L112">_xlfn.IFS([3]bel!X110="Bozankaya","Bozankaya",[3]bel!X110="Müşteri","Customer",[3]bel!X110="Tedarikçi","Equipment Supplier")</f>
        <v>#N/A</v>
      </c>
      <c r="M112" s="61" t="str">
        <f>[3]bel!P110</f>
        <v/>
      </c>
      <c r="N112" s="25" t="str">
        <f>[3]bel!AG110</f>
        <v/>
      </c>
      <c r="O112" s="25" t="str">
        <f>[3]bel!Z110</f>
        <v/>
      </c>
      <c r="P112" s="17" t="str">
        <f>[3]bel!BB110</f>
        <v/>
      </c>
      <c r="Q112" s="62" t="str">
        <f>[3]bel!AH110</f>
        <v/>
      </c>
      <c r="R112" s="62" t="str">
        <f>[3]bel!BC110</f>
        <v/>
      </c>
      <c r="S112" s="45" t="str">
        <f t="shared" si="6"/>
        <v/>
      </c>
      <c r="T112" s="62" t="str">
        <f>[3]bel!BC110</f>
        <v/>
      </c>
      <c r="U112" s="40" t="str">
        <f>[3]bel!V110</f>
        <v/>
      </c>
      <c r="V112" s="45" cm="1">
        <f t="array" ref="V112">IFERROR(IF(AND(K112&lt;&gt;"D(Arıza Değil)",#REF!="Bu Arıza Aracın Servise Verilmesine Engel Değil"),
IF(#REF!-#REF!&gt;0,(R112-Q112)*24*60,
IF(OR(AND(#REF!&gt;$AA$1,#REF!&lt;#REF!),AND(#REF!&gt;#REF!,#REF!&lt;#REF!)),
(T112-F112)*24*60,     BH:BH0)),        W112),0)</f>
        <v>0</v>
      </c>
      <c r="W112" s="45" t="str">
        <f t="shared" si="7"/>
        <v/>
      </c>
      <c r="X112" s="39" t="str">
        <f>[3]bel!AL110</f>
        <v/>
      </c>
      <c r="Y112" s="39" t="str">
        <f>[3]bel!AT110</f>
        <v/>
      </c>
      <c r="Z112" s="39" t="str">
        <f>[3]bel!AK110</f>
        <v/>
      </c>
      <c r="AA112" s="39" t="str">
        <f>[3]bel!AM110</f>
        <v/>
      </c>
      <c r="AB112" s="57" t="e">
        <f>P112*S112*#REF!</f>
        <v>#VALUE!</v>
      </c>
    </row>
    <row r="113" spans="1:28" ht="118.5" customHeight="1" x14ac:dyDescent="0.25">
      <c r="A113" s="35" t="str">
        <f>[3]bel!C111</f>
        <v/>
      </c>
      <c r="B113" s="35" t="str">
        <f>[3]bel!D111</f>
        <v/>
      </c>
      <c r="C113" s="15" t="str">
        <f>[3]bel!E111</f>
        <v/>
      </c>
      <c r="D113" s="15" t="str">
        <f>[3]bel!F111</f>
        <v/>
      </c>
      <c r="E113" s="71" t="str">
        <f>[3]bel!G111</f>
        <v/>
      </c>
      <c r="F113" s="62" t="str">
        <f>[3]bel!H111</f>
        <v/>
      </c>
      <c r="G113" s="13" t="e">
        <f>VLOOKUP([3]bel!N111,#REF!,2,FALSE)</f>
        <v>#REF!</v>
      </c>
      <c r="H113" s="13"/>
      <c r="I113" s="14" t="str">
        <f>[3]bel!Y111</f>
        <v/>
      </c>
      <c r="J113" s="23" t="str">
        <f>[3]bel!O111</f>
        <v/>
      </c>
      <c r="K113" s="36" t="str">
        <f>[3]bel!T111</f>
        <v/>
      </c>
      <c r="L113" s="24" t="e" cm="1">
        <f t="array" ref="L113">_xlfn.IFS([3]bel!X111="Bozankaya","Bozankaya",[3]bel!X111="Müşteri","Customer",[3]bel!X111="Tedarikçi","Equipment Supplier")</f>
        <v>#N/A</v>
      </c>
      <c r="M113" s="61" t="str">
        <f>[3]bel!P111</f>
        <v/>
      </c>
      <c r="N113" s="25" t="str">
        <f>[3]bel!AG111</f>
        <v/>
      </c>
      <c r="O113" s="25" t="str">
        <f>[3]bel!Z111</f>
        <v/>
      </c>
      <c r="P113" s="17" t="str">
        <f>[3]bel!BB111</f>
        <v/>
      </c>
      <c r="Q113" s="62" t="str">
        <f>[3]bel!AH111</f>
        <v/>
      </c>
      <c r="R113" s="62" t="str">
        <f>[3]bel!BC111</f>
        <v/>
      </c>
      <c r="S113" s="45" t="str">
        <f t="shared" si="6"/>
        <v/>
      </c>
      <c r="T113" s="62" t="str">
        <f>[3]bel!BC111</f>
        <v/>
      </c>
      <c r="U113" s="40" t="str">
        <f>[3]bel!V111</f>
        <v/>
      </c>
      <c r="V113" s="45" cm="1">
        <f t="array" ref="V113">IFERROR(IF(AND(K113&lt;&gt;"D(Arıza Değil)",#REF!="Bu Arıza Aracın Servise Verilmesine Engel Değil"),
IF(#REF!-#REF!&gt;0,(R113-Q113)*24*60,
IF(OR(AND(#REF!&gt;$AA$1,#REF!&lt;#REF!),AND(#REF!&gt;#REF!,#REF!&lt;#REF!)),
(T113-F113)*24*60,     BH:BH0)),        W113),0)</f>
        <v>0</v>
      </c>
      <c r="W113" s="45" t="str">
        <f t="shared" si="7"/>
        <v/>
      </c>
      <c r="X113" s="39" t="str">
        <f>[3]bel!AL111</f>
        <v/>
      </c>
      <c r="Y113" s="39" t="str">
        <f>[3]bel!AT111</f>
        <v/>
      </c>
      <c r="Z113" s="39" t="str">
        <f>[3]bel!AK111</f>
        <v/>
      </c>
      <c r="AA113" s="39" t="str">
        <f>[3]bel!AM111</f>
        <v/>
      </c>
      <c r="AB113" s="57" t="e">
        <f>P113*S113*#REF!</f>
        <v>#VALUE!</v>
      </c>
    </row>
    <row r="114" spans="1:28" ht="118.5" customHeight="1" x14ac:dyDescent="0.25">
      <c r="A114" s="35" t="str">
        <f>[3]bel!C112</f>
        <v/>
      </c>
      <c r="B114" s="35" t="str">
        <f>[3]bel!D112</f>
        <v/>
      </c>
      <c r="C114" s="15" t="str">
        <f>[3]bel!E112</f>
        <v/>
      </c>
      <c r="D114" s="15" t="str">
        <f>[3]bel!F112</f>
        <v/>
      </c>
      <c r="E114" s="71" t="str">
        <f>[3]bel!G112</f>
        <v/>
      </c>
      <c r="F114" s="62" t="str">
        <f>[3]bel!H112</f>
        <v/>
      </c>
      <c r="G114" s="13" t="e">
        <f>VLOOKUP([3]bel!N112,#REF!,2,FALSE)</f>
        <v>#REF!</v>
      </c>
      <c r="H114" s="13"/>
      <c r="I114" s="14" t="str">
        <f>[3]bel!Y112</f>
        <v/>
      </c>
      <c r="J114" s="23" t="str">
        <f>[3]bel!O112</f>
        <v/>
      </c>
      <c r="K114" s="36" t="str">
        <f>[3]bel!T112</f>
        <v/>
      </c>
      <c r="L114" s="24" t="e" cm="1">
        <f t="array" ref="L114">_xlfn.IFS([3]bel!X112="Bozankaya","Bozankaya",[3]bel!X112="Müşteri","Customer",[3]bel!X112="Tedarikçi","Equipment Supplier")</f>
        <v>#N/A</v>
      </c>
      <c r="M114" s="61" t="str">
        <f>[3]bel!P112</f>
        <v/>
      </c>
      <c r="N114" s="25" t="str">
        <f>[3]bel!AG112</f>
        <v/>
      </c>
      <c r="O114" s="25" t="str">
        <f>[3]bel!Z112</f>
        <v/>
      </c>
      <c r="P114" s="17" t="str">
        <f>[3]bel!BB112</f>
        <v/>
      </c>
      <c r="Q114" s="62" t="str">
        <f>[3]bel!AH112</f>
        <v/>
      </c>
      <c r="R114" s="62" t="str">
        <f>[3]bel!BC112</f>
        <v/>
      </c>
      <c r="S114" s="45" t="str">
        <f t="shared" si="6"/>
        <v/>
      </c>
      <c r="T114" s="62" t="str">
        <f>[3]bel!BC112</f>
        <v/>
      </c>
      <c r="U114" s="40" t="str">
        <f>[3]bel!V112</f>
        <v/>
      </c>
      <c r="V114" s="45" cm="1">
        <f t="array" ref="V114">IFERROR(IF(AND(K114&lt;&gt;"D(Arıza Değil)",#REF!="Bu Arıza Aracın Servise Verilmesine Engel Değil"),
IF(#REF!-#REF!&gt;0,(R114-Q114)*24*60,
IF(OR(AND(#REF!&gt;$AA$1,#REF!&lt;#REF!),AND(#REF!&gt;#REF!,#REF!&lt;#REF!)),
(T114-F114)*24*60,     BH:BH0)),        W114),0)</f>
        <v>0</v>
      </c>
      <c r="W114" s="45" t="str">
        <f t="shared" si="7"/>
        <v/>
      </c>
      <c r="X114" s="39" t="str">
        <f>[3]bel!AL112</f>
        <v/>
      </c>
      <c r="Y114" s="39" t="str">
        <f>[3]bel!AT112</f>
        <v/>
      </c>
      <c r="Z114" s="39" t="str">
        <f>[3]bel!AK112</f>
        <v/>
      </c>
      <c r="AA114" s="39" t="str">
        <f>[3]bel!AM112</f>
        <v/>
      </c>
      <c r="AB114" s="57" t="e">
        <f>P114*S114*#REF!</f>
        <v>#VALUE!</v>
      </c>
    </row>
    <row r="115" spans="1:28" ht="118.5" customHeight="1" x14ac:dyDescent="0.25">
      <c r="A115" s="35" t="str">
        <f>[3]bel!C113</f>
        <v/>
      </c>
      <c r="B115" s="35" t="str">
        <f>[3]bel!D113</f>
        <v/>
      </c>
      <c r="C115" s="15" t="str">
        <f>[3]bel!E113</f>
        <v/>
      </c>
      <c r="D115" s="15" t="str">
        <f>[3]bel!F113</f>
        <v/>
      </c>
      <c r="E115" s="71" t="str">
        <f>[3]bel!G113</f>
        <v/>
      </c>
      <c r="F115" s="62" t="str">
        <f>[3]bel!H113</f>
        <v/>
      </c>
      <c r="G115" s="13" t="e">
        <f>VLOOKUP([3]bel!N113,#REF!,2,FALSE)</f>
        <v>#REF!</v>
      </c>
      <c r="H115" s="13"/>
      <c r="I115" s="14" t="str">
        <f>[3]bel!Y113</f>
        <v/>
      </c>
      <c r="J115" s="23" t="str">
        <f>[3]bel!O113</f>
        <v/>
      </c>
      <c r="K115" s="36" t="str">
        <f>[3]bel!T113</f>
        <v/>
      </c>
      <c r="L115" s="24" t="e" cm="1">
        <f t="array" ref="L115">_xlfn.IFS([3]bel!X113="Bozankaya","Bozankaya",[3]bel!X113="Müşteri","Customer",[3]bel!X113="Tedarikçi","Equipment Supplier")</f>
        <v>#N/A</v>
      </c>
      <c r="M115" s="61" t="str">
        <f>[3]bel!P113</f>
        <v/>
      </c>
      <c r="N115" s="25" t="str">
        <f>[3]bel!AG113</f>
        <v/>
      </c>
      <c r="O115" s="25" t="str">
        <f>[3]bel!Z113</f>
        <v/>
      </c>
      <c r="P115" s="17" t="str">
        <f>[3]bel!BB113</f>
        <v/>
      </c>
      <c r="Q115" s="62" t="str">
        <f>[3]bel!AH113</f>
        <v/>
      </c>
      <c r="R115" s="62" t="str">
        <f>[3]bel!BC113</f>
        <v/>
      </c>
      <c r="S115" s="45" t="str">
        <f t="shared" si="6"/>
        <v/>
      </c>
      <c r="T115" s="62" t="str">
        <f>[3]bel!BC113</f>
        <v/>
      </c>
      <c r="U115" s="40" t="str">
        <f>[3]bel!V113</f>
        <v/>
      </c>
      <c r="V115" s="45" cm="1">
        <f t="array" ref="V115">IFERROR(IF(AND(K115&lt;&gt;"D(Arıza Değil)",#REF!="Bu Arıza Aracın Servise Verilmesine Engel Değil"),
IF(#REF!-#REF!&gt;0,(R115-Q115)*24*60,
IF(OR(AND(#REF!&gt;$AA$1,#REF!&lt;#REF!),AND(#REF!&gt;#REF!,#REF!&lt;#REF!)),
(T115-F115)*24*60,     BH:BH0)),        W115),0)</f>
        <v>0</v>
      </c>
      <c r="W115" s="45" t="str">
        <f t="shared" si="7"/>
        <v/>
      </c>
      <c r="X115" s="39" t="str">
        <f>[3]bel!AL113</f>
        <v/>
      </c>
      <c r="Y115" s="39" t="str">
        <f>[3]bel!AT113</f>
        <v/>
      </c>
      <c r="Z115" s="39" t="str">
        <f>[3]bel!AK113</f>
        <v/>
      </c>
      <c r="AA115" s="39" t="str">
        <f>[3]bel!AM113</f>
        <v/>
      </c>
      <c r="AB115" s="57" t="e">
        <f>P115*S115*#REF!</f>
        <v>#VALUE!</v>
      </c>
    </row>
    <row r="116" spans="1:28" ht="118.5" customHeight="1" x14ac:dyDescent="0.25">
      <c r="A116" s="35" t="str">
        <f>[3]bel!C114</f>
        <v/>
      </c>
      <c r="B116" s="35" t="str">
        <f>[3]bel!D114</f>
        <v/>
      </c>
      <c r="C116" s="15" t="str">
        <f>[3]bel!E114</f>
        <v/>
      </c>
      <c r="D116" s="15" t="str">
        <f>[3]bel!F114</f>
        <v/>
      </c>
      <c r="E116" s="71" t="str">
        <f>[3]bel!G114</f>
        <v/>
      </c>
      <c r="F116" s="62" t="str">
        <f>[3]bel!H114</f>
        <v/>
      </c>
      <c r="G116" s="13" t="e">
        <f>VLOOKUP([3]bel!N114,#REF!,2,FALSE)</f>
        <v>#REF!</v>
      </c>
      <c r="H116" s="13"/>
      <c r="I116" s="14" t="str">
        <f>[3]bel!Y114</f>
        <v/>
      </c>
      <c r="J116" s="23" t="str">
        <f>[3]bel!O114</f>
        <v/>
      </c>
      <c r="K116" s="36" t="str">
        <f>[3]bel!T114</f>
        <v/>
      </c>
      <c r="L116" s="24" t="e" cm="1">
        <f t="array" ref="L116">_xlfn.IFS([3]bel!X114="Bozankaya","Bozankaya",[3]bel!X114="Müşteri","Customer",[3]bel!X114="Tedarikçi","Equipment Supplier")</f>
        <v>#N/A</v>
      </c>
      <c r="M116" s="61" t="str">
        <f>[3]bel!P114</f>
        <v/>
      </c>
      <c r="N116" s="25" t="str">
        <f>[3]bel!AG114</f>
        <v/>
      </c>
      <c r="O116" s="25" t="str">
        <f>[3]bel!Z114</f>
        <v/>
      </c>
      <c r="P116" s="17" t="str">
        <f>[3]bel!BB114</f>
        <v/>
      </c>
      <c r="Q116" s="62" t="str">
        <f>[3]bel!AH114</f>
        <v/>
      </c>
      <c r="R116" s="62" t="str">
        <f>[3]bel!BC114</f>
        <v/>
      </c>
      <c r="S116" s="45" t="str">
        <f t="shared" si="6"/>
        <v/>
      </c>
      <c r="T116" s="62" t="str">
        <f>[3]bel!BC114</f>
        <v/>
      </c>
      <c r="U116" s="40" t="str">
        <f>[3]bel!V114</f>
        <v/>
      </c>
      <c r="V116" s="45" cm="1">
        <f t="array" ref="V116">IFERROR(IF(AND(K116&lt;&gt;"D(Arıza Değil)",#REF!="Bu Arıza Aracın Servise Verilmesine Engel Değil"),
IF(#REF!-#REF!&gt;0,(R116-Q116)*24*60,
IF(OR(AND(#REF!&gt;$AA$1,#REF!&lt;#REF!),AND(#REF!&gt;#REF!,#REF!&lt;#REF!)),
(T116-F116)*24*60,     BH:BH0)),        W116),0)</f>
        <v>0</v>
      </c>
      <c r="W116" s="45" t="str">
        <f t="shared" si="7"/>
        <v/>
      </c>
      <c r="X116" s="39" t="str">
        <f>[3]bel!AL114</f>
        <v/>
      </c>
      <c r="Y116" s="39" t="str">
        <f>[3]bel!AT114</f>
        <v/>
      </c>
      <c r="Z116" s="39" t="str">
        <f>[3]bel!AK114</f>
        <v/>
      </c>
      <c r="AA116" s="39" t="str">
        <f>[3]bel!AM114</f>
        <v/>
      </c>
      <c r="AB116" s="57" t="e">
        <f>P116*S116*#REF!</f>
        <v>#VALUE!</v>
      </c>
    </row>
    <row r="117" spans="1:28" ht="118.5" customHeight="1" x14ac:dyDescent="0.25">
      <c r="A117" s="35" t="str">
        <f>[3]bel!C115</f>
        <v/>
      </c>
      <c r="B117" s="35" t="str">
        <f>[3]bel!D115</f>
        <v/>
      </c>
      <c r="C117" s="15" t="str">
        <f>[3]bel!E115</f>
        <v/>
      </c>
      <c r="D117" s="15" t="str">
        <f>[3]bel!F115</f>
        <v/>
      </c>
      <c r="E117" s="71" t="str">
        <f>[3]bel!G115</f>
        <v/>
      </c>
      <c r="F117" s="62" t="str">
        <f>[3]bel!H115</f>
        <v/>
      </c>
      <c r="G117" s="13" t="e">
        <f>VLOOKUP([3]bel!N115,#REF!,2,FALSE)</f>
        <v>#REF!</v>
      </c>
      <c r="H117" s="13"/>
      <c r="I117" s="14" t="str">
        <f>[3]bel!Y115</f>
        <v/>
      </c>
      <c r="J117" s="23" t="str">
        <f>[3]bel!O115</f>
        <v/>
      </c>
      <c r="K117" s="36" t="str">
        <f>[3]bel!T115</f>
        <v/>
      </c>
      <c r="L117" s="24" t="e" cm="1">
        <f t="array" ref="L117">_xlfn.IFS([3]bel!X115="Bozankaya","Bozankaya",[3]bel!X115="Müşteri","Customer",[3]bel!X115="Tedarikçi","Equipment Supplier")</f>
        <v>#N/A</v>
      </c>
      <c r="M117" s="61" t="str">
        <f>[3]bel!P115</f>
        <v/>
      </c>
      <c r="N117" s="25" t="str">
        <f>[3]bel!AG115</f>
        <v/>
      </c>
      <c r="O117" s="25" t="str">
        <f>[3]bel!Z115</f>
        <v/>
      </c>
      <c r="P117" s="17" t="str">
        <f>[3]bel!BB115</f>
        <v/>
      </c>
      <c r="Q117" s="62" t="str">
        <f>[3]bel!AH115</f>
        <v/>
      </c>
      <c r="R117" s="62" t="str">
        <f>[3]bel!BC115</f>
        <v/>
      </c>
      <c r="S117" s="45" t="str">
        <f t="shared" si="6"/>
        <v/>
      </c>
      <c r="T117" s="62" t="str">
        <f>[3]bel!BC115</f>
        <v/>
      </c>
      <c r="U117" s="40" t="str">
        <f>[3]bel!V115</f>
        <v/>
      </c>
      <c r="V117" s="45" cm="1">
        <f t="array" ref="V117">IFERROR(IF(AND(K117&lt;&gt;"D(Arıza Değil)",#REF!="Bu Arıza Aracın Servise Verilmesine Engel Değil"),
IF(#REF!-#REF!&gt;0,(R117-Q117)*24*60,
IF(OR(AND(#REF!&gt;$AA$1,#REF!&lt;#REF!),AND(#REF!&gt;#REF!,#REF!&lt;#REF!)),
(T117-F117)*24*60,     BH:BH0)),        W117),0)</f>
        <v>0</v>
      </c>
      <c r="W117" s="45" t="str">
        <f t="shared" si="7"/>
        <v/>
      </c>
      <c r="X117" s="39" t="str">
        <f>[3]bel!AL115</f>
        <v/>
      </c>
      <c r="Y117" s="39" t="str">
        <f>[3]bel!AT115</f>
        <v/>
      </c>
      <c r="Z117" s="39" t="str">
        <f>[3]bel!AK115</f>
        <v/>
      </c>
      <c r="AA117" s="39" t="str">
        <f>[3]bel!AM115</f>
        <v/>
      </c>
      <c r="AB117" s="57" t="e">
        <f>P117*S117*#REF!</f>
        <v>#VALUE!</v>
      </c>
    </row>
    <row r="118" spans="1:28" ht="118.5" customHeight="1" x14ac:dyDescent="0.25">
      <c r="A118" s="35" t="str">
        <f>[3]bel!C116</f>
        <v/>
      </c>
      <c r="B118" s="35" t="str">
        <f>[3]bel!D116</f>
        <v/>
      </c>
      <c r="C118" s="15" t="str">
        <f>[3]bel!E116</f>
        <v/>
      </c>
      <c r="D118" s="15" t="str">
        <f>[3]bel!F116</f>
        <v/>
      </c>
      <c r="E118" s="71" t="str">
        <f>[3]bel!G116</f>
        <v/>
      </c>
      <c r="F118" s="62" t="str">
        <f>[3]bel!H116</f>
        <v/>
      </c>
      <c r="G118" s="13" t="e">
        <f>VLOOKUP([3]bel!N116,#REF!,2,FALSE)</f>
        <v>#REF!</v>
      </c>
      <c r="H118" s="13"/>
      <c r="I118" s="14" t="str">
        <f>[3]bel!Y116</f>
        <v/>
      </c>
      <c r="J118" s="23" t="str">
        <f>[3]bel!O116</f>
        <v/>
      </c>
      <c r="K118" s="36" t="str">
        <f>[3]bel!T116</f>
        <v/>
      </c>
      <c r="L118" s="24" t="e" cm="1">
        <f t="array" ref="L118">_xlfn.IFS([3]bel!X116="Bozankaya","Bozankaya",[3]bel!X116="Müşteri","Customer",[3]bel!X116="Tedarikçi","Equipment Supplier")</f>
        <v>#N/A</v>
      </c>
      <c r="M118" s="61" t="str">
        <f>[3]bel!P116</f>
        <v/>
      </c>
      <c r="N118" s="25" t="str">
        <f>[3]bel!AG116</f>
        <v/>
      </c>
      <c r="O118" s="25" t="str">
        <f>[3]bel!Z116</f>
        <v/>
      </c>
      <c r="P118" s="17" t="str">
        <f>[3]bel!BB116</f>
        <v/>
      </c>
      <c r="Q118" s="62" t="str">
        <f>[3]bel!AH116</f>
        <v/>
      </c>
      <c r="R118" s="62" t="str">
        <f>[3]bel!BC116</f>
        <v/>
      </c>
      <c r="S118" s="45" t="str">
        <f t="shared" si="6"/>
        <v/>
      </c>
      <c r="T118" s="62" t="str">
        <f>[3]bel!BC116</f>
        <v/>
      </c>
      <c r="U118" s="40" t="str">
        <f>[3]bel!V116</f>
        <v/>
      </c>
      <c r="V118" s="45" cm="1">
        <f t="array" ref="V118">IFERROR(IF(AND(K118&lt;&gt;"D(Arıza Değil)",#REF!="Bu Arıza Aracın Servise Verilmesine Engel Değil"),
IF(#REF!-#REF!&gt;0,(R118-Q118)*24*60,
IF(OR(AND(#REF!&gt;$AA$1,#REF!&lt;#REF!),AND(#REF!&gt;#REF!,#REF!&lt;#REF!)),
(T118-F118)*24*60,     BH:BH0)),        W118),0)</f>
        <v>0</v>
      </c>
      <c r="W118" s="45" t="str">
        <f t="shared" si="7"/>
        <v/>
      </c>
      <c r="X118" s="39" t="str">
        <f>[3]bel!AL116</f>
        <v/>
      </c>
      <c r="Y118" s="39" t="str">
        <f>[3]bel!AT116</f>
        <v/>
      </c>
      <c r="Z118" s="39" t="str">
        <f>[3]bel!AK116</f>
        <v/>
      </c>
      <c r="AA118" s="39" t="str">
        <f>[3]bel!AM116</f>
        <v/>
      </c>
      <c r="AB118" s="57" t="e">
        <f>P118*S118*#REF!</f>
        <v>#VALUE!</v>
      </c>
    </row>
    <row r="119" spans="1:28" ht="118.5" customHeight="1" x14ac:dyDescent="0.25">
      <c r="A119" s="35" t="str">
        <f>[3]bel!C117</f>
        <v/>
      </c>
      <c r="B119" s="35" t="str">
        <f>[3]bel!D117</f>
        <v/>
      </c>
      <c r="C119" s="15" t="str">
        <f>[3]bel!E117</f>
        <v/>
      </c>
      <c r="D119" s="15" t="str">
        <f>[3]bel!F117</f>
        <v/>
      </c>
      <c r="E119" s="71" t="str">
        <f>[3]bel!G117</f>
        <v/>
      </c>
      <c r="F119" s="62" t="str">
        <f>[3]bel!H117</f>
        <v/>
      </c>
      <c r="G119" s="13" t="e">
        <f>VLOOKUP([3]bel!N117,#REF!,2,FALSE)</f>
        <v>#REF!</v>
      </c>
      <c r="H119" s="13"/>
      <c r="I119" s="14" t="str">
        <f>[3]bel!Y117</f>
        <v/>
      </c>
      <c r="J119" s="23" t="str">
        <f>[3]bel!O117</f>
        <v/>
      </c>
      <c r="K119" s="36" t="str">
        <f>[3]bel!T117</f>
        <v/>
      </c>
      <c r="L119" s="24" t="e" cm="1">
        <f t="array" ref="L119">_xlfn.IFS([3]bel!X117="Bozankaya","Bozankaya",[3]bel!X117="Müşteri","Customer",[3]bel!X117="Tedarikçi","Equipment Supplier")</f>
        <v>#N/A</v>
      </c>
      <c r="M119" s="61" t="str">
        <f>[3]bel!P117</f>
        <v/>
      </c>
      <c r="N119" s="25" t="str">
        <f>[3]bel!AG117</f>
        <v/>
      </c>
      <c r="O119" s="25" t="str">
        <f>[3]bel!Z117</f>
        <v/>
      </c>
      <c r="P119" s="17" t="str">
        <f>[3]bel!BB117</f>
        <v/>
      </c>
      <c r="Q119" s="62" t="str">
        <f>[3]bel!AH117</f>
        <v/>
      </c>
      <c r="R119" s="62" t="str">
        <f>[3]bel!BC117</f>
        <v/>
      </c>
      <c r="S119" s="45" t="str">
        <f t="shared" si="6"/>
        <v/>
      </c>
      <c r="T119" s="62" t="str">
        <f>[3]bel!BC117</f>
        <v/>
      </c>
      <c r="U119" s="40" t="str">
        <f>[3]bel!V117</f>
        <v/>
      </c>
      <c r="V119" s="45" cm="1">
        <f t="array" ref="V119">IFERROR(IF(AND(K119&lt;&gt;"D(Arıza Değil)",#REF!="Bu Arıza Aracın Servise Verilmesine Engel Değil"),
IF(#REF!-#REF!&gt;0,(R119-Q119)*24*60,
IF(OR(AND(#REF!&gt;$AA$1,#REF!&lt;#REF!),AND(#REF!&gt;#REF!,#REF!&lt;#REF!)),
(T119-F119)*24*60,     BH:BH0)),        W119),0)</f>
        <v>0</v>
      </c>
      <c r="W119" s="45" t="str">
        <f t="shared" si="7"/>
        <v/>
      </c>
      <c r="X119" s="39" t="str">
        <f>[3]bel!AL117</f>
        <v/>
      </c>
      <c r="Y119" s="39" t="str">
        <f>[3]bel!AT117</f>
        <v/>
      </c>
      <c r="Z119" s="39" t="str">
        <f>[3]bel!AK117</f>
        <v/>
      </c>
      <c r="AA119" s="39" t="str">
        <f>[3]bel!AM117</f>
        <v/>
      </c>
      <c r="AB119" s="57" t="e">
        <f>P119*S119*#REF!</f>
        <v>#VALUE!</v>
      </c>
    </row>
    <row r="120" spans="1:28" ht="118.5" customHeight="1" x14ac:dyDescent="0.25">
      <c r="A120" s="35" t="str">
        <f>[3]bel!C118</f>
        <v/>
      </c>
      <c r="B120" s="35" t="str">
        <f>[3]bel!D118</f>
        <v/>
      </c>
      <c r="C120" s="15" t="str">
        <f>[3]bel!E118</f>
        <v/>
      </c>
      <c r="D120" s="15" t="str">
        <f>[3]bel!F118</f>
        <v/>
      </c>
      <c r="E120" s="71" t="str">
        <f>[3]bel!G118</f>
        <v/>
      </c>
      <c r="F120" s="62" t="str">
        <f>[3]bel!H118</f>
        <v/>
      </c>
      <c r="G120" s="13" t="e">
        <f>VLOOKUP([3]bel!N118,#REF!,2,FALSE)</f>
        <v>#REF!</v>
      </c>
      <c r="H120" s="13"/>
      <c r="I120" s="14" t="str">
        <f>[3]bel!Y118</f>
        <v/>
      </c>
      <c r="J120" s="23" t="str">
        <f>[3]bel!O118</f>
        <v/>
      </c>
      <c r="K120" s="36" t="str">
        <f>[3]bel!T118</f>
        <v/>
      </c>
      <c r="L120" s="24" t="e" cm="1">
        <f t="array" ref="L120">_xlfn.IFS([3]bel!X118="Bozankaya","Bozankaya",[3]bel!X118="Müşteri","Customer",[3]bel!X118="Tedarikçi","Equipment Supplier")</f>
        <v>#N/A</v>
      </c>
      <c r="M120" s="61" t="str">
        <f>[3]bel!P118</f>
        <v/>
      </c>
      <c r="N120" s="25" t="str">
        <f>[3]bel!AG118</f>
        <v/>
      </c>
      <c r="O120" s="25" t="str">
        <f>[3]bel!Z118</f>
        <v/>
      </c>
      <c r="P120" s="17" t="str">
        <f>[3]bel!BB118</f>
        <v/>
      </c>
      <c r="Q120" s="62" t="str">
        <f>[3]bel!AH118</f>
        <v/>
      </c>
      <c r="R120" s="62" t="str">
        <f>[3]bel!BC118</f>
        <v/>
      </c>
      <c r="S120" s="45" t="str">
        <f t="shared" si="6"/>
        <v/>
      </c>
      <c r="T120" s="62" t="str">
        <f>[3]bel!BC118</f>
        <v/>
      </c>
      <c r="U120" s="40" t="str">
        <f>[3]bel!V118</f>
        <v/>
      </c>
      <c r="V120" s="45" cm="1">
        <f t="array" ref="V120">IFERROR(IF(AND(K120&lt;&gt;"D(Arıza Değil)",#REF!="Bu Arıza Aracın Servise Verilmesine Engel Değil"),
IF(#REF!-#REF!&gt;0,(R120-Q120)*24*60,
IF(OR(AND(#REF!&gt;$AA$1,#REF!&lt;#REF!),AND(#REF!&gt;#REF!,#REF!&lt;#REF!)),
(T120-F120)*24*60,     BH:BH0)),        W120),0)</f>
        <v>0</v>
      </c>
      <c r="W120" s="45" t="str">
        <f t="shared" si="7"/>
        <v/>
      </c>
      <c r="X120" s="39" t="str">
        <f>[3]bel!AL118</f>
        <v/>
      </c>
      <c r="Y120" s="39" t="str">
        <f>[3]bel!AT118</f>
        <v/>
      </c>
      <c r="Z120" s="39" t="str">
        <f>[3]bel!AK118</f>
        <v/>
      </c>
      <c r="AA120" s="39" t="str">
        <f>[3]bel!AM118</f>
        <v/>
      </c>
      <c r="AB120" s="57" t="e">
        <f>P120*S120*#REF!</f>
        <v>#VALUE!</v>
      </c>
    </row>
    <row r="121" spans="1:28" ht="118.5" customHeight="1" x14ac:dyDescent="0.25">
      <c r="A121" s="35" t="str">
        <f>[3]bel!C119</f>
        <v/>
      </c>
      <c r="B121" s="35" t="str">
        <f>[3]bel!D119</f>
        <v/>
      </c>
      <c r="C121" s="15" t="str">
        <f>[3]bel!E119</f>
        <v/>
      </c>
      <c r="D121" s="15" t="str">
        <f>[3]bel!F119</f>
        <v/>
      </c>
      <c r="E121" s="71" t="str">
        <f>[3]bel!G119</f>
        <v/>
      </c>
      <c r="F121" s="62" t="str">
        <f>[3]bel!H119</f>
        <v/>
      </c>
      <c r="G121" s="13" t="e">
        <f>VLOOKUP([3]bel!N119,#REF!,2,FALSE)</f>
        <v>#REF!</v>
      </c>
      <c r="H121" s="13"/>
      <c r="I121" s="14" t="str">
        <f>[3]bel!Y119</f>
        <v/>
      </c>
      <c r="J121" s="23" t="str">
        <f>[3]bel!O119</f>
        <v/>
      </c>
      <c r="K121" s="36" t="str">
        <f>[3]bel!T119</f>
        <v/>
      </c>
      <c r="L121" s="24" t="e" cm="1">
        <f t="array" ref="L121">_xlfn.IFS([3]bel!X119="Bozankaya","Bozankaya",[3]bel!X119="Müşteri","Customer",[3]bel!X119="Tedarikçi","Equipment Supplier")</f>
        <v>#N/A</v>
      </c>
      <c r="M121" s="61" t="str">
        <f>[3]bel!P119</f>
        <v/>
      </c>
      <c r="N121" s="25" t="str">
        <f>[3]bel!AG119</f>
        <v/>
      </c>
      <c r="O121" s="25" t="str">
        <f>[3]bel!Z119</f>
        <v/>
      </c>
      <c r="P121" s="17" t="str">
        <f>[3]bel!BB119</f>
        <v/>
      </c>
      <c r="Q121" s="62" t="str">
        <f>[3]bel!AH119</f>
        <v/>
      </c>
      <c r="R121" s="62" t="str">
        <f>[3]bel!BC119</f>
        <v/>
      </c>
      <c r="S121" s="45" t="str">
        <f t="shared" si="6"/>
        <v/>
      </c>
      <c r="T121" s="62" t="str">
        <f>[3]bel!BC119</f>
        <v/>
      </c>
      <c r="U121" s="40" t="str">
        <f>[3]bel!V119</f>
        <v/>
      </c>
      <c r="V121" s="45" cm="1">
        <f t="array" ref="V121">IFERROR(IF(AND(K121&lt;&gt;"D(Arıza Değil)",#REF!="Bu Arıza Aracın Servise Verilmesine Engel Değil"),
IF(#REF!-#REF!&gt;0,(R121-Q121)*24*60,
IF(OR(AND(#REF!&gt;$AA$1,#REF!&lt;#REF!),AND(#REF!&gt;#REF!,#REF!&lt;#REF!)),
(T121-F121)*24*60,     BH:BH0)),        W121),0)</f>
        <v>0</v>
      </c>
      <c r="W121" s="45" t="str">
        <f t="shared" si="7"/>
        <v/>
      </c>
      <c r="X121" s="39" t="str">
        <f>[3]bel!AL119</f>
        <v/>
      </c>
      <c r="Y121" s="39" t="str">
        <f>[3]bel!AT119</f>
        <v/>
      </c>
      <c r="Z121" s="39" t="str">
        <f>[3]bel!AK119</f>
        <v/>
      </c>
      <c r="AA121" s="39" t="str">
        <f>[3]bel!AM119</f>
        <v/>
      </c>
      <c r="AB121" s="57" t="e">
        <f>P121*S121*#REF!</f>
        <v>#VALUE!</v>
      </c>
    </row>
    <row r="122" spans="1:28" ht="118.5" customHeight="1" x14ac:dyDescent="0.25">
      <c r="A122" s="35" t="str">
        <f>[3]bel!C120</f>
        <v/>
      </c>
      <c r="B122" s="35" t="str">
        <f>[3]bel!D120</f>
        <v/>
      </c>
      <c r="C122" s="15" t="str">
        <f>[3]bel!E120</f>
        <v/>
      </c>
      <c r="D122" s="15" t="str">
        <f>[3]bel!F120</f>
        <v/>
      </c>
      <c r="E122" s="71" t="str">
        <f>[3]bel!G120</f>
        <v/>
      </c>
      <c r="F122" s="62" t="str">
        <f>[3]bel!H120</f>
        <v/>
      </c>
      <c r="G122" s="13" t="e">
        <f>VLOOKUP([3]bel!N120,#REF!,2,FALSE)</f>
        <v>#REF!</v>
      </c>
      <c r="H122" s="13"/>
      <c r="I122" s="14" t="str">
        <f>[3]bel!Y120</f>
        <v/>
      </c>
      <c r="J122" s="23" t="str">
        <f>[3]bel!O120</f>
        <v/>
      </c>
      <c r="K122" s="36" t="str">
        <f>[3]bel!T120</f>
        <v/>
      </c>
      <c r="L122" s="24" t="e" cm="1">
        <f t="array" ref="L122">_xlfn.IFS([3]bel!X120="Bozankaya","Bozankaya",[3]bel!X120="Müşteri","Customer",[3]bel!X120="Tedarikçi","Equipment Supplier")</f>
        <v>#N/A</v>
      </c>
      <c r="M122" s="61" t="str">
        <f>[3]bel!P120</f>
        <v/>
      </c>
      <c r="N122" s="25" t="str">
        <f>[3]bel!AG120</f>
        <v/>
      </c>
      <c r="O122" s="25" t="str">
        <f>[3]bel!Z120</f>
        <v/>
      </c>
      <c r="P122" s="17" t="str">
        <f>[3]bel!BB120</f>
        <v/>
      </c>
      <c r="Q122" s="62" t="str">
        <f>[3]bel!AH120</f>
        <v/>
      </c>
      <c r="R122" s="62" t="str">
        <f>[3]bel!BC120</f>
        <v/>
      </c>
      <c r="S122" s="45" t="str">
        <f t="shared" si="6"/>
        <v/>
      </c>
      <c r="T122" s="62" t="str">
        <f>[3]bel!BC120</f>
        <v/>
      </c>
      <c r="U122" s="40" t="str">
        <f>[3]bel!V120</f>
        <v/>
      </c>
      <c r="V122" s="45" cm="1">
        <f t="array" ref="V122">IFERROR(IF(AND(K122&lt;&gt;"D(Arıza Değil)",#REF!="Bu Arıza Aracın Servise Verilmesine Engel Değil"),
IF(#REF!-#REF!&gt;0,(R122-Q122)*24*60,
IF(OR(AND(#REF!&gt;$AA$1,#REF!&lt;#REF!),AND(#REF!&gt;#REF!,#REF!&lt;#REF!)),
(T122-F122)*24*60,     BH:BH0)),        W122),0)</f>
        <v>0</v>
      </c>
      <c r="W122" s="45" t="str">
        <f t="shared" si="7"/>
        <v/>
      </c>
      <c r="X122" s="39" t="str">
        <f>[3]bel!AL120</f>
        <v/>
      </c>
      <c r="Y122" s="39" t="str">
        <f>[3]bel!AT120</f>
        <v/>
      </c>
      <c r="Z122" s="39" t="str">
        <f>[3]bel!AK120</f>
        <v/>
      </c>
      <c r="AA122" s="39" t="str">
        <f>[3]bel!AM120</f>
        <v/>
      </c>
      <c r="AB122" s="57" t="e">
        <f>P122*S122*#REF!</f>
        <v>#VALUE!</v>
      </c>
    </row>
    <row r="123" spans="1:28" ht="118.5" customHeight="1" x14ac:dyDescent="0.25">
      <c r="A123" s="35" t="str">
        <f>[3]bel!C121</f>
        <v/>
      </c>
      <c r="B123" s="35" t="str">
        <f>[3]bel!D121</f>
        <v/>
      </c>
      <c r="C123" s="15" t="str">
        <f>[3]bel!E121</f>
        <v/>
      </c>
      <c r="D123" s="15" t="str">
        <f>[3]bel!F121</f>
        <v/>
      </c>
      <c r="E123" s="71" t="str">
        <f>[3]bel!G121</f>
        <v/>
      </c>
      <c r="F123" s="62" t="str">
        <f>[3]bel!H121</f>
        <v/>
      </c>
      <c r="G123" s="13" t="e">
        <f>VLOOKUP([3]bel!N121,#REF!,2,FALSE)</f>
        <v>#REF!</v>
      </c>
      <c r="H123" s="13"/>
      <c r="I123" s="14" t="str">
        <f>[3]bel!Y121</f>
        <v/>
      </c>
      <c r="J123" s="23" t="str">
        <f>[3]bel!O121</f>
        <v/>
      </c>
      <c r="K123" s="36" t="str">
        <f>[3]bel!T121</f>
        <v/>
      </c>
      <c r="L123" s="24" t="e" cm="1">
        <f t="array" ref="L123">_xlfn.IFS([3]bel!X121="Bozankaya","Bozankaya",[3]bel!X121="Müşteri","Customer",[3]bel!X121="Tedarikçi","Equipment Supplier")</f>
        <v>#N/A</v>
      </c>
      <c r="M123" s="61" t="str">
        <f>[3]bel!P121</f>
        <v/>
      </c>
      <c r="N123" s="25" t="str">
        <f>[3]bel!AG121</f>
        <v/>
      </c>
      <c r="O123" s="25" t="str">
        <f>[3]bel!Z121</f>
        <v/>
      </c>
      <c r="P123" s="17" t="str">
        <f>[3]bel!BB121</f>
        <v/>
      </c>
      <c r="Q123" s="62" t="str">
        <f>[3]bel!AH121</f>
        <v/>
      </c>
      <c r="R123" s="62" t="str">
        <f>[3]bel!BC121</f>
        <v/>
      </c>
      <c r="S123" s="45" t="str">
        <f t="shared" si="6"/>
        <v/>
      </c>
      <c r="T123" s="62" t="str">
        <f>[3]bel!BC121</f>
        <v/>
      </c>
      <c r="U123" s="40" t="str">
        <f>[3]bel!V121</f>
        <v/>
      </c>
      <c r="V123" s="45" cm="1">
        <f t="array" ref="V123">IFERROR(IF(AND(K123&lt;&gt;"D(Arıza Değil)",#REF!="Bu Arıza Aracın Servise Verilmesine Engel Değil"),
IF(#REF!-#REF!&gt;0,(R123-Q123)*24*60,
IF(OR(AND(#REF!&gt;$AA$1,#REF!&lt;#REF!),AND(#REF!&gt;#REF!,#REF!&lt;#REF!)),
(T123-F123)*24*60,     BH:BH0)),        W123),0)</f>
        <v>0</v>
      </c>
      <c r="W123" s="45" t="str">
        <f t="shared" si="7"/>
        <v/>
      </c>
      <c r="X123" s="39" t="str">
        <f>[3]bel!AL121</f>
        <v/>
      </c>
      <c r="Y123" s="39" t="str">
        <f>[3]bel!AT121</f>
        <v/>
      </c>
      <c r="Z123" s="39" t="str">
        <f>[3]bel!AK121</f>
        <v/>
      </c>
      <c r="AA123" s="39" t="str">
        <f>[3]bel!AM121</f>
        <v/>
      </c>
      <c r="AB123" s="57" t="e">
        <f>P123*S123*#REF!</f>
        <v>#VALUE!</v>
      </c>
    </row>
    <row r="124" spans="1:28" ht="118.5" customHeight="1" x14ac:dyDescent="0.25">
      <c r="A124" s="35" t="str">
        <f>[3]bel!C122</f>
        <v/>
      </c>
      <c r="B124" s="35" t="str">
        <f>[3]bel!D122</f>
        <v/>
      </c>
      <c r="C124" s="15" t="str">
        <f>[3]bel!E122</f>
        <v/>
      </c>
      <c r="D124" s="15" t="str">
        <f>[3]bel!F122</f>
        <v/>
      </c>
      <c r="E124" s="71" t="str">
        <f>[3]bel!G122</f>
        <v/>
      </c>
      <c r="F124" s="62" t="str">
        <f>[3]bel!H122</f>
        <v/>
      </c>
      <c r="G124" s="13" t="e">
        <f>VLOOKUP([3]bel!N122,#REF!,2,FALSE)</f>
        <v>#REF!</v>
      </c>
      <c r="H124" s="13"/>
      <c r="I124" s="14" t="str">
        <f>[3]bel!Y122</f>
        <v/>
      </c>
      <c r="J124" s="23" t="str">
        <f>[3]bel!O122</f>
        <v/>
      </c>
      <c r="K124" s="36" t="str">
        <f>[3]bel!T122</f>
        <v/>
      </c>
      <c r="L124" s="24" t="e" cm="1">
        <f t="array" ref="L124">_xlfn.IFS([3]bel!X122="Bozankaya","Bozankaya",[3]bel!X122="Müşteri","Customer",[3]bel!X122="Tedarikçi","Equipment Supplier")</f>
        <v>#N/A</v>
      </c>
      <c r="M124" s="61" t="str">
        <f>[3]bel!P122</f>
        <v/>
      </c>
      <c r="N124" s="25" t="str">
        <f>[3]bel!AG122</f>
        <v/>
      </c>
      <c r="O124" s="25" t="str">
        <f>[3]bel!Z122</f>
        <v/>
      </c>
      <c r="P124" s="17" t="str">
        <f>[3]bel!BB122</f>
        <v/>
      </c>
      <c r="Q124" s="62" t="str">
        <f>[3]bel!AH122</f>
        <v/>
      </c>
      <c r="R124" s="62" t="str">
        <f>[3]bel!BC122</f>
        <v/>
      </c>
      <c r="S124" s="45" t="str">
        <f t="shared" si="6"/>
        <v/>
      </c>
      <c r="T124" s="62" t="str">
        <f>[3]bel!BC122</f>
        <v/>
      </c>
      <c r="U124" s="40" t="str">
        <f>[3]bel!V122</f>
        <v/>
      </c>
      <c r="V124" s="45" cm="1">
        <f t="array" ref="V124">IFERROR(IF(AND(K124&lt;&gt;"D(Arıza Değil)",#REF!="Bu Arıza Aracın Servise Verilmesine Engel Değil"),
IF(#REF!-#REF!&gt;0,(R124-Q124)*24*60,
IF(OR(AND(#REF!&gt;$AA$1,#REF!&lt;#REF!),AND(#REF!&gt;#REF!,#REF!&lt;#REF!)),
(T124-F124)*24*60,     BH:BH0)),        W124),0)</f>
        <v>0</v>
      </c>
      <c r="W124" s="45" t="str">
        <f t="shared" si="7"/>
        <v/>
      </c>
      <c r="X124" s="39" t="str">
        <f>[3]bel!AL122</f>
        <v/>
      </c>
      <c r="Y124" s="39" t="str">
        <f>[3]bel!AT122</f>
        <v/>
      </c>
      <c r="Z124" s="39" t="str">
        <f>[3]bel!AK122</f>
        <v/>
      </c>
      <c r="AA124" s="39" t="str">
        <f>[3]bel!AM122</f>
        <v/>
      </c>
      <c r="AB124" s="57" t="e">
        <f>P124*S124*#REF!</f>
        <v>#VALUE!</v>
      </c>
    </row>
    <row r="125" spans="1:28" ht="118.5" customHeight="1" x14ac:dyDescent="0.25">
      <c r="A125" s="35" t="str">
        <f>[3]bel!C123</f>
        <v/>
      </c>
      <c r="B125" s="35" t="str">
        <f>[3]bel!D123</f>
        <v/>
      </c>
      <c r="C125" s="15" t="str">
        <f>[3]bel!E123</f>
        <v/>
      </c>
      <c r="D125" s="15" t="str">
        <f>[3]bel!F123</f>
        <v/>
      </c>
      <c r="E125" s="71" t="str">
        <f>[3]bel!G123</f>
        <v/>
      </c>
      <c r="F125" s="62" t="str">
        <f>[3]bel!H123</f>
        <v/>
      </c>
      <c r="G125" s="13" t="e">
        <f>VLOOKUP([3]bel!N123,#REF!,2,FALSE)</f>
        <v>#REF!</v>
      </c>
      <c r="H125" s="13"/>
      <c r="I125" s="14" t="str">
        <f>[3]bel!Y123</f>
        <v/>
      </c>
      <c r="J125" s="23" t="str">
        <f>[3]bel!O123</f>
        <v/>
      </c>
      <c r="K125" s="36" t="str">
        <f>[3]bel!T123</f>
        <v/>
      </c>
      <c r="L125" s="24" t="e" cm="1">
        <f t="array" ref="L125">_xlfn.IFS([3]bel!X123="Bozankaya","Bozankaya",[3]bel!X123="Müşteri","Customer",[3]bel!X123="Tedarikçi","Equipment Supplier")</f>
        <v>#N/A</v>
      </c>
      <c r="M125" s="61" t="str">
        <f>[3]bel!P123</f>
        <v/>
      </c>
      <c r="N125" s="25" t="str">
        <f>[3]bel!AG123</f>
        <v/>
      </c>
      <c r="O125" s="25" t="str">
        <f>[3]bel!Z123</f>
        <v/>
      </c>
      <c r="P125" s="17" t="str">
        <f>[3]bel!BB123</f>
        <v/>
      </c>
      <c r="Q125" s="62" t="str">
        <f>[3]bel!AH123</f>
        <v/>
      </c>
      <c r="R125" s="62" t="str">
        <f>[3]bel!BC123</f>
        <v/>
      </c>
      <c r="S125" s="45" t="str">
        <f t="shared" si="6"/>
        <v/>
      </c>
      <c r="T125" s="62" t="str">
        <f>[3]bel!BC123</f>
        <v/>
      </c>
      <c r="U125" s="40" t="str">
        <f>[3]bel!V123</f>
        <v/>
      </c>
      <c r="V125" s="45" cm="1">
        <f t="array" ref="V125">IFERROR(IF(AND(K125&lt;&gt;"D(Arıza Değil)",#REF!="Bu Arıza Aracın Servise Verilmesine Engel Değil"),
IF(#REF!-#REF!&gt;0,(R125-Q125)*24*60,
IF(OR(AND(#REF!&gt;$AA$1,#REF!&lt;#REF!),AND(#REF!&gt;#REF!,#REF!&lt;#REF!)),
(T125-F125)*24*60,     BH:BH0)),        W125),0)</f>
        <v>0</v>
      </c>
      <c r="W125" s="45" t="str">
        <f t="shared" si="7"/>
        <v/>
      </c>
      <c r="X125" s="39" t="str">
        <f>[3]bel!AL123</f>
        <v/>
      </c>
      <c r="Y125" s="39" t="str">
        <f>[3]bel!AT123</f>
        <v/>
      </c>
      <c r="Z125" s="39" t="str">
        <f>[3]bel!AK123</f>
        <v/>
      </c>
      <c r="AA125" s="39" t="str">
        <f>[3]bel!AM123</f>
        <v/>
      </c>
      <c r="AB125" s="57" t="e">
        <f>P125*S125*#REF!</f>
        <v>#VALUE!</v>
      </c>
    </row>
    <row r="126" spans="1:28" ht="118.5" customHeight="1" x14ac:dyDescent="0.25">
      <c r="A126" s="35" t="str">
        <f>[3]bel!C124</f>
        <v/>
      </c>
      <c r="B126" s="35" t="str">
        <f>[3]bel!D124</f>
        <v/>
      </c>
      <c r="C126" s="15" t="str">
        <f>[3]bel!E124</f>
        <v/>
      </c>
      <c r="D126" s="15" t="str">
        <f>[3]bel!F124</f>
        <v/>
      </c>
      <c r="E126" s="71" t="str">
        <f>[3]bel!G124</f>
        <v/>
      </c>
      <c r="F126" s="62" t="str">
        <f>[3]bel!H124</f>
        <v/>
      </c>
      <c r="G126" s="13" t="e">
        <f>VLOOKUP([3]bel!N124,#REF!,2,FALSE)</f>
        <v>#REF!</v>
      </c>
      <c r="H126" s="13"/>
      <c r="I126" s="14" t="str">
        <f>[3]bel!Y124</f>
        <v/>
      </c>
      <c r="J126" s="23" t="str">
        <f>[3]bel!O124</f>
        <v/>
      </c>
      <c r="K126" s="36" t="str">
        <f>[3]bel!T124</f>
        <v/>
      </c>
      <c r="L126" s="24" t="e" cm="1">
        <f t="array" ref="L126">_xlfn.IFS([3]bel!X124="Bozankaya","Bozankaya",[3]bel!X124="Müşteri","Customer",[3]bel!X124="Tedarikçi","Equipment Supplier")</f>
        <v>#N/A</v>
      </c>
      <c r="M126" s="61" t="str">
        <f>[3]bel!P124</f>
        <v/>
      </c>
      <c r="N126" s="25" t="str">
        <f>[3]bel!AG124</f>
        <v/>
      </c>
      <c r="O126" s="25" t="str">
        <f>[3]bel!Z124</f>
        <v/>
      </c>
      <c r="P126" s="17" t="str">
        <f>[3]bel!BB124</f>
        <v/>
      </c>
      <c r="Q126" s="62" t="str">
        <f>[3]bel!AH124</f>
        <v/>
      </c>
      <c r="R126" s="62" t="str">
        <f>[3]bel!BC124</f>
        <v/>
      </c>
      <c r="S126" s="45" t="str">
        <f t="shared" si="6"/>
        <v/>
      </c>
      <c r="T126" s="62" t="str">
        <f>[3]bel!BC124</f>
        <v/>
      </c>
      <c r="U126" s="40" t="str">
        <f>[3]bel!V124</f>
        <v/>
      </c>
      <c r="V126" s="45" cm="1">
        <f t="array" ref="V126">IFERROR(IF(AND(K126&lt;&gt;"D(Arıza Değil)",#REF!="Bu Arıza Aracın Servise Verilmesine Engel Değil"),
IF(#REF!-#REF!&gt;0,(R126-Q126)*24*60,
IF(OR(AND(#REF!&gt;$AA$1,#REF!&lt;#REF!),AND(#REF!&gt;#REF!,#REF!&lt;#REF!)),
(T126-F126)*24*60,     BH:BH0)),        W126),0)</f>
        <v>0</v>
      </c>
      <c r="W126" s="45" t="str">
        <f t="shared" si="7"/>
        <v/>
      </c>
      <c r="X126" s="39" t="str">
        <f>[3]bel!AL124</f>
        <v/>
      </c>
      <c r="Y126" s="39" t="str">
        <f>[3]bel!AT124</f>
        <v/>
      </c>
      <c r="Z126" s="39" t="str">
        <f>[3]bel!AK124</f>
        <v/>
      </c>
      <c r="AA126" s="39" t="str">
        <f>[3]bel!AM124</f>
        <v/>
      </c>
      <c r="AB126" s="57" t="e">
        <f>P126*S126*#REF!</f>
        <v>#VALUE!</v>
      </c>
    </row>
    <row r="127" spans="1:28" ht="118.5" customHeight="1" x14ac:dyDescent="0.25">
      <c r="A127" s="35" t="str">
        <f>[3]bel!C125</f>
        <v/>
      </c>
      <c r="B127" s="35" t="str">
        <f>[3]bel!D125</f>
        <v/>
      </c>
      <c r="C127" s="15" t="str">
        <f>[3]bel!E125</f>
        <v/>
      </c>
      <c r="D127" s="15" t="str">
        <f>[3]bel!F125</f>
        <v/>
      </c>
      <c r="E127" s="71" t="str">
        <f>[3]bel!G125</f>
        <v/>
      </c>
      <c r="F127" s="62" t="str">
        <f>[3]bel!H125</f>
        <v/>
      </c>
      <c r="G127" s="13" t="e">
        <f>VLOOKUP([3]bel!N125,#REF!,2,FALSE)</f>
        <v>#REF!</v>
      </c>
      <c r="H127" s="13"/>
      <c r="I127" s="14" t="str">
        <f>[3]bel!Y125</f>
        <v/>
      </c>
      <c r="J127" s="23" t="str">
        <f>[3]bel!O125</f>
        <v/>
      </c>
      <c r="K127" s="36" t="str">
        <f>[3]bel!T125</f>
        <v/>
      </c>
      <c r="L127" s="24" t="e" cm="1">
        <f t="array" ref="L127">_xlfn.IFS([3]bel!X125="Bozankaya","Bozankaya",[3]bel!X125="Müşteri","Customer",[3]bel!X125="Tedarikçi","Equipment Supplier")</f>
        <v>#N/A</v>
      </c>
      <c r="M127" s="61" t="str">
        <f>[3]bel!P125</f>
        <v/>
      </c>
      <c r="N127" s="25" t="str">
        <f>[3]bel!AG125</f>
        <v/>
      </c>
      <c r="O127" s="25" t="str">
        <f>[3]bel!Z125</f>
        <v/>
      </c>
      <c r="P127" s="17" t="str">
        <f>[3]bel!BB125</f>
        <v/>
      </c>
      <c r="Q127" s="62" t="str">
        <f>[3]bel!AH125</f>
        <v/>
      </c>
      <c r="R127" s="62" t="str">
        <f>[3]bel!BC125</f>
        <v/>
      </c>
      <c r="S127" s="45" t="str">
        <f t="shared" si="6"/>
        <v/>
      </c>
      <c r="T127" s="62" t="str">
        <f>[3]bel!BC125</f>
        <v/>
      </c>
      <c r="U127" s="40" t="str">
        <f>[3]bel!V125</f>
        <v/>
      </c>
      <c r="V127" s="45" cm="1">
        <f t="array" ref="V127">IFERROR(IF(AND(K127&lt;&gt;"D(Arıza Değil)",#REF!="Bu Arıza Aracın Servise Verilmesine Engel Değil"),
IF(#REF!-#REF!&gt;0,(R127-Q127)*24*60,
IF(OR(AND(#REF!&gt;$AA$1,#REF!&lt;#REF!),AND(#REF!&gt;#REF!,#REF!&lt;#REF!)),
(T127-F127)*24*60,     BH:BH0)),        W127),0)</f>
        <v>0</v>
      </c>
      <c r="W127" s="45" t="str">
        <f t="shared" si="7"/>
        <v/>
      </c>
      <c r="X127" s="39" t="str">
        <f>[3]bel!AL125</f>
        <v/>
      </c>
      <c r="Y127" s="39" t="str">
        <f>[3]bel!AT125</f>
        <v/>
      </c>
      <c r="Z127" s="39" t="str">
        <f>[3]bel!AK125</f>
        <v/>
      </c>
      <c r="AA127" s="39" t="str">
        <f>[3]bel!AM125</f>
        <v/>
      </c>
      <c r="AB127" s="57" t="e">
        <f>P127*S127*#REF!</f>
        <v>#VALUE!</v>
      </c>
    </row>
    <row r="128" spans="1:28" ht="118.5" customHeight="1" x14ac:dyDescent="0.25">
      <c r="A128" s="35" t="str">
        <f>[3]bel!C126</f>
        <v/>
      </c>
      <c r="B128" s="35" t="str">
        <f>[3]bel!D126</f>
        <v/>
      </c>
      <c r="C128" s="15" t="str">
        <f>[3]bel!E126</f>
        <v/>
      </c>
      <c r="D128" s="15" t="str">
        <f>[3]bel!F126</f>
        <v/>
      </c>
      <c r="E128" s="71" t="str">
        <f>[3]bel!G126</f>
        <v/>
      </c>
      <c r="F128" s="62" t="str">
        <f>[3]bel!H126</f>
        <v/>
      </c>
      <c r="G128" s="13" t="e">
        <f>VLOOKUP([3]bel!N126,#REF!,2,FALSE)</f>
        <v>#REF!</v>
      </c>
      <c r="H128" s="13"/>
      <c r="I128" s="14" t="str">
        <f>[3]bel!Y126</f>
        <v/>
      </c>
      <c r="J128" s="23" t="str">
        <f>[3]bel!O126</f>
        <v/>
      </c>
      <c r="K128" s="36" t="str">
        <f>[3]bel!T126</f>
        <v/>
      </c>
      <c r="L128" s="24" t="e" cm="1">
        <f t="array" ref="L128">_xlfn.IFS([3]bel!X126="Bozankaya","Bozankaya",[3]bel!X126="Müşteri","Customer",[3]bel!X126="Tedarikçi","Equipment Supplier")</f>
        <v>#N/A</v>
      </c>
      <c r="M128" s="61" t="str">
        <f>[3]bel!P126</f>
        <v/>
      </c>
      <c r="N128" s="25" t="str">
        <f>[3]bel!AG126</f>
        <v/>
      </c>
      <c r="O128" s="25" t="str">
        <f>[3]bel!Z126</f>
        <v/>
      </c>
      <c r="P128" s="17" t="str">
        <f>[3]bel!BB126</f>
        <v/>
      </c>
      <c r="Q128" s="62" t="str">
        <f>[3]bel!AH126</f>
        <v/>
      </c>
      <c r="R128" s="62" t="str">
        <f>[3]bel!BC126</f>
        <v/>
      </c>
      <c r="S128" s="45" t="str">
        <f t="shared" si="6"/>
        <v/>
      </c>
      <c r="T128" s="62" t="str">
        <f>[3]bel!BC126</f>
        <v/>
      </c>
      <c r="U128" s="40" t="str">
        <f>[3]bel!V126</f>
        <v/>
      </c>
      <c r="V128" s="45" cm="1">
        <f t="array" ref="V128">IFERROR(IF(AND(K128&lt;&gt;"D(Arıza Değil)",#REF!="Bu Arıza Aracın Servise Verilmesine Engel Değil"),
IF(#REF!-#REF!&gt;0,(R128-Q128)*24*60,
IF(OR(AND(#REF!&gt;$AA$1,#REF!&lt;#REF!),AND(#REF!&gt;#REF!,#REF!&lt;#REF!)),
(T128-F128)*24*60,     BH:BH0)),        W128),0)</f>
        <v>0</v>
      </c>
      <c r="W128" s="45" t="str">
        <f t="shared" si="7"/>
        <v/>
      </c>
      <c r="X128" s="39" t="str">
        <f>[3]bel!AL126</f>
        <v/>
      </c>
      <c r="Y128" s="39" t="str">
        <f>[3]bel!AT126</f>
        <v/>
      </c>
      <c r="Z128" s="39" t="str">
        <f>[3]bel!AK126</f>
        <v/>
      </c>
      <c r="AA128" s="39" t="str">
        <f>[3]bel!AM126</f>
        <v/>
      </c>
      <c r="AB128" s="57" t="e">
        <f>P128*S128*#REF!</f>
        <v>#VALUE!</v>
      </c>
    </row>
    <row r="129" spans="1:28" ht="118.5" customHeight="1" x14ac:dyDescent="0.25">
      <c r="A129" s="35" t="str">
        <f>[3]bel!C127</f>
        <v/>
      </c>
      <c r="B129" s="35" t="str">
        <f>[3]bel!D127</f>
        <v/>
      </c>
      <c r="C129" s="15" t="str">
        <f>[3]bel!E127</f>
        <v/>
      </c>
      <c r="D129" s="15" t="str">
        <f>[3]bel!F127</f>
        <v/>
      </c>
      <c r="E129" s="71" t="str">
        <f>[3]bel!G127</f>
        <v/>
      </c>
      <c r="F129" s="62" t="str">
        <f>[3]bel!H127</f>
        <v/>
      </c>
      <c r="G129" s="13" t="e">
        <f>VLOOKUP([3]bel!N127,#REF!,2,FALSE)</f>
        <v>#REF!</v>
      </c>
      <c r="H129" s="13"/>
      <c r="I129" s="14" t="str">
        <f>[3]bel!Y127</f>
        <v/>
      </c>
      <c r="J129" s="23" t="str">
        <f>[3]bel!O127</f>
        <v/>
      </c>
      <c r="K129" s="36" t="str">
        <f>[3]bel!T127</f>
        <v/>
      </c>
      <c r="L129" s="24" t="e" cm="1">
        <f t="array" ref="L129">_xlfn.IFS([3]bel!X127="Bozankaya","Bozankaya",[3]bel!X127="Müşteri","Customer",[3]bel!X127="Tedarikçi","Equipment Supplier")</f>
        <v>#N/A</v>
      </c>
      <c r="M129" s="61" t="str">
        <f>[3]bel!P127</f>
        <v/>
      </c>
      <c r="N129" s="25" t="str">
        <f>[3]bel!AG127</f>
        <v/>
      </c>
      <c r="O129" s="25" t="str">
        <f>[3]bel!Z127</f>
        <v/>
      </c>
      <c r="P129" s="17" t="str">
        <f>[3]bel!BB127</f>
        <v/>
      </c>
      <c r="Q129" s="62" t="str">
        <f>[3]bel!AH127</f>
        <v/>
      </c>
      <c r="R129" s="62" t="str">
        <f>[3]bel!BC127</f>
        <v/>
      </c>
      <c r="S129" s="45" t="str">
        <f t="shared" si="6"/>
        <v/>
      </c>
      <c r="T129" s="62" t="str">
        <f>[3]bel!BC127</f>
        <v/>
      </c>
      <c r="U129" s="40" t="str">
        <f>[3]bel!V127</f>
        <v/>
      </c>
      <c r="V129" s="45" cm="1">
        <f t="array" ref="V129">IFERROR(IF(AND(K129&lt;&gt;"D(Arıza Değil)",#REF!="Bu Arıza Aracın Servise Verilmesine Engel Değil"),
IF(#REF!-#REF!&gt;0,(R129-Q129)*24*60,
IF(OR(AND(#REF!&gt;$AA$1,#REF!&lt;#REF!),AND(#REF!&gt;#REF!,#REF!&lt;#REF!)),
(T129-F129)*24*60,     BH:BH0)),        W129),0)</f>
        <v>0</v>
      </c>
      <c r="W129" s="45" t="str">
        <f t="shared" si="7"/>
        <v/>
      </c>
      <c r="X129" s="39" t="str">
        <f>[3]bel!AL127</f>
        <v/>
      </c>
      <c r="Y129" s="39" t="str">
        <f>[3]bel!AT127</f>
        <v/>
      </c>
      <c r="Z129" s="39" t="str">
        <f>[3]bel!AK127</f>
        <v/>
      </c>
      <c r="AA129" s="39" t="str">
        <f>[3]bel!AM127</f>
        <v/>
      </c>
      <c r="AB129" s="57" t="e">
        <f>P129*S129*#REF!</f>
        <v>#VALUE!</v>
      </c>
    </row>
    <row r="130" spans="1:28" ht="118.5" customHeight="1" x14ac:dyDescent="0.25">
      <c r="A130" s="35" t="str">
        <f>[3]bel!C128</f>
        <v/>
      </c>
      <c r="B130" s="35" t="str">
        <f>[3]bel!D128</f>
        <v/>
      </c>
      <c r="C130" s="15" t="str">
        <f>[3]bel!E128</f>
        <v/>
      </c>
      <c r="D130" s="15" t="str">
        <f>[3]bel!F128</f>
        <v/>
      </c>
      <c r="E130" s="71" t="str">
        <f>[3]bel!G128</f>
        <v/>
      </c>
      <c r="F130" s="62" t="str">
        <f>[3]bel!H128</f>
        <v/>
      </c>
      <c r="G130" s="13" t="e">
        <f>VLOOKUP([3]bel!N128,#REF!,2,FALSE)</f>
        <v>#REF!</v>
      </c>
      <c r="H130" s="13"/>
      <c r="I130" s="14" t="str">
        <f>[3]bel!Y128</f>
        <v/>
      </c>
      <c r="J130" s="23" t="str">
        <f>[3]bel!O128</f>
        <v/>
      </c>
      <c r="K130" s="36" t="str">
        <f>[3]bel!T128</f>
        <v/>
      </c>
      <c r="L130" s="24" t="e" cm="1">
        <f t="array" ref="L130">_xlfn.IFS([3]bel!X128="Bozankaya","Bozankaya",[3]bel!X128="Müşteri","Customer",[3]bel!X128="Tedarikçi","Equipment Supplier")</f>
        <v>#N/A</v>
      </c>
      <c r="M130" s="61" t="str">
        <f>[3]bel!P128</f>
        <v/>
      </c>
      <c r="N130" s="25" t="str">
        <f>[3]bel!AG128</f>
        <v/>
      </c>
      <c r="O130" s="25" t="str">
        <f>[3]bel!Z128</f>
        <v/>
      </c>
      <c r="P130" s="17" t="str">
        <f>[3]bel!BB128</f>
        <v/>
      </c>
      <c r="Q130" s="62" t="str">
        <f>[3]bel!AH128</f>
        <v/>
      </c>
      <c r="R130" s="62" t="str">
        <f>[3]bel!BC128</f>
        <v/>
      </c>
      <c r="S130" s="45" t="str">
        <f t="shared" si="6"/>
        <v/>
      </c>
      <c r="T130" s="62" t="str">
        <f>[3]bel!BC128</f>
        <v/>
      </c>
      <c r="U130" s="40" t="str">
        <f>[3]bel!V128</f>
        <v/>
      </c>
      <c r="V130" s="45" cm="1">
        <f t="array" ref="V130">IFERROR(IF(AND(K130&lt;&gt;"D(Arıza Değil)",#REF!="Bu Arıza Aracın Servise Verilmesine Engel Değil"),
IF(#REF!-#REF!&gt;0,(R130-Q130)*24*60,
IF(OR(AND(#REF!&gt;$AA$1,#REF!&lt;#REF!),AND(#REF!&gt;#REF!,#REF!&lt;#REF!)),
(T130-F130)*24*60,     BH:BH0)),        W130),0)</f>
        <v>0</v>
      </c>
      <c r="W130" s="45" t="str">
        <f t="shared" si="7"/>
        <v/>
      </c>
      <c r="X130" s="39" t="str">
        <f>[3]bel!AL128</f>
        <v/>
      </c>
      <c r="Y130" s="39" t="str">
        <f>[3]bel!AT128</f>
        <v/>
      </c>
      <c r="Z130" s="39" t="str">
        <f>[3]bel!AK128</f>
        <v/>
      </c>
      <c r="AA130" s="39" t="str">
        <f>[3]bel!AM128</f>
        <v/>
      </c>
      <c r="AB130" s="57" t="e">
        <f>P130*S130*#REF!</f>
        <v>#VALUE!</v>
      </c>
    </row>
    <row r="131" spans="1:28" ht="118.5" customHeight="1" x14ac:dyDescent="0.25">
      <c r="A131" s="35" t="str">
        <f>[3]bel!C129</f>
        <v/>
      </c>
      <c r="B131" s="35" t="str">
        <f>[3]bel!D129</f>
        <v/>
      </c>
      <c r="C131" s="15" t="str">
        <f>[3]bel!E129</f>
        <v/>
      </c>
      <c r="D131" s="15" t="str">
        <f>[3]bel!F129</f>
        <v/>
      </c>
      <c r="E131" s="71" t="str">
        <f>[3]bel!G129</f>
        <v/>
      </c>
      <c r="F131" s="62" t="str">
        <f>[3]bel!H129</f>
        <v/>
      </c>
      <c r="G131" s="13" t="e">
        <f>VLOOKUP([3]bel!N129,#REF!,2,FALSE)</f>
        <v>#REF!</v>
      </c>
      <c r="H131" s="13"/>
      <c r="I131" s="14" t="str">
        <f>[3]bel!Y129</f>
        <v/>
      </c>
      <c r="J131" s="23" t="str">
        <f>[3]bel!O129</f>
        <v/>
      </c>
      <c r="K131" s="36" t="str">
        <f>[3]bel!T129</f>
        <v/>
      </c>
      <c r="L131" s="24" t="e" cm="1">
        <f t="array" ref="L131">_xlfn.IFS([3]bel!X129="Bozankaya","Bozankaya",[3]bel!X129="Müşteri","Customer",[3]bel!X129="Tedarikçi","Equipment Supplier")</f>
        <v>#N/A</v>
      </c>
      <c r="M131" s="61" t="str">
        <f>[3]bel!P129</f>
        <v/>
      </c>
      <c r="N131" s="25" t="str">
        <f>[3]bel!AG129</f>
        <v/>
      </c>
      <c r="O131" s="25" t="str">
        <f>[3]bel!Z129</f>
        <v/>
      </c>
      <c r="P131" s="17" t="str">
        <f>[3]bel!BB129</f>
        <v/>
      </c>
      <c r="Q131" s="62" t="str">
        <f>[3]bel!AH129</f>
        <v/>
      </c>
      <c r="R131" s="62" t="str">
        <f>[3]bel!BC129</f>
        <v/>
      </c>
      <c r="S131" s="45" t="str">
        <f t="shared" si="6"/>
        <v/>
      </c>
      <c r="T131" s="62" t="str">
        <f>[3]bel!BC129</f>
        <v/>
      </c>
      <c r="U131" s="40" t="str">
        <f>[3]bel!V129</f>
        <v/>
      </c>
      <c r="V131" s="45" cm="1">
        <f t="array" ref="V131">IFERROR(IF(AND(K131&lt;&gt;"D(Arıza Değil)",#REF!="Bu Arıza Aracın Servise Verilmesine Engel Değil"),
IF(#REF!-#REF!&gt;0,(R131-Q131)*24*60,
IF(OR(AND(#REF!&gt;$AA$1,#REF!&lt;#REF!),AND(#REF!&gt;#REF!,#REF!&lt;#REF!)),
(T131-F131)*24*60,     BH:BH0)),        W131),0)</f>
        <v>0</v>
      </c>
      <c r="W131" s="45" t="str">
        <f t="shared" si="7"/>
        <v/>
      </c>
      <c r="X131" s="39" t="str">
        <f>[3]bel!AL129</f>
        <v/>
      </c>
      <c r="Y131" s="39" t="str">
        <f>[3]bel!AT129</f>
        <v/>
      </c>
      <c r="Z131" s="39" t="str">
        <f>[3]bel!AK129</f>
        <v/>
      </c>
      <c r="AA131" s="39" t="str">
        <f>[3]bel!AM129</f>
        <v/>
      </c>
      <c r="AB131" s="57" t="e">
        <f>P131*S131*#REF!</f>
        <v>#VALUE!</v>
      </c>
    </row>
    <row r="132" spans="1:28" ht="118.5" customHeight="1" x14ac:dyDescent="0.25">
      <c r="A132" s="35" t="str">
        <f>[3]bel!C130</f>
        <v/>
      </c>
      <c r="B132" s="35" t="str">
        <f>[3]bel!D130</f>
        <v/>
      </c>
      <c r="C132" s="15" t="str">
        <f>[3]bel!E130</f>
        <v/>
      </c>
      <c r="D132" s="15" t="str">
        <f>[3]bel!F130</f>
        <v/>
      </c>
      <c r="E132" s="71" t="str">
        <f>[3]bel!G130</f>
        <v/>
      </c>
      <c r="F132" s="62" t="str">
        <f>[3]bel!H130</f>
        <v/>
      </c>
      <c r="G132" s="13" t="e">
        <f>VLOOKUP([3]bel!N130,#REF!,2,FALSE)</f>
        <v>#REF!</v>
      </c>
      <c r="H132" s="13"/>
      <c r="I132" s="14" t="str">
        <f>[3]bel!Y130</f>
        <v/>
      </c>
      <c r="J132" s="23" t="str">
        <f>[3]bel!O130</f>
        <v/>
      </c>
      <c r="K132" s="36" t="str">
        <f>[3]bel!T130</f>
        <v/>
      </c>
      <c r="L132" s="24" t="e" cm="1">
        <f t="array" ref="L132">_xlfn.IFS([3]bel!X130="Bozankaya","Bozankaya",[3]bel!X130="Müşteri","Customer",[3]bel!X130="Tedarikçi","Equipment Supplier")</f>
        <v>#N/A</v>
      </c>
      <c r="M132" s="61" t="str">
        <f>[3]bel!P130</f>
        <v/>
      </c>
      <c r="N132" s="25" t="str">
        <f>[3]bel!AG130</f>
        <v/>
      </c>
      <c r="O132" s="25" t="str">
        <f>[3]bel!Z130</f>
        <v/>
      </c>
      <c r="P132" s="17" t="str">
        <f>[3]bel!BB130</f>
        <v/>
      </c>
      <c r="Q132" s="62" t="str">
        <f>[3]bel!AH130</f>
        <v/>
      </c>
      <c r="R132" s="62" t="str">
        <f>[3]bel!BC130</f>
        <v/>
      </c>
      <c r="S132" s="45" t="str">
        <f t="shared" si="6"/>
        <v/>
      </c>
      <c r="T132" s="62" t="str">
        <f>[3]bel!BC130</f>
        <v/>
      </c>
      <c r="U132" s="40" t="str">
        <f>[3]bel!V130</f>
        <v/>
      </c>
      <c r="V132" s="45" cm="1">
        <f t="array" ref="V132">IFERROR(IF(AND(K132&lt;&gt;"D(Arıza Değil)",#REF!="Bu Arıza Aracın Servise Verilmesine Engel Değil"),
IF(#REF!-#REF!&gt;0,(R132-Q132)*24*60,
IF(OR(AND(#REF!&gt;$AA$1,#REF!&lt;#REF!),AND(#REF!&gt;#REF!,#REF!&lt;#REF!)),
(T132-F132)*24*60,     BH:BH0)),        W132),0)</f>
        <v>0</v>
      </c>
      <c r="W132" s="45" t="str">
        <f t="shared" si="7"/>
        <v/>
      </c>
      <c r="X132" s="39" t="str">
        <f>[3]bel!AL130</f>
        <v/>
      </c>
      <c r="Y132" s="39" t="str">
        <f>[3]bel!AT130</f>
        <v/>
      </c>
      <c r="Z132" s="39" t="str">
        <f>[3]bel!AK130</f>
        <v/>
      </c>
      <c r="AA132" s="39" t="str">
        <f>[3]bel!AM130</f>
        <v/>
      </c>
      <c r="AB132" s="57" t="e">
        <f>P132*S132*#REF!</f>
        <v>#VALUE!</v>
      </c>
    </row>
    <row r="133" spans="1:28" ht="118.5" customHeight="1" x14ac:dyDescent="0.25">
      <c r="A133" s="35" t="str">
        <f>[3]bel!C131</f>
        <v/>
      </c>
      <c r="B133" s="35" t="str">
        <f>[3]bel!D131</f>
        <v/>
      </c>
      <c r="C133" s="15" t="str">
        <f>[3]bel!E131</f>
        <v/>
      </c>
      <c r="D133" s="15" t="str">
        <f>[3]bel!F131</f>
        <v/>
      </c>
      <c r="E133" s="71" t="str">
        <f>[3]bel!G131</f>
        <v/>
      </c>
      <c r="F133" s="62" t="str">
        <f>[3]bel!H131</f>
        <v/>
      </c>
      <c r="G133" s="13" t="e">
        <f>VLOOKUP([3]bel!N131,#REF!,2,FALSE)</f>
        <v>#REF!</v>
      </c>
      <c r="H133" s="13"/>
      <c r="I133" s="14" t="str">
        <f>[3]bel!Y131</f>
        <v/>
      </c>
      <c r="J133" s="23" t="str">
        <f>[3]bel!O131</f>
        <v/>
      </c>
      <c r="K133" s="36" t="str">
        <f>[3]bel!T131</f>
        <v/>
      </c>
      <c r="L133" s="24" t="e" cm="1">
        <f t="array" ref="L133">_xlfn.IFS([3]bel!X131="Bozankaya","Bozankaya",[3]bel!X131="Müşteri","Customer",[3]bel!X131="Tedarikçi","Equipment Supplier")</f>
        <v>#N/A</v>
      </c>
      <c r="M133" s="61" t="str">
        <f>[3]bel!P131</f>
        <v/>
      </c>
      <c r="N133" s="25" t="str">
        <f>[3]bel!AG131</f>
        <v/>
      </c>
      <c r="O133" s="25" t="str">
        <f>[3]bel!Z131</f>
        <v/>
      </c>
      <c r="P133" s="17" t="str">
        <f>[3]bel!BB131</f>
        <v/>
      </c>
      <c r="Q133" s="62" t="str">
        <f>[3]bel!AH131</f>
        <v/>
      </c>
      <c r="R133" s="62" t="str">
        <f>[3]bel!BC131</f>
        <v/>
      </c>
      <c r="S133" s="45" t="str">
        <f t="shared" ref="S133:S164" si="8">IF(T133="","",(T133-F133)*24*60)</f>
        <v/>
      </c>
      <c r="T133" s="62" t="str">
        <f>[3]bel!BC131</f>
        <v/>
      </c>
      <c r="U133" s="40" t="str">
        <f>[3]bel!V131</f>
        <v/>
      </c>
      <c r="V133" s="45" cm="1">
        <f t="array" ref="V133">IFERROR(IF(AND(K133&lt;&gt;"D(Arıza Değil)",#REF!="Bu Arıza Aracın Servise Verilmesine Engel Değil"),
IF(#REF!-#REF!&gt;0,(R133-Q133)*24*60,
IF(OR(AND(#REF!&gt;$AA$1,#REF!&lt;#REF!),AND(#REF!&gt;#REF!,#REF!&lt;#REF!)),
(T133-F133)*24*60,     BH:BH0)),        W133),0)</f>
        <v>0</v>
      </c>
      <c r="W133" s="45" t="str">
        <f t="shared" ref="W133:W161" si="9">IFERROR(IF(K133&lt;&gt;"D(Arıza Değil)",S133,0),0)</f>
        <v/>
      </c>
      <c r="X133" s="39" t="str">
        <f>[3]bel!AL131</f>
        <v/>
      </c>
      <c r="Y133" s="39" t="str">
        <f>[3]bel!AT131</f>
        <v/>
      </c>
      <c r="Z133" s="39" t="str">
        <f>[3]bel!AK131</f>
        <v/>
      </c>
      <c r="AA133" s="39" t="str">
        <f>[3]bel!AM131</f>
        <v/>
      </c>
      <c r="AB133" s="57" t="e">
        <f>P133*S133*#REF!</f>
        <v>#VALUE!</v>
      </c>
    </row>
    <row r="134" spans="1:28" ht="118.5" customHeight="1" x14ac:dyDescent="0.25">
      <c r="A134" s="35" t="str">
        <f>[3]bel!C132</f>
        <v/>
      </c>
      <c r="B134" s="35" t="str">
        <f>[3]bel!D132</f>
        <v/>
      </c>
      <c r="C134" s="15" t="str">
        <f>[3]bel!E132</f>
        <v/>
      </c>
      <c r="D134" s="15" t="str">
        <f>[3]bel!F132</f>
        <v/>
      </c>
      <c r="E134" s="71" t="str">
        <f>[3]bel!G132</f>
        <v/>
      </c>
      <c r="F134" s="62" t="str">
        <f>[3]bel!H132</f>
        <v/>
      </c>
      <c r="G134" s="13" t="e">
        <f>VLOOKUP([3]bel!N132,#REF!,2,FALSE)</f>
        <v>#REF!</v>
      </c>
      <c r="H134" s="13"/>
      <c r="I134" s="14" t="str">
        <f>[3]bel!Y132</f>
        <v/>
      </c>
      <c r="J134" s="23" t="str">
        <f>[3]bel!O132</f>
        <v/>
      </c>
      <c r="K134" s="36" t="str">
        <f>[3]bel!T132</f>
        <v/>
      </c>
      <c r="L134" s="24" t="e" cm="1">
        <f t="array" ref="L134">_xlfn.IFS([3]bel!X132="Bozankaya","Bozankaya",[3]bel!X132="Müşteri","Customer",[3]bel!X132="Tedarikçi","Equipment Supplier")</f>
        <v>#N/A</v>
      </c>
      <c r="M134" s="61" t="str">
        <f>[3]bel!P132</f>
        <v/>
      </c>
      <c r="N134" s="25" t="str">
        <f>[3]bel!AG132</f>
        <v/>
      </c>
      <c r="O134" s="25" t="str">
        <f>[3]bel!Z132</f>
        <v/>
      </c>
      <c r="P134" s="17" t="str">
        <f>[3]bel!BB132</f>
        <v/>
      </c>
      <c r="Q134" s="62" t="str">
        <f>[3]bel!AH132</f>
        <v/>
      </c>
      <c r="R134" s="62" t="str">
        <f>[3]bel!BC132</f>
        <v/>
      </c>
      <c r="S134" s="45" t="str">
        <f t="shared" si="8"/>
        <v/>
      </c>
      <c r="T134" s="62" t="str">
        <f>[3]bel!BC132</f>
        <v/>
      </c>
      <c r="U134" s="40" t="str">
        <f>[3]bel!V132</f>
        <v/>
      </c>
      <c r="V134" s="45" cm="1">
        <f t="array" ref="V134">IFERROR(IF(AND(K134&lt;&gt;"D(Arıza Değil)",#REF!="Bu Arıza Aracın Servise Verilmesine Engel Değil"),
IF(#REF!-#REF!&gt;0,(R134-Q134)*24*60,
IF(OR(AND(#REF!&gt;$AA$1,#REF!&lt;#REF!),AND(#REF!&gt;#REF!,#REF!&lt;#REF!)),
(T134-F134)*24*60,     BH:BH0)),        W134),0)</f>
        <v>0</v>
      </c>
      <c r="W134" s="45" t="str">
        <f t="shared" si="9"/>
        <v/>
      </c>
      <c r="X134" s="39" t="str">
        <f>[3]bel!AL132</f>
        <v/>
      </c>
      <c r="Y134" s="39" t="str">
        <f>[3]bel!AT132</f>
        <v/>
      </c>
      <c r="Z134" s="39" t="str">
        <f>[3]bel!AK132</f>
        <v/>
      </c>
      <c r="AA134" s="39" t="str">
        <f>[3]bel!AM132</f>
        <v/>
      </c>
      <c r="AB134" s="57" t="e">
        <f>P134*S134*#REF!</f>
        <v>#VALUE!</v>
      </c>
    </row>
    <row r="135" spans="1:28" ht="118.5" customHeight="1" x14ac:dyDescent="0.25">
      <c r="A135" s="35" t="str">
        <f>[3]bel!C133</f>
        <v/>
      </c>
      <c r="B135" s="35" t="str">
        <f>[3]bel!D133</f>
        <v/>
      </c>
      <c r="C135" s="15" t="str">
        <f>[3]bel!E133</f>
        <v/>
      </c>
      <c r="D135" s="15" t="str">
        <f>[3]bel!F133</f>
        <v/>
      </c>
      <c r="E135" s="71" t="str">
        <f>[3]bel!G133</f>
        <v/>
      </c>
      <c r="F135" s="62" t="str">
        <f>[3]bel!H133</f>
        <v/>
      </c>
      <c r="G135" s="13" t="e">
        <f>VLOOKUP([3]bel!N133,#REF!,2,FALSE)</f>
        <v>#REF!</v>
      </c>
      <c r="H135" s="13"/>
      <c r="I135" s="14" t="str">
        <f>[3]bel!Y133</f>
        <v/>
      </c>
      <c r="J135" s="23" t="str">
        <f>[3]bel!O133</f>
        <v/>
      </c>
      <c r="K135" s="36" t="str">
        <f>[3]bel!T133</f>
        <v/>
      </c>
      <c r="L135" s="24" t="e" cm="1">
        <f t="array" ref="L135">_xlfn.IFS([3]bel!X133="Bozankaya","Bozankaya",[3]bel!X133="Müşteri","Customer",[3]bel!X133="Tedarikçi","Equipment Supplier")</f>
        <v>#N/A</v>
      </c>
      <c r="M135" s="61" t="str">
        <f>[3]bel!P133</f>
        <v/>
      </c>
      <c r="N135" s="25" t="str">
        <f>[3]bel!AG133</f>
        <v/>
      </c>
      <c r="O135" s="25" t="str">
        <f>[3]bel!Z133</f>
        <v/>
      </c>
      <c r="P135" s="17" t="str">
        <f>[3]bel!BB133</f>
        <v/>
      </c>
      <c r="Q135" s="62" t="str">
        <f>[3]bel!AH133</f>
        <v/>
      </c>
      <c r="R135" s="62" t="str">
        <f>[3]bel!BC133</f>
        <v/>
      </c>
      <c r="S135" s="45" t="str">
        <f t="shared" si="8"/>
        <v/>
      </c>
      <c r="T135" s="62" t="str">
        <f>[3]bel!BC133</f>
        <v/>
      </c>
      <c r="U135" s="40" t="str">
        <f>[3]bel!V133</f>
        <v/>
      </c>
      <c r="V135" s="45" cm="1">
        <f t="array" ref="V135">IFERROR(IF(AND(K135&lt;&gt;"D(Arıza Değil)",#REF!="Bu Arıza Aracın Servise Verilmesine Engel Değil"),
IF(#REF!-#REF!&gt;0,(R135-Q135)*24*60,
IF(OR(AND(#REF!&gt;$AA$1,#REF!&lt;#REF!),AND(#REF!&gt;#REF!,#REF!&lt;#REF!)),
(T135-F135)*24*60,     BH:BH0)),        W135),0)</f>
        <v>0</v>
      </c>
      <c r="W135" s="45" t="str">
        <f t="shared" si="9"/>
        <v/>
      </c>
      <c r="X135" s="39" t="str">
        <f>[3]bel!AL133</f>
        <v/>
      </c>
      <c r="Y135" s="39" t="str">
        <f>[3]bel!AT133</f>
        <v/>
      </c>
      <c r="Z135" s="39" t="str">
        <f>[3]bel!AK133</f>
        <v/>
      </c>
      <c r="AA135" s="39" t="str">
        <f>[3]bel!AM133</f>
        <v/>
      </c>
      <c r="AB135" s="57" t="e">
        <f>P135*S135*#REF!</f>
        <v>#VALUE!</v>
      </c>
    </row>
    <row r="136" spans="1:28" ht="118.5" customHeight="1" x14ac:dyDescent="0.25">
      <c r="A136" s="35" t="str">
        <f>[3]bel!C134</f>
        <v/>
      </c>
      <c r="B136" s="35" t="str">
        <f>[3]bel!D134</f>
        <v/>
      </c>
      <c r="C136" s="15" t="str">
        <f>[3]bel!E134</f>
        <v/>
      </c>
      <c r="D136" s="15" t="str">
        <f>[3]bel!F134</f>
        <v/>
      </c>
      <c r="E136" s="71" t="str">
        <f>[3]bel!G134</f>
        <v/>
      </c>
      <c r="F136" s="62" t="str">
        <f>[3]bel!H134</f>
        <v/>
      </c>
      <c r="G136" s="13" t="e">
        <f>VLOOKUP([3]bel!N134,#REF!,2,FALSE)</f>
        <v>#REF!</v>
      </c>
      <c r="H136" s="13"/>
      <c r="I136" s="14" t="str">
        <f>[3]bel!Y134</f>
        <v/>
      </c>
      <c r="J136" s="23" t="str">
        <f>[3]bel!O134</f>
        <v/>
      </c>
      <c r="K136" s="36" t="str">
        <f>[3]bel!T134</f>
        <v/>
      </c>
      <c r="L136" s="24" t="e" cm="1">
        <f t="array" ref="L136">_xlfn.IFS([3]bel!X134="Bozankaya","Bozankaya",[3]bel!X134="Müşteri","Customer",[3]bel!X134="Tedarikçi","Equipment Supplier")</f>
        <v>#N/A</v>
      </c>
      <c r="M136" s="61" t="str">
        <f>[3]bel!P134</f>
        <v/>
      </c>
      <c r="N136" s="25" t="str">
        <f>[3]bel!AG134</f>
        <v/>
      </c>
      <c r="O136" s="25" t="str">
        <f>[3]bel!Z134</f>
        <v/>
      </c>
      <c r="P136" s="17" t="str">
        <f>[3]bel!BB134</f>
        <v/>
      </c>
      <c r="Q136" s="62" t="str">
        <f>[3]bel!AH134</f>
        <v/>
      </c>
      <c r="R136" s="62" t="str">
        <f>[3]bel!BC134</f>
        <v/>
      </c>
      <c r="S136" s="45" t="str">
        <f t="shared" si="8"/>
        <v/>
      </c>
      <c r="T136" s="62" t="str">
        <f>[3]bel!BC134</f>
        <v/>
      </c>
      <c r="U136" s="40" t="str">
        <f>[3]bel!V134</f>
        <v/>
      </c>
      <c r="V136" s="45" cm="1">
        <f t="array" ref="V136">IFERROR(IF(AND(K136&lt;&gt;"D(Arıza Değil)",#REF!="Bu Arıza Aracın Servise Verilmesine Engel Değil"),
IF(#REF!-#REF!&gt;0,(R136-Q136)*24*60,
IF(OR(AND(#REF!&gt;$AA$1,#REF!&lt;#REF!),AND(#REF!&gt;#REF!,#REF!&lt;#REF!)),
(T136-F136)*24*60,     BH:BH0)),        W136),0)</f>
        <v>0</v>
      </c>
      <c r="W136" s="45" t="str">
        <f t="shared" si="9"/>
        <v/>
      </c>
      <c r="X136" s="39" t="str">
        <f>[3]bel!AL134</f>
        <v/>
      </c>
      <c r="Y136" s="39" t="str">
        <f>[3]bel!AT134</f>
        <v/>
      </c>
      <c r="Z136" s="39" t="str">
        <f>[3]bel!AK134</f>
        <v/>
      </c>
      <c r="AA136" s="39" t="str">
        <f>[3]bel!AM134</f>
        <v/>
      </c>
      <c r="AB136" s="57" t="e">
        <f>P136*S136*#REF!</f>
        <v>#VALUE!</v>
      </c>
    </row>
    <row r="137" spans="1:28" ht="118.5" customHeight="1" x14ac:dyDescent="0.25">
      <c r="A137" s="35" t="str">
        <f>[3]bel!C135</f>
        <v/>
      </c>
      <c r="B137" s="35" t="str">
        <f>[3]bel!D135</f>
        <v/>
      </c>
      <c r="C137" s="15" t="str">
        <f>[3]bel!E135</f>
        <v/>
      </c>
      <c r="D137" s="15" t="str">
        <f>[3]bel!F135</f>
        <v/>
      </c>
      <c r="E137" s="71" t="str">
        <f>[3]bel!G135</f>
        <v/>
      </c>
      <c r="F137" s="62" t="str">
        <f>[3]bel!H135</f>
        <v/>
      </c>
      <c r="G137" s="13" t="e">
        <f>VLOOKUP([3]bel!N135,#REF!,2,FALSE)</f>
        <v>#REF!</v>
      </c>
      <c r="H137" s="13"/>
      <c r="I137" s="14" t="str">
        <f>[3]bel!Y135</f>
        <v/>
      </c>
      <c r="J137" s="23" t="str">
        <f>[3]bel!O135</f>
        <v/>
      </c>
      <c r="K137" s="36" t="str">
        <f>[3]bel!T135</f>
        <v/>
      </c>
      <c r="L137" s="24" t="e" cm="1">
        <f t="array" ref="L137">_xlfn.IFS([3]bel!X135="Bozankaya","Bozankaya",[3]bel!X135="Müşteri","Customer",[3]bel!X135="Tedarikçi","Equipment Supplier")</f>
        <v>#N/A</v>
      </c>
      <c r="M137" s="61" t="str">
        <f>[3]bel!P135</f>
        <v/>
      </c>
      <c r="N137" s="25" t="str">
        <f>[3]bel!AG135</f>
        <v/>
      </c>
      <c r="O137" s="25" t="str">
        <f>[3]bel!Z135</f>
        <v/>
      </c>
      <c r="P137" s="17" t="str">
        <f>[3]bel!BB135</f>
        <v/>
      </c>
      <c r="Q137" s="62" t="str">
        <f>[3]bel!AH135</f>
        <v/>
      </c>
      <c r="R137" s="62" t="str">
        <f>[3]bel!BC135</f>
        <v/>
      </c>
      <c r="S137" s="45" t="str">
        <f t="shared" si="8"/>
        <v/>
      </c>
      <c r="T137" s="62" t="str">
        <f>[3]bel!BC135</f>
        <v/>
      </c>
      <c r="U137" s="40" t="str">
        <f>[3]bel!V135</f>
        <v/>
      </c>
      <c r="V137" s="45" cm="1">
        <f t="array" ref="V137">IFERROR(IF(AND(K137&lt;&gt;"D(Arıza Değil)",#REF!="Bu Arıza Aracın Servise Verilmesine Engel Değil"),
IF(#REF!-#REF!&gt;0,(R137-Q137)*24*60,
IF(OR(AND(#REF!&gt;$AA$1,#REF!&lt;#REF!),AND(#REF!&gt;#REF!,#REF!&lt;#REF!)),
(T137-F137)*24*60,     BH:BH0)),        W137),0)</f>
        <v>0</v>
      </c>
      <c r="W137" s="45" t="str">
        <f t="shared" si="9"/>
        <v/>
      </c>
      <c r="X137" s="39" t="str">
        <f>[3]bel!AL135</f>
        <v/>
      </c>
      <c r="Y137" s="39" t="str">
        <f>[3]bel!AT135</f>
        <v/>
      </c>
      <c r="Z137" s="39" t="str">
        <f>[3]bel!AK135</f>
        <v/>
      </c>
      <c r="AA137" s="39" t="str">
        <f>[3]bel!AM135</f>
        <v/>
      </c>
      <c r="AB137" s="57" t="e">
        <f>P137*S137*#REF!</f>
        <v>#VALUE!</v>
      </c>
    </row>
    <row r="138" spans="1:28" ht="118.5" customHeight="1" x14ac:dyDescent="0.25">
      <c r="A138" s="35" t="str">
        <f>[3]bel!C136</f>
        <v/>
      </c>
      <c r="B138" s="35" t="str">
        <f>[3]bel!D136</f>
        <v/>
      </c>
      <c r="C138" s="15" t="str">
        <f>[3]bel!E136</f>
        <v/>
      </c>
      <c r="D138" s="15" t="str">
        <f>[3]bel!F136</f>
        <v/>
      </c>
      <c r="E138" s="71" t="str">
        <f>[3]bel!G136</f>
        <v/>
      </c>
      <c r="F138" s="62" t="str">
        <f>[3]bel!H136</f>
        <v/>
      </c>
      <c r="G138" s="13" t="e">
        <f>VLOOKUP([3]bel!N136,#REF!,2,FALSE)</f>
        <v>#REF!</v>
      </c>
      <c r="H138" s="13"/>
      <c r="I138" s="14" t="str">
        <f>[3]bel!Y136</f>
        <v/>
      </c>
      <c r="J138" s="23" t="str">
        <f>[3]bel!O136</f>
        <v/>
      </c>
      <c r="K138" s="36" t="str">
        <f>[3]bel!T136</f>
        <v/>
      </c>
      <c r="L138" s="24" t="e" cm="1">
        <f t="array" ref="L138">_xlfn.IFS([3]bel!X136="Bozankaya","Bozankaya",[3]bel!X136="Müşteri","Customer",[3]bel!X136="Tedarikçi","Equipment Supplier")</f>
        <v>#N/A</v>
      </c>
      <c r="M138" s="61" t="str">
        <f>[3]bel!P136</f>
        <v/>
      </c>
      <c r="N138" s="25" t="str">
        <f>[3]bel!AG136</f>
        <v/>
      </c>
      <c r="O138" s="25" t="str">
        <f>[3]bel!Z136</f>
        <v/>
      </c>
      <c r="P138" s="17" t="str">
        <f>[3]bel!BB136</f>
        <v/>
      </c>
      <c r="Q138" s="62" t="str">
        <f>[3]bel!AH136</f>
        <v/>
      </c>
      <c r="R138" s="62" t="str">
        <f>[3]bel!BC136</f>
        <v/>
      </c>
      <c r="S138" s="45" t="str">
        <f t="shared" si="8"/>
        <v/>
      </c>
      <c r="T138" s="62" t="str">
        <f>[3]bel!BC136</f>
        <v/>
      </c>
      <c r="U138" s="40" t="str">
        <f>[3]bel!V136</f>
        <v/>
      </c>
      <c r="V138" s="45" cm="1">
        <f t="array" ref="V138">IFERROR(IF(AND(K138&lt;&gt;"D(Arıza Değil)",#REF!="Bu Arıza Aracın Servise Verilmesine Engel Değil"),
IF(#REF!-#REF!&gt;0,(R138-Q138)*24*60,
IF(OR(AND(#REF!&gt;$AA$1,#REF!&lt;#REF!),AND(#REF!&gt;#REF!,#REF!&lt;#REF!)),
(T138-F138)*24*60,     BH:BH0)),        W138),0)</f>
        <v>0</v>
      </c>
      <c r="W138" s="45" t="str">
        <f t="shared" si="9"/>
        <v/>
      </c>
      <c r="X138" s="39" t="str">
        <f>[3]bel!AL136</f>
        <v/>
      </c>
      <c r="Y138" s="39" t="str">
        <f>[3]bel!AT136</f>
        <v/>
      </c>
      <c r="Z138" s="39" t="str">
        <f>[3]bel!AK136</f>
        <v/>
      </c>
      <c r="AA138" s="39" t="str">
        <f>[3]bel!AM136</f>
        <v/>
      </c>
      <c r="AB138" s="57" t="e">
        <f>P138*S138*#REF!</f>
        <v>#VALUE!</v>
      </c>
    </row>
    <row r="139" spans="1:28" ht="118.5" customHeight="1" x14ac:dyDescent="0.25">
      <c r="A139" s="35" t="str">
        <f>[3]bel!C137</f>
        <v/>
      </c>
      <c r="B139" s="35" t="str">
        <f>[3]bel!D137</f>
        <v/>
      </c>
      <c r="C139" s="15" t="str">
        <f>[3]bel!E137</f>
        <v/>
      </c>
      <c r="D139" s="15" t="str">
        <f>[3]bel!F137</f>
        <v/>
      </c>
      <c r="E139" s="71" t="str">
        <f>[3]bel!G137</f>
        <v/>
      </c>
      <c r="F139" s="62" t="str">
        <f>[3]bel!H137</f>
        <v/>
      </c>
      <c r="G139" s="13" t="e">
        <f>VLOOKUP([3]bel!N137,#REF!,2,FALSE)</f>
        <v>#REF!</v>
      </c>
      <c r="H139" s="13"/>
      <c r="I139" s="14" t="str">
        <f>[3]bel!Y137</f>
        <v/>
      </c>
      <c r="J139" s="23" t="str">
        <f>[3]bel!O137</f>
        <v/>
      </c>
      <c r="K139" s="36" t="str">
        <f>[3]bel!T137</f>
        <v/>
      </c>
      <c r="L139" s="24" t="e" cm="1">
        <f t="array" ref="L139">_xlfn.IFS([3]bel!X137="Bozankaya","Bozankaya",[3]bel!X137="Müşteri","Customer",[3]bel!X137="Tedarikçi","Equipment Supplier")</f>
        <v>#N/A</v>
      </c>
      <c r="M139" s="61" t="str">
        <f>[3]bel!P137</f>
        <v/>
      </c>
      <c r="N139" s="25" t="str">
        <f>[3]bel!AG137</f>
        <v/>
      </c>
      <c r="O139" s="25" t="str">
        <f>[3]bel!Z137</f>
        <v/>
      </c>
      <c r="P139" s="17" t="str">
        <f>[3]bel!BB137</f>
        <v/>
      </c>
      <c r="Q139" s="62" t="str">
        <f>[3]bel!AH137</f>
        <v/>
      </c>
      <c r="R139" s="62" t="str">
        <f>[3]bel!BC137</f>
        <v/>
      </c>
      <c r="S139" s="45" t="str">
        <f t="shared" si="8"/>
        <v/>
      </c>
      <c r="T139" s="62" t="str">
        <f>[3]bel!BC137</f>
        <v/>
      </c>
      <c r="U139" s="40" t="str">
        <f>[3]bel!V137</f>
        <v/>
      </c>
      <c r="V139" s="45" cm="1">
        <f t="array" ref="V139">IFERROR(IF(AND(K139&lt;&gt;"D(Arıza Değil)",#REF!="Bu Arıza Aracın Servise Verilmesine Engel Değil"),
IF(#REF!-#REF!&gt;0,(R139-Q139)*24*60,
IF(OR(AND(#REF!&gt;$AA$1,#REF!&lt;#REF!),AND(#REF!&gt;#REF!,#REF!&lt;#REF!)),
(T139-F139)*24*60,     BH:BH0)),        W139),0)</f>
        <v>0</v>
      </c>
      <c r="W139" s="45" t="str">
        <f t="shared" si="9"/>
        <v/>
      </c>
      <c r="X139" s="39" t="str">
        <f>[3]bel!AL137</f>
        <v/>
      </c>
      <c r="Y139" s="39" t="str">
        <f>[3]bel!AT137</f>
        <v/>
      </c>
      <c r="Z139" s="39" t="str">
        <f>[3]bel!AK137</f>
        <v/>
      </c>
      <c r="AA139" s="39" t="str">
        <f>[3]bel!AM137</f>
        <v/>
      </c>
      <c r="AB139" s="57" t="e">
        <f>P139*S139*#REF!</f>
        <v>#VALUE!</v>
      </c>
    </row>
    <row r="140" spans="1:28" ht="118.5" customHeight="1" x14ac:dyDescent="0.25">
      <c r="A140" s="35" t="str">
        <f>[3]bel!C138</f>
        <v/>
      </c>
      <c r="B140" s="35" t="str">
        <f>[3]bel!D138</f>
        <v/>
      </c>
      <c r="C140" s="15" t="str">
        <f>[3]bel!E138</f>
        <v/>
      </c>
      <c r="D140" s="15" t="str">
        <f>[3]bel!F138</f>
        <v/>
      </c>
      <c r="E140" s="71" t="str">
        <f>[3]bel!G138</f>
        <v/>
      </c>
      <c r="F140" s="62" t="str">
        <f>[3]bel!H138</f>
        <v/>
      </c>
      <c r="G140" s="13" t="e">
        <f>VLOOKUP([3]bel!N138,#REF!,2,FALSE)</f>
        <v>#REF!</v>
      </c>
      <c r="H140" s="13"/>
      <c r="I140" s="14" t="str">
        <f>[3]bel!Y138</f>
        <v/>
      </c>
      <c r="J140" s="23" t="str">
        <f>[3]bel!O138</f>
        <v/>
      </c>
      <c r="K140" s="36" t="str">
        <f>[3]bel!T138</f>
        <v/>
      </c>
      <c r="L140" s="24" t="e" cm="1">
        <f t="array" ref="L140">_xlfn.IFS([3]bel!X138="Bozankaya","Bozankaya",[3]bel!X138="Müşteri","Customer",[3]bel!X138="Tedarikçi","Equipment Supplier")</f>
        <v>#N/A</v>
      </c>
      <c r="M140" s="61" t="str">
        <f>[3]bel!P138</f>
        <v/>
      </c>
      <c r="N140" s="25" t="str">
        <f>[3]bel!AG138</f>
        <v/>
      </c>
      <c r="O140" s="25" t="str">
        <f>[3]bel!Z138</f>
        <v/>
      </c>
      <c r="P140" s="17" t="str">
        <f>[3]bel!BB138</f>
        <v/>
      </c>
      <c r="Q140" s="62" t="str">
        <f>[3]bel!AH138</f>
        <v/>
      </c>
      <c r="R140" s="62" t="str">
        <f>[3]bel!BC138</f>
        <v/>
      </c>
      <c r="S140" s="45" t="str">
        <f t="shared" si="8"/>
        <v/>
      </c>
      <c r="T140" s="62" t="str">
        <f>[3]bel!BC138</f>
        <v/>
      </c>
      <c r="U140" s="40" t="str">
        <f>[3]bel!V138</f>
        <v/>
      </c>
      <c r="V140" s="45" cm="1">
        <f t="array" ref="V140">IFERROR(IF(AND(K140&lt;&gt;"D(Arıza Değil)",#REF!="Bu Arıza Aracın Servise Verilmesine Engel Değil"),
IF(#REF!-#REF!&gt;0,(R140-Q140)*24*60,
IF(OR(AND(#REF!&gt;$AA$1,#REF!&lt;#REF!),AND(#REF!&gt;#REF!,#REF!&lt;#REF!)),
(T140-F140)*24*60,     BH:BH0)),        W140),0)</f>
        <v>0</v>
      </c>
      <c r="W140" s="45" t="str">
        <f t="shared" si="9"/>
        <v/>
      </c>
      <c r="X140" s="39" t="str">
        <f>[3]bel!AL138</f>
        <v/>
      </c>
      <c r="Y140" s="39" t="str">
        <f>[3]bel!AT138</f>
        <v/>
      </c>
      <c r="Z140" s="39" t="str">
        <f>[3]bel!AK138</f>
        <v/>
      </c>
      <c r="AA140" s="39" t="str">
        <f>[3]bel!AM138</f>
        <v/>
      </c>
      <c r="AB140" s="57" t="e">
        <f>P140*S140*#REF!</f>
        <v>#VALUE!</v>
      </c>
    </row>
    <row r="141" spans="1:28" ht="118.5" customHeight="1" x14ac:dyDescent="0.25">
      <c r="A141" s="35" t="str">
        <f>[3]bel!C139</f>
        <v/>
      </c>
      <c r="B141" s="35" t="str">
        <f>[3]bel!D139</f>
        <v/>
      </c>
      <c r="C141" s="15" t="str">
        <f>[3]bel!E139</f>
        <v/>
      </c>
      <c r="D141" s="15" t="str">
        <f>[3]bel!F139</f>
        <v/>
      </c>
      <c r="E141" s="71" t="str">
        <f>[3]bel!G139</f>
        <v/>
      </c>
      <c r="F141" s="62" t="str">
        <f>[3]bel!H139</f>
        <v/>
      </c>
      <c r="G141" s="13" t="e">
        <f>VLOOKUP([3]bel!N139,#REF!,2,FALSE)</f>
        <v>#REF!</v>
      </c>
      <c r="H141" s="13"/>
      <c r="I141" s="14" t="str">
        <f>[3]bel!Y139</f>
        <v/>
      </c>
      <c r="J141" s="23" t="str">
        <f>[3]bel!O139</f>
        <v/>
      </c>
      <c r="K141" s="36" t="str">
        <f>[3]bel!T139</f>
        <v/>
      </c>
      <c r="L141" s="24" t="e" cm="1">
        <f t="array" ref="L141">_xlfn.IFS([3]bel!X139="Bozankaya","Bozankaya",[3]bel!X139="Müşteri","Customer",[3]bel!X139="Tedarikçi","Equipment Supplier")</f>
        <v>#N/A</v>
      </c>
      <c r="M141" s="61" t="str">
        <f>[3]bel!P139</f>
        <v/>
      </c>
      <c r="N141" s="25" t="str">
        <f>[3]bel!AG139</f>
        <v/>
      </c>
      <c r="O141" s="25" t="str">
        <f>[3]bel!Z139</f>
        <v/>
      </c>
      <c r="P141" s="17" t="str">
        <f>[3]bel!BB139</f>
        <v/>
      </c>
      <c r="Q141" s="62" t="str">
        <f>[3]bel!AH139</f>
        <v/>
      </c>
      <c r="R141" s="62" t="str">
        <f>[3]bel!BC139</f>
        <v/>
      </c>
      <c r="S141" s="45" t="str">
        <f t="shared" si="8"/>
        <v/>
      </c>
      <c r="T141" s="62" t="str">
        <f>[3]bel!BC139</f>
        <v/>
      </c>
      <c r="U141" s="40" t="str">
        <f>[3]bel!V139</f>
        <v/>
      </c>
      <c r="V141" s="45" cm="1">
        <f t="array" ref="V141">IFERROR(IF(AND(K141&lt;&gt;"D(Arıza Değil)",#REF!="Bu Arıza Aracın Servise Verilmesine Engel Değil"),
IF(#REF!-#REF!&gt;0,(R141-Q141)*24*60,
IF(OR(AND(#REF!&gt;$AA$1,#REF!&lt;#REF!),AND(#REF!&gt;#REF!,#REF!&lt;#REF!)),
(T141-F141)*24*60,     BH:BH0)),        W141),0)</f>
        <v>0</v>
      </c>
      <c r="W141" s="45" t="str">
        <f t="shared" si="9"/>
        <v/>
      </c>
      <c r="X141" s="39" t="str">
        <f>[3]bel!AL139</f>
        <v/>
      </c>
      <c r="Y141" s="39" t="str">
        <f>[3]bel!AT139</f>
        <v/>
      </c>
      <c r="Z141" s="39" t="str">
        <f>[3]bel!AK139</f>
        <v/>
      </c>
      <c r="AA141" s="39" t="str">
        <f>[3]bel!AM139</f>
        <v/>
      </c>
      <c r="AB141" s="57" t="e">
        <f>P141*S141*#REF!</f>
        <v>#VALUE!</v>
      </c>
    </row>
    <row r="142" spans="1:28" ht="118.5" customHeight="1" x14ac:dyDescent="0.25">
      <c r="A142" s="35" t="str">
        <f>[3]bel!C140</f>
        <v/>
      </c>
      <c r="B142" s="35" t="str">
        <f>[3]bel!D140</f>
        <v/>
      </c>
      <c r="C142" s="15" t="str">
        <f>[3]bel!E140</f>
        <v/>
      </c>
      <c r="D142" s="15" t="str">
        <f>[3]bel!F140</f>
        <v/>
      </c>
      <c r="E142" s="71" t="str">
        <f>[3]bel!G140</f>
        <v/>
      </c>
      <c r="F142" s="62" t="str">
        <f>[3]bel!H140</f>
        <v/>
      </c>
      <c r="G142" s="13" t="e">
        <f>VLOOKUP([3]bel!N140,#REF!,2,FALSE)</f>
        <v>#REF!</v>
      </c>
      <c r="H142" s="13"/>
      <c r="I142" s="14" t="str">
        <f>[3]bel!Y140</f>
        <v/>
      </c>
      <c r="J142" s="23" t="str">
        <f>[3]bel!O140</f>
        <v/>
      </c>
      <c r="K142" s="36" t="str">
        <f>[3]bel!T140</f>
        <v/>
      </c>
      <c r="L142" s="24" t="e" cm="1">
        <f t="array" ref="L142">_xlfn.IFS([3]bel!X140="Bozankaya","Bozankaya",[3]bel!X140="Müşteri","Customer",[3]bel!X140="Tedarikçi","Equipment Supplier")</f>
        <v>#N/A</v>
      </c>
      <c r="M142" s="61" t="str">
        <f>[3]bel!P140</f>
        <v/>
      </c>
      <c r="N142" s="25" t="str">
        <f>[3]bel!AG140</f>
        <v/>
      </c>
      <c r="O142" s="25" t="str">
        <f>[3]bel!Z140</f>
        <v/>
      </c>
      <c r="P142" s="17" t="str">
        <f>[3]bel!BB140</f>
        <v/>
      </c>
      <c r="Q142" s="62" t="str">
        <f>[3]bel!AH140</f>
        <v/>
      </c>
      <c r="R142" s="62" t="str">
        <f>[3]bel!BC140</f>
        <v/>
      </c>
      <c r="S142" s="45" t="str">
        <f t="shared" si="8"/>
        <v/>
      </c>
      <c r="T142" s="62" t="str">
        <f>[3]bel!BC140</f>
        <v/>
      </c>
      <c r="U142" s="40" t="str">
        <f>[3]bel!V140</f>
        <v/>
      </c>
      <c r="V142" s="45" cm="1">
        <f t="array" ref="V142">IFERROR(IF(AND(K142&lt;&gt;"D(Arıza Değil)",#REF!="Bu Arıza Aracın Servise Verilmesine Engel Değil"),
IF(#REF!-#REF!&gt;0,(R142-Q142)*24*60,
IF(OR(AND(#REF!&gt;$AA$1,#REF!&lt;#REF!),AND(#REF!&gt;#REF!,#REF!&lt;#REF!)),
(T142-F142)*24*60,     BH:BH0)),        W142),0)</f>
        <v>0</v>
      </c>
      <c r="W142" s="45" t="str">
        <f t="shared" si="9"/>
        <v/>
      </c>
      <c r="X142" s="39" t="str">
        <f>[3]bel!AL140</f>
        <v/>
      </c>
      <c r="Y142" s="39" t="str">
        <f>[3]bel!AT140</f>
        <v/>
      </c>
      <c r="Z142" s="39" t="str">
        <f>[3]bel!AK140</f>
        <v/>
      </c>
      <c r="AA142" s="39" t="str">
        <f>[3]bel!AM140</f>
        <v/>
      </c>
      <c r="AB142" s="57" t="e">
        <f>P142*S142*#REF!</f>
        <v>#VALUE!</v>
      </c>
    </row>
    <row r="143" spans="1:28" ht="118.5" customHeight="1" x14ac:dyDescent="0.25">
      <c r="A143" s="35" t="str">
        <f>[3]bel!C141</f>
        <v/>
      </c>
      <c r="B143" s="35" t="str">
        <f>[3]bel!D141</f>
        <v/>
      </c>
      <c r="C143" s="15" t="str">
        <f>[3]bel!E141</f>
        <v/>
      </c>
      <c r="D143" s="15" t="str">
        <f>[3]bel!F141</f>
        <v/>
      </c>
      <c r="E143" s="71" t="str">
        <f>[3]bel!G141</f>
        <v/>
      </c>
      <c r="F143" s="62" t="str">
        <f>[3]bel!H141</f>
        <v/>
      </c>
      <c r="G143" s="13" t="e">
        <f>VLOOKUP([3]bel!N141,#REF!,2,FALSE)</f>
        <v>#REF!</v>
      </c>
      <c r="H143" s="13"/>
      <c r="I143" s="14" t="str">
        <f>[3]bel!Y141</f>
        <v/>
      </c>
      <c r="J143" s="23" t="str">
        <f>[3]bel!O141</f>
        <v/>
      </c>
      <c r="K143" s="36" t="str">
        <f>[3]bel!T141</f>
        <v/>
      </c>
      <c r="L143" s="24" t="e" cm="1">
        <f t="array" ref="L143">_xlfn.IFS([3]bel!X141="Bozankaya","Bozankaya",[3]bel!X141="Müşteri","Customer",[3]bel!X141="Tedarikçi","Equipment Supplier")</f>
        <v>#N/A</v>
      </c>
      <c r="M143" s="61" t="str">
        <f>[3]bel!P141</f>
        <v/>
      </c>
      <c r="N143" s="25" t="str">
        <f>[3]bel!AG141</f>
        <v/>
      </c>
      <c r="O143" s="25" t="str">
        <f>[3]bel!Z141</f>
        <v/>
      </c>
      <c r="P143" s="17" t="str">
        <f>[3]bel!BB141</f>
        <v/>
      </c>
      <c r="Q143" s="62" t="str">
        <f>[3]bel!AH141</f>
        <v/>
      </c>
      <c r="R143" s="62" t="str">
        <f>[3]bel!BC141</f>
        <v/>
      </c>
      <c r="S143" s="45" t="str">
        <f t="shared" si="8"/>
        <v/>
      </c>
      <c r="T143" s="62" t="str">
        <f>[3]bel!BC141</f>
        <v/>
      </c>
      <c r="U143" s="40" t="str">
        <f>[3]bel!V141</f>
        <v/>
      </c>
      <c r="V143" s="45" cm="1">
        <f t="array" ref="V143">IFERROR(IF(AND(K143&lt;&gt;"D(Arıza Değil)",#REF!="Bu Arıza Aracın Servise Verilmesine Engel Değil"),
IF(#REF!-#REF!&gt;0,(R143-Q143)*24*60,
IF(OR(AND(#REF!&gt;$AA$1,#REF!&lt;#REF!),AND(#REF!&gt;#REF!,#REF!&lt;#REF!)),
(T143-F143)*24*60,     BH:BH0)),        W143),0)</f>
        <v>0</v>
      </c>
      <c r="W143" s="45" t="str">
        <f t="shared" si="9"/>
        <v/>
      </c>
      <c r="X143" s="39" t="str">
        <f>[3]bel!AL141</f>
        <v/>
      </c>
      <c r="Y143" s="39" t="str">
        <f>[3]bel!AT141</f>
        <v/>
      </c>
      <c r="Z143" s="39" t="str">
        <f>[3]bel!AK141</f>
        <v/>
      </c>
      <c r="AA143" s="39" t="str">
        <f>[3]bel!AM141</f>
        <v/>
      </c>
      <c r="AB143" s="57" t="e">
        <f>P143*S143*#REF!</f>
        <v>#VALUE!</v>
      </c>
    </row>
    <row r="144" spans="1:28" ht="118.5" customHeight="1" x14ac:dyDescent="0.25">
      <c r="A144" s="35" t="str">
        <f>[3]bel!C142</f>
        <v/>
      </c>
      <c r="B144" s="35" t="str">
        <f>[3]bel!D142</f>
        <v/>
      </c>
      <c r="C144" s="15" t="str">
        <f>[3]bel!E142</f>
        <v/>
      </c>
      <c r="D144" s="15" t="str">
        <f>[3]bel!F142</f>
        <v/>
      </c>
      <c r="E144" s="71" t="str">
        <f>[3]bel!G142</f>
        <v/>
      </c>
      <c r="F144" s="62" t="str">
        <f>[3]bel!H142</f>
        <v/>
      </c>
      <c r="G144" s="13" t="e">
        <f>VLOOKUP([3]bel!N142,#REF!,2,FALSE)</f>
        <v>#REF!</v>
      </c>
      <c r="H144" s="13"/>
      <c r="I144" s="14" t="str">
        <f>[3]bel!Y142</f>
        <v/>
      </c>
      <c r="J144" s="23" t="str">
        <f>[3]bel!O142</f>
        <v/>
      </c>
      <c r="K144" s="36" t="str">
        <f>[3]bel!T142</f>
        <v/>
      </c>
      <c r="L144" s="24" t="e" cm="1">
        <f t="array" ref="L144">_xlfn.IFS([3]bel!X142="Bozankaya","Bozankaya",[3]bel!X142="Müşteri","Customer",[3]bel!X142="Tedarikçi","Equipment Supplier")</f>
        <v>#N/A</v>
      </c>
      <c r="M144" s="61" t="str">
        <f>[3]bel!P142</f>
        <v/>
      </c>
      <c r="N144" s="25" t="str">
        <f>[3]bel!AG142</f>
        <v/>
      </c>
      <c r="O144" s="25" t="str">
        <f>[3]bel!Z142</f>
        <v/>
      </c>
      <c r="P144" s="17" t="str">
        <f>[3]bel!BB142</f>
        <v/>
      </c>
      <c r="Q144" s="62" t="str">
        <f>[3]bel!AH142</f>
        <v/>
      </c>
      <c r="R144" s="62" t="str">
        <f>[3]bel!BC142</f>
        <v/>
      </c>
      <c r="S144" s="45" t="str">
        <f t="shared" si="8"/>
        <v/>
      </c>
      <c r="T144" s="62" t="str">
        <f>[3]bel!BC142</f>
        <v/>
      </c>
      <c r="U144" s="40" t="str">
        <f>[3]bel!V142</f>
        <v/>
      </c>
      <c r="V144" s="45" cm="1">
        <f t="array" ref="V144">IFERROR(IF(AND(K144&lt;&gt;"D(Arıza Değil)",#REF!="Bu Arıza Aracın Servise Verilmesine Engel Değil"),
IF(#REF!-#REF!&gt;0,(R144-Q144)*24*60,
IF(OR(AND(#REF!&gt;$AA$1,#REF!&lt;#REF!),AND(#REF!&gt;#REF!,#REF!&lt;#REF!)),
(T144-F144)*24*60,     BH:BH0)),        W144),0)</f>
        <v>0</v>
      </c>
      <c r="W144" s="45" t="str">
        <f t="shared" si="9"/>
        <v/>
      </c>
      <c r="X144" s="39" t="str">
        <f>[3]bel!AL142</f>
        <v/>
      </c>
      <c r="Y144" s="39" t="str">
        <f>[3]bel!AT142</f>
        <v/>
      </c>
      <c r="Z144" s="39" t="str">
        <f>[3]bel!AK142</f>
        <v/>
      </c>
      <c r="AA144" s="39" t="str">
        <f>[3]bel!AM142</f>
        <v/>
      </c>
      <c r="AB144" s="57" t="e">
        <f>P144*S144*#REF!</f>
        <v>#VALUE!</v>
      </c>
    </row>
    <row r="145" spans="1:28" ht="118.5" customHeight="1" x14ac:dyDescent="0.25">
      <c r="A145" s="35" t="str">
        <f>[3]bel!C143</f>
        <v/>
      </c>
      <c r="B145" s="35" t="str">
        <f>[3]bel!D143</f>
        <v/>
      </c>
      <c r="C145" s="15" t="str">
        <f>[3]bel!E143</f>
        <v/>
      </c>
      <c r="D145" s="15" t="str">
        <f>[3]bel!F143</f>
        <v/>
      </c>
      <c r="E145" s="71" t="str">
        <f>[3]bel!G143</f>
        <v/>
      </c>
      <c r="F145" s="62" t="str">
        <f>[3]bel!H143</f>
        <v/>
      </c>
      <c r="G145" s="13" t="e">
        <f>VLOOKUP([3]bel!N143,#REF!,2,FALSE)</f>
        <v>#REF!</v>
      </c>
      <c r="H145" s="13"/>
      <c r="I145" s="14" t="str">
        <f>[3]bel!Y143</f>
        <v/>
      </c>
      <c r="J145" s="23" t="str">
        <f>[3]bel!O143</f>
        <v/>
      </c>
      <c r="K145" s="36" t="str">
        <f>[3]bel!T143</f>
        <v/>
      </c>
      <c r="L145" s="24" t="e" cm="1">
        <f t="array" ref="L145">_xlfn.IFS([3]bel!X143="Bozankaya","Bozankaya",[3]bel!X143="Müşteri","Customer",[3]bel!X143="Tedarikçi","Equipment Supplier")</f>
        <v>#N/A</v>
      </c>
      <c r="M145" s="61" t="str">
        <f>[3]bel!P143</f>
        <v/>
      </c>
      <c r="N145" s="25" t="str">
        <f>[3]bel!AG143</f>
        <v/>
      </c>
      <c r="O145" s="25" t="str">
        <f>[3]bel!Z143</f>
        <v/>
      </c>
      <c r="P145" s="17" t="str">
        <f>[3]bel!BB143</f>
        <v/>
      </c>
      <c r="Q145" s="62" t="str">
        <f>[3]bel!AH143</f>
        <v/>
      </c>
      <c r="R145" s="62" t="str">
        <f>[3]bel!BC143</f>
        <v/>
      </c>
      <c r="S145" s="45" t="str">
        <f t="shared" si="8"/>
        <v/>
      </c>
      <c r="T145" s="62" t="str">
        <f>[3]bel!BC143</f>
        <v/>
      </c>
      <c r="U145" s="40" t="str">
        <f>[3]bel!V143</f>
        <v/>
      </c>
      <c r="V145" s="45" cm="1">
        <f t="array" ref="V145">IFERROR(IF(AND(K145&lt;&gt;"D(Arıza Değil)",#REF!="Bu Arıza Aracın Servise Verilmesine Engel Değil"),
IF(#REF!-#REF!&gt;0,(R145-Q145)*24*60,
IF(OR(AND(#REF!&gt;$AA$1,#REF!&lt;#REF!),AND(#REF!&gt;#REF!,#REF!&lt;#REF!)),
(T145-F145)*24*60,     BH:BH0)),        W145),0)</f>
        <v>0</v>
      </c>
      <c r="W145" s="45" t="str">
        <f t="shared" si="9"/>
        <v/>
      </c>
      <c r="X145" s="39" t="str">
        <f>[3]bel!AL143</f>
        <v/>
      </c>
      <c r="Y145" s="39" t="str">
        <f>[3]bel!AT143</f>
        <v/>
      </c>
      <c r="Z145" s="39" t="str">
        <f>[3]bel!AK143</f>
        <v/>
      </c>
      <c r="AA145" s="39" t="str">
        <f>[3]bel!AM143</f>
        <v/>
      </c>
      <c r="AB145" s="57" t="e">
        <f>P145*S145*#REF!</f>
        <v>#VALUE!</v>
      </c>
    </row>
    <row r="146" spans="1:28" ht="118.5" customHeight="1" x14ac:dyDescent="0.25">
      <c r="A146" s="35" t="str">
        <f>[3]bel!C144</f>
        <v/>
      </c>
      <c r="B146" s="35" t="str">
        <f>[3]bel!D144</f>
        <v/>
      </c>
      <c r="C146" s="15" t="str">
        <f>[3]bel!E144</f>
        <v/>
      </c>
      <c r="D146" s="15" t="str">
        <f>[3]bel!F144</f>
        <v/>
      </c>
      <c r="E146" s="71" t="str">
        <f>[3]bel!G144</f>
        <v/>
      </c>
      <c r="F146" s="62" t="str">
        <f>[3]bel!H144</f>
        <v/>
      </c>
      <c r="G146" s="13" t="e">
        <f>VLOOKUP([3]bel!N144,#REF!,2,FALSE)</f>
        <v>#REF!</v>
      </c>
      <c r="H146" s="13"/>
      <c r="I146" s="14" t="str">
        <f>[3]bel!Y144</f>
        <v/>
      </c>
      <c r="J146" s="23" t="str">
        <f>[3]bel!O144</f>
        <v/>
      </c>
      <c r="K146" s="36" t="str">
        <f>[3]bel!T144</f>
        <v/>
      </c>
      <c r="L146" s="24" t="e" cm="1">
        <f t="array" ref="L146">_xlfn.IFS([3]bel!X144="Bozankaya","Bozankaya",[3]bel!X144="Müşteri","Customer",[3]bel!X144="Tedarikçi","Equipment Supplier")</f>
        <v>#N/A</v>
      </c>
      <c r="M146" s="61" t="str">
        <f>[3]bel!P144</f>
        <v/>
      </c>
      <c r="N146" s="25" t="str">
        <f>[3]bel!AG144</f>
        <v/>
      </c>
      <c r="O146" s="25" t="str">
        <f>[3]bel!Z144</f>
        <v/>
      </c>
      <c r="P146" s="17" t="str">
        <f>[3]bel!BB144</f>
        <v/>
      </c>
      <c r="Q146" s="62" t="str">
        <f>[3]bel!AH144</f>
        <v/>
      </c>
      <c r="R146" s="62" t="str">
        <f>[3]bel!BC144</f>
        <v/>
      </c>
      <c r="S146" s="45" t="str">
        <f t="shared" si="8"/>
        <v/>
      </c>
      <c r="T146" s="62" t="str">
        <f>[3]bel!BC144</f>
        <v/>
      </c>
      <c r="U146" s="40" t="str">
        <f>[3]bel!V144</f>
        <v/>
      </c>
      <c r="V146" s="45" cm="1">
        <f t="array" ref="V146">IFERROR(IF(AND(K146&lt;&gt;"D(Arıza Değil)",#REF!="Bu Arıza Aracın Servise Verilmesine Engel Değil"),
IF(#REF!-#REF!&gt;0,(R146-Q146)*24*60,
IF(OR(AND(#REF!&gt;$AA$1,#REF!&lt;#REF!),AND(#REF!&gt;#REF!,#REF!&lt;#REF!)),
(T146-F146)*24*60,     BH:BH0)),        W146),0)</f>
        <v>0</v>
      </c>
      <c r="W146" s="45" t="str">
        <f t="shared" si="9"/>
        <v/>
      </c>
      <c r="X146" s="39" t="str">
        <f>[3]bel!AL144</f>
        <v/>
      </c>
      <c r="Y146" s="39" t="str">
        <f>[3]bel!AT144</f>
        <v/>
      </c>
      <c r="Z146" s="39" t="str">
        <f>[3]bel!AK144</f>
        <v/>
      </c>
      <c r="AA146" s="39" t="str">
        <f>[3]bel!AM144</f>
        <v/>
      </c>
      <c r="AB146" s="57" t="e">
        <f>P146*S146*#REF!</f>
        <v>#VALUE!</v>
      </c>
    </row>
    <row r="147" spans="1:28" ht="118.5" customHeight="1" x14ac:dyDescent="0.25">
      <c r="A147" s="35" t="str">
        <f>[3]bel!C145</f>
        <v/>
      </c>
      <c r="B147" s="35" t="str">
        <f>[3]bel!D145</f>
        <v/>
      </c>
      <c r="C147" s="15" t="str">
        <f>[3]bel!E145</f>
        <v/>
      </c>
      <c r="D147" s="15" t="str">
        <f>[3]bel!F145</f>
        <v/>
      </c>
      <c r="E147" s="71" t="str">
        <f>[3]bel!G145</f>
        <v/>
      </c>
      <c r="F147" s="62" t="str">
        <f>[3]bel!H145</f>
        <v/>
      </c>
      <c r="G147" s="13" t="e">
        <f>VLOOKUP([3]bel!N145,#REF!,2,FALSE)</f>
        <v>#REF!</v>
      </c>
      <c r="H147" s="13"/>
      <c r="I147" s="14" t="str">
        <f>[3]bel!Y145</f>
        <v/>
      </c>
      <c r="J147" s="23" t="str">
        <f>[3]bel!O145</f>
        <v/>
      </c>
      <c r="K147" s="36" t="str">
        <f>[3]bel!T145</f>
        <v/>
      </c>
      <c r="L147" s="24" t="e" cm="1">
        <f t="array" ref="L147">_xlfn.IFS([3]bel!X145="Bozankaya","Bozankaya",[3]bel!X145="Müşteri","Customer",[3]bel!X145="Tedarikçi","Equipment Supplier")</f>
        <v>#N/A</v>
      </c>
      <c r="M147" s="61" t="str">
        <f>[3]bel!P145</f>
        <v/>
      </c>
      <c r="N147" s="25" t="str">
        <f>[3]bel!AG145</f>
        <v/>
      </c>
      <c r="O147" s="25" t="str">
        <f>[3]bel!Z145</f>
        <v/>
      </c>
      <c r="P147" s="17" t="str">
        <f>[3]bel!BB145</f>
        <v/>
      </c>
      <c r="Q147" s="62" t="str">
        <f>[3]bel!AH145</f>
        <v/>
      </c>
      <c r="R147" s="62" t="str">
        <f>[3]bel!BC145</f>
        <v/>
      </c>
      <c r="S147" s="45" t="str">
        <f t="shared" si="8"/>
        <v/>
      </c>
      <c r="T147" s="62" t="str">
        <f>[3]bel!BC145</f>
        <v/>
      </c>
      <c r="U147" s="40" t="str">
        <f>[3]bel!V145</f>
        <v/>
      </c>
      <c r="V147" s="45" cm="1">
        <f t="array" ref="V147">IFERROR(IF(AND(K147&lt;&gt;"D(Arıza Değil)",#REF!="Bu Arıza Aracın Servise Verilmesine Engel Değil"),
IF(#REF!-#REF!&gt;0,(R147-Q147)*24*60,
IF(OR(AND(#REF!&gt;$AA$1,#REF!&lt;#REF!),AND(#REF!&gt;#REF!,#REF!&lt;#REF!)),
(T147-F147)*24*60,     BH:BH0)),        W147),0)</f>
        <v>0</v>
      </c>
      <c r="W147" s="45" t="str">
        <f t="shared" si="9"/>
        <v/>
      </c>
      <c r="X147" s="39" t="str">
        <f>[3]bel!AL145</f>
        <v/>
      </c>
      <c r="Y147" s="39" t="str">
        <f>[3]bel!AT145</f>
        <v/>
      </c>
      <c r="Z147" s="39" t="str">
        <f>[3]bel!AK145</f>
        <v/>
      </c>
      <c r="AA147" s="39" t="str">
        <f>[3]bel!AM145</f>
        <v/>
      </c>
      <c r="AB147" s="57" t="e">
        <f>P147*S147*#REF!</f>
        <v>#VALUE!</v>
      </c>
    </row>
    <row r="148" spans="1:28" ht="118.5" customHeight="1" x14ac:dyDescent="0.25">
      <c r="A148" s="35" t="str">
        <f>[3]bel!C146</f>
        <v/>
      </c>
      <c r="B148" s="35" t="str">
        <f>[3]bel!D146</f>
        <v/>
      </c>
      <c r="C148" s="15" t="str">
        <f>[3]bel!E146</f>
        <v/>
      </c>
      <c r="D148" s="15" t="str">
        <f>[3]bel!F146</f>
        <v/>
      </c>
      <c r="E148" s="71" t="str">
        <f>[3]bel!G146</f>
        <v/>
      </c>
      <c r="F148" s="62" t="str">
        <f>[3]bel!H146</f>
        <v/>
      </c>
      <c r="G148" s="13" t="e">
        <f>VLOOKUP([3]bel!N146,#REF!,2,FALSE)</f>
        <v>#REF!</v>
      </c>
      <c r="H148" s="13"/>
      <c r="I148" s="14" t="str">
        <f>[3]bel!Y146</f>
        <v/>
      </c>
      <c r="J148" s="23" t="str">
        <f>[3]bel!O146</f>
        <v/>
      </c>
      <c r="K148" s="36" t="str">
        <f>[3]bel!T146</f>
        <v/>
      </c>
      <c r="L148" s="24" t="e" cm="1">
        <f t="array" ref="L148">_xlfn.IFS([3]bel!X146="Bozankaya","Bozankaya",[3]bel!X146="Müşteri","Customer",[3]bel!X146="Tedarikçi","Equipment Supplier")</f>
        <v>#N/A</v>
      </c>
      <c r="M148" s="61" t="str">
        <f>[3]bel!P146</f>
        <v/>
      </c>
      <c r="N148" s="25" t="str">
        <f>[3]bel!AG146</f>
        <v/>
      </c>
      <c r="O148" s="25" t="str">
        <f>[3]bel!Z146</f>
        <v/>
      </c>
      <c r="P148" s="17" t="str">
        <f>[3]bel!BB146</f>
        <v/>
      </c>
      <c r="Q148" s="62" t="str">
        <f>[3]bel!AH146</f>
        <v/>
      </c>
      <c r="R148" s="62" t="str">
        <f>[3]bel!BC146</f>
        <v/>
      </c>
      <c r="S148" s="45" t="str">
        <f t="shared" si="8"/>
        <v/>
      </c>
      <c r="T148" s="62" t="str">
        <f>[3]bel!BC146</f>
        <v/>
      </c>
      <c r="U148" s="40" t="str">
        <f>[3]bel!V146</f>
        <v/>
      </c>
      <c r="V148" s="45" cm="1">
        <f t="array" ref="V148">IFERROR(IF(AND(K148&lt;&gt;"D(Arıza Değil)",#REF!="Bu Arıza Aracın Servise Verilmesine Engel Değil"),
IF(#REF!-#REF!&gt;0,(R148-Q148)*24*60,
IF(OR(AND(#REF!&gt;$AA$1,#REF!&lt;#REF!),AND(#REF!&gt;#REF!,#REF!&lt;#REF!)),
(T148-F148)*24*60,     BH:BH0)),        W148),0)</f>
        <v>0</v>
      </c>
      <c r="W148" s="45" t="str">
        <f t="shared" si="9"/>
        <v/>
      </c>
      <c r="X148" s="39" t="str">
        <f>[3]bel!AL146</f>
        <v/>
      </c>
      <c r="Y148" s="39" t="str">
        <f>[3]bel!AT146</f>
        <v/>
      </c>
      <c r="Z148" s="39" t="str">
        <f>[3]bel!AK146</f>
        <v/>
      </c>
      <c r="AA148" s="39" t="str">
        <f>[3]bel!AM146</f>
        <v/>
      </c>
      <c r="AB148" s="57" t="e">
        <f>P148*S148*#REF!</f>
        <v>#VALUE!</v>
      </c>
    </row>
    <row r="149" spans="1:28" ht="118.5" customHeight="1" x14ac:dyDescent="0.25">
      <c r="A149" s="35" t="str">
        <f>[3]bel!C147</f>
        <v/>
      </c>
      <c r="B149" s="35" t="str">
        <f>[3]bel!D147</f>
        <v/>
      </c>
      <c r="C149" s="15" t="str">
        <f>[3]bel!E147</f>
        <v/>
      </c>
      <c r="D149" s="15" t="str">
        <f>[3]bel!F147</f>
        <v/>
      </c>
      <c r="E149" s="71" t="str">
        <f>[3]bel!G147</f>
        <v/>
      </c>
      <c r="F149" s="62" t="str">
        <f>[3]bel!H147</f>
        <v/>
      </c>
      <c r="G149" s="13" t="e">
        <f>VLOOKUP([3]bel!N147,#REF!,2,FALSE)</f>
        <v>#REF!</v>
      </c>
      <c r="H149" s="13"/>
      <c r="I149" s="14" t="str">
        <f>[3]bel!Y147</f>
        <v/>
      </c>
      <c r="J149" s="23" t="str">
        <f>[3]bel!O147</f>
        <v/>
      </c>
      <c r="K149" s="36" t="str">
        <f>[3]bel!T147</f>
        <v/>
      </c>
      <c r="L149" s="24" t="e" cm="1">
        <f t="array" ref="L149">_xlfn.IFS([3]bel!X147="Bozankaya","Bozankaya",[3]bel!X147="Müşteri","Customer",[3]bel!X147="Tedarikçi","Equipment Supplier")</f>
        <v>#N/A</v>
      </c>
      <c r="M149" s="61" t="str">
        <f>[3]bel!P147</f>
        <v/>
      </c>
      <c r="N149" s="25" t="str">
        <f>[3]bel!AG147</f>
        <v/>
      </c>
      <c r="O149" s="25" t="str">
        <f>[3]bel!Z147</f>
        <v/>
      </c>
      <c r="P149" s="17" t="str">
        <f>[3]bel!BB147</f>
        <v/>
      </c>
      <c r="Q149" s="62" t="str">
        <f>[3]bel!AH147</f>
        <v/>
      </c>
      <c r="R149" s="62" t="str">
        <f>[3]bel!BC147</f>
        <v/>
      </c>
      <c r="S149" s="45" t="str">
        <f t="shared" si="8"/>
        <v/>
      </c>
      <c r="T149" s="62" t="str">
        <f>[3]bel!BC147</f>
        <v/>
      </c>
      <c r="U149" s="40" t="str">
        <f>[3]bel!V147</f>
        <v/>
      </c>
      <c r="V149" s="45" cm="1">
        <f t="array" ref="V149">IFERROR(IF(AND(K149&lt;&gt;"D(Arıza Değil)",#REF!="Bu Arıza Aracın Servise Verilmesine Engel Değil"),
IF(#REF!-#REF!&gt;0,(R149-Q149)*24*60,
IF(OR(AND(#REF!&gt;$AA$1,#REF!&lt;#REF!),AND(#REF!&gt;#REF!,#REF!&lt;#REF!)),
(T149-F149)*24*60,     BH:BH0)),        W149),0)</f>
        <v>0</v>
      </c>
      <c r="W149" s="45" t="str">
        <f t="shared" si="9"/>
        <v/>
      </c>
      <c r="X149" s="39" t="str">
        <f>[3]bel!AL147</f>
        <v/>
      </c>
      <c r="Y149" s="39" t="str">
        <f>[3]bel!AT147</f>
        <v/>
      </c>
      <c r="Z149" s="39" t="str">
        <f>[3]bel!AK147</f>
        <v/>
      </c>
      <c r="AA149" s="39" t="str">
        <f>[3]bel!AM147</f>
        <v/>
      </c>
      <c r="AB149" s="57" t="e">
        <f>P149*S149*#REF!</f>
        <v>#VALUE!</v>
      </c>
    </row>
    <row r="150" spans="1:28" ht="118.5" customHeight="1" x14ac:dyDescent="0.25">
      <c r="A150" s="35" t="str">
        <f>[3]bel!C148</f>
        <v/>
      </c>
      <c r="B150" s="35" t="str">
        <f>[3]bel!D148</f>
        <v/>
      </c>
      <c r="C150" s="15" t="str">
        <f>[3]bel!E148</f>
        <v/>
      </c>
      <c r="D150" s="15" t="str">
        <f>[3]bel!F148</f>
        <v/>
      </c>
      <c r="E150" s="71" t="str">
        <f>[3]bel!G148</f>
        <v/>
      </c>
      <c r="F150" s="62" t="str">
        <f>[3]bel!H148</f>
        <v/>
      </c>
      <c r="G150" s="13" t="e">
        <f>VLOOKUP([3]bel!N148,#REF!,2,FALSE)</f>
        <v>#REF!</v>
      </c>
      <c r="H150" s="13"/>
      <c r="I150" s="14" t="str">
        <f>[3]bel!Y148</f>
        <v/>
      </c>
      <c r="J150" s="23" t="str">
        <f>[3]bel!O148</f>
        <v/>
      </c>
      <c r="K150" s="36" t="str">
        <f>[3]bel!T148</f>
        <v/>
      </c>
      <c r="L150" s="24" t="e" cm="1">
        <f t="array" ref="L150">_xlfn.IFS([3]bel!X148="Bozankaya","Bozankaya",[3]bel!X148="Müşteri","Customer",[3]bel!X148="Tedarikçi","Equipment Supplier")</f>
        <v>#N/A</v>
      </c>
      <c r="M150" s="61" t="str">
        <f>[3]bel!P148</f>
        <v/>
      </c>
      <c r="N150" s="25" t="str">
        <f>[3]bel!AG148</f>
        <v/>
      </c>
      <c r="O150" s="25" t="str">
        <f>[3]bel!Z148</f>
        <v/>
      </c>
      <c r="P150" s="17" t="str">
        <f>[3]bel!BB148</f>
        <v/>
      </c>
      <c r="Q150" s="62" t="str">
        <f>[3]bel!AH148</f>
        <v/>
      </c>
      <c r="R150" s="62" t="str">
        <f>[3]bel!BC148</f>
        <v/>
      </c>
      <c r="S150" s="45" t="str">
        <f t="shared" si="8"/>
        <v/>
      </c>
      <c r="T150" s="62" t="str">
        <f>[3]bel!BC148</f>
        <v/>
      </c>
      <c r="U150" s="40" t="str">
        <f>[3]bel!V148</f>
        <v/>
      </c>
      <c r="V150" s="45" cm="1">
        <f t="array" ref="V150">IFERROR(IF(AND(K150&lt;&gt;"D(Arıza Değil)",#REF!="Bu Arıza Aracın Servise Verilmesine Engel Değil"),
IF(#REF!-#REF!&gt;0,(R150-Q150)*24*60,
IF(OR(AND(#REF!&gt;$AA$1,#REF!&lt;#REF!),AND(#REF!&gt;#REF!,#REF!&lt;#REF!)),
(T150-F150)*24*60,     BH:BH0)),        W150),0)</f>
        <v>0</v>
      </c>
      <c r="W150" s="45" t="str">
        <f t="shared" si="9"/>
        <v/>
      </c>
      <c r="X150" s="39" t="str">
        <f>[3]bel!AL148</f>
        <v/>
      </c>
      <c r="Y150" s="39" t="str">
        <f>[3]bel!AT148</f>
        <v/>
      </c>
      <c r="Z150" s="39" t="str">
        <f>[3]bel!AK148</f>
        <v/>
      </c>
      <c r="AA150" s="39" t="str">
        <f>[3]bel!AM148</f>
        <v/>
      </c>
      <c r="AB150" s="57" t="e">
        <f>P150*S150*#REF!</f>
        <v>#VALUE!</v>
      </c>
    </row>
    <row r="151" spans="1:28" ht="118.5" customHeight="1" x14ac:dyDescent="0.25">
      <c r="A151" s="35" t="str">
        <f>[3]bel!C149</f>
        <v/>
      </c>
      <c r="B151" s="35" t="str">
        <f>[3]bel!D149</f>
        <v/>
      </c>
      <c r="C151" s="15" t="str">
        <f>[3]bel!E149</f>
        <v/>
      </c>
      <c r="D151" s="15" t="str">
        <f>[3]bel!F149</f>
        <v/>
      </c>
      <c r="E151" s="71" t="str">
        <f>[3]bel!G149</f>
        <v/>
      </c>
      <c r="F151" s="62" t="str">
        <f>[3]bel!H149</f>
        <v/>
      </c>
      <c r="G151" s="13" t="e">
        <f>VLOOKUP([3]bel!N149,#REF!,2,FALSE)</f>
        <v>#REF!</v>
      </c>
      <c r="H151" s="13"/>
      <c r="I151" s="14" t="str">
        <f>[3]bel!Y149</f>
        <v/>
      </c>
      <c r="J151" s="23" t="str">
        <f>[3]bel!O149</f>
        <v/>
      </c>
      <c r="K151" s="36" t="str">
        <f>[3]bel!T149</f>
        <v/>
      </c>
      <c r="L151" s="24" t="e" cm="1">
        <f t="array" ref="L151">_xlfn.IFS([3]bel!X149="Bozankaya","Bozankaya",[3]bel!X149="Müşteri","Customer",[3]bel!X149="Tedarikçi","Equipment Supplier")</f>
        <v>#N/A</v>
      </c>
      <c r="M151" s="61" t="str">
        <f>[3]bel!P149</f>
        <v/>
      </c>
      <c r="N151" s="25" t="str">
        <f>[3]bel!AG149</f>
        <v/>
      </c>
      <c r="O151" s="25" t="str">
        <f>[3]bel!Z149</f>
        <v/>
      </c>
      <c r="P151" s="17" t="str">
        <f>[3]bel!BB149</f>
        <v/>
      </c>
      <c r="Q151" s="62" t="str">
        <f>[3]bel!AH149</f>
        <v/>
      </c>
      <c r="R151" s="62" t="str">
        <f>[3]bel!BC149</f>
        <v/>
      </c>
      <c r="S151" s="45" t="str">
        <f t="shared" si="8"/>
        <v/>
      </c>
      <c r="T151" s="62" t="str">
        <f>[3]bel!BC149</f>
        <v/>
      </c>
      <c r="U151" s="40" t="str">
        <f>[3]bel!V149</f>
        <v/>
      </c>
      <c r="V151" s="45" cm="1">
        <f t="array" ref="V151">IFERROR(IF(AND(K151&lt;&gt;"D(Arıza Değil)",#REF!="Bu Arıza Aracın Servise Verilmesine Engel Değil"),
IF(#REF!-#REF!&gt;0,(R151-Q151)*24*60,
IF(OR(AND(#REF!&gt;$AA$1,#REF!&lt;#REF!),AND(#REF!&gt;#REF!,#REF!&lt;#REF!)),
(T151-F151)*24*60,     BH:BH0)),        W151),0)</f>
        <v>0</v>
      </c>
      <c r="W151" s="45" t="str">
        <f t="shared" si="9"/>
        <v/>
      </c>
      <c r="X151" s="39" t="str">
        <f>[3]bel!AL149</f>
        <v/>
      </c>
      <c r="Y151" s="39" t="str">
        <f>[3]bel!AT149</f>
        <v/>
      </c>
      <c r="Z151" s="39" t="str">
        <f>[3]bel!AK149</f>
        <v/>
      </c>
      <c r="AA151" s="39" t="str">
        <f>[3]bel!AM149</f>
        <v/>
      </c>
      <c r="AB151" s="57" t="e">
        <f>P151*S151*#REF!</f>
        <v>#VALUE!</v>
      </c>
    </row>
    <row r="152" spans="1:28" ht="118.5" customHeight="1" x14ac:dyDescent="0.25">
      <c r="A152" s="35" t="str">
        <f>[3]bel!C150</f>
        <v/>
      </c>
      <c r="B152" s="35" t="str">
        <f>[3]bel!D150</f>
        <v/>
      </c>
      <c r="C152" s="15" t="str">
        <f>[3]bel!E150</f>
        <v/>
      </c>
      <c r="D152" s="15" t="str">
        <f>[3]bel!F150</f>
        <v/>
      </c>
      <c r="E152" s="71" t="str">
        <f>[3]bel!G150</f>
        <v/>
      </c>
      <c r="F152" s="62" t="str">
        <f>[3]bel!H150</f>
        <v/>
      </c>
      <c r="G152" s="13" t="e">
        <f>VLOOKUP([3]bel!N150,#REF!,2,FALSE)</f>
        <v>#REF!</v>
      </c>
      <c r="H152" s="13"/>
      <c r="I152" s="14" t="str">
        <f>[3]bel!Y150</f>
        <v/>
      </c>
      <c r="J152" s="23" t="str">
        <f>[3]bel!O150</f>
        <v/>
      </c>
      <c r="K152" s="36" t="str">
        <f>[3]bel!T150</f>
        <v/>
      </c>
      <c r="L152" s="24" t="e" cm="1">
        <f t="array" ref="L152">_xlfn.IFS([3]bel!X150="Bozankaya","Bozankaya",[3]bel!X150="Müşteri","Customer",[3]bel!X150="Tedarikçi","Equipment Supplier")</f>
        <v>#N/A</v>
      </c>
      <c r="M152" s="61" t="str">
        <f>[3]bel!P150</f>
        <v/>
      </c>
      <c r="N152" s="25" t="str">
        <f>[3]bel!AG150</f>
        <v/>
      </c>
      <c r="O152" s="25" t="str">
        <f>[3]bel!Z150</f>
        <v/>
      </c>
      <c r="P152" s="17" t="str">
        <f>[3]bel!BB150</f>
        <v/>
      </c>
      <c r="Q152" s="62" t="str">
        <f>[3]bel!AH150</f>
        <v/>
      </c>
      <c r="R152" s="62" t="str">
        <f>[3]bel!BC150</f>
        <v/>
      </c>
      <c r="S152" s="45" t="str">
        <f t="shared" si="8"/>
        <v/>
      </c>
      <c r="T152" s="62" t="str">
        <f>[3]bel!BC150</f>
        <v/>
      </c>
      <c r="U152" s="40" t="str">
        <f>[3]bel!V150</f>
        <v/>
      </c>
      <c r="V152" s="45" cm="1">
        <f t="array" ref="V152">IFERROR(IF(AND(K152&lt;&gt;"D(Arıza Değil)",#REF!="Bu Arıza Aracın Servise Verilmesine Engel Değil"),
IF(#REF!-#REF!&gt;0,(R152-Q152)*24*60,
IF(OR(AND(#REF!&gt;$AA$1,#REF!&lt;#REF!),AND(#REF!&gt;#REF!,#REF!&lt;#REF!)),
(T152-F152)*24*60,     BH:BH0)),        W152),0)</f>
        <v>0</v>
      </c>
      <c r="W152" s="45" t="str">
        <f t="shared" si="9"/>
        <v/>
      </c>
      <c r="X152" s="39" t="str">
        <f>[3]bel!AL150</f>
        <v/>
      </c>
      <c r="Y152" s="39" t="str">
        <f>[3]bel!AT150</f>
        <v/>
      </c>
      <c r="Z152" s="39" t="str">
        <f>[3]bel!AK150</f>
        <v/>
      </c>
      <c r="AA152" s="39" t="str">
        <f>[3]bel!AM150</f>
        <v/>
      </c>
      <c r="AB152" s="57" t="e">
        <f>P152*S152*#REF!</f>
        <v>#VALUE!</v>
      </c>
    </row>
    <row r="153" spans="1:28" ht="118.5" customHeight="1" x14ac:dyDescent="0.25">
      <c r="A153" s="35" t="str">
        <f>[3]bel!C151</f>
        <v/>
      </c>
      <c r="B153" s="35" t="str">
        <f>[3]bel!D151</f>
        <v/>
      </c>
      <c r="C153" s="15" t="str">
        <f>[3]bel!E151</f>
        <v/>
      </c>
      <c r="D153" s="15" t="str">
        <f>[3]bel!F151</f>
        <v/>
      </c>
      <c r="E153" s="71" t="str">
        <f>[3]bel!G151</f>
        <v/>
      </c>
      <c r="F153" s="62" t="str">
        <f>[3]bel!H151</f>
        <v/>
      </c>
      <c r="G153" s="13" t="e">
        <f>VLOOKUP([3]bel!N151,#REF!,2,FALSE)</f>
        <v>#REF!</v>
      </c>
      <c r="H153" s="13"/>
      <c r="I153" s="14" t="str">
        <f>[3]bel!Y151</f>
        <v/>
      </c>
      <c r="J153" s="23" t="str">
        <f>[3]bel!O151</f>
        <v/>
      </c>
      <c r="K153" s="36" t="str">
        <f>[3]bel!T151</f>
        <v/>
      </c>
      <c r="L153" s="24" t="e" cm="1">
        <f t="array" ref="L153">_xlfn.IFS([3]bel!X151="Bozankaya","Bozankaya",[3]bel!X151="Müşteri","Customer",[3]bel!X151="Tedarikçi","Equipment Supplier")</f>
        <v>#N/A</v>
      </c>
      <c r="M153" s="61" t="str">
        <f>[3]bel!P151</f>
        <v/>
      </c>
      <c r="N153" s="25" t="str">
        <f>[3]bel!AG151</f>
        <v/>
      </c>
      <c r="O153" s="25" t="str">
        <f>[3]bel!Z151</f>
        <v/>
      </c>
      <c r="P153" s="17" t="str">
        <f>[3]bel!BB151</f>
        <v/>
      </c>
      <c r="Q153" s="62" t="str">
        <f>[3]bel!AH151</f>
        <v/>
      </c>
      <c r="R153" s="62" t="str">
        <f>[3]bel!BC151</f>
        <v/>
      </c>
      <c r="S153" s="45" t="str">
        <f t="shared" si="8"/>
        <v/>
      </c>
      <c r="T153" s="62" t="str">
        <f>[3]bel!BC151</f>
        <v/>
      </c>
      <c r="U153" s="40" t="str">
        <f>[3]bel!V151</f>
        <v/>
      </c>
      <c r="V153" s="45" cm="1">
        <f t="array" ref="V153">IFERROR(IF(AND(K153&lt;&gt;"D(Arıza Değil)",#REF!="Bu Arıza Aracın Servise Verilmesine Engel Değil"),
IF(#REF!-#REF!&gt;0,(R153-Q153)*24*60,
IF(OR(AND(#REF!&gt;$AA$1,#REF!&lt;#REF!),AND(#REF!&gt;#REF!,#REF!&lt;#REF!)),
(T153-F153)*24*60,     BH:BH0)),        W153),0)</f>
        <v>0</v>
      </c>
      <c r="W153" s="45" t="str">
        <f t="shared" si="9"/>
        <v/>
      </c>
      <c r="X153" s="39" t="str">
        <f>[3]bel!AL151</f>
        <v/>
      </c>
      <c r="Y153" s="39" t="str">
        <f>[3]bel!AT151</f>
        <v/>
      </c>
      <c r="Z153" s="39" t="str">
        <f>[3]bel!AK151</f>
        <v/>
      </c>
      <c r="AA153" s="39" t="str">
        <f>[3]bel!AM151</f>
        <v/>
      </c>
      <c r="AB153" s="57" t="e">
        <f>P153*S153*#REF!</f>
        <v>#VALUE!</v>
      </c>
    </row>
    <row r="154" spans="1:28" ht="118.5" customHeight="1" x14ac:dyDescent="0.25">
      <c r="A154" s="35" t="str">
        <f>[3]bel!C152</f>
        <v/>
      </c>
      <c r="B154" s="35" t="str">
        <f>[3]bel!D152</f>
        <v/>
      </c>
      <c r="C154" s="15" t="str">
        <f>[3]bel!E152</f>
        <v/>
      </c>
      <c r="D154" s="15" t="str">
        <f>[3]bel!F152</f>
        <v/>
      </c>
      <c r="E154" s="71" t="str">
        <f>[3]bel!G152</f>
        <v/>
      </c>
      <c r="F154" s="62" t="str">
        <f>[3]bel!H152</f>
        <v/>
      </c>
      <c r="G154" s="13" t="e">
        <f>VLOOKUP([3]bel!N152,#REF!,2,FALSE)</f>
        <v>#REF!</v>
      </c>
      <c r="H154" s="13"/>
      <c r="I154" s="14" t="str">
        <f>[3]bel!Y152</f>
        <v/>
      </c>
      <c r="J154" s="23" t="str">
        <f>[3]bel!O152</f>
        <v/>
      </c>
      <c r="K154" s="36" t="str">
        <f>[3]bel!T152</f>
        <v/>
      </c>
      <c r="L154" s="24" t="e" cm="1">
        <f t="array" ref="L154">_xlfn.IFS([3]bel!X152="Bozankaya","Bozankaya",[3]bel!X152="Müşteri","Customer",[3]bel!X152="Tedarikçi","Equipment Supplier")</f>
        <v>#N/A</v>
      </c>
      <c r="M154" s="61" t="str">
        <f>[3]bel!P152</f>
        <v/>
      </c>
      <c r="N154" s="25" t="str">
        <f>[3]bel!AG152</f>
        <v/>
      </c>
      <c r="O154" s="25" t="str">
        <f>[3]bel!Z152</f>
        <v/>
      </c>
      <c r="P154" s="17" t="str">
        <f>[3]bel!BB152</f>
        <v/>
      </c>
      <c r="Q154" s="62" t="str">
        <f>[3]bel!AH152</f>
        <v/>
      </c>
      <c r="R154" s="62" t="str">
        <f>[3]bel!BC152</f>
        <v/>
      </c>
      <c r="S154" s="45" t="str">
        <f t="shared" si="8"/>
        <v/>
      </c>
      <c r="T154" s="62" t="str">
        <f>[3]bel!BC152</f>
        <v/>
      </c>
      <c r="U154" s="40" t="str">
        <f>[3]bel!V152</f>
        <v/>
      </c>
      <c r="V154" s="45" cm="1">
        <f t="array" ref="V154">IFERROR(IF(AND(K154&lt;&gt;"D(Arıza Değil)",#REF!="Bu Arıza Aracın Servise Verilmesine Engel Değil"),
IF(#REF!-#REF!&gt;0,(R154-Q154)*24*60,
IF(OR(AND(#REF!&gt;$AA$1,#REF!&lt;#REF!),AND(#REF!&gt;#REF!,#REF!&lt;#REF!)),
(T154-F154)*24*60,     BH:BH0)),        W154),0)</f>
        <v>0</v>
      </c>
      <c r="W154" s="45" t="str">
        <f t="shared" si="9"/>
        <v/>
      </c>
      <c r="X154" s="39" t="str">
        <f>[3]bel!AL152</f>
        <v/>
      </c>
      <c r="Y154" s="39" t="str">
        <f>[3]bel!AT152</f>
        <v/>
      </c>
      <c r="Z154" s="39" t="str">
        <f>[3]bel!AK152</f>
        <v/>
      </c>
      <c r="AA154" s="39" t="str">
        <f>[3]bel!AM152</f>
        <v/>
      </c>
      <c r="AB154" s="57" t="e">
        <f>P154*S154*#REF!</f>
        <v>#VALUE!</v>
      </c>
    </row>
    <row r="155" spans="1:28" ht="118.5" customHeight="1" x14ac:dyDescent="0.25">
      <c r="A155" s="35" t="str">
        <f>[3]bel!C153</f>
        <v/>
      </c>
      <c r="B155" s="35" t="str">
        <f>[3]bel!D153</f>
        <v/>
      </c>
      <c r="C155" s="15" t="str">
        <f>[3]bel!E153</f>
        <v/>
      </c>
      <c r="D155" s="15" t="str">
        <f>[3]bel!F153</f>
        <v/>
      </c>
      <c r="E155" s="71" t="str">
        <f>[3]bel!G153</f>
        <v/>
      </c>
      <c r="F155" s="62" t="str">
        <f>[3]bel!H153</f>
        <v/>
      </c>
      <c r="G155" s="13" t="e">
        <f>VLOOKUP([3]bel!N153,#REF!,2,FALSE)</f>
        <v>#REF!</v>
      </c>
      <c r="H155" s="13"/>
      <c r="I155" s="14" t="str">
        <f>[3]bel!Y153</f>
        <v/>
      </c>
      <c r="J155" s="23" t="str">
        <f>[3]bel!O153</f>
        <v/>
      </c>
      <c r="K155" s="36" t="str">
        <f>[3]bel!T153</f>
        <v/>
      </c>
      <c r="L155" s="24" t="e" cm="1">
        <f t="array" ref="L155">_xlfn.IFS([3]bel!X153="Bozankaya","Bozankaya",[3]bel!X153="Müşteri","Customer",[3]bel!X153="Tedarikçi","Equipment Supplier")</f>
        <v>#N/A</v>
      </c>
      <c r="M155" s="61" t="str">
        <f>[3]bel!P153</f>
        <v/>
      </c>
      <c r="N155" s="25" t="str">
        <f>[3]bel!AG153</f>
        <v/>
      </c>
      <c r="O155" s="25" t="str">
        <f>[3]bel!Z153</f>
        <v/>
      </c>
      <c r="P155" s="17" t="str">
        <f>[3]bel!BB153</f>
        <v/>
      </c>
      <c r="Q155" s="62" t="str">
        <f>[3]bel!AH153</f>
        <v/>
      </c>
      <c r="R155" s="62" t="str">
        <f>[3]bel!BC153</f>
        <v/>
      </c>
      <c r="S155" s="45" t="str">
        <f t="shared" si="8"/>
        <v/>
      </c>
      <c r="T155" s="62" t="str">
        <f>[3]bel!BC153</f>
        <v/>
      </c>
      <c r="U155" s="40" t="str">
        <f>[3]bel!V153</f>
        <v/>
      </c>
      <c r="V155" s="45" cm="1">
        <f t="array" ref="V155">IFERROR(IF(AND(K155&lt;&gt;"D(Arıza Değil)",#REF!="Bu Arıza Aracın Servise Verilmesine Engel Değil"),
IF(#REF!-#REF!&gt;0,(R155-Q155)*24*60,
IF(OR(AND(#REF!&gt;$AA$1,#REF!&lt;#REF!),AND(#REF!&gt;#REF!,#REF!&lt;#REF!)),
(T155-F155)*24*60,     BH:BH0)),        W155),0)</f>
        <v>0</v>
      </c>
      <c r="W155" s="45" t="str">
        <f t="shared" si="9"/>
        <v/>
      </c>
      <c r="X155" s="39" t="str">
        <f>[3]bel!AL153</f>
        <v/>
      </c>
      <c r="Y155" s="39" t="str">
        <f>[3]bel!AT153</f>
        <v/>
      </c>
      <c r="Z155" s="39" t="str">
        <f>[3]bel!AK153</f>
        <v/>
      </c>
      <c r="AA155" s="39" t="str">
        <f>[3]bel!AM153</f>
        <v/>
      </c>
      <c r="AB155" s="57" t="e">
        <f>P155*S155*#REF!</f>
        <v>#VALUE!</v>
      </c>
    </row>
    <row r="156" spans="1:28" ht="118.5" customHeight="1" x14ac:dyDescent="0.25">
      <c r="A156" s="35" t="str">
        <f>[3]bel!C154</f>
        <v/>
      </c>
      <c r="B156" s="35" t="str">
        <f>[3]bel!D154</f>
        <v/>
      </c>
      <c r="C156" s="15" t="str">
        <f>[3]bel!E154</f>
        <v/>
      </c>
      <c r="D156" s="15" t="str">
        <f>[3]bel!F154</f>
        <v/>
      </c>
      <c r="E156" s="71" t="str">
        <f>[3]bel!G154</f>
        <v/>
      </c>
      <c r="F156" s="62" t="str">
        <f>[3]bel!H154</f>
        <v/>
      </c>
      <c r="G156" s="13" t="e">
        <f>VLOOKUP([3]bel!N154,#REF!,2,FALSE)</f>
        <v>#REF!</v>
      </c>
      <c r="H156" s="13"/>
      <c r="I156" s="14" t="str">
        <f>[3]bel!Y154</f>
        <v/>
      </c>
      <c r="J156" s="23" t="str">
        <f>[3]bel!O154</f>
        <v/>
      </c>
      <c r="K156" s="36" t="str">
        <f>[3]bel!T154</f>
        <v/>
      </c>
      <c r="L156" s="24" t="e" cm="1">
        <f t="array" ref="L156">_xlfn.IFS([3]bel!X154="Bozankaya","Bozankaya",[3]bel!X154="Müşteri","Customer",[3]bel!X154="Tedarikçi","Equipment Supplier")</f>
        <v>#N/A</v>
      </c>
      <c r="M156" s="61" t="str">
        <f>[3]bel!P154</f>
        <v/>
      </c>
      <c r="N156" s="25" t="str">
        <f>[3]bel!AG154</f>
        <v/>
      </c>
      <c r="O156" s="25" t="str">
        <f>[3]bel!Z154</f>
        <v/>
      </c>
      <c r="P156" s="17" t="str">
        <f>[3]bel!BB154</f>
        <v/>
      </c>
      <c r="Q156" s="62" t="str">
        <f>[3]bel!AH154</f>
        <v/>
      </c>
      <c r="R156" s="62" t="str">
        <f>[3]bel!BC154</f>
        <v/>
      </c>
      <c r="S156" s="45" t="str">
        <f t="shared" si="8"/>
        <v/>
      </c>
      <c r="T156" s="62" t="str">
        <f>[3]bel!BC154</f>
        <v/>
      </c>
      <c r="U156" s="40" t="str">
        <f>[3]bel!V154</f>
        <v/>
      </c>
      <c r="V156" s="45" cm="1">
        <f t="array" ref="V156">IFERROR(IF(AND(K156&lt;&gt;"D(Arıza Değil)",#REF!="Bu Arıza Aracın Servise Verilmesine Engel Değil"),
IF(#REF!-#REF!&gt;0,(R156-Q156)*24*60,
IF(OR(AND(#REF!&gt;$AA$1,#REF!&lt;#REF!),AND(#REF!&gt;#REF!,#REF!&lt;#REF!)),
(T156-F156)*24*60,     BH:BH0)),        W156),0)</f>
        <v>0</v>
      </c>
      <c r="W156" s="45" t="str">
        <f t="shared" si="9"/>
        <v/>
      </c>
      <c r="X156" s="39" t="str">
        <f>[3]bel!AL154</f>
        <v/>
      </c>
      <c r="Y156" s="39" t="str">
        <f>[3]bel!AT154</f>
        <v/>
      </c>
      <c r="Z156" s="39" t="str">
        <f>[3]bel!AK154</f>
        <v/>
      </c>
      <c r="AA156" s="39" t="str">
        <f>[3]bel!AM154</f>
        <v/>
      </c>
      <c r="AB156" s="57" t="e">
        <f>P156*S156*#REF!</f>
        <v>#VALUE!</v>
      </c>
    </row>
    <row r="157" spans="1:28" ht="118.5" customHeight="1" x14ac:dyDescent="0.25">
      <c r="A157" s="35" t="str">
        <f>[3]bel!C155</f>
        <v/>
      </c>
      <c r="B157" s="35" t="str">
        <f>[3]bel!D155</f>
        <v/>
      </c>
      <c r="C157" s="15" t="str">
        <f>[3]bel!E155</f>
        <v/>
      </c>
      <c r="D157" s="15" t="str">
        <f>[3]bel!F155</f>
        <v/>
      </c>
      <c r="E157" s="71" t="str">
        <f>[3]bel!G155</f>
        <v/>
      </c>
      <c r="F157" s="62" t="str">
        <f>[3]bel!H155</f>
        <v/>
      </c>
      <c r="G157" s="13" t="e">
        <f>VLOOKUP([3]bel!N155,#REF!,2,FALSE)</f>
        <v>#REF!</v>
      </c>
      <c r="H157" s="13"/>
      <c r="I157" s="14" t="str">
        <f>[3]bel!Y155</f>
        <v/>
      </c>
      <c r="J157" s="23" t="str">
        <f>[3]bel!O155</f>
        <v/>
      </c>
      <c r="K157" s="36" t="str">
        <f>[3]bel!T155</f>
        <v/>
      </c>
      <c r="L157" s="24" t="e" cm="1">
        <f t="array" ref="L157">_xlfn.IFS([3]bel!X155="Bozankaya","Bozankaya",[3]bel!X155="Müşteri","Customer",[3]bel!X155="Tedarikçi","Equipment Supplier")</f>
        <v>#N/A</v>
      </c>
      <c r="M157" s="61" t="str">
        <f>[3]bel!P155</f>
        <v/>
      </c>
      <c r="N157" s="25" t="str">
        <f>[3]bel!AG155</f>
        <v/>
      </c>
      <c r="O157" s="25" t="str">
        <f>[3]bel!Z155</f>
        <v/>
      </c>
      <c r="P157" s="17" t="str">
        <f>[3]bel!BB155</f>
        <v/>
      </c>
      <c r="Q157" s="62" t="str">
        <f>[3]bel!AH155</f>
        <v/>
      </c>
      <c r="R157" s="62" t="str">
        <f>[3]bel!BC155</f>
        <v/>
      </c>
      <c r="S157" s="45" t="str">
        <f t="shared" si="8"/>
        <v/>
      </c>
      <c r="T157" s="62" t="str">
        <f>[3]bel!BC155</f>
        <v/>
      </c>
      <c r="U157" s="40" t="str">
        <f>[3]bel!V155</f>
        <v/>
      </c>
      <c r="V157" s="45" cm="1">
        <f t="array" ref="V157">IFERROR(IF(AND(K157&lt;&gt;"D(Arıza Değil)",#REF!="Bu Arıza Aracın Servise Verilmesine Engel Değil"),
IF(#REF!-#REF!&gt;0,(R157-Q157)*24*60,
IF(OR(AND(#REF!&gt;$AA$1,#REF!&lt;#REF!),AND(#REF!&gt;#REF!,#REF!&lt;#REF!)),
(T157-F157)*24*60,     BH:BH0)),        W157),0)</f>
        <v>0</v>
      </c>
      <c r="W157" s="45" t="str">
        <f t="shared" si="9"/>
        <v/>
      </c>
      <c r="X157" s="39" t="str">
        <f>[3]bel!AL155</f>
        <v/>
      </c>
      <c r="Y157" s="39" t="str">
        <f>[3]bel!AT155</f>
        <v/>
      </c>
      <c r="Z157" s="39" t="str">
        <f>[3]bel!AK155</f>
        <v/>
      </c>
      <c r="AA157" s="39" t="str">
        <f>[3]bel!AM155</f>
        <v/>
      </c>
      <c r="AB157" s="57" t="e">
        <f>P157*S157*#REF!</f>
        <v>#VALUE!</v>
      </c>
    </row>
    <row r="158" spans="1:28" ht="118.5" customHeight="1" x14ac:dyDescent="0.25">
      <c r="A158" s="35" t="str">
        <f>[3]bel!C156</f>
        <v/>
      </c>
      <c r="B158" s="35" t="str">
        <f>[3]bel!D156</f>
        <v/>
      </c>
      <c r="C158" s="15" t="str">
        <f>[3]bel!E156</f>
        <v/>
      </c>
      <c r="D158" s="15" t="str">
        <f>[3]bel!F156</f>
        <v/>
      </c>
      <c r="E158" s="71" t="str">
        <f>[3]bel!G156</f>
        <v/>
      </c>
      <c r="F158" s="62" t="str">
        <f>[3]bel!H156</f>
        <v/>
      </c>
      <c r="G158" s="13" t="e">
        <f>VLOOKUP([3]bel!N156,#REF!,2,FALSE)</f>
        <v>#REF!</v>
      </c>
      <c r="H158" s="13"/>
      <c r="I158" s="14" t="str">
        <f>[3]bel!Y156</f>
        <v/>
      </c>
      <c r="J158" s="23" t="str">
        <f>[3]bel!O156</f>
        <v/>
      </c>
      <c r="K158" s="36" t="str">
        <f>[3]bel!T156</f>
        <v/>
      </c>
      <c r="L158" s="24" t="e" cm="1">
        <f t="array" ref="L158">_xlfn.IFS([3]bel!X156="Bozankaya","Bozankaya",[3]bel!X156="Müşteri","Customer",[3]bel!X156="Tedarikçi","Equipment Supplier")</f>
        <v>#N/A</v>
      </c>
      <c r="M158" s="61" t="str">
        <f>[3]bel!P156</f>
        <v/>
      </c>
      <c r="N158" s="25" t="str">
        <f>[3]bel!AG156</f>
        <v/>
      </c>
      <c r="O158" s="25" t="str">
        <f>[3]bel!Z156</f>
        <v/>
      </c>
      <c r="P158" s="17" t="str">
        <f>[3]bel!BB156</f>
        <v/>
      </c>
      <c r="Q158" s="62" t="str">
        <f>[3]bel!AH156</f>
        <v/>
      </c>
      <c r="R158" s="62" t="str">
        <f>[3]bel!BC156</f>
        <v/>
      </c>
      <c r="S158" s="45" t="str">
        <f t="shared" si="8"/>
        <v/>
      </c>
      <c r="T158" s="62" t="str">
        <f>[3]bel!BC156</f>
        <v/>
      </c>
      <c r="U158" s="40" t="str">
        <f>[3]bel!V156</f>
        <v/>
      </c>
      <c r="V158" s="45" cm="1">
        <f t="array" ref="V158">IFERROR(IF(AND(K158&lt;&gt;"D(Arıza Değil)",#REF!="Bu Arıza Aracın Servise Verilmesine Engel Değil"),
IF(#REF!-#REF!&gt;0,(R158-Q158)*24*60,
IF(OR(AND(#REF!&gt;$AA$1,#REF!&lt;#REF!),AND(#REF!&gt;#REF!,#REF!&lt;#REF!)),
(T158-F158)*24*60,     BH:BH0)),        W158),0)</f>
        <v>0</v>
      </c>
      <c r="W158" s="45" t="str">
        <f t="shared" si="9"/>
        <v/>
      </c>
      <c r="X158" s="39" t="str">
        <f>[3]bel!AL156</f>
        <v/>
      </c>
      <c r="Y158" s="39" t="str">
        <f>[3]bel!AT156</f>
        <v/>
      </c>
      <c r="Z158" s="39" t="str">
        <f>[3]bel!AK156</f>
        <v/>
      </c>
      <c r="AA158" s="39" t="str">
        <f>[3]bel!AM156</f>
        <v/>
      </c>
      <c r="AB158" s="57" t="e">
        <f>P158*S158*#REF!</f>
        <v>#VALUE!</v>
      </c>
    </row>
    <row r="159" spans="1:28" ht="118.5" customHeight="1" x14ac:dyDescent="0.25">
      <c r="A159" s="35" t="str">
        <f>[3]bel!C157</f>
        <v/>
      </c>
      <c r="B159" s="35" t="str">
        <f>[3]bel!D157</f>
        <v/>
      </c>
      <c r="C159" s="15" t="str">
        <f>[3]bel!E157</f>
        <v/>
      </c>
      <c r="D159" s="15" t="str">
        <f>[3]bel!F157</f>
        <v/>
      </c>
      <c r="E159" s="71" t="str">
        <f>[3]bel!G157</f>
        <v/>
      </c>
      <c r="F159" s="62" t="str">
        <f>[3]bel!H157</f>
        <v/>
      </c>
      <c r="G159" s="13" t="e">
        <f>VLOOKUP([3]bel!N157,#REF!,2,FALSE)</f>
        <v>#REF!</v>
      </c>
      <c r="H159" s="13"/>
      <c r="I159" s="14" t="str">
        <f>[3]bel!Y157</f>
        <v/>
      </c>
      <c r="J159" s="23" t="str">
        <f>[3]bel!O157</f>
        <v/>
      </c>
      <c r="K159" s="36" t="str">
        <f>[3]bel!T157</f>
        <v/>
      </c>
      <c r="L159" s="24" t="e" cm="1">
        <f t="array" ref="L159">_xlfn.IFS([3]bel!X157="Bozankaya","Bozankaya",[3]bel!X157="Müşteri","Customer",[3]bel!X157="Tedarikçi","Equipment Supplier")</f>
        <v>#N/A</v>
      </c>
      <c r="M159" s="61" t="str">
        <f>[3]bel!P157</f>
        <v/>
      </c>
      <c r="N159" s="25" t="str">
        <f>[3]bel!AG157</f>
        <v/>
      </c>
      <c r="O159" s="25" t="str">
        <f>[3]bel!Z157</f>
        <v/>
      </c>
      <c r="P159" s="17" t="str">
        <f>[3]bel!BB157</f>
        <v/>
      </c>
      <c r="Q159" s="62" t="str">
        <f>[3]bel!AH157</f>
        <v/>
      </c>
      <c r="R159" s="62" t="str">
        <f>[3]bel!BC157</f>
        <v/>
      </c>
      <c r="S159" s="45" t="str">
        <f t="shared" si="8"/>
        <v/>
      </c>
      <c r="T159" s="62" t="str">
        <f>[3]bel!BC157</f>
        <v/>
      </c>
      <c r="U159" s="40" t="str">
        <f>[3]bel!V157</f>
        <v/>
      </c>
      <c r="V159" s="45" cm="1">
        <f t="array" ref="V159">IFERROR(IF(AND(K159&lt;&gt;"D(Arıza Değil)",#REF!="Bu Arıza Aracın Servise Verilmesine Engel Değil"),
IF(#REF!-#REF!&gt;0,(R159-Q159)*24*60,
IF(OR(AND(#REF!&gt;$AA$1,#REF!&lt;#REF!),AND(#REF!&gt;#REF!,#REF!&lt;#REF!)),
(T159-F159)*24*60,     BH:BH0)),        W159),0)</f>
        <v>0</v>
      </c>
      <c r="W159" s="45" t="str">
        <f t="shared" si="9"/>
        <v/>
      </c>
      <c r="X159" s="39" t="str">
        <f>[3]bel!AL157</f>
        <v/>
      </c>
      <c r="Y159" s="39" t="str">
        <f>[3]bel!AT157</f>
        <v/>
      </c>
      <c r="Z159" s="39" t="str">
        <f>[3]bel!AK157</f>
        <v/>
      </c>
      <c r="AA159" s="39" t="str">
        <f>[3]bel!AM157</f>
        <v/>
      </c>
      <c r="AB159" s="57" t="e">
        <f>P159*S159*#REF!</f>
        <v>#VALUE!</v>
      </c>
    </row>
    <row r="160" spans="1:28" ht="118.5" customHeight="1" x14ac:dyDescent="0.25">
      <c r="A160" s="35" t="str">
        <f>[3]bel!C158</f>
        <v/>
      </c>
      <c r="B160" s="35" t="str">
        <f>[3]bel!D158</f>
        <v/>
      </c>
      <c r="C160" s="15" t="str">
        <f>[3]bel!E158</f>
        <v/>
      </c>
      <c r="D160" s="15" t="str">
        <f>[3]bel!F158</f>
        <v/>
      </c>
      <c r="E160" s="71" t="str">
        <f>[3]bel!G158</f>
        <v/>
      </c>
      <c r="F160" s="62" t="str">
        <f>[3]bel!H158</f>
        <v/>
      </c>
      <c r="G160" s="13" t="e">
        <f>VLOOKUP([3]bel!N158,#REF!,2,FALSE)</f>
        <v>#REF!</v>
      </c>
      <c r="H160" s="13"/>
      <c r="I160" s="14" t="str">
        <f>[3]bel!Y158</f>
        <v/>
      </c>
      <c r="J160" s="23" t="str">
        <f>[3]bel!O158</f>
        <v/>
      </c>
      <c r="K160" s="36" t="str">
        <f>[3]bel!T158</f>
        <v/>
      </c>
      <c r="L160" s="24" t="e" cm="1">
        <f t="array" ref="L160">_xlfn.IFS([3]bel!X158="Bozankaya","Bozankaya",[3]bel!X158="Müşteri","Customer",[3]bel!X158="Tedarikçi","Equipment Supplier")</f>
        <v>#N/A</v>
      </c>
      <c r="M160" s="61" t="str">
        <f>[3]bel!P158</f>
        <v/>
      </c>
      <c r="N160" s="25" t="str">
        <f>[3]bel!AG158</f>
        <v/>
      </c>
      <c r="O160" s="25" t="str">
        <f>[3]bel!Z158</f>
        <v/>
      </c>
      <c r="P160" s="17" t="str">
        <f>[3]bel!BB158</f>
        <v/>
      </c>
      <c r="Q160" s="62" t="str">
        <f>[3]bel!AH158</f>
        <v/>
      </c>
      <c r="R160" s="62" t="str">
        <f>[3]bel!BC158</f>
        <v/>
      </c>
      <c r="S160" s="45" t="str">
        <f t="shared" si="8"/>
        <v/>
      </c>
      <c r="T160" s="62" t="str">
        <f>[3]bel!BC158</f>
        <v/>
      </c>
      <c r="U160" s="40" t="str">
        <f>[3]bel!V158</f>
        <v/>
      </c>
      <c r="V160" s="45" cm="1">
        <f t="array" ref="V160">IFERROR(IF(AND(K160&lt;&gt;"D(Arıza Değil)",#REF!="Bu Arıza Aracın Servise Verilmesine Engel Değil"),
IF(#REF!-#REF!&gt;0,(R160-Q160)*24*60,
IF(OR(AND(#REF!&gt;$AA$1,#REF!&lt;#REF!),AND(#REF!&gt;#REF!,#REF!&lt;#REF!)),
(T160-F160)*24*60,     BH:BH0)),        W160),0)</f>
        <v>0</v>
      </c>
      <c r="W160" s="45" t="str">
        <f t="shared" si="9"/>
        <v/>
      </c>
      <c r="X160" s="39" t="str">
        <f>[3]bel!AL158</f>
        <v/>
      </c>
      <c r="Y160" s="39" t="str">
        <f>[3]bel!AT158</f>
        <v/>
      </c>
      <c r="Z160" s="39" t="str">
        <f>[3]bel!AK158</f>
        <v/>
      </c>
      <c r="AA160" s="39" t="str">
        <f>[3]bel!AM158</f>
        <v/>
      </c>
      <c r="AB160" s="57" t="e">
        <f>P160*S160*#REF!</f>
        <v>#VALUE!</v>
      </c>
    </row>
    <row r="161" spans="1:28" ht="118.5" customHeight="1" x14ac:dyDescent="0.25">
      <c r="A161" s="35" t="str">
        <f>[3]bel!C159</f>
        <v/>
      </c>
      <c r="B161" s="35" t="str">
        <f>[3]bel!D159</f>
        <v/>
      </c>
      <c r="C161" s="15" t="str">
        <f>[3]bel!E159</f>
        <v/>
      </c>
      <c r="D161" s="15" t="str">
        <f>[3]bel!F159</f>
        <v/>
      </c>
      <c r="E161" s="71" t="str">
        <f>[3]bel!G159</f>
        <v/>
      </c>
      <c r="F161" s="62" t="str">
        <f>[3]bel!H159</f>
        <v/>
      </c>
      <c r="G161" s="13" t="e">
        <f>VLOOKUP([3]bel!N159,#REF!,2,FALSE)</f>
        <v>#REF!</v>
      </c>
      <c r="H161" s="13"/>
      <c r="I161" s="14" t="str">
        <f>[3]bel!Y159</f>
        <v/>
      </c>
      <c r="J161" s="23" t="str">
        <f>[3]bel!O159</f>
        <v/>
      </c>
      <c r="K161" s="36" t="str">
        <f>[3]bel!T159</f>
        <v/>
      </c>
      <c r="L161" s="24" t="e" cm="1">
        <f t="array" ref="L161">_xlfn.IFS([3]bel!X159="Bozankaya","Bozankaya",[3]bel!X159="Müşteri","Customer",[3]bel!X159="Tedarikçi","Equipment Supplier")</f>
        <v>#N/A</v>
      </c>
      <c r="M161" s="61" t="str">
        <f>[3]bel!P159</f>
        <v/>
      </c>
      <c r="N161" s="25" t="str">
        <f>[3]bel!AG159</f>
        <v/>
      </c>
      <c r="O161" s="25" t="str">
        <f>[3]bel!Z159</f>
        <v/>
      </c>
      <c r="P161" s="17" t="str">
        <f>[3]bel!BB159</f>
        <v/>
      </c>
      <c r="Q161" s="62" t="str">
        <f>[3]bel!AH159</f>
        <v/>
      </c>
      <c r="R161" s="62" t="str">
        <f>[3]bel!BC159</f>
        <v/>
      </c>
      <c r="S161" s="45" t="str">
        <f t="shared" si="8"/>
        <v/>
      </c>
      <c r="T161" s="62" t="str">
        <f>[3]bel!BC159</f>
        <v/>
      </c>
      <c r="U161" s="40" t="str">
        <f>[3]bel!V159</f>
        <v/>
      </c>
      <c r="V161" s="45" cm="1">
        <f t="array" ref="V161">IFERROR(IF(AND(K161&lt;&gt;"D(Arıza Değil)",#REF!="Bu Arıza Aracın Servise Verilmesine Engel Değil"),
IF(#REF!-#REF!&gt;0,(R161-Q161)*24*60,
IF(OR(AND(#REF!&gt;$AA$1,#REF!&lt;#REF!),AND(#REF!&gt;#REF!,#REF!&lt;#REF!)),
(T161-F161)*24*60,     BH:BH0)),        W161),0)</f>
        <v>0</v>
      </c>
      <c r="W161" s="45" t="str">
        <f t="shared" si="9"/>
        <v/>
      </c>
      <c r="X161" s="39" t="str">
        <f>[3]bel!AL159</f>
        <v/>
      </c>
      <c r="Y161" s="39" t="str">
        <f>[3]bel!AT159</f>
        <v/>
      </c>
      <c r="Z161" s="39" t="str">
        <f>[3]bel!AK159</f>
        <v/>
      </c>
      <c r="AA161" s="39" t="str">
        <f>[3]bel!AM159</f>
        <v/>
      </c>
      <c r="AB161" s="57" t="e">
        <f>P161*S161*#REF!</f>
        <v>#VALUE!</v>
      </c>
    </row>
  </sheetData>
  <sheetProtection autoFilter="0"/>
  <autoFilter ref="A4:AB161" xr:uid="{00000000-0001-0000-0100-000000000000}">
    <sortState xmlns:xlrd2="http://schemas.microsoft.com/office/spreadsheetml/2017/richdata2" ref="A5:AB161">
      <sortCondition sortBy="cellColor" ref="E4:E161" dxfId="2"/>
    </sortState>
  </autoFilter>
  <mergeCells count="6">
    <mergeCell ref="R1:W1"/>
    <mergeCell ref="J1:Q1"/>
    <mergeCell ref="A3:D3"/>
    <mergeCell ref="E3:J3"/>
    <mergeCell ref="X3:AA3"/>
    <mergeCell ref="L3:U3"/>
  </mergeCells>
  <phoneticPr fontId="8" type="noConversion"/>
  <conditionalFormatting sqref="K5:K9997">
    <cfRule type="cellIs" dxfId="1" priority="4" operator="equal">
      <formula>"B(Servisten çekmeye etki eden arıza)"</formula>
    </cfRule>
    <cfRule type="cellIs" dxfId="0" priority="5" operator="equal">
      <formula>"A(Hareket etmeyi engelleyen arıza)"</formula>
    </cfRule>
  </conditionalFormatting>
  <pageMargins left="0.70866141732283472" right="0.70866141732283472" top="0.74803149606299213" bottom="0.74803149606299213" header="0.31496062992125984" footer="0.31496062992125984"/>
  <pageSetup paperSize="9" scale="40" fitToHeight="0" orientation="landscape" r:id="rId1"/>
  <ignoredErrors>
    <ignoredError sqref="X1" unlockedFormula="1"/>
  </ignoredError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0485DA5CDC8C194E871CDD3F8A9A1EF2" ma:contentTypeVersion="19" ma:contentTypeDescription="Yeni belge oluşturun." ma:contentTypeScope="" ma:versionID="ccac4b377a57598aad4db88212e822b2">
  <xsd:schema xmlns:xsd="http://www.w3.org/2001/XMLSchema" xmlns:xs="http://www.w3.org/2001/XMLSchema" xmlns:p="http://schemas.microsoft.com/office/2006/metadata/properties" xmlns:ns2="09c4ae73-feee-4b08-8299-925a9ffce271" xmlns:ns3="da4956c3-60ed-4d23-a234-079075bffdfa" targetNamespace="http://schemas.microsoft.com/office/2006/metadata/properties" ma:root="true" ma:fieldsID="38119d9470126e03a934f4ce603d8a3a" ns2:_="" ns3:_="">
    <xsd:import namespace="09c4ae73-feee-4b08-8299-925a9ffce271"/>
    <xsd:import namespace="da4956c3-60ed-4d23-a234-079075bffd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4ae73-feee-4b08-8299-925a9ffce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Resim Etiketleri" ma:readOnly="false" ma:fieldId="{5cf76f15-5ced-4ddc-b409-7134ff3c332f}" ma:taxonomyMulti="true" ma:sspId="d360a35d-1e96-46a3-a1bf-3513495fae3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4956c3-60ed-4d23-a234-079075bffdfa" elementFormDefault="qualified">
    <xsd:import namespace="http://schemas.microsoft.com/office/2006/documentManagement/types"/>
    <xsd:import namespace="http://schemas.microsoft.com/office/infopath/2007/PartnerControls"/>
    <xsd:element name="SharedWithUsers" ma:index="17"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Ayrıntıları ile Paylaşıldı" ma:internalName="SharedWithDetails" ma:readOnly="true">
      <xsd:simpleType>
        <xsd:restriction base="dms:Note">
          <xsd:maxLength value="255"/>
        </xsd:restriction>
      </xsd:simpleType>
    </xsd:element>
    <xsd:element name="TaxCatchAll" ma:index="21" nillable="true" ma:displayName="Taxonomy Catch All Column" ma:hidden="true" ma:list="{55228566-15da-4812-9066-219de172a91e}" ma:internalName="TaxCatchAll" ma:showField="CatchAllData" ma:web="da4956c3-60ed-4d23-a234-079075bffd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c4ae73-feee-4b08-8299-925a9ffce271">
      <Terms xmlns="http://schemas.microsoft.com/office/infopath/2007/PartnerControls"/>
    </lcf76f155ced4ddcb4097134ff3c332f>
    <TaxCatchAll xmlns="da4956c3-60ed-4d23-a234-079075bffdfa"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EE15DB-0598-433B-96B2-75288DCC99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4ae73-feee-4b08-8299-925a9ffce271"/>
    <ds:schemaRef ds:uri="da4956c3-60ed-4d23-a234-079075bff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0896B4-BCF1-447F-A900-F478AF00E53F}">
  <ds:schemaRefs>
    <ds:schemaRef ds:uri="http://purl.org/dc/terms/"/>
    <ds:schemaRef ds:uri="http://purl.org/dc/elements/1.1/"/>
    <ds:schemaRef ds:uri="http://purl.org/dc/dcmitype/"/>
    <ds:schemaRef ds:uri="http://www.w3.org/XML/1998/namespace"/>
    <ds:schemaRef ds:uri="http://schemas.openxmlformats.org/package/2006/metadata/core-properties"/>
    <ds:schemaRef ds:uri="http://schemas.microsoft.com/office/2006/documentManagement/types"/>
    <ds:schemaRef ds:uri="09c4ae73-feee-4b08-8299-925a9ffce271"/>
    <ds:schemaRef ds:uri="http://schemas.microsoft.com/office/infopath/2007/PartnerControls"/>
    <ds:schemaRef ds:uri="da4956c3-60ed-4d23-a234-079075bffdfa"/>
    <ds:schemaRef ds:uri="http://schemas.microsoft.com/office/2006/metadata/properties"/>
  </ds:schemaRefs>
</ds:datastoreItem>
</file>

<file path=customXml/itemProps3.xml><?xml version="1.0" encoding="utf-8"?>
<ds:datastoreItem xmlns:ds="http://schemas.openxmlformats.org/officeDocument/2006/customXml" ds:itemID="{B379A1B9-1BEE-47A5-91C9-F177F766C5E5}">
  <ds:schemaRefs>
    <ds:schemaRef ds:uri="http://schemas.microsoft.com/DataMashup"/>
  </ds:schemaRefs>
</ds:datastoreItem>
</file>

<file path=customXml/itemProps4.xml><?xml version="1.0" encoding="utf-8"?>
<ds:datastoreItem xmlns:ds="http://schemas.openxmlformats.org/officeDocument/2006/customXml" ds:itemID="{4042B927-4703-4C57-8E48-092D56316B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FRACAS</vt:lpstr>
      <vt:lpstr>FRACAS!Yazdırma_Alanı</vt:lpstr>
      <vt:lpstr>FRACAS!Yazdırma_Başlıkları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ÇIBUK;Fatih Elvanoğlu</dc:creator>
  <cp:keywords/>
  <dc:description/>
  <cp:lastModifiedBy>Fatih ERKİN</cp:lastModifiedBy>
  <cp:revision/>
  <dcterms:created xsi:type="dcterms:W3CDTF">2014-12-14T06:28:06Z</dcterms:created>
  <dcterms:modified xsi:type="dcterms:W3CDTF">2026-02-02T08:50:52Z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281dea-88a8-41fd-9ad3-83fe90976aee_Enabled">
    <vt:lpwstr>True</vt:lpwstr>
  </property>
  <property fmtid="{D5CDD505-2E9C-101B-9397-08002B2CF9AE}" pid="3" name="MSIP_Label_b0281dea-88a8-41fd-9ad3-83fe90976aee_SiteId">
    <vt:lpwstr>526aa943-377b-4a76-86ad-0ae6009de111</vt:lpwstr>
  </property>
  <property fmtid="{D5CDD505-2E9C-101B-9397-08002B2CF9AE}" pid="4" name="MSIP_Label_b0281dea-88a8-41fd-9ad3-83fe90976aee_Owner">
    <vt:lpwstr>hakanbocekli@bozankaya.com</vt:lpwstr>
  </property>
  <property fmtid="{D5CDD505-2E9C-101B-9397-08002B2CF9AE}" pid="5" name="MSIP_Label_b0281dea-88a8-41fd-9ad3-83fe90976aee_SetDate">
    <vt:lpwstr>2019-03-22T13:05:41.2651496Z</vt:lpwstr>
  </property>
  <property fmtid="{D5CDD505-2E9C-101B-9397-08002B2CF9AE}" pid="6" name="MSIP_Label_b0281dea-88a8-41fd-9ad3-83fe90976aee_Name">
    <vt:lpwstr>Hizmete Özel</vt:lpwstr>
  </property>
  <property fmtid="{D5CDD505-2E9C-101B-9397-08002B2CF9AE}" pid="7" name="MSIP_Label_b0281dea-88a8-41fd-9ad3-83fe90976aee_Application">
    <vt:lpwstr>Microsoft Azure Information Protection</vt:lpwstr>
  </property>
  <property fmtid="{D5CDD505-2E9C-101B-9397-08002B2CF9AE}" pid="8" name="MSIP_Label_b0281dea-88a8-41fd-9ad3-83fe90976aee_Extended_MSFT_Method">
    <vt:lpwstr>Manual</vt:lpwstr>
  </property>
  <property fmtid="{D5CDD505-2E9C-101B-9397-08002B2CF9AE}" pid="9" name="Sensitivity">
    <vt:lpwstr>Hizmete Özel</vt:lpwstr>
  </property>
  <property fmtid="{D5CDD505-2E9C-101B-9397-08002B2CF9AE}" pid="10" name="ContentTypeId">
    <vt:lpwstr>0x0101000485DA5CDC8C194E871CDD3F8A9A1EF2</vt:lpwstr>
  </property>
  <property fmtid="{D5CDD505-2E9C-101B-9397-08002B2CF9AE}" pid="11" name="MediaServiceImageTags">
    <vt:lpwstr/>
  </property>
</Properties>
</file>